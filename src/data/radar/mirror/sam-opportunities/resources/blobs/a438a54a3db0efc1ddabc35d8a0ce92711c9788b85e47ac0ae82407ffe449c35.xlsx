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filterPrivacy="1" codeName="ThisWorkbook"/>
  <xr:revisionPtr revIDLastSave="151" documentId="8_{F2997880-4159-4DD3-A39E-C2EA939DA1A4}" xr6:coauthVersionLast="47" xr6:coauthVersionMax="47" xr10:uidLastSave="{E9F8719B-E790-455C-8ABF-12D302AD0FA2}"/>
  <bookViews>
    <workbookView xWindow="-120" yWindow="120" windowWidth="29040" windowHeight="15480" tabRatio="673" activeTab="2" xr2:uid="{00000000-000D-0000-FFFF-FFFF00000000}"/>
  </bookViews>
  <sheets>
    <sheet name="INSTRUCTIONS" sheetId="35" r:id="rId1"/>
    <sheet name="Minimum Qualifications" sheetId="25" r:id="rId2"/>
    <sheet name="Total - Summary" sheetId="57" r:id="rId3"/>
    <sheet name="Total - Detail" sheetId="8" r:id="rId4"/>
    <sheet name="Ordering Period 1" sheetId="1" r:id="rId5"/>
    <sheet name="Ordering Period 2" sheetId="46" r:id="rId6"/>
    <sheet name="Ordering Period 3" sheetId="47" r:id="rId7"/>
    <sheet name="Ordering Period 4" sheetId="51" r:id="rId8"/>
    <sheet name="Ordering Period 5" sheetId="52" r:id="rId9"/>
    <sheet name="Escalation" sheetId="13" r:id="rId10"/>
    <sheet name="Composite Labor Rates" sheetId="63" r:id="rId11"/>
    <sheet name="Prime Ceiling Rates" sheetId="41" r:id="rId12"/>
    <sheet name="Subcontractor Ceiling Rates" sheetId="50" r:id="rId13"/>
    <sheet name="CLINs - Summary" sheetId="67" r:id="rId14"/>
    <sheet name="CLINs - Detail" sheetId="34" r:id="rId15"/>
    <sheet name="TO Template - AMPV_Bradley" sheetId="70" r:id="rId16"/>
    <sheet name="TO Template - M88" sheetId="62" r:id="rId17"/>
    <sheet name="TO Template - PM" sheetId="71" r:id="rId18"/>
    <sheet name="Ref to Section H" sheetId="72" r:id="rId19"/>
  </sheets>
  <externalReferences>
    <externalReference r:id="rId20"/>
    <externalReference r:id="rId21"/>
    <externalReference r:id="rId22"/>
    <externalReference r:id="rId23"/>
    <externalReference r:id="rId24"/>
  </externalReferences>
  <definedNames>
    <definedName name="__123Graph_A" hidden="1">#REF!</definedName>
    <definedName name="__123Graph_B" hidden="1">#REF!</definedName>
    <definedName name="__123Graph_E" hidden="1">#REF!</definedName>
    <definedName name="__123Graph_EReport" hidden="1">#REF!</definedName>
    <definedName name="__123Graph_F" hidden="1">#REF!</definedName>
    <definedName name="__123Graph_FReport" hidden="1">#REF!</definedName>
    <definedName name="__123Graph_X" hidden="1">#REF!</definedName>
    <definedName name="_Fill" hidden="1">#REF!</definedName>
    <definedName name="_Key1" hidden="1">#REF!</definedName>
    <definedName name="_Order1" hidden="1">255</definedName>
    <definedName name="_Order2" hidden="1">255</definedName>
    <definedName name="_Sort" hidden="1">#REF!</definedName>
    <definedName name="Area">[1]!Table7[Area]</definedName>
    <definedName name="Clins">[2]Overview!$T$4:$T$84</definedName>
    <definedName name="CONUS">[1]!Table8[CONUS]</definedName>
    <definedName name="Cost_Cats">[2]Overview!$Y$5:$Y$21</definedName>
    <definedName name="Data_Type">[2]Overview!$AA$4:$AA$6</definedName>
    <definedName name="Dates">#REF!</definedName>
    <definedName name="Destination">'[3]Travel Destinations'!$A$11:$A$38</definedName>
    <definedName name="ERI_Job_Title_List">[4]!ERI_List[ERI Job Title]</definedName>
    <definedName name="ERI_Jobs_List">[4]!ERI_Jobs_List_All[#Data]</definedName>
    <definedName name="Hello" hidden="1">#REF!</definedName>
    <definedName name="labcat">'[5]Drop Down Lists'!$E$3:$E$51</definedName>
    <definedName name="Months">[2]Overview!$P$4:$P$150</definedName>
    <definedName name="OCONUS">[1]!Table9[OCONUS]</definedName>
    <definedName name="Periods">[2]Overview!$W$4:$W$8</definedName>
    <definedName name="Site">'[5]Drop Down Lists'!$F$3:$F$4</definedName>
    <definedName name="Time">'[5]Drop Down Lists'!$G$3:$G$4</definedName>
    <definedName name="Unit_Measure">'[5]Drop Down Lists'!$H$3:$H$53</definedName>
    <definedName name="WBS">#REF!</definedName>
    <definedName name="WBS_Name">[2]Tables!$G$4:$H$122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1" i="1" l="1"/>
  <c r="E92" i="67"/>
  <c r="D92" i="67"/>
  <c r="C92" i="67"/>
  <c r="B92" i="67"/>
  <c r="E91" i="67"/>
  <c r="D91" i="67"/>
  <c r="C91" i="67"/>
  <c r="B91" i="67"/>
  <c r="E88" i="67"/>
  <c r="D88" i="67"/>
  <c r="C88" i="67"/>
  <c r="B88" i="67"/>
  <c r="E87" i="67"/>
  <c r="D87" i="67"/>
  <c r="C87" i="67"/>
  <c r="B87" i="67"/>
  <c r="D83" i="67"/>
  <c r="E83" i="67"/>
  <c r="D84" i="67"/>
  <c r="E96" i="67"/>
  <c r="E95" i="67"/>
  <c r="E94" i="67"/>
  <c r="E93" i="67"/>
  <c r="E90" i="67"/>
  <c r="E89" i="67"/>
  <c r="E86" i="67"/>
  <c r="E85" i="67"/>
  <c r="E84" i="67"/>
  <c r="C96" i="67"/>
  <c r="C95" i="67"/>
  <c r="C94" i="67"/>
  <c r="C93" i="67"/>
  <c r="C90" i="67"/>
  <c r="C89" i="67"/>
  <c r="C86" i="67"/>
  <c r="C85" i="67"/>
  <c r="C84" i="67"/>
  <c r="C83" i="67"/>
  <c r="B96" i="67"/>
  <c r="B95" i="67"/>
  <c r="B94" i="67"/>
  <c r="B93" i="67"/>
  <c r="B90" i="67"/>
  <c r="B89" i="67"/>
  <c r="B86" i="67"/>
  <c r="B85" i="67"/>
  <c r="B84" i="67"/>
  <c r="B83" i="67"/>
  <c r="B16" i="67"/>
  <c r="D95" i="67"/>
  <c r="D96" i="67"/>
  <c r="AD5" i="1" l="1"/>
  <c r="AE5" i="1"/>
  <c r="AR24" i="46"/>
  <c r="AS24" i="46" s="1"/>
  <c r="AA24" i="46"/>
  <c r="M24" i="46"/>
  <c r="N24" i="46" s="1"/>
  <c r="AR24" i="47"/>
  <c r="AS24" i="47" s="1"/>
  <c r="AA24" i="47"/>
  <c r="M24" i="47"/>
  <c r="AR24" i="51"/>
  <c r="AS24" i="51" s="1"/>
  <c r="AA24" i="51"/>
  <c r="M24" i="51"/>
  <c r="AA24" i="52"/>
  <c r="O24" i="52"/>
  <c r="M24" i="52"/>
  <c r="AC24" i="1"/>
  <c r="Z24" i="46" s="1"/>
  <c r="Z24" i="47" s="1"/>
  <c r="Z24" i="51" s="1"/>
  <c r="Z24" i="52" s="1"/>
  <c r="M24" i="1"/>
  <c r="O24" i="1" s="1"/>
  <c r="AS7" i="46"/>
  <c r="AR7" i="46"/>
  <c r="AA7" i="46"/>
  <c r="AB7" i="46" s="1"/>
  <c r="M7" i="46"/>
  <c r="N7" i="46" s="1"/>
  <c r="AR7" i="47"/>
  <c r="AS7" i="47" s="1"/>
  <c r="AA7" i="47"/>
  <c r="M7" i="47"/>
  <c r="N7" i="47" s="1"/>
  <c r="AR7" i="51"/>
  <c r="AS7" i="51" s="1"/>
  <c r="AA7" i="51"/>
  <c r="M7" i="51"/>
  <c r="AA7" i="52"/>
  <c r="AB7" i="52" s="1"/>
  <c r="O7" i="52"/>
  <c r="M7" i="52"/>
  <c r="AC7" i="1"/>
  <c r="Z7" i="46" s="1"/>
  <c r="Z7" i="47" s="1"/>
  <c r="Z7" i="51" s="1"/>
  <c r="Z7" i="52" s="1"/>
  <c r="M7" i="1"/>
  <c r="O7" i="1" s="1"/>
  <c r="P24" i="47" l="1"/>
  <c r="P24" i="1"/>
  <c r="Q24" i="1"/>
  <c r="AB24" i="46"/>
  <c r="AC24" i="46"/>
  <c r="AF24" i="46" s="1"/>
  <c r="AI24" i="46" s="1"/>
  <c r="O24" i="46"/>
  <c r="P24" i="46" s="1"/>
  <c r="AB24" i="51"/>
  <c r="AC24" i="51" s="1"/>
  <c r="N24" i="47"/>
  <c r="AB24" i="52"/>
  <c r="N24" i="51"/>
  <c r="Q24" i="51" s="1"/>
  <c r="AC24" i="52"/>
  <c r="AF24" i="52" s="1"/>
  <c r="AI24" i="52" s="1"/>
  <c r="O24" i="51"/>
  <c r="Q24" i="47"/>
  <c r="N24" i="52"/>
  <c r="P24" i="52" s="1"/>
  <c r="P24" i="51"/>
  <c r="R24" i="47"/>
  <c r="AB24" i="47"/>
  <c r="AC24" i="47" s="1"/>
  <c r="O24" i="47"/>
  <c r="AD24" i="1"/>
  <c r="AE24" i="1"/>
  <c r="AH24" i="1" s="1"/>
  <c r="AK24" i="1" s="1"/>
  <c r="AG24" i="1"/>
  <c r="Q7" i="1"/>
  <c r="P7" i="1"/>
  <c r="AC7" i="46"/>
  <c r="AF7" i="46" s="1"/>
  <c r="AI7" i="46" s="1"/>
  <c r="AB7" i="47"/>
  <c r="AC7" i="47" s="1"/>
  <c r="AE7" i="46"/>
  <c r="O7" i="46"/>
  <c r="P7" i="46" s="1"/>
  <c r="AB7" i="51"/>
  <c r="AC7" i="52"/>
  <c r="AF7" i="52" s="1"/>
  <c r="AI7" i="52" s="1"/>
  <c r="O7" i="51"/>
  <c r="N7" i="52"/>
  <c r="AE7" i="52"/>
  <c r="O7" i="47"/>
  <c r="Q7" i="47" s="1"/>
  <c r="N7" i="51"/>
  <c r="P7" i="47"/>
  <c r="AD7" i="1"/>
  <c r="AE7" i="1" s="1"/>
  <c r="AE24" i="52" l="1"/>
  <c r="AE24" i="46"/>
  <c r="AH24" i="52"/>
  <c r="AG24" i="52"/>
  <c r="AJ24" i="52" s="1"/>
  <c r="AF24" i="51"/>
  <c r="AI24" i="51" s="1"/>
  <c r="AE24" i="51"/>
  <c r="AF24" i="47"/>
  <c r="AI24" i="47" s="1"/>
  <c r="AE24" i="47"/>
  <c r="Q24" i="46"/>
  <c r="R24" i="46"/>
  <c r="AH24" i="46"/>
  <c r="AG24" i="46"/>
  <c r="AJ24" i="46" s="1"/>
  <c r="AJ24" i="1"/>
  <c r="AI24" i="1"/>
  <c r="AL24" i="1" s="1"/>
  <c r="S24" i="1"/>
  <c r="T24" i="1" s="1"/>
  <c r="Q24" i="52"/>
  <c r="R24" i="52"/>
  <c r="S24" i="47"/>
  <c r="V24" i="47" s="1"/>
  <c r="U24" i="47"/>
  <c r="T24" i="47"/>
  <c r="W24" i="47" s="1"/>
  <c r="R24" i="1"/>
  <c r="R24" i="51"/>
  <c r="AE7" i="51"/>
  <c r="AF7" i="47"/>
  <c r="AI7" i="47" s="1"/>
  <c r="AE7" i="47"/>
  <c r="AH7" i="1"/>
  <c r="AK7" i="1" s="1"/>
  <c r="AG7" i="1"/>
  <c r="R7" i="47"/>
  <c r="P7" i="51"/>
  <c r="AG7" i="52"/>
  <c r="AJ7" i="52" s="1"/>
  <c r="AH7" i="52"/>
  <c r="R7" i="1"/>
  <c r="S7" i="1" s="1"/>
  <c r="T7" i="1" s="1"/>
  <c r="Q7" i="46"/>
  <c r="AC7" i="51"/>
  <c r="AF7" i="51" s="1"/>
  <c r="AI7" i="51" s="1"/>
  <c r="AH7" i="46"/>
  <c r="AG7" i="46"/>
  <c r="AJ7" i="46" s="1"/>
  <c r="P7" i="52"/>
  <c r="R7" i="46"/>
  <c r="U24" i="1" l="1"/>
  <c r="X24" i="1" s="1"/>
  <c r="AR24" i="1" s="1"/>
  <c r="W24" i="1"/>
  <c r="AQ24" i="1" s="1"/>
  <c r="AS24" i="1" s="1"/>
  <c r="AH24" i="47"/>
  <c r="AG24" i="47"/>
  <c r="AJ24" i="47" s="1"/>
  <c r="AO24" i="47"/>
  <c r="AH24" i="51"/>
  <c r="AG24" i="51"/>
  <c r="AJ24" i="51" s="1"/>
  <c r="U24" i="46"/>
  <c r="AO24" i="46" s="1"/>
  <c r="S24" i="46"/>
  <c r="V24" i="46" s="1"/>
  <c r="AP24" i="46" s="1"/>
  <c r="AP24" i="47"/>
  <c r="U24" i="52"/>
  <c r="AO24" i="52" s="1"/>
  <c r="T24" i="52"/>
  <c r="W24" i="52" s="1"/>
  <c r="S24" i="52"/>
  <c r="V24" i="52" s="1"/>
  <c r="AP24" i="52" s="1"/>
  <c r="S24" i="51"/>
  <c r="V24" i="51" s="1"/>
  <c r="AP24" i="51" s="1"/>
  <c r="U24" i="51"/>
  <c r="U7" i="1"/>
  <c r="X7" i="1" s="1"/>
  <c r="AR7" i="1" s="1"/>
  <c r="W7" i="1"/>
  <c r="S7" i="47"/>
  <c r="V7" i="47" s="1"/>
  <c r="AP7" i="47" s="1"/>
  <c r="U7" i="47"/>
  <c r="AO7" i="47" s="1"/>
  <c r="AQ7" i="47" s="1"/>
  <c r="T7" i="47"/>
  <c r="W7" i="47" s="1"/>
  <c r="AH7" i="51"/>
  <c r="AG7" i="51"/>
  <c r="AJ7" i="51" s="1"/>
  <c r="U7" i="46"/>
  <c r="AO7" i="46" s="1"/>
  <c r="S7" i="46"/>
  <c r="V7" i="46" s="1"/>
  <c r="AP7" i="46" s="1"/>
  <c r="AJ7" i="1"/>
  <c r="AI7" i="1"/>
  <c r="AL7" i="1" s="1"/>
  <c r="Q7" i="52"/>
  <c r="R7" i="52" s="1"/>
  <c r="AG7" i="47"/>
  <c r="AJ7" i="47" s="1"/>
  <c r="AH7" i="47"/>
  <c r="Q7" i="51"/>
  <c r="R7" i="51" s="1"/>
  <c r="AQ24" i="52" l="1"/>
  <c r="AQ24" i="46"/>
  <c r="T24" i="46"/>
  <c r="W24" i="46" s="1"/>
  <c r="AQ24" i="47"/>
  <c r="AO24" i="51"/>
  <c r="AQ24" i="51" s="1"/>
  <c r="T24" i="51"/>
  <c r="W24" i="51" s="1"/>
  <c r="V24" i="1"/>
  <c r="Y24" i="1" s="1"/>
  <c r="U7" i="52"/>
  <c r="AO7" i="52" s="1"/>
  <c r="S7" i="52"/>
  <c r="V7" i="52" s="1"/>
  <c r="AP7" i="52" s="1"/>
  <c r="U7" i="51"/>
  <c r="AO7" i="51" s="1"/>
  <c r="S7" i="51"/>
  <c r="V7" i="51" s="1"/>
  <c r="AP7" i="51" s="1"/>
  <c r="AQ7" i="46"/>
  <c r="V7" i="1"/>
  <c r="Y7" i="1" s="1"/>
  <c r="T7" i="46"/>
  <c r="W7" i="46" s="1"/>
  <c r="AQ7" i="1"/>
  <c r="AS7" i="1" s="1"/>
  <c r="AQ7" i="51" l="1"/>
  <c r="T7" i="51"/>
  <c r="W7" i="51" s="1"/>
  <c r="T7" i="52"/>
  <c r="W7" i="52" s="1"/>
  <c r="AQ7" i="52"/>
  <c r="H24" i="46" l="1"/>
  <c r="H24" i="47"/>
  <c r="H24" i="51"/>
  <c r="H24" i="52"/>
  <c r="H24" i="1"/>
  <c r="B35" i="46"/>
  <c r="B34" i="46"/>
  <c r="B35" i="47"/>
  <c r="B34" i="47"/>
  <c r="B35" i="51"/>
  <c r="B34" i="51"/>
  <c r="B35" i="52"/>
  <c r="B34" i="52"/>
  <c r="B29" i="52"/>
  <c r="B38" i="1"/>
  <c r="B35" i="1"/>
  <c r="B34" i="1"/>
  <c r="B14" i="47"/>
  <c r="B38" i="52"/>
  <c r="B37" i="51"/>
  <c r="B36" i="47"/>
  <c r="B33" i="47"/>
  <c r="B32" i="1"/>
  <c r="B31" i="52"/>
  <c r="B30" i="51"/>
  <c r="B29" i="47"/>
  <c r="B28" i="46"/>
  <c r="B27" i="46"/>
  <c r="B26" i="46"/>
  <c r="B25" i="52"/>
  <c r="B24" i="46"/>
  <c r="B21" i="46"/>
  <c r="B20" i="46"/>
  <c r="B19" i="51"/>
  <c r="B18" i="51"/>
  <c r="B17" i="1"/>
  <c r="B16" i="46"/>
  <c r="B15" i="46"/>
  <c r="B14" i="1"/>
  <c r="B13" i="46"/>
  <c r="B12" i="46"/>
  <c r="B11" i="1"/>
  <c r="B10" i="51"/>
  <c r="B9" i="46"/>
  <c r="B8" i="46"/>
  <c r="B7" i="46"/>
  <c r="A4" i="25"/>
  <c r="A5" i="25" s="1"/>
  <c r="A6" i="25" s="1"/>
  <c r="A7" i="25" s="1"/>
  <c r="A8" i="25" s="1"/>
  <c r="A9" i="25" s="1"/>
  <c r="A10" i="25" s="1"/>
  <c r="A11" i="25" s="1"/>
  <c r="A12" i="25" s="1"/>
  <c r="A13" i="25" s="1"/>
  <c r="A14" i="25" s="1"/>
  <c r="A15" i="25" s="1"/>
  <c r="A16" i="25" s="1"/>
  <c r="A17" i="25" s="1"/>
  <c r="A18" i="25" s="1"/>
  <c r="A19" i="25" s="1"/>
  <c r="A20" i="25" s="1"/>
  <c r="H7" i="46"/>
  <c r="H7" i="47"/>
  <c r="H7" i="51"/>
  <c r="H7" i="52"/>
  <c r="H7" i="1"/>
  <c r="C7" i="46"/>
  <c r="C7" i="47"/>
  <c r="C7" i="51"/>
  <c r="C7" i="52"/>
  <c r="C7" i="1"/>
  <c r="D38" i="62"/>
  <c r="D31" i="62"/>
  <c r="D27" i="62"/>
  <c r="E27" i="62" s="1"/>
  <c r="D26" i="62"/>
  <c r="E26" i="62" s="1"/>
  <c r="D35" i="70"/>
  <c r="D28" i="70"/>
  <c r="D24" i="70"/>
  <c r="E24" i="70" s="1"/>
  <c r="D23" i="70"/>
  <c r="E23" i="70" s="1"/>
  <c r="C201" i="34"/>
  <c r="B67" i="67" s="1"/>
  <c r="C152" i="34"/>
  <c r="B51" i="67" s="1"/>
  <c r="C103" i="34"/>
  <c r="B35" i="67" s="1"/>
  <c r="C54" i="34"/>
  <c r="B19" i="67" s="1"/>
  <c r="C5" i="34"/>
  <c r="F63" i="52"/>
  <c r="F65" i="52" s="1"/>
  <c r="F67" i="52" s="1"/>
  <c r="D242" i="34" s="1"/>
  <c r="D56" i="52"/>
  <c r="F55" i="52"/>
  <c r="F54" i="52"/>
  <c r="F53" i="52"/>
  <c r="F56" i="52" s="1"/>
  <c r="F63" i="51"/>
  <c r="D56" i="51"/>
  <c r="F55" i="51"/>
  <c r="F54" i="51"/>
  <c r="F53" i="51"/>
  <c r="F63" i="47"/>
  <c r="D56" i="47"/>
  <c r="F55" i="47"/>
  <c r="F54" i="47"/>
  <c r="F53" i="47"/>
  <c r="F63" i="46"/>
  <c r="D56" i="46"/>
  <c r="F55" i="46"/>
  <c r="F54" i="46"/>
  <c r="F53" i="46"/>
  <c r="E33" i="70"/>
  <c r="C26" i="70"/>
  <c r="E25" i="70"/>
  <c r="C14" i="70"/>
  <c r="C13" i="70"/>
  <c r="C15" i="70" s="1"/>
  <c r="D20" i="70" s="1"/>
  <c r="E36" i="62"/>
  <c r="E28" i="62"/>
  <c r="B33" i="51" l="1"/>
  <c r="B19" i="1"/>
  <c r="B17" i="52"/>
  <c r="B18" i="52"/>
  <c r="B19" i="47"/>
  <c r="B18" i="46"/>
  <c r="B19" i="46"/>
  <c r="B20" i="51"/>
  <c r="B32" i="51"/>
  <c r="B33" i="1"/>
  <c r="B18" i="1"/>
  <c r="B36" i="1"/>
  <c r="B36" i="46"/>
  <c r="B19" i="52"/>
  <c r="B14" i="51"/>
  <c r="B36" i="52"/>
  <c r="B21" i="51"/>
  <c r="B31" i="46"/>
  <c r="B20" i="1"/>
  <c r="B32" i="46"/>
  <c r="B21" i="1"/>
  <c r="B17" i="47"/>
  <c r="B33" i="46"/>
  <c r="B14" i="52"/>
  <c r="B18" i="47"/>
  <c r="B37" i="1"/>
  <c r="B38" i="51"/>
  <c r="B30" i="46"/>
  <c r="B31" i="47"/>
  <c r="B7" i="1"/>
  <c r="B21" i="47"/>
  <c r="B32" i="52"/>
  <c r="B32" i="47"/>
  <c r="B37" i="46"/>
  <c r="B7" i="52"/>
  <c r="B20" i="52"/>
  <c r="B14" i="46"/>
  <c r="B33" i="52"/>
  <c r="B38" i="46"/>
  <c r="B7" i="51"/>
  <c r="B21" i="52"/>
  <c r="B17" i="46"/>
  <c r="B30" i="47"/>
  <c r="B20" i="47"/>
  <c r="B17" i="51"/>
  <c r="B37" i="47"/>
  <c r="B37" i="52"/>
  <c r="B38" i="47"/>
  <c r="B7" i="47"/>
  <c r="B31" i="51"/>
  <c r="B29" i="46"/>
  <c r="B8" i="1"/>
  <c r="B8" i="52"/>
  <c r="B8" i="51"/>
  <c r="B8" i="47"/>
  <c r="B24" i="1"/>
  <c r="B36" i="51"/>
  <c r="B9" i="1"/>
  <c r="B9" i="52"/>
  <c r="B9" i="51"/>
  <c r="B9" i="47"/>
  <c r="B25" i="1"/>
  <c r="B24" i="52"/>
  <c r="B10" i="1"/>
  <c r="B10" i="52"/>
  <c r="B10" i="46"/>
  <c r="B26" i="1"/>
  <c r="B24" i="51"/>
  <c r="B11" i="52"/>
  <c r="B11" i="51"/>
  <c r="B11" i="46"/>
  <c r="B26" i="52"/>
  <c r="B25" i="51"/>
  <c r="B24" i="47"/>
  <c r="B12" i="1"/>
  <c r="B12" i="52"/>
  <c r="B12" i="51"/>
  <c r="B12" i="47"/>
  <c r="B28" i="1"/>
  <c r="B27" i="52"/>
  <c r="B26" i="51"/>
  <c r="B25" i="47"/>
  <c r="B13" i="1"/>
  <c r="B13" i="52"/>
  <c r="B13" i="51"/>
  <c r="B13" i="47"/>
  <c r="B29" i="1"/>
  <c r="B28" i="52"/>
  <c r="B27" i="51"/>
  <c r="B26" i="47"/>
  <c r="B25" i="46"/>
  <c r="B10" i="47"/>
  <c r="B11" i="47"/>
  <c r="B27" i="1"/>
  <c r="B30" i="1"/>
  <c r="B27" i="47"/>
  <c r="B15" i="1"/>
  <c r="B15" i="52"/>
  <c r="B15" i="51"/>
  <c r="B15" i="47"/>
  <c r="B31" i="1"/>
  <c r="B30" i="52"/>
  <c r="B29" i="51"/>
  <c r="B28" i="47"/>
  <c r="B28" i="51"/>
  <c r="B16" i="1"/>
  <c r="B16" i="52"/>
  <c r="B16" i="51"/>
  <c r="B16" i="47"/>
  <c r="F56" i="46"/>
  <c r="F56" i="51"/>
  <c r="F58" i="51" s="1"/>
  <c r="F60" i="51" s="1"/>
  <c r="F56" i="47"/>
  <c r="C250" i="34"/>
  <c r="F242" i="34"/>
  <c r="C74" i="67"/>
  <c r="E74" i="67" s="1"/>
  <c r="D241" i="34"/>
  <c r="C70" i="67" s="1"/>
  <c r="E70" i="67" s="1"/>
  <c r="D243" i="34"/>
  <c r="N48" i="8"/>
  <c r="E38" i="62"/>
  <c r="E40" i="62" s="1"/>
  <c r="E26" i="70"/>
  <c r="E28" i="70" s="1"/>
  <c r="E30" i="70" s="1"/>
  <c r="B3" i="67"/>
  <c r="F241" i="34"/>
  <c r="F58" i="52"/>
  <c r="F60" i="52" s="1"/>
  <c r="F65" i="51"/>
  <c r="F67" i="51" s="1"/>
  <c r="F58" i="47"/>
  <c r="F60" i="47" s="1"/>
  <c r="F65" i="47"/>
  <c r="F67" i="47" s="1"/>
  <c r="F65" i="46"/>
  <c r="F67" i="46" s="1"/>
  <c r="F58" i="46"/>
  <c r="F60" i="46" s="1"/>
  <c r="E35" i="70"/>
  <c r="E37" i="70" s="1"/>
  <c r="D244" i="34" l="1"/>
  <c r="F243" i="34"/>
  <c r="F244" i="34" s="1"/>
  <c r="C78" i="67"/>
  <c r="N46" i="8"/>
  <c r="D237" i="34"/>
  <c r="D238" i="34"/>
  <c r="C77" i="67" s="1"/>
  <c r="D236" i="34"/>
  <c r="D193" i="34"/>
  <c r="D194" i="34"/>
  <c r="D192" i="34"/>
  <c r="L48" i="8"/>
  <c r="L46" i="8"/>
  <c r="D188" i="34"/>
  <c r="C57" i="67" s="1"/>
  <c r="E57" i="67" s="1"/>
  <c r="D189" i="34"/>
  <c r="C61" i="67" s="1"/>
  <c r="E61" i="67" s="1"/>
  <c r="D187" i="34"/>
  <c r="C53" i="67" s="1"/>
  <c r="E53" i="67" s="1"/>
  <c r="D144" i="34"/>
  <c r="J48" i="8"/>
  <c r="D145" i="34"/>
  <c r="D143" i="34"/>
  <c r="D139" i="34"/>
  <c r="C41" i="67" s="1"/>
  <c r="E41" i="67" s="1"/>
  <c r="D140" i="34"/>
  <c r="C45" i="67" s="1"/>
  <c r="E45" i="67" s="1"/>
  <c r="J46" i="8"/>
  <c r="D138" i="34"/>
  <c r="C37" i="67" s="1"/>
  <c r="E37" i="67" s="1"/>
  <c r="H48" i="8"/>
  <c r="D95" i="34"/>
  <c r="D96" i="34"/>
  <c r="D94" i="34"/>
  <c r="H46" i="8"/>
  <c r="D90" i="34"/>
  <c r="C25" i="67" s="1"/>
  <c r="E25" i="67" s="1"/>
  <c r="D91" i="34"/>
  <c r="C29" i="67" s="1"/>
  <c r="E29" i="67" s="1"/>
  <c r="D89" i="34"/>
  <c r="C21" i="67" s="1"/>
  <c r="E21" i="67" s="1"/>
  <c r="E78" i="67" l="1"/>
  <c r="E77" i="67"/>
  <c r="C73" i="67"/>
  <c r="C69" i="67"/>
  <c r="F192" i="34"/>
  <c r="C54" i="67"/>
  <c r="E54" i="67" s="1"/>
  <c r="D195" i="34"/>
  <c r="F194" i="34"/>
  <c r="C62" i="67"/>
  <c r="E62" i="67" s="1"/>
  <c r="F193" i="34"/>
  <c r="C58" i="67"/>
  <c r="E58" i="67" s="1"/>
  <c r="F145" i="34"/>
  <c r="C46" i="67"/>
  <c r="E46" i="67" s="1"/>
  <c r="F144" i="34"/>
  <c r="C42" i="67"/>
  <c r="E42" i="67" s="1"/>
  <c r="C38" i="67"/>
  <c r="E38" i="67" s="1"/>
  <c r="F143" i="34"/>
  <c r="D146" i="34"/>
  <c r="C22" i="67"/>
  <c r="E22" i="67" s="1"/>
  <c r="D97" i="34"/>
  <c r="F94" i="34"/>
  <c r="F96" i="34"/>
  <c r="C30" i="67"/>
  <c r="E30" i="67" s="1"/>
  <c r="F95" i="34"/>
  <c r="C26" i="67"/>
  <c r="E26" i="67" s="1"/>
  <c r="L38" i="1"/>
  <c r="L37" i="1"/>
  <c r="L35" i="1"/>
  <c r="L34" i="1"/>
  <c r="L33" i="1"/>
  <c r="L32" i="1"/>
  <c r="L31" i="1"/>
  <c r="L21" i="1"/>
  <c r="L20" i="1"/>
  <c r="L16" i="1"/>
  <c r="L15" i="1"/>
  <c r="L14" i="1"/>
  <c r="L18" i="1"/>
  <c r="M18" i="1" s="1"/>
  <c r="L17" i="1"/>
  <c r="M17" i="1" s="1"/>
  <c r="C227" i="34"/>
  <c r="C224" i="34"/>
  <c r="C226" i="34"/>
  <c r="C223" i="34"/>
  <c r="C233" i="34"/>
  <c r="C232" i="34"/>
  <c r="C231" i="34"/>
  <c r="C230" i="34"/>
  <c r="C229" i="34"/>
  <c r="C219" i="34"/>
  <c r="C218" i="34"/>
  <c r="C217" i="34"/>
  <c r="C216" i="34"/>
  <c r="C215" i="34"/>
  <c r="C213" i="34"/>
  <c r="C212" i="34"/>
  <c r="C211" i="34"/>
  <c r="C210" i="34"/>
  <c r="C209" i="34"/>
  <c r="C207" i="34"/>
  <c r="C206" i="34"/>
  <c r="C205" i="34"/>
  <c r="C204" i="34"/>
  <c r="C203" i="34"/>
  <c r="F189" i="34"/>
  <c r="F188" i="34"/>
  <c r="C184" i="34"/>
  <c r="C183" i="34"/>
  <c r="C182" i="34"/>
  <c r="C181" i="34"/>
  <c r="C180" i="34"/>
  <c r="C178" i="34"/>
  <c r="C177" i="34"/>
  <c r="C175" i="34"/>
  <c r="C174" i="34"/>
  <c r="C170" i="34"/>
  <c r="C169" i="34"/>
  <c r="C168" i="34"/>
  <c r="C167" i="34"/>
  <c r="C166" i="34"/>
  <c r="C164" i="34"/>
  <c r="C163" i="34"/>
  <c r="C162" i="34"/>
  <c r="C161" i="34"/>
  <c r="C160" i="34"/>
  <c r="B56" i="67" s="1"/>
  <c r="B59" i="67" s="1"/>
  <c r="C158" i="34"/>
  <c r="C157" i="34"/>
  <c r="C156" i="34"/>
  <c r="C155" i="34"/>
  <c r="C154" i="34"/>
  <c r="C135" i="34"/>
  <c r="C134" i="34"/>
  <c r="C133" i="34"/>
  <c r="C132" i="34"/>
  <c r="C131" i="34"/>
  <c r="C129" i="34"/>
  <c r="C128" i="34"/>
  <c r="C126" i="34"/>
  <c r="C125" i="34"/>
  <c r="C36" i="34"/>
  <c r="C35" i="34"/>
  <c r="C85" i="34"/>
  <c r="C84" i="34"/>
  <c r="C83" i="34"/>
  <c r="C121" i="34"/>
  <c r="C120" i="34"/>
  <c r="C119" i="34"/>
  <c r="C118" i="34"/>
  <c r="C117" i="34"/>
  <c r="B44" i="67" s="1"/>
  <c r="B47" i="67" s="1"/>
  <c r="C115" i="34"/>
  <c r="C114" i="34"/>
  <c r="C113" i="34"/>
  <c r="C112" i="34"/>
  <c r="C111" i="34"/>
  <c r="C109" i="34"/>
  <c r="C108" i="34"/>
  <c r="C107" i="34"/>
  <c r="C106" i="34"/>
  <c r="C105" i="34"/>
  <c r="C80" i="34"/>
  <c r="C77" i="34"/>
  <c r="C79" i="34"/>
  <c r="C76" i="34"/>
  <c r="C86" i="34"/>
  <c r="C82" i="34"/>
  <c r="C72" i="34"/>
  <c r="C71" i="34"/>
  <c r="C70" i="34"/>
  <c r="C69" i="34"/>
  <c r="C68" i="34"/>
  <c r="C66" i="34"/>
  <c r="C65" i="34"/>
  <c r="C64" i="34"/>
  <c r="C63" i="34"/>
  <c r="C62" i="34"/>
  <c r="C60" i="34"/>
  <c r="C59" i="34"/>
  <c r="C58" i="34"/>
  <c r="C57" i="34"/>
  <c r="C56" i="34"/>
  <c r="C281" i="34" l="1"/>
  <c r="B24" i="67"/>
  <c r="B27" i="67" s="1"/>
  <c r="B28" i="67"/>
  <c r="B31" i="67" s="1"/>
  <c r="C280" i="34"/>
  <c r="B72" i="67"/>
  <c r="B75" i="67" s="1"/>
  <c r="B20" i="67"/>
  <c r="B23" i="67" s="1"/>
  <c r="B60" i="67"/>
  <c r="B63" i="67" s="1"/>
  <c r="B40" i="67"/>
  <c r="B43" i="67" s="1"/>
  <c r="B52" i="67"/>
  <c r="B55" i="67" s="1"/>
  <c r="B76" i="67"/>
  <c r="B79" i="67" s="1"/>
  <c r="F195" i="34"/>
  <c r="B36" i="67"/>
  <c r="B39" i="67" s="1"/>
  <c r="B68" i="67"/>
  <c r="B71" i="67" s="1"/>
  <c r="E69" i="67"/>
  <c r="E73" i="67"/>
  <c r="F146" i="34"/>
  <c r="F97" i="34"/>
  <c r="C220" i="34"/>
  <c r="C171" i="34"/>
  <c r="C122" i="34"/>
  <c r="C73" i="34"/>
  <c r="D141" i="34"/>
  <c r="C234" i="34"/>
  <c r="D190" i="34"/>
  <c r="C185" i="34"/>
  <c r="F187" i="34"/>
  <c r="F190" i="34" s="1"/>
  <c r="C136" i="34"/>
  <c r="C87" i="34"/>
  <c r="C17" i="62"/>
  <c r="C16" i="62"/>
  <c r="C18" i="62" s="1"/>
  <c r="D23" i="62" s="1"/>
  <c r="C29" i="62"/>
  <c r="B48" i="67" l="1"/>
  <c r="B64" i="67"/>
  <c r="B32" i="67"/>
  <c r="B80" i="67"/>
  <c r="C98" i="34"/>
  <c r="C245" i="34"/>
  <c r="C196" i="34"/>
  <c r="C147" i="34"/>
  <c r="E29" i="62"/>
  <c r="E31" i="62" l="1"/>
  <c r="E33" i="62" s="1"/>
  <c r="C37" i="34"/>
  <c r="C282" i="34" s="1"/>
  <c r="C33" i="34"/>
  <c r="C278" i="34" s="1"/>
  <c r="C31" i="34"/>
  <c r="C276" i="34" s="1"/>
  <c r="C30" i="34"/>
  <c r="C275" i="34" s="1"/>
  <c r="C28" i="34"/>
  <c r="C273" i="34" s="1"/>
  <c r="C27" i="34"/>
  <c r="C272" i="34" s="1"/>
  <c r="C34" i="34"/>
  <c r="C279" i="34" s="1"/>
  <c r="C7" i="34"/>
  <c r="C252" i="34" s="1"/>
  <c r="C8" i="34"/>
  <c r="C253" i="34" s="1"/>
  <c r="C9" i="34"/>
  <c r="C254" i="34" s="1"/>
  <c r="C10" i="34"/>
  <c r="C255" i="34" s="1"/>
  <c r="C11" i="34"/>
  <c r="C256" i="34" s="1"/>
  <c r="C13" i="34"/>
  <c r="C258" i="34" s="1"/>
  <c r="C14" i="34"/>
  <c r="C259" i="34" s="1"/>
  <c r="C15" i="34"/>
  <c r="C260" i="34" s="1"/>
  <c r="C16" i="34"/>
  <c r="C261" i="34" s="1"/>
  <c r="C17" i="34"/>
  <c r="C262" i="34" s="1"/>
  <c r="C19" i="34"/>
  <c r="C264" i="34" s="1"/>
  <c r="C20" i="34"/>
  <c r="C265" i="34" s="1"/>
  <c r="C21" i="34"/>
  <c r="C266" i="34" s="1"/>
  <c r="C22" i="34"/>
  <c r="C267" i="34" s="1"/>
  <c r="C23" i="34"/>
  <c r="C268" i="34" s="1"/>
  <c r="G36" i="46"/>
  <c r="H36" i="46" s="1"/>
  <c r="G33" i="46"/>
  <c r="H33" i="46" s="1"/>
  <c r="G32" i="46"/>
  <c r="H32" i="46" s="1"/>
  <c r="G30" i="46"/>
  <c r="H30" i="46" s="1"/>
  <c r="G28" i="46"/>
  <c r="G27" i="46"/>
  <c r="H27" i="46" s="1"/>
  <c r="G25" i="46"/>
  <c r="H25" i="46" s="1"/>
  <c r="G23" i="46"/>
  <c r="G20" i="46"/>
  <c r="H20" i="46" s="1"/>
  <c r="G19" i="46"/>
  <c r="H19" i="46" s="1"/>
  <c r="G16" i="46"/>
  <c r="H16" i="46" s="1"/>
  <c r="G15" i="46"/>
  <c r="H15" i="46" s="1"/>
  <c r="G14" i="46"/>
  <c r="H14" i="46" s="1"/>
  <c r="G11" i="46"/>
  <c r="H11" i="46" s="1"/>
  <c r="G8" i="46"/>
  <c r="H8" i="46" s="1"/>
  <c r="G6" i="46"/>
  <c r="H6" i="46" s="1"/>
  <c r="G38" i="47"/>
  <c r="H38" i="47" s="1"/>
  <c r="G37" i="47"/>
  <c r="H37" i="47" s="1"/>
  <c r="G34" i="47"/>
  <c r="H34" i="47" s="1"/>
  <c r="G32" i="47"/>
  <c r="H32" i="47" s="1"/>
  <c r="G27" i="47"/>
  <c r="H27" i="47" s="1"/>
  <c r="G26" i="47"/>
  <c r="H26" i="47" s="1"/>
  <c r="G25" i="47"/>
  <c r="H25" i="47" s="1"/>
  <c r="G20" i="47"/>
  <c r="H20" i="47" s="1"/>
  <c r="G19" i="47"/>
  <c r="H19" i="47" s="1"/>
  <c r="G18" i="47"/>
  <c r="H18" i="47" s="1"/>
  <c r="G14" i="47"/>
  <c r="H14" i="47" s="1"/>
  <c r="G11" i="47"/>
  <c r="H11" i="47" s="1"/>
  <c r="G9" i="47"/>
  <c r="H9" i="47" s="1"/>
  <c r="G6" i="47"/>
  <c r="H6" i="47" s="1"/>
  <c r="G33" i="51"/>
  <c r="H33" i="51" s="1"/>
  <c r="G32" i="51"/>
  <c r="H32" i="51" s="1"/>
  <c r="G29" i="51"/>
  <c r="H29" i="51" s="1"/>
  <c r="G28" i="51"/>
  <c r="H28" i="51" s="1"/>
  <c r="G27" i="51"/>
  <c r="H27" i="51" s="1"/>
  <c r="G21" i="51"/>
  <c r="H21" i="51" s="1"/>
  <c r="G19" i="51"/>
  <c r="H19" i="51" s="1"/>
  <c r="G15" i="51"/>
  <c r="H15" i="51" s="1"/>
  <c r="G14" i="51"/>
  <c r="H14" i="51" s="1"/>
  <c r="G13" i="51"/>
  <c r="H13" i="51" s="1"/>
  <c r="G11" i="51"/>
  <c r="H11" i="51" s="1"/>
  <c r="G9" i="51"/>
  <c r="H9" i="51" s="1"/>
  <c r="G6" i="51"/>
  <c r="H6" i="51" s="1"/>
  <c r="G36" i="52"/>
  <c r="H36" i="52" s="1"/>
  <c r="G35" i="52"/>
  <c r="H35" i="52" s="1"/>
  <c r="G32" i="52"/>
  <c r="H32" i="52" s="1"/>
  <c r="G30" i="52"/>
  <c r="H30" i="52" s="1"/>
  <c r="G28" i="52"/>
  <c r="H28" i="52" s="1"/>
  <c r="G27" i="52"/>
  <c r="H27" i="52" s="1"/>
  <c r="G21" i="52"/>
  <c r="H21" i="52" s="1"/>
  <c r="G19" i="52"/>
  <c r="H19" i="52" s="1"/>
  <c r="G17" i="52"/>
  <c r="H17" i="52" s="1"/>
  <c r="G16" i="52"/>
  <c r="H16" i="52" s="1"/>
  <c r="G15" i="52"/>
  <c r="H15" i="52" s="1"/>
  <c r="G14" i="52"/>
  <c r="H14" i="52" s="1"/>
  <c r="G13" i="52"/>
  <c r="H13" i="52" s="1"/>
  <c r="G10" i="52"/>
  <c r="H10" i="52" s="1"/>
  <c r="G9" i="52"/>
  <c r="H9" i="52" s="1"/>
  <c r="G6" i="52"/>
  <c r="H6" i="52" s="1"/>
  <c r="M38" i="1"/>
  <c r="K38" i="46" s="1"/>
  <c r="K38" i="47" s="1"/>
  <c r="K38" i="51" s="1"/>
  <c r="K38" i="52" s="1"/>
  <c r="M34" i="1"/>
  <c r="K34" i="46" s="1"/>
  <c r="K34" i="47" s="1"/>
  <c r="K34" i="51" s="1"/>
  <c r="K34" i="52" s="1"/>
  <c r="M33" i="1"/>
  <c r="M32" i="1"/>
  <c r="K32" i="46" s="1"/>
  <c r="K32" i="47" s="1"/>
  <c r="K32" i="51" s="1"/>
  <c r="K32" i="52" s="1"/>
  <c r="M31" i="1"/>
  <c r="K31" i="46" s="1"/>
  <c r="K31" i="47" s="1"/>
  <c r="K31" i="51" s="1"/>
  <c r="K31" i="52" s="1"/>
  <c r="G30" i="1"/>
  <c r="H30" i="1" s="1"/>
  <c r="G29" i="1"/>
  <c r="H29" i="1" s="1"/>
  <c r="G28" i="1"/>
  <c r="H28" i="1" s="1"/>
  <c r="M27" i="1"/>
  <c r="K27" i="46" s="1"/>
  <c r="K27" i="47" s="1"/>
  <c r="K27" i="51" s="1"/>
  <c r="K27" i="52" s="1"/>
  <c r="M23" i="1"/>
  <c r="K23" i="46" s="1"/>
  <c r="K23" i="47" s="1"/>
  <c r="K23" i="51" s="1"/>
  <c r="K23" i="52" s="1"/>
  <c r="M21" i="1"/>
  <c r="K21" i="46" s="1"/>
  <c r="K21" i="47" s="1"/>
  <c r="K21" i="51" s="1"/>
  <c r="K21" i="52" s="1"/>
  <c r="G20" i="1"/>
  <c r="H20" i="1" s="1"/>
  <c r="M19" i="1"/>
  <c r="G16" i="1"/>
  <c r="H16" i="1" s="1"/>
  <c r="G15" i="1"/>
  <c r="H15" i="1" s="1"/>
  <c r="M14" i="1"/>
  <c r="K14" i="46" s="1"/>
  <c r="K14" i="47" s="1"/>
  <c r="K14" i="51" s="1"/>
  <c r="K14" i="52" s="1"/>
  <c r="M13" i="1"/>
  <c r="K13" i="46" s="1"/>
  <c r="K13" i="47" s="1"/>
  <c r="K13" i="51" s="1"/>
  <c r="K13" i="52" s="1"/>
  <c r="M12" i="1"/>
  <c r="K12" i="46" s="1"/>
  <c r="K12" i="47" s="1"/>
  <c r="K12" i="51" s="1"/>
  <c r="K12" i="52" s="1"/>
  <c r="G11" i="1"/>
  <c r="H11" i="1" s="1"/>
  <c r="M10" i="1"/>
  <c r="M9" i="1"/>
  <c r="G8" i="1"/>
  <c r="H8" i="1" s="1"/>
  <c r="M6" i="1"/>
  <c r="K6" i="46" s="1"/>
  <c r="K6" i="47" s="1"/>
  <c r="K6" i="51" s="1"/>
  <c r="K6" i="52" s="1"/>
  <c r="E48" i="46"/>
  <c r="F40" i="46"/>
  <c r="F39" i="46"/>
  <c r="E48" i="1"/>
  <c r="F40" i="1"/>
  <c r="F39" i="1"/>
  <c r="F40" i="52"/>
  <c r="F39" i="52"/>
  <c r="B23" i="52"/>
  <c r="C23" i="52"/>
  <c r="G23" i="52"/>
  <c r="H23" i="52" s="1"/>
  <c r="C25" i="52"/>
  <c r="G25" i="52"/>
  <c r="H25" i="52" s="1"/>
  <c r="C26" i="52"/>
  <c r="G26" i="52"/>
  <c r="H26" i="52" s="1"/>
  <c r="C27" i="52"/>
  <c r="C28" i="52"/>
  <c r="C29" i="52"/>
  <c r="G29" i="52"/>
  <c r="H29" i="52" s="1"/>
  <c r="C30" i="52"/>
  <c r="C31" i="52"/>
  <c r="G31" i="52"/>
  <c r="H31" i="52" s="1"/>
  <c r="C32" i="52"/>
  <c r="C33" i="52"/>
  <c r="G33" i="52"/>
  <c r="H33" i="52" s="1"/>
  <c r="C34" i="52"/>
  <c r="G34" i="52"/>
  <c r="H34" i="52" s="1"/>
  <c r="C35" i="52"/>
  <c r="C36" i="52"/>
  <c r="C37" i="52"/>
  <c r="G37" i="52"/>
  <c r="H37" i="52" s="1"/>
  <c r="C38" i="52"/>
  <c r="G38" i="52"/>
  <c r="H38" i="52" s="1"/>
  <c r="B6" i="52"/>
  <c r="C6" i="52"/>
  <c r="C8" i="52"/>
  <c r="G8" i="52"/>
  <c r="H8" i="52" s="1"/>
  <c r="C9" i="52"/>
  <c r="C10" i="52"/>
  <c r="C11" i="52"/>
  <c r="G11" i="52"/>
  <c r="H11" i="52" s="1"/>
  <c r="C12" i="52"/>
  <c r="G12" i="52"/>
  <c r="H12" i="52" s="1"/>
  <c r="C13" i="52"/>
  <c r="C14" i="52"/>
  <c r="C15" i="52"/>
  <c r="C16" i="52"/>
  <c r="C17" i="52"/>
  <c r="C18" i="52"/>
  <c r="G18" i="52"/>
  <c r="H18" i="52" s="1"/>
  <c r="C19" i="52"/>
  <c r="C20" i="52"/>
  <c r="G20" i="52"/>
  <c r="H20" i="52" s="1"/>
  <c r="C21" i="52"/>
  <c r="F40" i="51"/>
  <c r="F39" i="51"/>
  <c r="B6" i="51"/>
  <c r="C6" i="51"/>
  <c r="C8" i="51"/>
  <c r="G8" i="51"/>
  <c r="H8" i="51" s="1"/>
  <c r="C9" i="51"/>
  <c r="C10" i="51"/>
  <c r="G10" i="51"/>
  <c r="H10" i="51" s="1"/>
  <c r="C11" i="51"/>
  <c r="C12" i="51"/>
  <c r="G12" i="51"/>
  <c r="H12" i="51" s="1"/>
  <c r="C13" i="51"/>
  <c r="C14" i="51"/>
  <c r="C15" i="51"/>
  <c r="C16" i="51"/>
  <c r="G16" i="51"/>
  <c r="H16" i="51" s="1"/>
  <c r="C17" i="51"/>
  <c r="G17" i="51"/>
  <c r="H17" i="51" s="1"/>
  <c r="C18" i="51"/>
  <c r="G18" i="51"/>
  <c r="H18" i="51" s="1"/>
  <c r="C19" i="51"/>
  <c r="C20" i="51"/>
  <c r="G20" i="51"/>
  <c r="H20" i="51" s="1"/>
  <c r="C21" i="51"/>
  <c r="B23" i="51"/>
  <c r="C23" i="51"/>
  <c r="G23" i="51"/>
  <c r="H23" i="51" s="1"/>
  <c r="C25" i="51"/>
  <c r="G25" i="51"/>
  <c r="H25" i="51" s="1"/>
  <c r="C26" i="51"/>
  <c r="G26" i="51"/>
  <c r="H26" i="51" s="1"/>
  <c r="C27" i="51"/>
  <c r="C28" i="51"/>
  <c r="C29" i="51"/>
  <c r="C30" i="51"/>
  <c r="G30" i="51"/>
  <c r="H30" i="51" s="1"/>
  <c r="C31" i="51"/>
  <c r="G31" i="51"/>
  <c r="H31" i="51" s="1"/>
  <c r="C32" i="51"/>
  <c r="C33" i="51"/>
  <c r="C34" i="51"/>
  <c r="G34" i="51"/>
  <c r="H34" i="51" s="1"/>
  <c r="C35" i="51"/>
  <c r="G35" i="51"/>
  <c r="H35" i="51" s="1"/>
  <c r="C36" i="51"/>
  <c r="G36" i="51"/>
  <c r="H36" i="51" s="1"/>
  <c r="C37" i="51"/>
  <c r="G37" i="51"/>
  <c r="H37" i="51" s="1"/>
  <c r="C38" i="51"/>
  <c r="G38" i="51"/>
  <c r="H38" i="51" s="1"/>
  <c r="F40" i="47"/>
  <c r="F39" i="47"/>
  <c r="E48" i="47"/>
  <c r="B23" i="47"/>
  <c r="C23" i="47"/>
  <c r="G23" i="47"/>
  <c r="H23" i="47" s="1"/>
  <c r="C25" i="47"/>
  <c r="C26" i="47"/>
  <c r="C27" i="47"/>
  <c r="C28" i="47"/>
  <c r="G28" i="47"/>
  <c r="H28" i="47" s="1"/>
  <c r="C29" i="47"/>
  <c r="G29" i="47"/>
  <c r="H29" i="47" s="1"/>
  <c r="C30" i="47"/>
  <c r="G30" i="47"/>
  <c r="H30" i="47" s="1"/>
  <c r="C31" i="47"/>
  <c r="G31" i="47"/>
  <c r="H31" i="47" s="1"/>
  <c r="C32" i="47"/>
  <c r="C33" i="47"/>
  <c r="G33" i="47"/>
  <c r="H33" i="47" s="1"/>
  <c r="C34" i="47"/>
  <c r="C35" i="47"/>
  <c r="G35" i="47"/>
  <c r="H35" i="47" s="1"/>
  <c r="C36" i="47"/>
  <c r="G36" i="47"/>
  <c r="H36" i="47" s="1"/>
  <c r="C37" i="47"/>
  <c r="C38" i="47"/>
  <c r="B6" i="47"/>
  <c r="C6" i="47"/>
  <c r="C8" i="47"/>
  <c r="G8" i="47"/>
  <c r="H8" i="47" s="1"/>
  <c r="C9" i="47"/>
  <c r="C10" i="47"/>
  <c r="G10" i="47"/>
  <c r="H10" i="47" s="1"/>
  <c r="C11" i="47"/>
  <c r="C12" i="47"/>
  <c r="G12" i="47"/>
  <c r="H12" i="47" s="1"/>
  <c r="C13" i="47"/>
  <c r="G13" i="47"/>
  <c r="H13" i="47" s="1"/>
  <c r="C14" i="47"/>
  <c r="C15" i="47"/>
  <c r="G15" i="47"/>
  <c r="H15" i="47" s="1"/>
  <c r="C16" i="47"/>
  <c r="G16" i="47"/>
  <c r="H16" i="47" s="1"/>
  <c r="C17" i="47"/>
  <c r="G17" i="47"/>
  <c r="H17" i="47" s="1"/>
  <c r="C18" i="47"/>
  <c r="C19" i="47"/>
  <c r="C20" i="47"/>
  <c r="C21" i="47"/>
  <c r="G21" i="47"/>
  <c r="H21" i="47" s="1"/>
  <c r="B23" i="46"/>
  <c r="C23" i="46"/>
  <c r="C25" i="46"/>
  <c r="C26" i="46"/>
  <c r="G26" i="46"/>
  <c r="H26" i="46" s="1"/>
  <c r="C27" i="46"/>
  <c r="C28" i="46"/>
  <c r="C29" i="46"/>
  <c r="G29" i="46"/>
  <c r="H29" i="46" s="1"/>
  <c r="C30" i="46"/>
  <c r="C31" i="46"/>
  <c r="G31" i="46"/>
  <c r="H31" i="46" s="1"/>
  <c r="C32" i="46"/>
  <c r="C33" i="46"/>
  <c r="C34" i="46"/>
  <c r="G34" i="46"/>
  <c r="H34" i="46" s="1"/>
  <c r="C35" i="46"/>
  <c r="G35" i="46"/>
  <c r="H35" i="46" s="1"/>
  <c r="C36" i="46"/>
  <c r="C37" i="46"/>
  <c r="G37" i="46"/>
  <c r="H37" i="46" s="1"/>
  <c r="C38" i="46"/>
  <c r="G38" i="46"/>
  <c r="H38" i="46" s="1"/>
  <c r="B6" i="46"/>
  <c r="C6" i="46"/>
  <c r="C8" i="46"/>
  <c r="C9" i="46"/>
  <c r="G9" i="46"/>
  <c r="H9" i="46" s="1"/>
  <c r="C10" i="46"/>
  <c r="G10" i="46"/>
  <c r="H10" i="46" s="1"/>
  <c r="C11" i="46"/>
  <c r="C12" i="46"/>
  <c r="G12" i="46"/>
  <c r="H12" i="46" s="1"/>
  <c r="C13" i="46"/>
  <c r="G13" i="46"/>
  <c r="H13" i="46" s="1"/>
  <c r="C14" i="46"/>
  <c r="C15" i="46"/>
  <c r="C16" i="46"/>
  <c r="C17" i="46"/>
  <c r="G17" i="46"/>
  <c r="H17" i="46" s="1"/>
  <c r="C18" i="46"/>
  <c r="G18" i="46"/>
  <c r="H18" i="46" s="1"/>
  <c r="C19" i="46"/>
  <c r="C20" i="46"/>
  <c r="C21" i="46"/>
  <c r="G21" i="46"/>
  <c r="H21" i="46" s="1"/>
  <c r="AC23" i="1"/>
  <c r="AD23" i="1" s="1"/>
  <c r="AC25" i="1"/>
  <c r="AC26" i="1"/>
  <c r="AC27" i="1"/>
  <c r="AD27" i="1" s="1"/>
  <c r="AC28" i="1"/>
  <c r="AD28" i="1" s="1"/>
  <c r="AE28" i="1" s="1"/>
  <c r="AH28" i="1" s="1"/>
  <c r="AK28" i="1" s="1"/>
  <c r="AC29" i="1"/>
  <c r="AC30" i="1"/>
  <c r="AD30" i="1" s="1"/>
  <c r="AC31" i="1"/>
  <c r="AD31" i="1" s="1"/>
  <c r="AC32" i="1"/>
  <c r="AD32" i="1" s="1"/>
  <c r="AC33" i="1"/>
  <c r="AD33" i="1" s="1"/>
  <c r="AC34" i="1"/>
  <c r="AC35" i="1"/>
  <c r="AD35" i="1" s="1"/>
  <c r="AC36" i="1"/>
  <c r="AD36" i="1" s="1"/>
  <c r="AC37" i="1"/>
  <c r="AC38" i="1"/>
  <c r="AD38" i="1" s="1"/>
  <c r="M25" i="1"/>
  <c r="M26" i="1"/>
  <c r="K26" i="46" s="1"/>
  <c r="K26" i="47" s="1"/>
  <c r="K26" i="51" s="1"/>
  <c r="K26" i="52" s="1"/>
  <c r="M35" i="1"/>
  <c r="K35" i="46" s="1"/>
  <c r="K35" i="47" s="1"/>
  <c r="K35" i="51" s="1"/>
  <c r="K35" i="52" s="1"/>
  <c r="M36" i="1"/>
  <c r="M37" i="1"/>
  <c r="G25" i="1"/>
  <c r="H25" i="1" s="1"/>
  <c r="G26" i="1"/>
  <c r="H26" i="1" s="1"/>
  <c r="G31" i="1"/>
  <c r="H31" i="1" s="1"/>
  <c r="G34" i="1"/>
  <c r="H34" i="1" s="1"/>
  <c r="G35" i="1"/>
  <c r="H35" i="1" s="1"/>
  <c r="G36" i="1"/>
  <c r="H36" i="1" s="1"/>
  <c r="G37" i="1"/>
  <c r="H37" i="1" s="1"/>
  <c r="B23" i="1"/>
  <c r="C23" i="1"/>
  <c r="C25" i="1"/>
  <c r="C26" i="1"/>
  <c r="C27" i="1"/>
  <c r="C28" i="1"/>
  <c r="C29" i="1"/>
  <c r="C30" i="1"/>
  <c r="C31" i="1"/>
  <c r="C32" i="1"/>
  <c r="C33" i="1"/>
  <c r="C34" i="1"/>
  <c r="C35" i="1"/>
  <c r="C36" i="1"/>
  <c r="C37" i="1"/>
  <c r="C38" i="1"/>
  <c r="G9" i="1"/>
  <c r="H9" i="1" s="1"/>
  <c r="G13" i="1"/>
  <c r="H13" i="1" s="1"/>
  <c r="G19" i="1"/>
  <c r="H19" i="1" s="1"/>
  <c r="G21" i="1"/>
  <c r="H21" i="1" s="1"/>
  <c r="AC6" i="1"/>
  <c r="AD6" i="1" s="1"/>
  <c r="AC8" i="1"/>
  <c r="AD8" i="1" s="1"/>
  <c r="AC9" i="1"/>
  <c r="AD9" i="1" s="1"/>
  <c r="AC10" i="1"/>
  <c r="AD10" i="1" s="1"/>
  <c r="AC11" i="1"/>
  <c r="AD11" i="1" s="1"/>
  <c r="AC12" i="1"/>
  <c r="AD12" i="1" s="1"/>
  <c r="AC13" i="1"/>
  <c r="AC14" i="1"/>
  <c r="AD14" i="1" s="1"/>
  <c r="AC15" i="1"/>
  <c r="AD15" i="1" s="1"/>
  <c r="AC16" i="1"/>
  <c r="AD16" i="1" s="1"/>
  <c r="AC17" i="1"/>
  <c r="AD17" i="1" s="1"/>
  <c r="AC18" i="1"/>
  <c r="AD18" i="1" s="1"/>
  <c r="AC19" i="1"/>
  <c r="AD19" i="1" s="1"/>
  <c r="AC20" i="1"/>
  <c r="AD20" i="1" s="1"/>
  <c r="AC21" i="1"/>
  <c r="AD21" i="1" s="1"/>
  <c r="B6" i="1"/>
  <c r="C8" i="1"/>
  <c r="C9" i="1"/>
  <c r="C10" i="1"/>
  <c r="C11" i="1"/>
  <c r="C12" i="1"/>
  <c r="C14" i="1"/>
  <c r="C15" i="1"/>
  <c r="C16" i="1"/>
  <c r="C17" i="1"/>
  <c r="C18" i="1"/>
  <c r="C19" i="1"/>
  <c r="C20" i="1"/>
  <c r="C21" i="1"/>
  <c r="C269" i="34" l="1"/>
  <c r="B12" i="67"/>
  <c r="B4" i="67"/>
  <c r="B8" i="67"/>
  <c r="C24" i="34"/>
  <c r="O19" i="1"/>
  <c r="Q19" i="1" s="1"/>
  <c r="K19" i="46"/>
  <c r="K19" i="47" s="1"/>
  <c r="K19" i="51" s="1"/>
  <c r="K19" i="52" s="1"/>
  <c r="N36" i="1"/>
  <c r="O36" i="1" s="1"/>
  <c r="Q36" i="1" s="1"/>
  <c r="K36" i="46"/>
  <c r="K36" i="47" s="1"/>
  <c r="K36" i="51" s="1"/>
  <c r="K36" i="52" s="1"/>
  <c r="K18" i="46"/>
  <c r="K18" i="47" s="1"/>
  <c r="K18" i="51" s="1"/>
  <c r="K18" i="52" s="1"/>
  <c r="O9" i="1"/>
  <c r="O15" i="1" s="1"/>
  <c r="K9" i="46"/>
  <c r="K9" i="47" s="1"/>
  <c r="K9" i="51" s="1"/>
  <c r="K9" i="52" s="1"/>
  <c r="N25" i="1"/>
  <c r="N31" i="1" s="1"/>
  <c r="K25" i="46"/>
  <c r="K25" i="47" s="1"/>
  <c r="K25" i="51" s="1"/>
  <c r="K25" i="52" s="1"/>
  <c r="O10" i="1"/>
  <c r="K10" i="46"/>
  <c r="K10" i="47" s="1"/>
  <c r="K10" i="51" s="1"/>
  <c r="K10" i="52" s="1"/>
  <c r="K37" i="46"/>
  <c r="K37" i="47" s="1"/>
  <c r="K37" i="51" s="1"/>
  <c r="K37" i="52" s="1"/>
  <c r="K17" i="46"/>
  <c r="K17" i="47" s="1"/>
  <c r="K17" i="51" s="1"/>
  <c r="K17" i="52" s="1"/>
  <c r="K33" i="46"/>
  <c r="K33" i="47" s="1"/>
  <c r="K33" i="51" s="1"/>
  <c r="K33" i="52" s="1"/>
  <c r="C283" i="34"/>
  <c r="G23" i="1"/>
  <c r="H23" i="1" s="1"/>
  <c r="C38" i="34"/>
  <c r="H23" i="46"/>
  <c r="G40" i="46"/>
  <c r="E46" i="46"/>
  <c r="E46" i="47"/>
  <c r="G38" i="1"/>
  <c r="H38" i="1" s="1"/>
  <c r="G27" i="1"/>
  <c r="H27" i="1" s="1"/>
  <c r="G18" i="1"/>
  <c r="H18" i="1" s="1"/>
  <c r="G14" i="1"/>
  <c r="H14" i="1" s="1"/>
  <c r="M20" i="1"/>
  <c r="M8" i="1"/>
  <c r="G6" i="1"/>
  <c r="H6" i="1" s="1"/>
  <c r="M30" i="1"/>
  <c r="G33" i="1"/>
  <c r="H33" i="1" s="1"/>
  <c r="M29" i="1"/>
  <c r="M16" i="1"/>
  <c r="G17" i="1"/>
  <c r="H17" i="1" s="1"/>
  <c r="M15" i="1"/>
  <c r="M28" i="1"/>
  <c r="G32" i="1"/>
  <c r="H32" i="1" s="1"/>
  <c r="G12" i="1"/>
  <c r="H12" i="1" s="1"/>
  <c r="G10" i="1"/>
  <c r="H10" i="1" s="1"/>
  <c r="E46" i="1"/>
  <c r="M11" i="1"/>
  <c r="H28" i="46"/>
  <c r="F41" i="46"/>
  <c r="F41" i="52"/>
  <c r="F41" i="51"/>
  <c r="F41" i="47"/>
  <c r="AD34" i="1"/>
  <c r="AE34" i="1" s="1"/>
  <c r="AH34" i="1" s="1"/>
  <c r="AK34" i="1" s="1"/>
  <c r="N27" i="1"/>
  <c r="AE32" i="1"/>
  <c r="AH32" i="1" s="1"/>
  <c r="AK32" i="1" s="1"/>
  <c r="AE31" i="1"/>
  <c r="AH31" i="1" s="1"/>
  <c r="AK31" i="1" s="1"/>
  <c r="AD25" i="1"/>
  <c r="AE25" i="1" s="1"/>
  <c r="AH25" i="1" s="1"/>
  <c r="AK25" i="1" s="1"/>
  <c r="O13" i="1"/>
  <c r="Q13" i="1" s="1"/>
  <c r="AE23" i="1"/>
  <c r="AH23" i="1" s="1"/>
  <c r="AK23" i="1" s="1"/>
  <c r="AD26" i="1"/>
  <c r="AE26" i="1" s="1"/>
  <c r="AH26" i="1" s="1"/>
  <c r="AK26" i="1" s="1"/>
  <c r="AD13" i="1"/>
  <c r="AE13" i="1" s="1"/>
  <c r="AH13" i="1" s="1"/>
  <c r="AK13" i="1" s="1"/>
  <c r="AE36" i="1"/>
  <c r="AH36" i="1" s="1"/>
  <c r="AK36" i="1" s="1"/>
  <c r="N23" i="1"/>
  <c r="AE35" i="1"/>
  <c r="AH35" i="1" s="1"/>
  <c r="AK35" i="1" s="1"/>
  <c r="O6" i="1"/>
  <c r="AD29" i="1"/>
  <c r="AE29" i="1" s="1"/>
  <c r="AH29" i="1" s="1"/>
  <c r="AK29" i="1" s="1"/>
  <c r="F41" i="1"/>
  <c r="AD37" i="1"/>
  <c r="AE37" i="1" s="1"/>
  <c r="AH37" i="1" s="1"/>
  <c r="AK37" i="1" s="1"/>
  <c r="AE38" i="1"/>
  <c r="AH38" i="1" s="1"/>
  <c r="AK38" i="1" s="1"/>
  <c r="N26" i="1"/>
  <c r="AE30" i="1"/>
  <c r="AH30" i="1" s="1"/>
  <c r="AK30" i="1" s="1"/>
  <c r="AG28" i="1"/>
  <c r="AE27" i="1"/>
  <c r="AH27" i="1" s="1"/>
  <c r="AK27" i="1" s="1"/>
  <c r="AE33" i="1"/>
  <c r="AH33" i="1" s="1"/>
  <c r="AK33" i="1" s="1"/>
  <c r="O12" i="1"/>
  <c r="O21" i="1" s="1"/>
  <c r="AE21" i="1"/>
  <c r="AH21" i="1" s="1"/>
  <c r="AK21" i="1" s="1"/>
  <c r="AE20" i="1"/>
  <c r="AH20" i="1" s="1"/>
  <c r="AK20" i="1" s="1"/>
  <c r="AE19" i="1"/>
  <c r="AH19" i="1" s="1"/>
  <c r="AK19" i="1" s="1"/>
  <c r="AE18" i="1"/>
  <c r="AH18" i="1" s="1"/>
  <c r="AK18" i="1" s="1"/>
  <c r="AE17" i="1"/>
  <c r="AH17" i="1" s="1"/>
  <c r="AK17" i="1" s="1"/>
  <c r="AE16" i="1"/>
  <c r="AE15" i="1"/>
  <c r="AH15" i="1" s="1"/>
  <c r="AK15" i="1" s="1"/>
  <c r="AE14" i="1"/>
  <c r="AE12" i="1"/>
  <c r="AH12" i="1" s="1"/>
  <c r="AK12" i="1" s="1"/>
  <c r="AE11" i="1"/>
  <c r="AH11" i="1" s="1"/>
  <c r="AK11" i="1" s="1"/>
  <c r="AE10" i="1"/>
  <c r="AH10" i="1" s="1"/>
  <c r="AK10" i="1" s="1"/>
  <c r="AE9" i="1"/>
  <c r="AH9" i="1" s="1"/>
  <c r="AK9" i="1" s="1"/>
  <c r="AE8" i="1"/>
  <c r="AH8" i="1" s="1"/>
  <c r="AK8" i="1" s="1"/>
  <c r="AE6" i="1"/>
  <c r="AH6" i="1" s="1"/>
  <c r="AK6" i="1" s="1"/>
  <c r="AR31" i="47" l="1"/>
  <c r="AS31" i="47" s="1"/>
  <c r="AR16" i="47"/>
  <c r="AS16" i="47" s="1"/>
  <c r="AR14" i="47"/>
  <c r="AS14" i="47" s="1"/>
  <c r="AR30" i="47"/>
  <c r="AS30" i="47" s="1"/>
  <c r="AR15" i="47"/>
  <c r="AS15" i="47" s="1"/>
  <c r="AR12" i="47"/>
  <c r="AS12" i="47" s="1"/>
  <c r="AR26" i="47"/>
  <c r="AS26" i="47" s="1"/>
  <c r="AR19" i="47"/>
  <c r="AS19" i="47" s="1"/>
  <c r="AR18" i="47"/>
  <c r="AS18" i="47" s="1"/>
  <c r="AR29" i="47"/>
  <c r="AS29" i="47" s="1"/>
  <c r="AR28" i="47"/>
  <c r="AS28" i="47" s="1"/>
  <c r="AR13" i="47"/>
  <c r="AS13" i="47" s="1"/>
  <c r="AR11" i="47"/>
  <c r="AS11" i="47" s="1"/>
  <c r="AR5" i="47"/>
  <c r="AS5" i="47" s="1"/>
  <c r="AR34" i="47"/>
  <c r="AS34" i="47" s="1"/>
  <c r="AR25" i="47"/>
  <c r="AS25" i="47" s="1"/>
  <c r="AR10" i="47"/>
  <c r="AS10" i="47" s="1"/>
  <c r="AR33" i="47"/>
  <c r="AS33" i="47" s="1"/>
  <c r="AR38" i="47"/>
  <c r="AS38" i="47" s="1"/>
  <c r="AR9" i="47"/>
  <c r="AS9" i="47" s="1"/>
  <c r="AR37" i="47"/>
  <c r="AS37" i="47" s="1"/>
  <c r="AR23" i="47"/>
  <c r="AS23" i="47" s="1"/>
  <c r="AR8" i="47"/>
  <c r="AS8" i="47" s="1"/>
  <c r="AR36" i="47"/>
  <c r="AS36" i="47" s="1"/>
  <c r="AR21" i="47"/>
  <c r="AS21" i="47" s="1"/>
  <c r="AR35" i="47"/>
  <c r="AS35" i="47" s="1"/>
  <c r="AR6" i="47"/>
  <c r="AS6" i="47" s="1"/>
  <c r="AR20" i="47"/>
  <c r="AS20" i="47" s="1"/>
  <c r="AR32" i="47"/>
  <c r="AS32" i="47" s="1"/>
  <c r="AR17" i="47"/>
  <c r="AS17" i="47" s="1"/>
  <c r="AR27" i="47"/>
  <c r="AS27" i="47" s="1"/>
  <c r="AR29" i="46"/>
  <c r="AS29" i="46" s="1"/>
  <c r="AR14" i="46"/>
  <c r="AS14" i="46" s="1"/>
  <c r="AR12" i="46"/>
  <c r="AS12" i="46" s="1"/>
  <c r="AR11" i="46"/>
  <c r="AS11" i="46" s="1"/>
  <c r="AR9" i="46"/>
  <c r="AS9" i="46" s="1"/>
  <c r="AR16" i="46"/>
  <c r="AS16" i="46" s="1"/>
  <c r="AR28" i="46"/>
  <c r="AS28" i="46" s="1"/>
  <c r="AR13" i="46"/>
  <c r="AS13" i="46" s="1"/>
  <c r="AR38" i="46"/>
  <c r="AS38" i="46" s="1"/>
  <c r="AR32" i="46"/>
  <c r="AS32" i="46" s="1"/>
  <c r="AR31" i="46"/>
  <c r="AS31" i="46" s="1"/>
  <c r="AR27" i="46"/>
  <c r="AS27" i="46" s="1"/>
  <c r="AR25" i="46"/>
  <c r="AS25" i="46" s="1"/>
  <c r="AR26" i="46"/>
  <c r="AS26" i="46" s="1"/>
  <c r="AR37" i="46"/>
  <c r="AS37" i="46" s="1"/>
  <c r="AR23" i="46"/>
  <c r="AS23" i="46" s="1"/>
  <c r="AR8" i="46"/>
  <c r="AS8" i="46" s="1"/>
  <c r="AR20" i="46"/>
  <c r="AS20" i="46" s="1"/>
  <c r="AR6" i="46"/>
  <c r="AS6" i="46" s="1"/>
  <c r="AR19" i="46"/>
  <c r="AS19" i="46" s="1"/>
  <c r="AR17" i="46"/>
  <c r="AS17" i="46" s="1"/>
  <c r="AR36" i="46"/>
  <c r="AS36" i="46" s="1"/>
  <c r="AR21" i="46"/>
  <c r="AS21" i="46" s="1"/>
  <c r="AR35" i="46"/>
  <c r="AS35" i="46" s="1"/>
  <c r="AR34" i="46"/>
  <c r="AS34" i="46" s="1"/>
  <c r="AR33" i="46"/>
  <c r="AS33" i="46" s="1"/>
  <c r="AR18" i="46"/>
  <c r="AS18" i="46" s="1"/>
  <c r="AR5" i="46"/>
  <c r="AS5" i="46" s="1"/>
  <c r="AR30" i="46"/>
  <c r="AS30" i="46" s="1"/>
  <c r="AR15" i="46"/>
  <c r="AS15" i="46" s="1"/>
  <c r="AR10" i="46"/>
  <c r="AS10" i="46" s="1"/>
  <c r="AR35" i="51"/>
  <c r="AS35" i="51" s="1"/>
  <c r="AR20" i="51"/>
  <c r="AS20" i="51" s="1"/>
  <c r="AR6" i="51"/>
  <c r="AS6" i="51" s="1"/>
  <c r="AR18" i="51"/>
  <c r="AS18" i="51" s="1"/>
  <c r="AR16" i="51"/>
  <c r="AS16" i="51" s="1"/>
  <c r="AR30" i="51"/>
  <c r="AS30" i="51" s="1"/>
  <c r="AR9" i="51"/>
  <c r="AS9" i="51" s="1"/>
  <c r="AR34" i="51"/>
  <c r="AS34" i="51" s="1"/>
  <c r="AR19" i="51"/>
  <c r="AS19" i="51" s="1"/>
  <c r="AR33" i="51"/>
  <c r="AS33" i="51" s="1"/>
  <c r="AR37" i="51"/>
  <c r="AS37" i="51" s="1"/>
  <c r="AR32" i="51"/>
  <c r="AS32" i="51" s="1"/>
  <c r="AR17" i="51"/>
  <c r="AS17" i="51" s="1"/>
  <c r="AR31" i="51"/>
  <c r="AS31" i="51" s="1"/>
  <c r="AR25" i="51"/>
  <c r="AS25" i="51" s="1"/>
  <c r="AR29" i="51"/>
  <c r="AS29" i="51" s="1"/>
  <c r="AR14" i="51"/>
  <c r="AS14" i="51" s="1"/>
  <c r="AR11" i="51"/>
  <c r="AS11" i="51" s="1"/>
  <c r="AR28" i="51"/>
  <c r="AS28" i="51" s="1"/>
  <c r="AR13" i="51"/>
  <c r="AS13" i="51" s="1"/>
  <c r="AR27" i="51"/>
  <c r="AS27" i="51" s="1"/>
  <c r="AR12" i="51"/>
  <c r="AS12" i="51" s="1"/>
  <c r="AR26" i="51"/>
  <c r="AS26" i="51" s="1"/>
  <c r="AR23" i="51"/>
  <c r="AS23" i="51" s="1"/>
  <c r="AR8" i="51"/>
  <c r="AS8" i="51" s="1"/>
  <c r="AR10" i="51"/>
  <c r="AS10" i="51" s="1"/>
  <c r="AR5" i="51"/>
  <c r="AS5" i="51" s="1"/>
  <c r="AR38" i="51"/>
  <c r="AS38" i="51" s="1"/>
  <c r="AR36" i="51"/>
  <c r="AS36" i="51" s="1"/>
  <c r="AR21" i="51"/>
  <c r="AS21" i="51" s="1"/>
  <c r="AR15" i="51"/>
  <c r="AS15" i="51" s="1"/>
  <c r="B7" i="67"/>
  <c r="B15" i="67"/>
  <c r="C49" i="34"/>
  <c r="B11" i="67"/>
  <c r="AG36" i="1"/>
  <c r="AJ36" i="1" s="1"/>
  <c r="P9" i="1"/>
  <c r="P15" i="1" s="1"/>
  <c r="AG32" i="1"/>
  <c r="AJ32" i="1" s="1"/>
  <c r="AI28" i="1"/>
  <c r="AL28" i="1" s="1"/>
  <c r="E20" i="50"/>
  <c r="O26" i="1"/>
  <c r="Q26" i="1" s="1"/>
  <c r="Q32" i="1" s="1"/>
  <c r="N32" i="1"/>
  <c r="O23" i="1"/>
  <c r="P23" i="1" s="1"/>
  <c r="N35" i="1"/>
  <c r="N34" i="1"/>
  <c r="O25" i="1"/>
  <c r="Q25" i="1" s="1"/>
  <c r="O27" i="1"/>
  <c r="P27" i="1" s="1"/>
  <c r="N37" i="1"/>
  <c r="N33" i="1"/>
  <c r="P10" i="1"/>
  <c r="O16" i="1"/>
  <c r="O20" i="1"/>
  <c r="P6" i="1"/>
  <c r="O18" i="1"/>
  <c r="O17" i="1"/>
  <c r="Q9" i="1"/>
  <c r="Q15" i="1" s="1"/>
  <c r="P19" i="1"/>
  <c r="R19" i="1" s="1"/>
  <c r="S19" i="1" s="1"/>
  <c r="T19" i="1" s="1"/>
  <c r="O8" i="1"/>
  <c r="Q8" i="1" s="1"/>
  <c r="K8" i="46"/>
  <c r="K8" i="47" s="1"/>
  <c r="K8" i="51" s="1"/>
  <c r="K8" i="52" s="1"/>
  <c r="K20" i="46"/>
  <c r="K20" i="47" s="1"/>
  <c r="K20" i="51" s="1"/>
  <c r="K20" i="52" s="1"/>
  <c r="N28" i="1"/>
  <c r="O28" i="1" s="1"/>
  <c r="Q28" i="1" s="1"/>
  <c r="K28" i="46"/>
  <c r="K28" i="47" s="1"/>
  <c r="K28" i="51" s="1"/>
  <c r="K28" i="52" s="1"/>
  <c r="K15" i="46"/>
  <c r="K15" i="47" s="1"/>
  <c r="K15" i="51" s="1"/>
  <c r="K15" i="52" s="1"/>
  <c r="N29" i="1"/>
  <c r="K29" i="46"/>
  <c r="K29" i="47" s="1"/>
  <c r="K29" i="51" s="1"/>
  <c r="K29" i="52" s="1"/>
  <c r="Q10" i="1"/>
  <c r="N30" i="1"/>
  <c r="O30" i="1" s="1"/>
  <c r="Q30" i="1" s="1"/>
  <c r="K30" i="46"/>
  <c r="K30" i="47" s="1"/>
  <c r="K30" i="51" s="1"/>
  <c r="K30" i="52" s="1"/>
  <c r="O11" i="1"/>
  <c r="K11" i="46"/>
  <c r="K11" i="47" s="1"/>
  <c r="K11" i="51" s="1"/>
  <c r="K11" i="52" s="1"/>
  <c r="C294" i="34"/>
  <c r="G40" i="1"/>
  <c r="AG31" i="1"/>
  <c r="AJ28" i="1"/>
  <c r="P13" i="1"/>
  <c r="R13" i="1" s="1"/>
  <c r="AG38" i="1"/>
  <c r="AI38" i="1" s="1"/>
  <c r="AL38" i="1" s="1"/>
  <c r="AG23" i="1"/>
  <c r="AG33" i="1"/>
  <c r="AI33" i="1" s="1"/>
  <c r="AL33" i="1" s="1"/>
  <c r="AG27" i="1"/>
  <c r="AI27" i="1" s="1"/>
  <c r="AL27" i="1" s="1"/>
  <c r="AG34" i="1"/>
  <c r="AJ34" i="1" s="1"/>
  <c r="AG25" i="1"/>
  <c r="E17" i="50" s="1"/>
  <c r="AH16" i="1"/>
  <c r="AK16" i="1" s="1"/>
  <c r="AG16" i="1"/>
  <c r="AG29" i="1"/>
  <c r="E21" i="50" s="1"/>
  <c r="Q6" i="1"/>
  <c r="P36" i="1"/>
  <c r="R36" i="1" s="1"/>
  <c r="S36" i="1" s="1"/>
  <c r="AG30" i="1"/>
  <c r="AH14" i="1"/>
  <c r="AK14" i="1" s="1"/>
  <c r="AG14" i="1"/>
  <c r="AG35" i="1"/>
  <c r="AG26" i="1"/>
  <c r="E18" i="50" s="1"/>
  <c r="AG37" i="1"/>
  <c r="AG6" i="1"/>
  <c r="AG15" i="1"/>
  <c r="AI15" i="1" s="1"/>
  <c r="AL15" i="1" s="1"/>
  <c r="AG17" i="1"/>
  <c r="AI17" i="1" s="1"/>
  <c r="AL17" i="1" s="1"/>
  <c r="AG18" i="1"/>
  <c r="AI18" i="1" s="1"/>
  <c r="AL18" i="1" s="1"/>
  <c r="P12" i="1"/>
  <c r="P21" i="1" s="1"/>
  <c r="Q12" i="1"/>
  <c r="Q21" i="1" s="1"/>
  <c r="AG8" i="1"/>
  <c r="E8" i="50" s="1"/>
  <c r="AG19" i="1"/>
  <c r="E14" i="50" s="1"/>
  <c r="AG9" i="1"/>
  <c r="E9" i="50" s="1"/>
  <c r="AG10" i="1"/>
  <c r="E10" i="50" s="1"/>
  <c r="AG20" i="1"/>
  <c r="AG21" i="1"/>
  <c r="AG11" i="1"/>
  <c r="E11" i="50" s="1"/>
  <c r="AG12" i="1"/>
  <c r="E12" i="50" s="1"/>
  <c r="AG13" i="1"/>
  <c r="E13" i="50" s="1"/>
  <c r="AI36" i="1" l="1"/>
  <c r="AL36" i="1" s="1"/>
  <c r="Q27" i="1"/>
  <c r="Q37" i="1" s="1"/>
  <c r="AI32" i="1"/>
  <c r="AL32" i="1" s="1"/>
  <c r="AJ31" i="1"/>
  <c r="E23" i="50"/>
  <c r="AI30" i="1"/>
  <c r="AL30" i="1" s="1"/>
  <c r="E22" i="50"/>
  <c r="AJ27" i="1"/>
  <c r="E19" i="50"/>
  <c r="AI23" i="1"/>
  <c r="AL23" i="1" s="1"/>
  <c r="E16" i="50"/>
  <c r="AI6" i="1"/>
  <c r="AL6" i="1" s="1"/>
  <c r="E7" i="50"/>
  <c r="P28" i="1"/>
  <c r="R28" i="1" s="1"/>
  <c r="R9" i="1"/>
  <c r="S9" i="1" s="1"/>
  <c r="Q31" i="1"/>
  <c r="O37" i="1"/>
  <c r="O33" i="1"/>
  <c r="P25" i="1"/>
  <c r="P31" i="1" s="1"/>
  <c r="O31" i="1"/>
  <c r="P37" i="1"/>
  <c r="P33" i="1"/>
  <c r="Q23" i="1"/>
  <c r="R23" i="1" s="1"/>
  <c r="O34" i="1"/>
  <c r="O35" i="1"/>
  <c r="Q33" i="1"/>
  <c r="P34" i="1"/>
  <c r="P35" i="1"/>
  <c r="O29" i="1"/>
  <c r="N38" i="1"/>
  <c r="P26" i="1"/>
  <c r="P32" i="1" s="1"/>
  <c r="O32" i="1"/>
  <c r="Q14" i="1"/>
  <c r="R6" i="1"/>
  <c r="S6" i="1" s="1"/>
  <c r="Q17" i="1"/>
  <c r="Q18" i="1"/>
  <c r="R10" i="1"/>
  <c r="Q20" i="1"/>
  <c r="Q16" i="1"/>
  <c r="P8" i="1"/>
  <c r="P14" i="1" s="1"/>
  <c r="O14" i="1"/>
  <c r="P18" i="1"/>
  <c r="P17" i="1"/>
  <c r="P16" i="1"/>
  <c r="P20" i="1"/>
  <c r="Q11" i="1"/>
  <c r="R11" i="1" s="1"/>
  <c r="U19" i="1"/>
  <c r="X19" i="1" s="1"/>
  <c r="AR19" i="1" s="1"/>
  <c r="E14" i="41"/>
  <c r="T36" i="1"/>
  <c r="R27" i="1"/>
  <c r="AJ6" i="1"/>
  <c r="AI31" i="1"/>
  <c r="AL31" i="1" s="1"/>
  <c r="W19" i="1"/>
  <c r="AI14" i="1"/>
  <c r="AL14" i="1" s="1"/>
  <c r="AI16" i="1"/>
  <c r="AL16" i="1" s="1"/>
  <c r="AJ23" i="1"/>
  <c r="AJ38" i="1"/>
  <c r="AI34" i="1"/>
  <c r="AL34" i="1" s="1"/>
  <c r="AJ30" i="1"/>
  <c r="AJ16" i="1"/>
  <c r="R12" i="1"/>
  <c r="AJ33" i="1"/>
  <c r="AJ14" i="1"/>
  <c r="AI25" i="1"/>
  <c r="AL25" i="1" s="1"/>
  <c r="AJ25" i="1"/>
  <c r="P30" i="1"/>
  <c r="R30" i="1" s="1"/>
  <c r="S30" i="1" s="1"/>
  <c r="T30" i="1" s="1"/>
  <c r="AJ29" i="1"/>
  <c r="AI29" i="1"/>
  <c r="AL29" i="1" s="1"/>
  <c r="AI35" i="1"/>
  <c r="AL35" i="1" s="1"/>
  <c r="AJ35" i="1"/>
  <c r="AI37" i="1"/>
  <c r="AL37" i="1" s="1"/>
  <c r="AJ37" i="1"/>
  <c r="AI26" i="1"/>
  <c r="AL26" i="1" s="1"/>
  <c r="AJ26" i="1"/>
  <c r="AJ17" i="1"/>
  <c r="AJ18" i="1"/>
  <c r="S13" i="1"/>
  <c r="T13" i="1" s="1"/>
  <c r="E13" i="41" s="1"/>
  <c r="AJ15" i="1"/>
  <c r="AI13" i="1"/>
  <c r="AL13" i="1" s="1"/>
  <c r="AJ13" i="1"/>
  <c r="AI19" i="1"/>
  <c r="AL19" i="1" s="1"/>
  <c r="AJ19" i="1"/>
  <c r="AI8" i="1"/>
  <c r="AL8" i="1" s="1"/>
  <c r="AJ8" i="1"/>
  <c r="AI12" i="1"/>
  <c r="AL12" i="1" s="1"/>
  <c r="AJ12" i="1"/>
  <c r="AI11" i="1"/>
  <c r="AL11" i="1" s="1"/>
  <c r="AJ11" i="1"/>
  <c r="AI21" i="1"/>
  <c r="AL21" i="1" s="1"/>
  <c r="AJ21" i="1"/>
  <c r="AI20" i="1"/>
  <c r="AL20" i="1" s="1"/>
  <c r="AJ20" i="1"/>
  <c r="AI10" i="1"/>
  <c r="AL10" i="1" s="1"/>
  <c r="AJ10" i="1"/>
  <c r="AI9" i="1"/>
  <c r="AL9" i="1" s="1"/>
  <c r="AJ9" i="1"/>
  <c r="S28" i="1" l="1"/>
  <c r="T28" i="1" s="1"/>
  <c r="E20" i="41" s="1"/>
  <c r="R15" i="1"/>
  <c r="R34" i="1"/>
  <c r="R35" i="1"/>
  <c r="S27" i="1"/>
  <c r="T27" i="1" s="1"/>
  <c r="E19" i="41" s="1"/>
  <c r="R33" i="1"/>
  <c r="R37" i="1"/>
  <c r="R25" i="1"/>
  <c r="Q35" i="1"/>
  <c r="Q34" i="1"/>
  <c r="Q29" i="1"/>
  <c r="Q38" i="1" s="1"/>
  <c r="O38" i="1"/>
  <c r="P29" i="1"/>
  <c r="R26" i="1"/>
  <c r="R32" i="1" s="1"/>
  <c r="S23" i="1"/>
  <c r="S12" i="1"/>
  <c r="S21" i="1" s="1"/>
  <c r="R21" i="1"/>
  <c r="S10" i="1"/>
  <c r="R16" i="1"/>
  <c r="R20" i="1"/>
  <c r="T6" i="1"/>
  <c r="E7" i="41" s="1"/>
  <c r="S18" i="1"/>
  <c r="S17" i="1"/>
  <c r="R17" i="1"/>
  <c r="R18" i="1"/>
  <c r="T9" i="1"/>
  <c r="S15" i="1"/>
  <c r="R8" i="1"/>
  <c r="V19" i="1"/>
  <c r="Y19" i="1" s="1"/>
  <c r="F20" i="8" s="1"/>
  <c r="S11" i="1"/>
  <c r="T11" i="1" s="1"/>
  <c r="E11" i="41" s="1"/>
  <c r="U36" i="1"/>
  <c r="X36" i="1" s="1"/>
  <c r="AR36" i="1" s="1"/>
  <c r="F23" i="41" s="1"/>
  <c r="E23" i="41"/>
  <c r="U30" i="1"/>
  <c r="X30" i="1" s="1"/>
  <c r="E35" i="34" s="1"/>
  <c r="E22" i="41"/>
  <c r="F14" i="50"/>
  <c r="G14" i="50" s="1"/>
  <c r="F14" i="41"/>
  <c r="G14" i="41" s="1"/>
  <c r="AQ19" i="1"/>
  <c r="AS19" i="1" s="1"/>
  <c r="W36" i="1"/>
  <c r="AQ36" i="1" s="1"/>
  <c r="U13" i="1"/>
  <c r="X13" i="1" s="1"/>
  <c r="W30" i="1"/>
  <c r="D35" i="34" s="1"/>
  <c r="W13" i="1"/>
  <c r="E15" i="63" l="1"/>
  <c r="E13" i="62" s="1"/>
  <c r="D15" i="63"/>
  <c r="D13" i="62" s="1"/>
  <c r="T21" i="1"/>
  <c r="U21" i="1" s="1"/>
  <c r="X21" i="1" s="1"/>
  <c r="T17" i="1"/>
  <c r="W17" i="1" s="1"/>
  <c r="W28" i="1"/>
  <c r="AQ28" i="1" s="1"/>
  <c r="T12" i="1"/>
  <c r="U12" i="1" s="1"/>
  <c r="X12" i="1" s="1"/>
  <c r="T18" i="1"/>
  <c r="U18" i="1" s="1"/>
  <c r="X18" i="1" s="1"/>
  <c r="U28" i="1"/>
  <c r="X28" i="1" s="1"/>
  <c r="AR28" i="1" s="1"/>
  <c r="F20" i="50" s="1"/>
  <c r="T15" i="1"/>
  <c r="W15" i="1" s="1"/>
  <c r="S26" i="1"/>
  <c r="T26" i="1" s="1"/>
  <c r="R31" i="1"/>
  <c r="S25" i="1"/>
  <c r="S33" i="1"/>
  <c r="T33" i="1" s="1"/>
  <c r="S37" i="1"/>
  <c r="T37" i="1" s="1"/>
  <c r="T23" i="1"/>
  <c r="S35" i="1"/>
  <c r="T35" i="1" s="1"/>
  <c r="S34" i="1"/>
  <c r="T34" i="1" s="1"/>
  <c r="R29" i="1"/>
  <c r="P38" i="1"/>
  <c r="T10" i="1"/>
  <c r="S20" i="1"/>
  <c r="T20" i="1" s="1"/>
  <c r="S16" i="1"/>
  <c r="T16" i="1" s="1"/>
  <c r="U11" i="1"/>
  <c r="X11" i="1" s="1"/>
  <c r="S8" i="1"/>
  <c r="S14" i="1" s="1"/>
  <c r="R14" i="1"/>
  <c r="W6" i="1"/>
  <c r="D7" i="34" s="1"/>
  <c r="U6" i="1"/>
  <c r="X6" i="1" s="1"/>
  <c r="E7" i="34" s="1"/>
  <c r="W11" i="1"/>
  <c r="E9" i="41"/>
  <c r="W9" i="1"/>
  <c r="U9" i="1"/>
  <c r="X9" i="1" s="1"/>
  <c r="V30" i="1"/>
  <c r="Y30" i="1" s="1"/>
  <c r="F31" i="8" s="1"/>
  <c r="V36" i="1"/>
  <c r="Y36" i="1" s="1"/>
  <c r="F37" i="8" s="1"/>
  <c r="AS36" i="1"/>
  <c r="AR30" i="1"/>
  <c r="AQ30" i="1"/>
  <c r="E9" i="34"/>
  <c r="E15" i="34"/>
  <c r="E21" i="34"/>
  <c r="D15" i="34"/>
  <c r="D21" i="34"/>
  <c r="D9" i="34"/>
  <c r="W27" i="1"/>
  <c r="AQ27" i="1" s="1"/>
  <c r="U27" i="1"/>
  <c r="V13" i="1"/>
  <c r="Y13" i="1" s="1"/>
  <c r="F14" i="8" s="1"/>
  <c r="F15" i="63" l="1"/>
  <c r="W12" i="1"/>
  <c r="V21" i="1"/>
  <c r="Y21" i="1" s="1"/>
  <c r="F22" i="8" s="1"/>
  <c r="W21" i="1"/>
  <c r="AQ21" i="1" s="1"/>
  <c r="U17" i="1"/>
  <c r="X17" i="1" s="1"/>
  <c r="D9" i="63"/>
  <c r="E9" i="63"/>
  <c r="T14" i="1"/>
  <c r="U14" i="1" s="1"/>
  <c r="X14" i="1" s="1"/>
  <c r="E19" i="34"/>
  <c r="W18" i="1"/>
  <c r="F20" i="41"/>
  <c r="E13" i="34"/>
  <c r="E12" i="41"/>
  <c r="AS28" i="1"/>
  <c r="D19" i="34"/>
  <c r="D13" i="34"/>
  <c r="U15" i="1"/>
  <c r="V28" i="1"/>
  <c r="Y28" i="1" s="1"/>
  <c r="F29" i="8" s="1"/>
  <c r="V18" i="1"/>
  <c r="Y18" i="1" s="1"/>
  <c r="F19" i="8" s="1"/>
  <c r="V6" i="1"/>
  <c r="Y6" i="1" s="1"/>
  <c r="F7" i="8" s="1"/>
  <c r="E18" i="41"/>
  <c r="U26" i="1"/>
  <c r="X26" i="1" s="1"/>
  <c r="AR26" i="1" s="1"/>
  <c r="F18" i="50" s="1"/>
  <c r="W26" i="1"/>
  <c r="AQ26" i="1" s="1"/>
  <c r="S32" i="1"/>
  <c r="T32" i="1" s="1"/>
  <c r="W32" i="1" s="1"/>
  <c r="AQ32" i="1" s="1"/>
  <c r="U34" i="1"/>
  <c r="X34" i="1" s="1"/>
  <c r="AR34" i="1" s="1"/>
  <c r="W34" i="1"/>
  <c r="AQ34" i="1" s="1"/>
  <c r="U35" i="1"/>
  <c r="X35" i="1" s="1"/>
  <c r="W35" i="1"/>
  <c r="W37" i="1"/>
  <c r="AQ37" i="1" s="1"/>
  <c r="U37" i="1"/>
  <c r="X37" i="1" s="1"/>
  <c r="AR37" i="1" s="1"/>
  <c r="U33" i="1"/>
  <c r="X33" i="1" s="1"/>
  <c r="AR33" i="1" s="1"/>
  <c r="W33" i="1"/>
  <c r="AQ33" i="1" s="1"/>
  <c r="T25" i="1"/>
  <c r="S31" i="1"/>
  <c r="T31" i="1" s="1"/>
  <c r="S29" i="1"/>
  <c r="R38" i="1"/>
  <c r="E16" i="41"/>
  <c r="U23" i="1"/>
  <c r="W23" i="1"/>
  <c r="W16" i="1"/>
  <c r="U16" i="1"/>
  <c r="X16" i="1" s="1"/>
  <c r="U20" i="1"/>
  <c r="X20" i="1" s="1"/>
  <c r="AR20" i="1" s="1"/>
  <c r="W20" i="1"/>
  <c r="V9" i="1"/>
  <c r="Y9" i="1" s="1"/>
  <c r="F10" i="8" s="1"/>
  <c r="E10" i="41"/>
  <c r="U10" i="1"/>
  <c r="X10" i="1" s="1"/>
  <c r="W10" i="1"/>
  <c r="T8" i="1"/>
  <c r="V11" i="1"/>
  <c r="Y11" i="1" s="1"/>
  <c r="F12" i="8" s="1"/>
  <c r="V12" i="1"/>
  <c r="Y12" i="1" s="1"/>
  <c r="F13" i="8" s="1"/>
  <c r="F22" i="41"/>
  <c r="F22" i="50"/>
  <c r="AS30" i="1"/>
  <c r="F35" i="34"/>
  <c r="H13" i="62"/>
  <c r="F9" i="34"/>
  <c r="AR21" i="1"/>
  <c r="F21" i="34"/>
  <c r="F15" i="34"/>
  <c r="F7" i="34"/>
  <c r="X27" i="1"/>
  <c r="V27" i="1"/>
  <c r="Y27" i="1" s="1"/>
  <c r="F28" i="8" s="1"/>
  <c r="V17" i="1" l="1"/>
  <c r="Y17" i="1" s="1"/>
  <c r="F18" i="8" s="1"/>
  <c r="AS21" i="1"/>
  <c r="V16" i="1"/>
  <c r="Y16" i="1" s="1"/>
  <c r="F17" i="8" s="1"/>
  <c r="D7" i="62"/>
  <c r="D7" i="70"/>
  <c r="G7" i="70" s="1"/>
  <c r="E7" i="62"/>
  <c r="H7" i="62" s="1"/>
  <c r="E7" i="70"/>
  <c r="H7" i="70" s="1"/>
  <c r="F9" i="63"/>
  <c r="W14" i="1"/>
  <c r="D16" i="34" s="1"/>
  <c r="D7" i="63"/>
  <c r="D5" i="70" s="1"/>
  <c r="E7" i="63"/>
  <c r="E5" i="70" s="1"/>
  <c r="F13" i="34"/>
  <c r="F19" i="34"/>
  <c r="V14" i="1"/>
  <c r="Y14" i="1" s="1"/>
  <c r="F15" i="8" s="1"/>
  <c r="V20" i="1"/>
  <c r="Y20" i="1" s="1"/>
  <c r="F21" i="8" s="1"/>
  <c r="F18" i="41"/>
  <c r="AS34" i="1"/>
  <c r="AS26" i="1"/>
  <c r="V35" i="1"/>
  <c r="Y35" i="1" s="1"/>
  <c r="F36" i="8" s="1"/>
  <c r="X15" i="1"/>
  <c r="E16" i="34" s="1"/>
  <c r="V15" i="1"/>
  <c r="Y15" i="1" s="1"/>
  <c r="F16" i="8" s="1"/>
  <c r="E17" i="34"/>
  <c r="V34" i="1"/>
  <c r="Y34" i="1" s="1"/>
  <c r="F35" i="8" s="1"/>
  <c r="U32" i="1"/>
  <c r="X32" i="1" s="1"/>
  <c r="AR32" i="1" s="1"/>
  <c r="AS32" i="1" s="1"/>
  <c r="V26" i="1"/>
  <c r="Y26" i="1" s="1"/>
  <c r="F27" i="8" s="1"/>
  <c r="E11" i="34"/>
  <c r="E23" i="34"/>
  <c r="V37" i="1"/>
  <c r="Y37" i="1" s="1"/>
  <c r="F38" i="8" s="1"/>
  <c r="AS37" i="1"/>
  <c r="W31" i="1"/>
  <c r="U31" i="1"/>
  <c r="X31" i="1" s="1"/>
  <c r="S38" i="1"/>
  <c r="T38" i="1" s="1"/>
  <c r="T29" i="1"/>
  <c r="AQ35" i="1"/>
  <c r="AR35" i="1"/>
  <c r="D33" i="34"/>
  <c r="AQ23" i="1"/>
  <c r="D27" i="34"/>
  <c r="D30" i="34"/>
  <c r="X23" i="1"/>
  <c r="V23" i="1"/>
  <c r="Y23" i="1" s="1"/>
  <c r="F24" i="8" s="1"/>
  <c r="AS33" i="1"/>
  <c r="E17" i="41"/>
  <c r="U25" i="1"/>
  <c r="X25" i="1" s="1"/>
  <c r="AR25" i="1" s="1"/>
  <c r="W25" i="1"/>
  <c r="V33" i="1"/>
  <c r="Y33" i="1" s="1"/>
  <c r="F34" i="8" s="1"/>
  <c r="AQ20" i="1"/>
  <c r="AS20" i="1" s="1"/>
  <c r="D23" i="34"/>
  <c r="D17" i="34"/>
  <c r="D11" i="34"/>
  <c r="E8" i="41"/>
  <c r="W8" i="1"/>
  <c r="U8" i="1"/>
  <c r="X8" i="1" s="1"/>
  <c r="V10" i="1"/>
  <c r="Y10" i="1" s="1"/>
  <c r="F11" i="8" s="1"/>
  <c r="AR27" i="1"/>
  <c r="AS27" i="1" s="1"/>
  <c r="F13" i="62"/>
  <c r="I13" i="62" s="1"/>
  <c r="G13" i="62"/>
  <c r="D22" i="34" l="1"/>
  <c r="F7" i="70"/>
  <c r="I7" i="70" s="1"/>
  <c r="D10" i="34"/>
  <c r="F7" i="63"/>
  <c r="H5" i="70"/>
  <c r="E5" i="62"/>
  <c r="H5" i="62" s="1"/>
  <c r="D5" i="62"/>
  <c r="D13" i="63"/>
  <c r="D11" i="70" s="1"/>
  <c r="D11" i="63"/>
  <c r="D9" i="70" s="1"/>
  <c r="E11" i="63"/>
  <c r="E9" i="70" s="1"/>
  <c r="E10" i="34"/>
  <c r="E22" i="34"/>
  <c r="V8" i="1"/>
  <c r="Y8" i="1" s="1"/>
  <c r="F9" i="8" s="1"/>
  <c r="V25" i="1"/>
  <c r="Y25" i="1" s="1"/>
  <c r="F26" i="8" s="1"/>
  <c r="V31" i="1"/>
  <c r="Y31" i="1" s="1"/>
  <c r="F32" i="8" s="1"/>
  <c r="V32" i="1"/>
  <c r="Y32" i="1" s="1"/>
  <c r="F33" i="8" s="1"/>
  <c r="F11" i="34"/>
  <c r="AS35" i="1"/>
  <c r="W38" i="1"/>
  <c r="U38" i="1"/>
  <c r="X38" i="1" s="1"/>
  <c r="AR23" i="1"/>
  <c r="E27" i="34"/>
  <c r="E30" i="34"/>
  <c r="E33" i="34"/>
  <c r="E21" i="41"/>
  <c r="U29" i="1"/>
  <c r="X29" i="1" s="1"/>
  <c r="W29" i="1"/>
  <c r="AQ29" i="1" s="1"/>
  <c r="F19" i="50"/>
  <c r="E36" i="34"/>
  <c r="AR31" i="1"/>
  <c r="F23" i="50" s="1"/>
  <c r="D36" i="34"/>
  <c r="AQ31" i="1"/>
  <c r="F19" i="41"/>
  <c r="AQ25" i="1"/>
  <c r="AS25" i="1" s="1"/>
  <c r="F17" i="50"/>
  <c r="F17" i="41"/>
  <c r="D8" i="34"/>
  <c r="D20" i="34"/>
  <c r="D14" i="34"/>
  <c r="F17" i="34"/>
  <c r="F23" i="34"/>
  <c r="E20" i="34"/>
  <c r="E14" i="34"/>
  <c r="E8" i="34"/>
  <c r="F16" i="34"/>
  <c r="G7" i="62"/>
  <c r="F7" i="62"/>
  <c r="I7" i="62" s="1"/>
  <c r="D16" i="63" l="1"/>
  <c r="D14" i="62" s="1"/>
  <c r="D10" i="63"/>
  <c r="D8" i="70" s="1"/>
  <c r="V38" i="1"/>
  <c r="Y38" i="1" s="1"/>
  <c r="F39" i="8" s="1"/>
  <c r="F5" i="62"/>
  <c r="I5" i="62" s="1"/>
  <c r="G5" i="62"/>
  <c r="D9" i="62"/>
  <c r="E9" i="62"/>
  <c r="H9" i="62" s="1"/>
  <c r="H9" i="70"/>
  <c r="D11" i="62"/>
  <c r="G5" i="70"/>
  <c r="F5" i="70"/>
  <c r="I5" i="70" s="1"/>
  <c r="E13" i="63"/>
  <c r="E11" i="70" s="1"/>
  <c r="D8" i="63"/>
  <c r="D6" i="70" s="1"/>
  <c r="F11" i="63"/>
  <c r="E16" i="63"/>
  <c r="E8" i="63"/>
  <c r="E6" i="70" s="1"/>
  <c r="E10" i="63"/>
  <c r="E8" i="70" s="1"/>
  <c r="F10" i="34"/>
  <c r="F22" i="34"/>
  <c r="AS31" i="1"/>
  <c r="V29" i="1"/>
  <c r="Y29" i="1" s="1"/>
  <c r="F30" i="8" s="1"/>
  <c r="F33" i="34"/>
  <c r="F27" i="34"/>
  <c r="F16" i="41"/>
  <c r="F16" i="50"/>
  <c r="F30" i="34"/>
  <c r="F36" i="34"/>
  <c r="AR38" i="1"/>
  <c r="E31" i="34"/>
  <c r="E37" i="34"/>
  <c r="E28" i="34"/>
  <c r="D34" i="34"/>
  <c r="AR29" i="1"/>
  <c r="E34" i="34"/>
  <c r="AS23" i="1"/>
  <c r="AQ38" i="1"/>
  <c r="D31" i="34"/>
  <c r="D37" i="34"/>
  <c r="D28" i="34"/>
  <c r="F20" i="34"/>
  <c r="F14" i="34"/>
  <c r="F8" i="34"/>
  <c r="E14" i="63" l="1"/>
  <c r="E12" i="62" s="1"/>
  <c r="C4" i="67"/>
  <c r="D8" i="67"/>
  <c r="D11" i="67" s="1"/>
  <c r="C8" i="67"/>
  <c r="E8" i="67" s="1"/>
  <c r="D4" i="67"/>
  <c r="D7" i="67" s="1"/>
  <c r="D8" i="62"/>
  <c r="C12" i="67"/>
  <c r="D12" i="67"/>
  <c r="E17" i="63"/>
  <c r="E12" i="70" s="1"/>
  <c r="H12" i="70" s="1"/>
  <c r="F8" i="63"/>
  <c r="E6" i="62"/>
  <c r="H6" i="62" s="1"/>
  <c r="H6" i="70"/>
  <c r="F10" i="63"/>
  <c r="E8" i="62"/>
  <c r="H8" i="62" s="1"/>
  <c r="H8" i="70"/>
  <c r="F16" i="63"/>
  <c r="E14" i="62"/>
  <c r="H14" i="62" s="1"/>
  <c r="G11" i="70"/>
  <c r="D6" i="62"/>
  <c r="G8" i="70"/>
  <c r="F13" i="63"/>
  <c r="E11" i="62"/>
  <c r="H11" i="62" s="1"/>
  <c r="H11" i="70"/>
  <c r="F9" i="70"/>
  <c r="I9" i="70" s="1"/>
  <c r="G9" i="70"/>
  <c r="G9" i="62"/>
  <c r="F9" i="62"/>
  <c r="I9" i="62" s="1"/>
  <c r="D17" i="63"/>
  <c r="D12" i="70" s="1"/>
  <c r="D14" i="63"/>
  <c r="F34" i="34"/>
  <c r="H12" i="62"/>
  <c r="G11" i="62"/>
  <c r="E38" i="34"/>
  <c r="F28" i="34"/>
  <c r="D38" i="34"/>
  <c r="F31" i="34"/>
  <c r="F21" i="41"/>
  <c r="F21" i="50"/>
  <c r="AS38" i="1"/>
  <c r="AS29" i="1"/>
  <c r="F37" i="34"/>
  <c r="G8" i="62"/>
  <c r="R22" i="1"/>
  <c r="S22" i="1" s="1"/>
  <c r="G5" i="47"/>
  <c r="G5" i="51"/>
  <c r="G5" i="52"/>
  <c r="G5" i="46"/>
  <c r="G39" i="46" s="1"/>
  <c r="G5" i="1"/>
  <c r="G39" i="1" s="1"/>
  <c r="E4" i="67" l="1"/>
  <c r="E12" i="67"/>
  <c r="D15" i="67"/>
  <c r="E15" i="62"/>
  <c r="H15" i="62" s="1"/>
  <c r="F11" i="70"/>
  <c r="I11" i="70" s="1"/>
  <c r="F8" i="62"/>
  <c r="I8" i="62" s="1"/>
  <c r="F8" i="70"/>
  <c r="I8" i="70" s="1"/>
  <c r="F11" i="62"/>
  <c r="I11" i="62" s="1"/>
  <c r="F14" i="63"/>
  <c r="D12" i="62"/>
  <c r="G12" i="62" s="1"/>
  <c r="F17" i="63"/>
  <c r="D15" i="62"/>
  <c r="F6" i="70"/>
  <c r="I6" i="70" s="1"/>
  <c r="G6" i="70"/>
  <c r="F38" i="34"/>
  <c r="G14" i="62"/>
  <c r="F14" i="62"/>
  <c r="I14" i="62" s="1"/>
  <c r="G6" i="62"/>
  <c r="F6" i="62"/>
  <c r="I6" i="62" s="1"/>
  <c r="H5" i="52"/>
  <c r="G39" i="52"/>
  <c r="G40" i="52"/>
  <c r="H40" i="52" s="1"/>
  <c r="H5" i="51"/>
  <c r="G39" i="51"/>
  <c r="G40" i="51"/>
  <c r="H40" i="51" s="1"/>
  <c r="G40" i="47"/>
  <c r="H40" i="47" s="1"/>
  <c r="H5" i="47"/>
  <c r="G39" i="47"/>
  <c r="H5" i="46"/>
  <c r="H40" i="46"/>
  <c r="H40" i="1"/>
  <c r="H5" i="1"/>
  <c r="AR14" i="1"/>
  <c r="AQ14" i="1"/>
  <c r="AR9" i="1"/>
  <c r="AQ9" i="1"/>
  <c r="AQ15" i="1"/>
  <c r="AR15" i="1"/>
  <c r="AR12" i="1"/>
  <c r="AQ12" i="1"/>
  <c r="AR10" i="1"/>
  <c r="AQ10" i="1"/>
  <c r="AR8" i="1"/>
  <c r="AQ8" i="1"/>
  <c r="AR17" i="1"/>
  <c r="AQ17" i="1"/>
  <c r="AR16" i="1"/>
  <c r="AQ16" i="1"/>
  <c r="AR11" i="1"/>
  <c r="AQ11" i="1"/>
  <c r="AR13" i="1"/>
  <c r="AQ13" i="1"/>
  <c r="AR6" i="1"/>
  <c r="AQ6" i="1"/>
  <c r="AR18" i="1"/>
  <c r="AQ18" i="1"/>
  <c r="F12" i="62" l="1"/>
  <c r="I12" i="62" s="1"/>
  <c r="G12" i="70"/>
  <c r="F12" i="70"/>
  <c r="I12" i="70" s="1"/>
  <c r="F15" i="62"/>
  <c r="I15" i="62" s="1"/>
  <c r="G15" i="62"/>
  <c r="F13" i="50"/>
  <c r="G13" i="50" s="1"/>
  <c r="F13" i="41"/>
  <c r="G13" i="41" s="1"/>
  <c r="F10" i="41"/>
  <c r="G10" i="41" s="1"/>
  <c r="F10" i="50"/>
  <c r="G10" i="50" s="1"/>
  <c r="F9" i="41"/>
  <c r="G9" i="41" s="1"/>
  <c r="F9" i="50"/>
  <c r="G9" i="50" s="1"/>
  <c r="F8" i="41"/>
  <c r="G8" i="41" s="1"/>
  <c r="F8" i="50"/>
  <c r="G8" i="50" s="1"/>
  <c r="F12" i="50"/>
  <c r="G12" i="50" s="1"/>
  <c r="F12" i="41"/>
  <c r="G12" i="41" s="1"/>
  <c r="F11" i="50"/>
  <c r="G11" i="50" s="1"/>
  <c r="F11" i="41"/>
  <c r="G11" i="41" s="1"/>
  <c r="F7" i="41"/>
  <c r="G7" i="41" s="1"/>
  <c r="F7" i="50"/>
  <c r="G7" i="50" s="1"/>
  <c r="AS18" i="1"/>
  <c r="G41" i="52"/>
  <c r="H41" i="52" s="1"/>
  <c r="H39" i="52"/>
  <c r="G41" i="51"/>
  <c r="H41" i="51" s="1"/>
  <c r="H39" i="51"/>
  <c r="G41" i="47"/>
  <c r="H41" i="47" s="1"/>
  <c r="H39" i="47"/>
  <c r="G41" i="46"/>
  <c r="H41" i="46" s="1"/>
  <c r="H39" i="46"/>
  <c r="AS6" i="1"/>
  <c r="AS17" i="1"/>
  <c r="AS14" i="1"/>
  <c r="AS16" i="1"/>
  <c r="AS9" i="1"/>
  <c r="G41" i="1"/>
  <c r="H39" i="1"/>
  <c r="AS10" i="1"/>
  <c r="AS11" i="1"/>
  <c r="AS12" i="1"/>
  <c r="AS8" i="1"/>
  <c r="AS15" i="1"/>
  <c r="AS13" i="1"/>
  <c r="C5" i="47" l="1"/>
  <c r="C5" i="51"/>
  <c r="C5" i="52"/>
  <c r="C5" i="46"/>
  <c r="B5" i="47"/>
  <c r="B5" i="51"/>
  <c r="B5" i="52"/>
  <c r="B5" i="46"/>
  <c r="C5" i="1"/>
  <c r="B5" i="1"/>
  <c r="E48" i="52" l="1"/>
  <c r="E46" i="52"/>
  <c r="E48" i="51"/>
  <c r="E46" i="51"/>
  <c r="F65" i="1" l="1"/>
  <c r="F67" i="1" s="1"/>
  <c r="E50" i="51"/>
  <c r="E50" i="52"/>
  <c r="D47" i="34" l="1"/>
  <c r="D292" i="34" s="1"/>
  <c r="D45" i="34"/>
  <c r="D290" i="34" s="1"/>
  <c r="F48" i="8"/>
  <c r="D46" i="34"/>
  <c r="D291" i="34" s="1"/>
  <c r="F46" i="34" l="1"/>
  <c r="C10" i="67"/>
  <c r="F291" i="34"/>
  <c r="C6" i="67"/>
  <c r="D48" i="34"/>
  <c r="F45" i="34"/>
  <c r="C14" i="67"/>
  <c r="F292" i="34"/>
  <c r="F47" i="34"/>
  <c r="F238" i="34"/>
  <c r="F237" i="34"/>
  <c r="F236" i="34"/>
  <c r="D239" i="34"/>
  <c r="E6" i="67" l="1"/>
  <c r="F290" i="34"/>
  <c r="F293" i="34" s="1"/>
  <c r="D293" i="34"/>
  <c r="E14" i="67"/>
  <c r="F48" i="34"/>
  <c r="E10" i="67"/>
  <c r="F239" i="34"/>
  <c r="G19" i="50"/>
  <c r="G19" i="41" l="1"/>
  <c r="F54" i="1"/>
  <c r="F53" i="1"/>
  <c r="D56" i="1"/>
  <c r="F55" i="1"/>
  <c r="F56" i="1" l="1"/>
  <c r="F58" i="1" l="1"/>
  <c r="F60" i="1" s="1"/>
  <c r="F140" i="34"/>
  <c r="F90" i="34"/>
  <c r="F91" i="34"/>
  <c r="G20" i="50"/>
  <c r="G20" i="41"/>
  <c r="F46" i="8" l="1"/>
  <c r="D41" i="34"/>
  <c r="D42" i="34"/>
  <c r="D40" i="34"/>
  <c r="D285" i="34" s="1"/>
  <c r="F42" i="34"/>
  <c r="F41" i="34"/>
  <c r="F89" i="34"/>
  <c r="F92" i="34" s="1"/>
  <c r="D92" i="34"/>
  <c r="E50" i="1"/>
  <c r="C13" i="67" l="1"/>
  <c r="D287" i="34"/>
  <c r="F287" i="34" s="1"/>
  <c r="C9" i="67"/>
  <c r="D286" i="34"/>
  <c r="F286" i="34" s="1"/>
  <c r="F285" i="34"/>
  <c r="C5" i="67"/>
  <c r="D43" i="34"/>
  <c r="E9" i="67"/>
  <c r="E11" i="67" s="1"/>
  <c r="C11" i="67"/>
  <c r="F40" i="34"/>
  <c r="F43" i="34" s="1"/>
  <c r="E50" i="47"/>
  <c r="E50" i="46"/>
  <c r="C15" i="67" l="1"/>
  <c r="E13" i="67"/>
  <c r="E15" i="67" s="1"/>
  <c r="E5" i="67"/>
  <c r="E7" i="67" s="1"/>
  <c r="C7" i="67"/>
  <c r="F288" i="34"/>
  <c r="D288" i="34"/>
  <c r="M5" i="1"/>
  <c r="O5" i="1" l="1"/>
  <c r="Q5" i="1" s="1"/>
  <c r="P5" i="1" l="1"/>
  <c r="R5" i="1" l="1"/>
  <c r="S5" i="1" s="1"/>
  <c r="T5" i="1" s="1"/>
  <c r="E6" i="41" s="1"/>
  <c r="U5" i="1" l="1"/>
  <c r="V5" i="1" l="1"/>
  <c r="AC5" i="1" l="1"/>
  <c r="AH5" i="1" l="1"/>
  <c r="AG5" i="1"/>
  <c r="E6" i="50" s="1"/>
  <c r="AI5" i="1" l="1"/>
  <c r="AL5" i="1" s="1"/>
  <c r="F48" i="1" s="1"/>
  <c r="AJ5" i="1"/>
  <c r="AK5" i="1"/>
  <c r="X5" i="1" l="1"/>
  <c r="E5" i="34" s="1"/>
  <c r="W5" i="1"/>
  <c r="D5" i="34" s="1"/>
  <c r="C3" i="67" l="1"/>
  <c r="D6" i="63"/>
  <c r="D4" i="71" s="1"/>
  <c r="F5" i="34"/>
  <c r="F24" i="34" s="1"/>
  <c r="F49" i="34" s="1"/>
  <c r="G16" i="67" s="1"/>
  <c r="D24" i="34"/>
  <c r="D49" i="34" s="1"/>
  <c r="D3" i="67"/>
  <c r="E6" i="63"/>
  <c r="E4" i="71" s="1"/>
  <c r="H4" i="71" s="1"/>
  <c r="E24" i="34"/>
  <c r="E49" i="34" s="1"/>
  <c r="F6" i="63"/>
  <c r="AR5" i="1"/>
  <c r="AQ5" i="1"/>
  <c r="D16" i="67" l="1"/>
  <c r="G4" i="71"/>
  <c r="F4" i="71"/>
  <c r="I4" i="71" s="1"/>
  <c r="C7" i="71" s="1"/>
  <c r="E3" i="67"/>
  <c r="E16" i="67" s="1"/>
  <c r="H16" i="67" s="1"/>
  <c r="C16" i="67"/>
  <c r="E20" i="70"/>
  <c r="E39" i="70" s="1"/>
  <c r="F6" i="50"/>
  <c r="G6" i="50" s="1"/>
  <c r="F6" i="41"/>
  <c r="G6" i="41" s="1"/>
  <c r="E23" i="62"/>
  <c r="E42" i="62" s="1"/>
  <c r="AS5" i="1"/>
  <c r="G18" i="41" l="1"/>
  <c r="G16" i="41" l="1"/>
  <c r="G16" i="50"/>
  <c r="G22" i="50"/>
  <c r="G17" i="50"/>
  <c r="G18" i="50" l="1"/>
  <c r="G22" i="41"/>
  <c r="G21" i="41"/>
  <c r="G17" i="41"/>
  <c r="G21" i="50"/>
  <c r="G23" i="41" l="1"/>
  <c r="G23" i="50"/>
  <c r="F41" i="8" l="1"/>
  <c r="D4" i="13" l="1"/>
  <c r="D5" i="13"/>
  <c r="N41" i="8"/>
  <c r="L41" i="8"/>
  <c r="J41" i="8"/>
  <c r="H41" i="8"/>
  <c r="D3" i="13" l="1"/>
  <c r="D2" i="13" l="1"/>
  <c r="Z16" i="46" l="1"/>
  <c r="Z10" i="46"/>
  <c r="Z27" i="46"/>
  <c r="Z29" i="46"/>
  <c r="Z13" i="46"/>
  <c r="Z37" i="46"/>
  <c r="Z21" i="46"/>
  <c r="Z15" i="46"/>
  <c r="Z32" i="46"/>
  <c r="Z20" i="46"/>
  <c r="Z34" i="46"/>
  <c r="Z19" i="46"/>
  <c r="Z8" i="46"/>
  <c r="Z36" i="46"/>
  <c r="Z23" i="46"/>
  <c r="Z11" i="46"/>
  <c r="Z14" i="46"/>
  <c r="Z33" i="46"/>
  <c r="Z12" i="46"/>
  <c r="Z28" i="46"/>
  <c r="Z31" i="46"/>
  <c r="Z18" i="46"/>
  <c r="Z30" i="46"/>
  <c r="Z25" i="46"/>
  <c r="Z26" i="46"/>
  <c r="Z35" i="46"/>
  <c r="Z38" i="46"/>
  <c r="Z6" i="46"/>
  <c r="Z17" i="46"/>
  <c r="Z9" i="46"/>
  <c r="Z5" i="46"/>
  <c r="K5" i="46"/>
  <c r="Z25" i="47" l="1"/>
  <c r="AA25" i="46"/>
  <c r="Z28" i="47"/>
  <c r="AA28" i="46"/>
  <c r="Z15" i="47"/>
  <c r="AA15" i="46"/>
  <c r="Z5" i="47"/>
  <c r="AA5" i="46"/>
  <c r="Z12" i="47"/>
  <c r="AA12" i="46"/>
  <c r="Z21" i="47"/>
  <c r="AA21" i="46"/>
  <c r="Z34" i="47"/>
  <c r="AA34" i="46"/>
  <c r="Z9" i="47"/>
  <c r="AA9" i="46"/>
  <c r="Z33" i="47"/>
  <c r="AA33" i="46"/>
  <c r="Z37" i="47"/>
  <c r="AA37" i="46"/>
  <c r="Z30" i="47"/>
  <c r="AA30" i="46"/>
  <c r="Z17" i="47"/>
  <c r="AA17" i="46"/>
  <c r="Z14" i="47"/>
  <c r="AA14" i="46"/>
  <c r="Z13" i="47"/>
  <c r="AA13" i="46"/>
  <c r="Z32" i="47"/>
  <c r="AA32" i="46"/>
  <c r="Z6" i="47"/>
  <c r="AA6" i="46"/>
  <c r="Z11" i="47"/>
  <c r="AA11" i="46"/>
  <c r="Z29" i="47"/>
  <c r="AA29" i="46"/>
  <c r="Z31" i="47"/>
  <c r="AA31" i="46"/>
  <c r="Z38" i="47"/>
  <c r="AA38" i="46"/>
  <c r="Z23" i="47"/>
  <c r="AA23" i="46"/>
  <c r="Z27" i="47"/>
  <c r="AA27" i="46"/>
  <c r="Z20" i="47"/>
  <c r="AA20" i="46"/>
  <c r="Z35" i="47"/>
  <c r="AA35" i="46"/>
  <c r="Z36" i="47"/>
  <c r="AA36" i="46"/>
  <c r="Z10" i="47"/>
  <c r="AA10" i="46"/>
  <c r="Z19" i="47"/>
  <c r="AA19" i="46"/>
  <c r="Z18" i="47"/>
  <c r="AA18" i="46"/>
  <c r="Z26" i="47"/>
  <c r="AA26" i="46"/>
  <c r="Z8" i="47"/>
  <c r="AA8" i="46"/>
  <c r="Z16" i="47"/>
  <c r="AA16" i="46"/>
  <c r="L26" i="52"/>
  <c r="L30" i="51"/>
  <c r="M30" i="51" s="1"/>
  <c r="L23" i="46"/>
  <c r="L26" i="46"/>
  <c r="L36" i="46"/>
  <c r="M36" i="46" s="1"/>
  <c r="N36" i="46" s="1"/>
  <c r="L28" i="51"/>
  <c r="M28" i="51" s="1"/>
  <c r="N28" i="51" s="1"/>
  <c r="L23" i="52"/>
  <c r="M12" i="46"/>
  <c r="L29" i="51"/>
  <c r="M19" i="46"/>
  <c r="L27" i="51"/>
  <c r="L25" i="52"/>
  <c r="L28" i="46"/>
  <c r="M28" i="46" s="1"/>
  <c r="N28" i="46" s="1"/>
  <c r="M10" i="46"/>
  <c r="L36" i="52"/>
  <c r="M36" i="52" s="1"/>
  <c r="N36" i="52" s="1"/>
  <c r="L29" i="46"/>
  <c r="L30" i="52"/>
  <c r="M30" i="52" s="1"/>
  <c r="N30" i="52" s="1"/>
  <c r="L36" i="47"/>
  <c r="M36" i="47" s="1"/>
  <c r="L23" i="47"/>
  <c r="M13" i="46"/>
  <c r="O13" i="46" s="1"/>
  <c r="M11" i="46"/>
  <c r="N11" i="46" s="1"/>
  <c r="M8" i="46"/>
  <c r="M14" i="46" s="1"/>
  <c r="L26" i="47"/>
  <c r="L36" i="51"/>
  <c r="M36" i="51" s="1"/>
  <c r="N36" i="51" s="1"/>
  <c r="L25" i="46"/>
  <c r="L30" i="46"/>
  <c r="M30" i="46" s="1"/>
  <c r="L25" i="51"/>
  <c r="L27" i="47"/>
  <c r="L27" i="46"/>
  <c r="L28" i="52"/>
  <c r="M28" i="52" s="1"/>
  <c r="N28" i="52" s="1"/>
  <c r="L28" i="47"/>
  <c r="M28" i="47" s="1"/>
  <c r="L25" i="47"/>
  <c r="L30" i="47"/>
  <c r="M30" i="47" s="1"/>
  <c r="N30" i="47" s="1"/>
  <c r="M9" i="46"/>
  <c r="L27" i="52"/>
  <c r="L29" i="47"/>
  <c r="L29" i="52"/>
  <c r="M6" i="46"/>
  <c r="L23" i="51"/>
  <c r="L26" i="51"/>
  <c r="M5" i="46"/>
  <c r="K5" i="47"/>
  <c r="AB29" i="46" l="1"/>
  <c r="AC29" i="46" s="1"/>
  <c r="AB12" i="46"/>
  <c r="AC12" i="46"/>
  <c r="AF12" i="46" s="1"/>
  <c r="AI12" i="46" s="1"/>
  <c r="Z26" i="51"/>
  <c r="AA26" i="47"/>
  <c r="Z20" i="51"/>
  <c r="AA20" i="47"/>
  <c r="Z11" i="51"/>
  <c r="AA11" i="47"/>
  <c r="Z30" i="51"/>
  <c r="AA30" i="47"/>
  <c r="Z12" i="51"/>
  <c r="AA12" i="47"/>
  <c r="AB21" i="46"/>
  <c r="AC21" i="46" s="1"/>
  <c r="AB30" i="46"/>
  <c r="AC30" i="46" s="1"/>
  <c r="AF30" i="46" s="1"/>
  <c r="AI30" i="46" s="1"/>
  <c r="AB18" i="46"/>
  <c r="AC18" i="46" s="1"/>
  <c r="AF18" i="46" s="1"/>
  <c r="AI18" i="46" s="1"/>
  <c r="AB27" i="46"/>
  <c r="AC27" i="46"/>
  <c r="AF27" i="46" s="1"/>
  <c r="AI27" i="46" s="1"/>
  <c r="AB6" i="46"/>
  <c r="AC6" i="46" s="1"/>
  <c r="AB37" i="46"/>
  <c r="AC37" i="46" s="1"/>
  <c r="AF37" i="46" s="1"/>
  <c r="AI37" i="46" s="1"/>
  <c r="AB5" i="46"/>
  <c r="AC5" i="46" s="1"/>
  <c r="AF5" i="46" s="1"/>
  <c r="AI5" i="46" s="1"/>
  <c r="AB11" i="46"/>
  <c r="AC11" i="46" s="1"/>
  <c r="AF11" i="46" s="1"/>
  <c r="AI11" i="46" s="1"/>
  <c r="Z18" i="51"/>
  <c r="AA18" i="47"/>
  <c r="Z27" i="51"/>
  <c r="AA27" i="47"/>
  <c r="Z6" i="51"/>
  <c r="AA6" i="47"/>
  <c r="Z37" i="51"/>
  <c r="AA37" i="47"/>
  <c r="Z5" i="51"/>
  <c r="AA5" i="47"/>
  <c r="AB8" i="46"/>
  <c r="AC8" i="46" s="1"/>
  <c r="AF8" i="46" s="1"/>
  <c r="AI8" i="46" s="1"/>
  <c r="AB17" i="46"/>
  <c r="AC17" i="46" s="1"/>
  <c r="AF17" i="46" s="1"/>
  <c r="AI17" i="46" s="1"/>
  <c r="Z17" i="51"/>
  <c r="AA17" i="47"/>
  <c r="AB26" i="46"/>
  <c r="AC26" i="46" s="1"/>
  <c r="AF26" i="46" s="1"/>
  <c r="AI26" i="46" s="1"/>
  <c r="AB19" i="46"/>
  <c r="AC19" i="46" s="1"/>
  <c r="AF19" i="46" s="1"/>
  <c r="AI19" i="46" s="1"/>
  <c r="AB23" i="46"/>
  <c r="AC23" i="46" s="1"/>
  <c r="AF23" i="46" s="1"/>
  <c r="AI23" i="46" s="1"/>
  <c r="AB32" i="46"/>
  <c r="AC32" i="46" s="1"/>
  <c r="AF32" i="46" s="1"/>
  <c r="AI32" i="46" s="1"/>
  <c r="AB33" i="46"/>
  <c r="AC33" i="46" s="1"/>
  <c r="AB15" i="46"/>
  <c r="AC15" i="46" s="1"/>
  <c r="AF15" i="46" s="1"/>
  <c r="AI15" i="46" s="1"/>
  <c r="Z8" i="51"/>
  <c r="AA8" i="47"/>
  <c r="Z35" i="51"/>
  <c r="AA35" i="47"/>
  <c r="Z21" i="51"/>
  <c r="AA21" i="47"/>
  <c r="AB20" i="46"/>
  <c r="AC20" i="46" s="1"/>
  <c r="AF20" i="46" s="1"/>
  <c r="AI20" i="46" s="1"/>
  <c r="Z19" i="51"/>
  <c r="AA19" i="47"/>
  <c r="Z23" i="51"/>
  <c r="AA23" i="47"/>
  <c r="Z32" i="51"/>
  <c r="AA32" i="47"/>
  <c r="Z33" i="51"/>
  <c r="AA33" i="47"/>
  <c r="Z15" i="51"/>
  <c r="AA15" i="47"/>
  <c r="AB10" i="46"/>
  <c r="AC10" i="46"/>
  <c r="AF10" i="46" s="1"/>
  <c r="AI10" i="46" s="1"/>
  <c r="AB38" i="46"/>
  <c r="AC38" i="46" s="1"/>
  <c r="AF38" i="46" s="1"/>
  <c r="AI38" i="46" s="1"/>
  <c r="AB13" i="46"/>
  <c r="AC13" i="46" s="1"/>
  <c r="AF13" i="46" s="1"/>
  <c r="AI13" i="46" s="1"/>
  <c r="AB9" i="46"/>
  <c r="AB28" i="46"/>
  <c r="AC28" i="46" s="1"/>
  <c r="AF28" i="46" s="1"/>
  <c r="AI28" i="46" s="1"/>
  <c r="AB35" i="46"/>
  <c r="AC35" i="46" s="1"/>
  <c r="AF35" i="46" s="1"/>
  <c r="AI35" i="46" s="1"/>
  <c r="Z10" i="51"/>
  <c r="AA10" i="47"/>
  <c r="Z38" i="51"/>
  <c r="AA38" i="47"/>
  <c r="Z13" i="51"/>
  <c r="AA13" i="47"/>
  <c r="Z9" i="51"/>
  <c r="AA9" i="47"/>
  <c r="Z28" i="51"/>
  <c r="AA28" i="47"/>
  <c r="AB16" i="46"/>
  <c r="AC16" i="46" s="1"/>
  <c r="AF16" i="46" s="1"/>
  <c r="AI16" i="46" s="1"/>
  <c r="AB36" i="46"/>
  <c r="AC36" i="46" s="1"/>
  <c r="AF36" i="46" s="1"/>
  <c r="AI36" i="46" s="1"/>
  <c r="AB31" i="46"/>
  <c r="AC31" i="46" s="1"/>
  <c r="AF31" i="46" s="1"/>
  <c r="AI31" i="46" s="1"/>
  <c r="AB14" i="46"/>
  <c r="AC14" i="46" s="1"/>
  <c r="AF14" i="46" s="1"/>
  <c r="AI14" i="46" s="1"/>
  <c r="AB34" i="46"/>
  <c r="AC34" i="46" s="1"/>
  <c r="AF34" i="46" s="1"/>
  <c r="AI34" i="46" s="1"/>
  <c r="AB25" i="46"/>
  <c r="AC25" i="46" s="1"/>
  <c r="Z29" i="51"/>
  <c r="AA29" i="47"/>
  <c r="Z16" i="51"/>
  <c r="AA16" i="47"/>
  <c r="Z36" i="51"/>
  <c r="AA36" i="47"/>
  <c r="Z31" i="51"/>
  <c r="AA31" i="47"/>
  <c r="Z14" i="51"/>
  <c r="AA14" i="47"/>
  <c r="Z34" i="51"/>
  <c r="AA34" i="47"/>
  <c r="Z25" i="51"/>
  <c r="AA25" i="47"/>
  <c r="M25" i="47"/>
  <c r="O25" i="47" s="1"/>
  <c r="L31" i="47"/>
  <c r="M29" i="46"/>
  <c r="O29" i="46" s="1"/>
  <c r="L38" i="46"/>
  <c r="M23" i="52"/>
  <c r="O23" i="52" s="1"/>
  <c r="L34" i="52"/>
  <c r="L35" i="52"/>
  <c r="M23" i="51"/>
  <c r="O23" i="51" s="1"/>
  <c r="L35" i="51"/>
  <c r="L34" i="51"/>
  <c r="M26" i="46"/>
  <c r="M32" i="46" s="1"/>
  <c r="L32" i="46"/>
  <c r="M25" i="52"/>
  <c r="M31" i="52" s="1"/>
  <c r="L31" i="52"/>
  <c r="M29" i="52"/>
  <c r="O29" i="52" s="1"/>
  <c r="L38" i="52"/>
  <c r="M27" i="46"/>
  <c r="O27" i="46" s="1"/>
  <c r="L33" i="46"/>
  <c r="L37" i="46"/>
  <c r="L35" i="46"/>
  <c r="L34" i="46"/>
  <c r="M27" i="51"/>
  <c r="O27" i="51" s="1"/>
  <c r="L37" i="51"/>
  <c r="L33" i="51"/>
  <c r="M26" i="47"/>
  <c r="M32" i="47" s="1"/>
  <c r="L32" i="47"/>
  <c r="M26" i="51"/>
  <c r="O26" i="51" s="1"/>
  <c r="O32" i="51" s="1"/>
  <c r="L32" i="51"/>
  <c r="M29" i="51"/>
  <c r="M38" i="51" s="1"/>
  <c r="L38" i="51"/>
  <c r="M25" i="46"/>
  <c r="M31" i="46" s="1"/>
  <c r="L31" i="46"/>
  <c r="M29" i="47"/>
  <c r="M38" i="47" s="1"/>
  <c r="L38" i="47"/>
  <c r="M27" i="47"/>
  <c r="L33" i="47"/>
  <c r="L37" i="47"/>
  <c r="M23" i="47"/>
  <c r="O23" i="47" s="1"/>
  <c r="L34" i="47"/>
  <c r="L35" i="47"/>
  <c r="M27" i="52"/>
  <c r="O27" i="52" s="1"/>
  <c r="L33" i="52"/>
  <c r="L37" i="52"/>
  <c r="M25" i="51"/>
  <c r="M31" i="51" s="1"/>
  <c r="L31" i="51"/>
  <c r="M26" i="52"/>
  <c r="L32" i="52"/>
  <c r="O9" i="46"/>
  <c r="O15" i="46" s="1"/>
  <c r="M15" i="46"/>
  <c r="N10" i="46"/>
  <c r="M16" i="46"/>
  <c r="M20" i="46"/>
  <c r="N12" i="46"/>
  <c r="N21" i="46" s="1"/>
  <c r="M21" i="46"/>
  <c r="O6" i="46"/>
  <c r="M17" i="46"/>
  <c r="M18" i="46"/>
  <c r="O10" i="46"/>
  <c r="O28" i="51"/>
  <c r="P28" i="51" s="1"/>
  <c r="Q28" i="51" s="1"/>
  <c r="R28" i="51" s="1"/>
  <c r="Q20" i="41" s="1"/>
  <c r="N30" i="51"/>
  <c r="O30" i="51"/>
  <c r="O12" i="46"/>
  <c r="O36" i="46"/>
  <c r="P36" i="46" s="1"/>
  <c r="Q36" i="46" s="1"/>
  <c r="R36" i="46" s="1"/>
  <c r="N30" i="46"/>
  <c r="O30" i="46"/>
  <c r="N6" i="46"/>
  <c r="M19" i="47"/>
  <c r="M23" i="46"/>
  <c r="N13" i="46"/>
  <c r="P13" i="46" s="1"/>
  <c r="Q13" i="46" s="1"/>
  <c r="R13" i="46" s="1"/>
  <c r="I13" i="41" s="1"/>
  <c r="O30" i="52"/>
  <c r="P30" i="52" s="1"/>
  <c r="Q30" i="52" s="1"/>
  <c r="R30" i="52" s="1"/>
  <c r="U22" i="41" s="1"/>
  <c r="O36" i="47"/>
  <c r="N36" i="47"/>
  <c r="N19" i="46"/>
  <c r="M6" i="47"/>
  <c r="N9" i="46"/>
  <c r="O11" i="46"/>
  <c r="P11" i="46" s="1"/>
  <c r="Q11" i="46" s="1"/>
  <c r="M13" i="47"/>
  <c r="N8" i="46"/>
  <c r="N14" i="46" s="1"/>
  <c r="M11" i="47"/>
  <c r="O11" i="47" s="1"/>
  <c r="M9" i="47"/>
  <c r="O28" i="47"/>
  <c r="N28" i="47"/>
  <c r="O30" i="47"/>
  <c r="P30" i="47" s="1"/>
  <c r="Q30" i="47" s="1"/>
  <c r="R30" i="47" s="1"/>
  <c r="M22" i="41" s="1"/>
  <c r="O36" i="51"/>
  <c r="P36" i="51" s="1"/>
  <c r="Q36" i="51" s="1"/>
  <c r="R36" i="51" s="1"/>
  <c r="Q23" i="41" s="1"/>
  <c r="M12" i="47"/>
  <c r="M10" i="47"/>
  <c r="O8" i="46"/>
  <c r="O14" i="46" s="1"/>
  <c r="O28" i="52"/>
  <c r="P28" i="52" s="1"/>
  <c r="Q28" i="52" s="1"/>
  <c r="R28" i="52" s="1"/>
  <c r="U20" i="41" s="1"/>
  <c r="M8" i="47"/>
  <c r="O36" i="52"/>
  <c r="P36" i="52" s="1"/>
  <c r="Q36" i="52" s="1"/>
  <c r="R36" i="52" s="1"/>
  <c r="U23" i="41" s="1"/>
  <c r="O28" i="46"/>
  <c r="P28" i="46" s="1"/>
  <c r="Q28" i="46" s="1"/>
  <c r="R28" i="46" s="1"/>
  <c r="I20" i="41" s="1"/>
  <c r="O19" i="46"/>
  <c r="K5" i="51"/>
  <c r="K5" i="52" s="1"/>
  <c r="M5" i="47"/>
  <c r="O5" i="47" s="1"/>
  <c r="N5" i="46"/>
  <c r="O5" i="46"/>
  <c r="AE8" i="46" l="1"/>
  <c r="AE11" i="46"/>
  <c r="N26" i="47"/>
  <c r="N32" i="47" s="1"/>
  <c r="AE35" i="46"/>
  <c r="AE12" i="46"/>
  <c r="I12" i="50" s="1"/>
  <c r="AE15" i="46"/>
  <c r="AG15" i="46" s="1"/>
  <c r="AJ15" i="46" s="1"/>
  <c r="AE38" i="46"/>
  <c r="AH38" i="46" s="1"/>
  <c r="AE20" i="46"/>
  <c r="AG20" i="46" s="1"/>
  <c r="AJ20" i="46" s="1"/>
  <c r="AE19" i="46"/>
  <c r="I14" i="50" s="1"/>
  <c r="AE13" i="46"/>
  <c r="AH13" i="46" s="1"/>
  <c r="AF25" i="46"/>
  <c r="AI25" i="46" s="1"/>
  <c r="AE25" i="46"/>
  <c r="I17" i="50" s="1"/>
  <c r="AF33" i="46"/>
  <c r="AI33" i="46" s="1"/>
  <c r="AE33" i="46"/>
  <c r="AH33" i="46" s="1"/>
  <c r="AF29" i="46"/>
  <c r="AI29" i="46" s="1"/>
  <c r="AE29" i="46"/>
  <c r="AE16" i="46"/>
  <c r="AG16" i="46" s="1"/>
  <c r="AJ16" i="46" s="1"/>
  <c r="AE17" i="46"/>
  <c r="AG17" i="46" s="1"/>
  <c r="AJ17" i="46" s="1"/>
  <c r="AE18" i="46"/>
  <c r="AH18" i="46" s="1"/>
  <c r="N23" i="52"/>
  <c r="N35" i="52" s="1"/>
  <c r="N25" i="51"/>
  <c r="N31" i="51" s="1"/>
  <c r="AE34" i="46"/>
  <c r="AH34" i="46" s="1"/>
  <c r="AE5" i="46"/>
  <c r="I6" i="50" s="1"/>
  <c r="AC9" i="46"/>
  <c r="AF9" i="46" s="1"/>
  <c r="AI9" i="46" s="1"/>
  <c r="AE32" i="46"/>
  <c r="AG32" i="46" s="1"/>
  <c r="AJ32" i="46" s="1"/>
  <c r="AF6" i="46"/>
  <c r="AI6" i="46" s="1"/>
  <c r="AE6" i="46"/>
  <c r="AF21" i="46"/>
  <c r="AI21" i="46" s="1"/>
  <c r="AE21" i="46"/>
  <c r="AB5" i="47"/>
  <c r="AC5" i="47" s="1"/>
  <c r="AF5" i="47" s="1"/>
  <c r="AI5" i="47" s="1"/>
  <c r="AA31" i="51"/>
  <c r="Z31" i="52"/>
  <c r="AA31" i="52" s="1"/>
  <c r="AB28" i="47"/>
  <c r="AB19" i="47"/>
  <c r="AC19" i="47" s="1"/>
  <c r="AF19" i="47" s="1"/>
  <c r="AI19" i="47" s="1"/>
  <c r="AB37" i="47"/>
  <c r="AC37" i="47" s="1"/>
  <c r="AF37" i="47" s="1"/>
  <c r="AI37" i="47" s="1"/>
  <c r="AE37" i="46"/>
  <c r="AE30" i="46"/>
  <c r="AB20" i="47"/>
  <c r="AC20" i="47" s="1"/>
  <c r="AG35" i="46"/>
  <c r="AJ35" i="46" s="1"/>
  <c r="AH35" i="46"/>
  <c r="AA23" i="51"/>
  <c r="Z23" i="52"/>
  <c r="AA23" i="52" s="1"/>
  <c r="AB36" i="47"/>
  <c r="AC36" i="47" s="1"/>
  <c r="AF36" i="47" s="1"/>
  <c r="AI36" i="47" s="1"/>
  <c r="AE14" i="46"/>
  <c r="AA28" i="51"/>
  <c r="Z28" i="52"/>
  <c r="AA28" i="52" s="1"/>
  <c r="AE28" i="46"/>
  <c r="AE10" i="46"/>
  <c r="AA19" i="51"/>
  <c r="Z19" i="52"/>
  <c r="AA19" i="52" s="1"/>
  <c r="AE26" i="46"/>
  <c r="AA37" i="51"/>
  <c r="Z37" i="52"/>
  <c r="AA37" i="52" s="1"/>
  <c r="AA20" i="51"/>
  <c r="Z20" i="52"/>
  <c r="AA20" i="52" s="1"/>
  <c r="AB9" i="47"/>
  <c r="AC9" i="47" s="1"/>
  <c r="AF9" i="47" s="1"/>
  <c r="AI9" i="47" s="1"/>
  <c r="AB6" i="47"/>
  <c r="AC6" i="47" s="1"/>
  <c r="AF6" i="47" s="1"/>
  <c r="AI6" i="47" s="1"/>
  <c r="AB26" i="47"/>
  <c r="AC26" i="47" s="1"/>
  <c r="AF26" i="47" s="1"/>
  <c r="AI26" i="47" s="1"/>
  <c r="AA36" i="51"/>
  <c r="Z36" i="52"/>
  <c r="AA36" i="52" s="1"/>
  <c r="O26" i="47"/>
  <c r="O32" i="47" s="1"/>
  <c r="N25" i="52"/>
  <c r="N31" i="52" s="1"/>
  <c r="AB16" i="47"/>
  <c r="AC16" i="47" s="1"/>
  <c r="AA9" i="51"/>
  <c r="Z9" i="52"/>
  <c r="AA9" i="52" s="1"/>
  <c r="AB17" i="47"/>
  <c r="AC17" i="47" s="1"/>
  <c r="AF17" i="47" s="1"/>
  <c r="AI17" i="47" s="1"/>
  <c r="AA6" i="51"/>
  <c r="Z6" i="52"/>
  <c r="AA6" i="52" s="1"/>
  <c r="AA26" i="51"/>
  <c r="Z26" i="52"/>
  <c r="AA26" i="52" s="1"/>
  <c r="AA16" i="51"/>
  <c r="Z16" i="52"/>
  <c r="AA16" i="52" s="1"/>
  <c r="AE31" i="46"/>
  <c r="AB13" i="47"/>
  <c r="AC13" i="47" s="1"/>
  <c r="AF13" i="47" s="1"/>
  <c r="AI13" i="47" s="1"/>
  <c r="AB15" i="47"/>
  <c r="AC15" i="47" s="1"/>
  <c r="AF15" i="47" s="1"/>
  <c r="AI15" i="47" s="1"/>
  <c r="AA17" i="51"/>
  <c r="Z17" i="52"/>
  <c r="AA17" i="52" s="1"/>
  <c r="AB27" i="47"/>
  <c r="AC27" i="47" s="1"/>
  <c r="AF27" i="47" s="1"/>
  <c r="AI27" i="47" s="1"/>
  <c r="AH12" i="46"/>
  <c r="AB25" i="47"/>
  <c r="AC25" i="47" s="1"/>
  <c r="AF25" i="47" s="1"/>
  <c r="AI25" i="47" s="1"/>
  <c r="AB29" i="47"/>
  <c r="AC29" i="47" s="1"/>
  <c r="AF29" i="47" s="1"/>
  <c r="AI29" i="47" s="1"/>
  <c r="AA13" i="51"/>
  <c r="Z13" i="52"/>
  <c r="AA13" i="52" s="1"/>
  <c r="AA15" i="51"/>
  <c r="Z15" i="52"/>
  <c r="AA15" i="52" s="1"/>
  <c r="AB21" i="47"/>
  <c r="AC21" i="47" s="1"/>
  <c r="AF21" i="47" s="1"/>
  <c r="AI21" i="47" s="1"/>
  <c r="AA27" i="51"/>
  <c r="Z27" i="52"/>
  <c r="AA27" i="52" s="1"/>
  <c r="AA14" i="51"/>
  <c r="Z14" i="52"/>
  <c r="AA14" i="52" s="1"/>
  <c r="AG38" i="46"/>
  <c r="AJ38" i="46" s="1"/>
  <c r="AB23" i="47"/>
  <c r="AC23" i="47" s="1"/>
  <c r="AF23" i="47" s="1"/>
  <c r="AI23" i="47" s="1"/>
  <c r="AB11" i="47"/>
  <c r="AC11" i="47" s="1"/>
  <c r="AA5" i="51"/>
  <c r="Z5" i="52"/>
  <c r="AA5" i="52" s="1"/>
  <c r="AA25" i="51"/>
  <c r="Z25" i="52"/>
  <c r="AA25" i="52" s="1"/>
  <c r="AA29" i="51"/>
  <c r="Z29" i="52"/>
  <c r="AA29" i="52" s="1"/>
  <c r="AE36" i="46"/>
  <c r="AB38" i="47"/>
  <c r="AC38" i="47"/>
  <c r="AF38" i="47" s="1"/>
  <c r="AI38" i="47" s="1"/>
  <c r="AB33" i="47"/>
  <c r="AC33" i="47" s="1"/>
  <c r="AF33" i="47" s="1"/>
  <c r="AI33" i="47" s="1"/>
  <c r="AA21" i="51"/>
  <c r="Z21" i="52"/>
  <c r="AA21" i="52" s="1"/>
  <c r="AB18" i="47"/>
  <c r="AC18" i="47" s="1"/>
  <c r="AF18" i="47" s="1"/>
  <c r="AI18" i="47" s="1"/>
  <c r="AE27" i="46"/>
  <c r="AB12" i="47"/>
  <c r="AC12" i="47" s="1"/>
  <c r="O25" i="52"/>
  <c r="O31" i="52" s="1"/>
  <c r="AB34" i="47"/>
  <c r="AC34" i="47" s="1"/>
  <c r="AF34" i="47" s="1"/>
  <c r="AI34" i="47" s="1"/>
  <c r="AA38" i="51"/>
  <c r="Z38" i="52"/>
  <c r="AA38" i="52" s="1"/>
  <c r="AA33" i="51"/>
  <c r="Z33" i="52"/>
  <c r="AA33" i="52" s="1"/>
  <c r="AB35" i="47"/>
  <c r="AC35" i="47" s="1"/>
  <c r="AF35" i="47" s="1"/>
  <c r="AI35" i="47" s="1"/>
  <c r="AA18" i="51"/>
  <c r="Z18" i="52"/>
  <c r="AA18" i="52" s="1"/>
  <c r="AA12" i="51"/>
  <c r="Z12" i="52"/>
  <c r="AA12" i="52" s="1"/>
  <c r="AA8" i="51"/>
  <c r="Z8" i="52"/>
  <c r="AA8" i="52" s="1"/>
  <c r="AB31" i="47"/>
  <c r="AC31" i="47" s="1"/>
  <c r="AA11" i="51"/>
  <c r="Z11" i="52"/>
  <c r="AA11" i="52" s="1"/>
  <c r="N25" i="46"/>
  <c r="N31" i="46" s="1"/>
  <c r="AA34" i="51"/>
  <c r="Z34" i="52"/>
  <c r="AA34" i="52" s="1"/>
  <c r="AB10" i="47"/>
  <c r="AC10" i="47" s="1"/>
  <c r="AF10" i="47" s="1"/>
  <c r="AI10" i="47" s="1"/>
  <c r="AB32" i="47"/>
  <c r="AC32" i="47" s="1"/>
  <c r="AF32" i="47" s="1"/>
  <c r="AI32" i="47" s="1"/>
  <c r="AA35" i="51"/>
  <c r="Z35" i="52"/>
  <c r="AA35" i="52" s="1"/>
  <c r="AE23" i="46"/>
  <c r="AG8" i="46"/>
  <c r="AJ8" i="46" s="1"/>
  <c r="I8" i="50"/>
  <c r="AH8" i="46"/>
  <c r="AG11" i="46"/>
  <c r="AJ11" i="46" s="1"/>
  <c r="AH11" i="46"/>
  <c r="I11" i="50"/>
  <c r="AB30" i="47"/>
  <c r="AC30" i="47" s="1"/>
  <c r="AF30" i="47" s="1"/>
  <c r="AI30" i="47" s="1"/>
  <c r="O25" i="46"/>
  <c r="O31" i="46" s="1"/>
  <c r="AB14" i="47"/>
  <c r="AC14" i="47" s="1"/>
  <c r="AF14" i="47" s="1"/>
  <c r="AI14" i="47" s="1"/>
  <c r="AA10" i="51"/>
  <c r="Z10" i="52"/>
  <c r="AA10" i="52" s="1"/>
  <c r="AA32" i="51"/>
  <c r="Z32" i="52"/>
  <c r="AA32" i="52" s="1"/>
  <c r="AB8" i="47"/>
  <c r="AC8" i="47" s="1"/>
  <c r="AF8" i="47" s="1"/>
  <c r="AI8" i="47" s="1"/>
  <c r="AA30" i="51"/>
  <c r="Z30" i="52"/>
  <c r="AA30" i="52" s="1"/>
  <c r="O29" i="51"/>
  <c r="O38" i="51" s="1"/>
  <c r="N29" i="51"/>
  <c r="N38" i="51" s="1"/>
  <c r="N29" i="47"/>
  <c r="N38" i="47" s="1"/>
  <c r="S28" i="51"/>
  <c r="V28" i="51" s="1"/>
  <c r="M34" i="46"/>
  <c r="M35" i="46"/>
  <c r="O34" i="51"/>
  <c r="O35" i="51"/>
  <c r="O38" i="52"/>
  <c r="O31" i="47"/>
  <c r="N23" i="51"/>
  <c r="P23" i="51" s="1"/>
  <c r="M35" i="51"/>
  <c r="M34" i="51"/>
  <c r="O33" i="52"/>
  <c r="O37" i="52"/>
  <c r="O25" i="51"/>
  <c r="O31" i="51" s="1"/>
  <c r="O29" i="47"/>
  <c r="O38" i="47" s="1"/>
  <c r="M37" i="52"/>
  <c r="M33" i="52"/>
  <c r="N27" i="46"/>
  <c r="M37" i="46"/>
  <c r="M33" i="46"/>
  <c r="M35" i="52"/>
  <c r="M34" i="52"/>
  <c r="O37" i="51"/>
  <c r="O33" i="51"/>
  <c r="N27" i="47"/>
  <c r="M37" i="47"/>
  <c r="M33" i="47"/>
  <c r="M33" i="51"/>
  <c r="M37" i="51"/>
  <c r="O27" i="47"/>
  <c r="O37" i="46"/>
  <c r="O33" i="46"/>
  <c r="O34" i="47"/>
  <c r="O35" i="47"/>
  <c r="N26" i="51"/>
  <c r="M32" i="51"/>
  <c r="N29" i="52"/>
  <c r="N38" i="52" s="1"/>
  <c r="M38" i="52"/>
  <c r="N29" i="46"/>
  <c r="N38" i="46" s="1"/>
  <c r="M38" i="46"/>
  <c r="O34" i="52"/>
  <c r="O35" i="52"/>
  <c r="N23" i="47"/>
  <c r="P23" i="47" s="1"/>
  <c r="M34" i="47"/>
  <c r="M35" i="47"/>
  <c r="N26" i="52"/>
  <c r="N32" i="52" s="1"/>
  <c r="M32" i="52"/>
  <c r="O38" i="46"/>
  <c r="O26" i="52"/>
  <c r="N26" i="46"/>
  <c r="N32" i="46" s="1"/>
  <c r="O26" i="46"/>
  <c r="O32" i="46" s="1"/>
  <c r="N27" i="51"/>
  <c r="N27" i="52"/>
  <c r="N25" i="47"/>
  <c r="N31" i="47" s="1"/>
  <c r="M31" i="47"/>
  <c r="N8" i="47"/>
  <c r="N14" i="47" s="1"/>
  <c r="M14" i="47"/>
  <c r="P6" i="46"/>
  <c r="N17" i="46"/>
  <c r="N18" i="46"/>
  <c r="O17" i="46"/>
  <c r="O18" i="46"/>
  <c r="O9" i="47"/>
  <c r="O15" i="47" s="1"/>
  <c r="M15" i="47"/>
  <c r="P10" i="46"/>
  <c r="O16" i="46"/>
  <c r="O20" i="46"/>
  <c r="O12" i="47"/>
  <c r="O21" i="47" s="1"/>
  <c r="M21" i="47"/>
  <c r="P12" i="46"/>
  <c r="O21" i="46"/>
  <c r="O6" i="47"/>
  <c r="M18" i="47"/>
  <c r="M17" i="47"/>
  <c r="N20" i="46"/>
  <c r="N16" i="46"/>
  <c r="N10" i="47"/>
  <c r="M20" i="47"/>
  <c r="M16" i="47"/>
  <c r="P9" i="46"/>
  <c r="N15" i="46"/>
  <c r="P8" i="46"/>
  <c r="P14" i="46" s="1"/>
  <c r="U36" i="46"/>
  <c r="I23" i="41"/>
  <c r="U28" i="51"/>
  <c r="P30" i="51"/>
  <c r="Q30" i="51" s="1"/>
  <c r="P36" i="47"/>
  <c r="Q36" i="47" s="1"/>
  <c r="S36" i="46"/>
  <c r="V36" i="46" s="1"/>
  <c r="AP36" i="46" s="1"/>
  <c r="P30" i="46"/>
  <c r="Q30" i="46" s="1"/>
  <c r="R30" i="46" s="1"/>
  <c r="P19" i="46"/>
  <c r="Q19" i="46" s="1"/>
  <c r="R19" i="46" s="1"/>
  <c r="R11" i="46"/>
  <c r="I11" i="41" s="1"/>
  <c r="U30" i="47"/>
  <c r="S30" i="47"/>
  <c r="V30" i="47" s="1"/>
  <c r="M10" i="51"/>
  <c r="M12" i="51"/>
  <c r="M21" i="51" s="1"/>
  <c r="M9" i="51"/>
  <c r="M15" i="51" s="1"/>
  <c r="O8" i="47"/>
  <c r="U28" i="46"/>
  <c r="S28" i="46"/>
  <c r="V28" i="46" s="1"/>
  <c r="AP28" i="46" s="1"/>
  <c r="U36" i="52"/>
  <c r="S36" i="52"/>
  <c r="V36" i="52" s="1"/>
  <c r="P28" i="47"/>
  <c r="Q28" i="47" s="1"/>
  <c r="N23" i="46"/>
  <c r="O23" i="46"/>
  <c r="M8" i="51"/>
  <c r="M19" i="51"/>
  <c r="M6" i="51"/>
  <c r="O19" i="47"/>
  <c r="N19" i="47"/>
  <c r="U36" i="51"/>
  <c r="S36" i="51"/>
  <c r="V36" i="51" s="1"/>
  <c r="N11" i="47"/>
  <c r="P11" i="47" s="1"/>
  <c r="M13" i="51"/>
  <c r="N13" i="51" s="1"/>
  <c r="N6" i="47"/>
  <c r="M11" i="51"/>
  <c r="O13" i="47"/>
  <c r="N13" i="47"/>
  <c r="S30" i="52"/>
  <c r="V30" i="52" s="1"/>
  <c r="U30" i="52"/>
  <c r="S13" i="46"/>
  <c r="V13" i="46" s="1"/>
  <c r="U13" i="46"/>
  <c r="S28" i="52"/>
  <c r="V28" i="52" s="1"/>
  <c r="U28" i="52"/>
  <c r="O10" i="47"/>
  <c r="N12" i="47"/>
  <c r="N21" i="47" s="1"/>
  <c r="N9" i="47"/>
  <c r="P5" i="46"/>
  <c r="Q5" i="46" s="1"/>
  <c r="M5" i="52"/>
  <c r="O5" i="52" s="1"/>
  <c r="N5" i="47"/>
  <c r="P5" i="47" s="1"/>
  <c r="M5" i="51"/>
  <c r="O5" i="51" s="1"/>
  <c r="AG12" i="46" l="1"/>
  <c r="AJ12" i="46" s="1"/>
  <c r="AG34" i="46"/>
  <c r="AJ34" i="46" s="1"/>
  <c r="AH15" i="46"/>
  <c r="I13" i="50"/>
  <c r="AH19" i="46"/>
  <c r="AG19" i="46"/>
  <c r="AJ19" i="46" s="1"/>
  <c r="AG13" i="46"/>
  <c r="AJ13" i="46" s="1"/>
  <c r="AH5" i="46"/>
  <c r="AG25" i="46"/>
  <c r="AJ25" i="46" s="1"/>
  <c r="AG5" i="46"/>
  <c r="AJ5" i="46" s="1"/>
  <c r="AH20" i="46"/>
  <c r="AH17" i="46"/>
  <c r="AE9" i="46"/>
  <c r="AG9" i="46" s="1"/>
  <c r="AJ9" i="46" s="1"/>
  <c r="AH25" i="46"/>
  <c r="AG29" i="46"/>
  <c r="AJ29" i="46" s="1"/>
  <c r="AG33" i="46"/>
  <c r="AJ33" i="46" s="1"/>
  <c r="AH32" i="46"/>
  <c r="AE32" i="47"/>
  <c r="AH32" i="47" s="1"/>
  <c r="AE37" i="47"/>
  <c r="AH37" i="47" s="1"/>
  <c r="AH16" i="46"/>
  <c r="AE19" i="47"/>
  <c r="M14" i="50" s="1"/>
  <c r="AE10" i="47"/>
  <c r="M10" i="50" s="1"/>
  <c r="AE36" i="47"/>
  <c r="AH36" i="47" s="1"/>
  <c r="P23" i="52"/>
  <c r="Q23" i="52" s="1"/>
  <c r="P29" i="52"/>
  <c r="Q29" i="52" s="1"/>
  <c r="AF16" i="47"/>
  <c r="AI16" i="47" s="1"/>
  <c r="AE16" i="47"/>
  <c r="I21" i="50"/>
  <c r="AE8" i="47"/>
  <c r="AG8" i="47" s="1"/>
  <c r="AJ8" i="47" s="1"/>
  <c r="AH29" i="46"/>
  <c r="AE5" i="47"/>
  <c r="AH5" i="47" s="1"/>
  <c r="AE21" i="47"/>
  <c r="AG21" i="47" s="1"/>
  <c r="AJ21" i="47" s="1"/>
  <c r="N34" i="52"/>
  <c r="AE33" i="47"/>
  <c r="AH33" i="47" s="1"/>
  <c r="AE23" i="47"/>
  <c r="M16" i="50" s="1"/>
  <c r="AE17" i="47"/>
  <c r="AG17" i="47" s="1"/>
  <c r="AJ17" i="47" s="1"/>
  <c r="AE26" i="47"/>
  <c r="AH26" i="47" s="1"/>
  <c r="P29" i="51"/>
  <c r="P38" i="51" s="1"/>
  <c r="AE15" i="47"/>
  <c r="AG15" i="47" s="1"/>
  <c r="AJ15" i="47" s="1"/>
  <c r="AG18" i="46"/>
  <c r="AJ18" i="46" s="1"/>
  <c r="AE6" i="47"/>
  <c r="M7" i="50" s="1"/>
  <c r="AE14" i="47"/>
  <c r="AG14" i="47" s="1"/>
  <c r="AJ14" i="47" s="1"/>
  <c r="AE38" i="47"/>
  <c r="AH38" i="47" s="1"/>
  <c r="AE25" i="47"/>
  <c r="AH25" i="47" s="1"/>
  <c r="AE13" i="47"/>
  <c r="M13" i="50" s="1"/>
  <c r="AF31" i="47"/>
  <c r="AI31" i="47" s="1"/>
  <c r="AE31" i="47"/>
  <c r="AF20" i="47"/>
  <c r="AI20" i="47" s="1"/>
  <c r="AE20" i="47"/>
  <c r="AF11" i="47"/>
  <c r="AI11" i="47" s="1"/>
  <c r="AE11" i="47"/>
  <c r="AB34" i="52"/>
  <c r="AC34" i="52" s="1"/>
  <c r="AF34" i="52" s="1"/>
  <c r="AI34" i="52" s="1"/>
  <c r="AB15" i="52"/>
  <c r="AC15" i="52" s="1"/>
  <c r="AF15" i="52" s="1"/>
  <c r="AI15" i="52" s="1"/>
  <c r="AB16" i="51"/>
  <c r="AC16" i="51" s="1"/>
  <c r="AF16" i="51" s="1"/>
  <c r="AI16" i="51" s="1"/>
  <c r="AH10" i="46"/>
  <c r="AG10" i="46"/>
  <c r="AJ10" i="46" s="1"/>
  <c r="I10" i="50"/>
  <c r="AB31" i="52"/>
  <c r="AC31" i="52" s="1"/>
  <c r="AF31" i="52" s="1"/>
  <c r="AI31" i="52" s="1"/>
  <c r="AB33" i="52"/>
  <c r="AC33" i="52" s="1"/>
  <c r="AF33" i="52" s="1"/>
  <c r="AI33" i="52" s="1"/>
  <c r="AB33" i="51"/>
  <c r="AC33" i="51" s="1"/>
  <c r="AF33" i="51" s="1"/>
  <c r="AI33" i="51" s="1"/>
  <c r="AB32" i="52"/>
  <c r="AC32" i="52"/>
  <c r="AF32" i="52" s="1"/>
  <c r="AI32" i="52" s="1"/>
  <c r="AB34" i="51"/>
  <c r="AB15" i="51"/>
  <c r="AC15" i="51" s="1"/>
  <c r="AF15" i="51" s="1"/>
  <c r="AI15" i="51" s="1"/>
  <c r="AE27" i="47"/>
  <c r="AB26" i="52"/>
  <c r="AC26" i="52" s="1"/>
  <c r="AF26" i="52" s="1"/>
  <c r="AI26" i="52" s="1"/>
  <c r="AH28" i="46"/>
  <c r="AG28" i="46"/>
  <c r="AJ28" i="46" s="1"/>
  <c r="I20" i="50"/>
  <c r="AB31" i="51"/>
  <c r="AC31" i="51" s="1"/>
  <c r="AF31" i="51" s="1"/>
  <c r="AI31" i="51" s="1"/>
  <c r="AG21" i="46"/>
  <c r="AJ21" i="46" s="1"/>
  <c r="AH21" i="46"/>
  <c r="AB19" i="52"/>
  <c r="AC19" i="52" s="1"/>
  <c r="AF19" i="52" s="1"/>
  <c r="AI19" i="52" s="1"/>
  <c r="AB19" i="51"/>
  <c r="AC19" i="51" s="1"/>
  <c r="AF19" i="51" s="1"/>
  <c r="AI19" i="51" s="1"/>
  <c r="AB32" i="51"/>
  <c r="AC32" i="51" s="1"/>
  <c r="AF32" i="51" s="1"/>
  <c r="AI32" i="51" s="1"/>
  <c r="AB13" i="52"/>
  <c r="AC13" i="52" s="1"/>
  <c r="AF13" i="52" s="1"/>
  <c r="AI13" i="52" s="1"/>
  <c r="AB26" i="51"/>
  <c r="AC26" i="51" s="1"/>
  <c r="AF26" i="51" s="1"/>
  <c r="AI26" i="51" s="1"/>
  <c r="AE9" i="47"/>
  <c r="AB28" i="52"/>
  <c r="AC28" i="52" s="1"/>
  <c r="I22" i="50"/>
  <c r="AG30" i="46"/>
  <c r="AJ30" i="46" s="1"/>
  <c r="AH30" i="46"/>
  <c r="AB28" i="51"/>
  <c r="AC28" i="51" s="1"/>
  <c r="AF28" i="51" s="1"/>
  <c r="AI28" i="51" s="1"/>
  <c r="AP28" i="51" s="1"/>
  <c r="AG37" i="46"/>
  <c r="AJ37" i="46" s="1"/>
  <c r="AH37" i="46"/>
  <c r="AB5" i="51"/>
  <c r="AC5" i="51" s="1"/>
  <c r="AF5" i="51" s="1"/>
  <c r="AI5" i="51" s="1"/>
  <c r="AB36" i="52"/>
  <c r="AC36" i="52" s="1"/>
  <c r="AF36" i="52" s="1"/>
  <c r="AI36" i="52" s="1"/>
  <c r="AP36" i="52" s="1"/>
  <c r="AB10" i="51"/>
  <c r="AC10" i="51" s="1"/>
  <c r="AF10" i="51" s="1"/>
  <c r="AI10" i="51" s="1"/>
  <c r="AB11" i="51"/>
  <c r="AC11" i="51" s="1"/>
  <c r="AF11" i="51" s="1"/>
  <c r="AI11" i="51" s="1"/>
  <c r="AB12" i="51"/>
  <c r="AC12" i="51" s="1"/>
  <c r="AB38" i="51"/>
  <c r="AC38" i="51" s="1"/>
  <c r="AF38" i="51" s="1"/>
  <c r="AI38" i="51" s="1"/>
  <c r="AH36" i="46"/>
  <c r="AO36" i="46" s="1"/>
  <c r="AQ36" i="46" s="1"/>
  <c r="AG36" i="46"/>
  <c r="AJ36" i="46" s="1"/>
  <c r="I23" i="50"/>
  <c r="AE29" i="47"/>
  <c r="AB17" i="52"/>
  <c r="AC17" i="52" s="1"/>
  <c r="AF17" i="52" s="1"/>
  <c r="AI17" i="52" s="1"/>
  <c r="AB6" i="51"/>
  <c r="AC6" i="51" s="1"/>
  <c r="AF6" i="51" s="1"/>
  <c r="AI6" i="51" s="1"/>
  <c r="AB36" i="51"/>
  <c r="AC36" i="51" s="1"/>
  <c r="AF36" i="51" s="1"/>
  <c r="AI36" i="51" s="1"/>
  <c r="AP36" i="51" s="1"/>
  <c r="AH14" i="46"/>
  <c r="AG14" i="46"/>
  <c r="AJ14" i="46" s="1"/>
  <c r="AG37" i="47"/>
  <c r="AJ37" i="47" s="1"/>
  <c r="AB11" i="52"/>
  <c r="AC11" i="52" s="1"/>
  <c r="AF11" i="52" s="1"/>
  <c r="AI11" i="52" s="1"/>
  <c r="AB38" i="52"/>
  <c r="AC38" i="52" s="1"/>
  <c r="AF38" i="52" s="1"/>
  <c r="AI38" i="52" s="1"/>
  <c r="AE12" i="47"/>
  <c r="AF12" i="47"/>
  <c r="AI12" i="47" s="1"/>
  <c r="AB18" i="52"/>
  <c r="AC18" i="52" s="1"/>
  <c r="AF18" i="52" s="1"/>
  <c r="AI18" i="52" s="1"/>
  <c r="AB29" i="52"/>
  <c r="AC29" i="52" s="1"/>
  <c r="AF29" i="52" s="1"/>
  <c r="AI29" i="52" s="1"/>
  <c r="AB17" i="51"/>
  <c r="AC17" i="51" s="1"/>
  <c r="M18" i="50"/>
  <c r="AB20" i="52"/>
  <c r="AC20" i="52" s="1"/>
  <c r="AF20" i="52" s="1"/>
  <c r="AI20" i="52" s="1"/>
  <c r="AE20" i="52"/>
  <c r="AH6" i="46"/>
  <c r="I7" i="50"/>
  <c r="AG6" i="46"/>
  <c r="AJ6" i="46" s="1"/>
  <c r="AB12" i="52"/>
  <c r="AC12" i="52" s="1"/>
  <c r="AF12" i="52" s="1"/>
  <c r="AI12" i="52" s="1"/>
  <c r="AB6" i="52"/>
  <c r="AC6" i="52" s="1"/>
  <c r="AF6" i="52" s="1"/>
  <c r="AI6" i="52" s="1"/>
  <c r="AB35" i="52"/>
  <c r="AC35" i="52" s="1"/>
  <c r="AF35" i="52" s="1"/>
  <c r="AI35" i="52" s="1"/>
  <c r="AB18" i="51"/>
  <c r="AC18" i="51" s="1"/>
  <c r="AE18" i="47"/>
  <c r="AB29" i="51"/>
  <c r="AC29" i="51" s="1"/>
  <c r="AF29" i="51" s="1"/>
  <c r="AI29" i="51" s="1"/>
  <c r="AB14" i="52"/>
  <c r="AC14" i="52" s="1"/>
  <c r="AF14" i="52" s="1"/>
  <c r="AI14" i="52" s="1"/>
  <c r="AB20" i="51"/>
  <c r="AC20" i="51" s="1"/>
  <c r="AF20" i="51" s="1"/>
  <c r="AI20" i="51" s="1"/>
  <c r="AO28" i="46"/>
  <c r="AQ28" i="46" s="1"/>
  <c r="AG31" i="46"/>
  <c r="AJ31" i="46" s="1"/>
  <c r="AH31" i="46"/>
  <c r="AC28" i="47"/>
  <c r="AF28" i="47" s="1"/>
  <c r="AI28" i="47" s="1"/>
  <c r="AB16" i="52"/>
  <c r="AC16" i="52" s="1"/>
  <c r="AF16" i="52" s="1"/>
  <c r="AI16" i="52" s="1"/>
  <c r="AB10" i="52"/>
  <c r="AC10" i="52" s="1"/>
  <c r="AF10" i="52" s="1"/>
  <c r="AI10" i="52" s="1"/>
  <c r="AB13" i="51"/>
  <c r="AC13" i="51" s="1"/>
  <c r="AF13" i="51" s="1"/>
  <c r="AI13" i="51" s="1"/>
  <c r="P29" i="47"/>
  <c r="P38" i="47" s="1"/>
  <c r="AG23" i="46"/>
  <c r="AJ23" i="46" s="1"/>
  <c r="AH23" i="46"/>
  <c r="I16" i="50"/>
  <c r="AH27" i="46"/>
  <c r="I19" i="50"/>
  <c r="AG27" i="46"/>
  <c r="AJ27" i="46" s="1"/>
  <c r="P26" i="47"/>
  <c r="Q26" i="47" s="1"/>
  <c r="Q32" i="47" s="1"/>
  <c r="AB35" i="51"/>
  <c r="AC35" i="51" s="1"/>
  <c r="AF35" i="51" s="1"/>
  <c r="AI35" i="51" s="1"/>
  <c r="AE35" i="47"/>
  <c r="AB25" i="52"/>
  <c r="AC25" i="52" s="1"/>
  <c r="AB14" i="51"/>
  <c r="AC14" i="51" s="1"/>
  <c r="AF14" i="51" s="1"/>
  <c r="AI14" i="51" s="1"/>
  <c r="AB37" i="52"/>
  <c r="AB23" i="52"/>
  <c r="AC23" i="52" s="1"/>
  <c r="AF23" i="52" s="1"/>
  <c r="AI23" i="52" s="1"/>
  <c r="AB25" i="51"/>
  <c r="AC25" i="51" s="1"/>
  <c r="AF25" i="51" s="1"/>
  <c r="AI25" i="51" s="1"/>
  <c r="AB27" i="52"/>
  <c r="AC27" i="52" s="1"/>
  <c r="AF27" i="52" s="1"/>
  <c r="AI27" i="52" s="1"/>
  <c r="AB9" i="52"/>
  <c r="AC9" i="52" s="1"/>
  <c r="AF9" i="52" s="1"/>
  <c r="AI9" i="52" s="1"/>
  <c r="AB37" i="51"/>
  <c r="AC37" i="51" s="1"/>
  <c r="AF37" i="51" s="1"/>
  <c r="AI37" i="51" s="1"/>
  <c r="AB23" i="51"/>
  <c r="AC23" i="51" s="1"/>
  <c r="AF23" i="51" s="1"/>
  <c r="AI23" i="51" s="1"/>
  <c r="AB21" i="51"/>
  <c r="P25" i="52"/>
  <c r="P31" i="52" s="1"/>
  <c r="AB30" i="52"/>
  <c r="AC30" i="52" s="1"/>
  <c r="AF30" i="52" s="1"/>
  <c r="AI30" i="52" s="1"/>
  <c r="AP30" i="52" s="1"/>
  <c r="AE30" i="52"/>
  <c r="AB8" i="52"/>
  <c r="AC8" i="52" s="1"/>
  <c r="AF8" i="52" s="1"/>
  <c r="AI8" i="52" s="1"/>
  <c r="AE34" i="47"/>
  <c r="P25" i="46"/>
  <c r="P31" i="46" s="1"/>
  <c r="AB30" i="51"/>
  <c r="AC30" i="51" s="1"/>
  <c r="AF30" i="51" s="1"/>
  <c r="AI30" i="51" s="1"/>
  <c r="AE30" i="47"/>
  <c r="AB8" i="51"/>
  <c r="AC8" i="51" s="1"/>
  <c r="AF8" i="51" s="1"/>
  <c r="AI8" i="51" s="1"/>
  <c r="AB21" i="52"/>
  <c r="AC21" i="52" s="1"/>
  <c r="AF21" i="52" s="1"/>
  <c r="AI21" i="52" s="1"/>
  <c r="AB5" i="52"/>
  <c r="AC5" i="52" s="1"/>
  <c r="AF5" i="52" s="1"/>
  <c r="AI5" i="52" s="1"/>
  <c r="AB27" i="51"/>
  <c r="AC27" i="51" s="1"/>
  <c r="AF27" i="51" s="1"/>
  <c r="AI27" i="51" s="1"/>
  <c r="AB9" i="51"/>
  <c r="AC9" i="51" s="1"/>
  <c r="AF9" i="51" s="1"/>
  <c r="AI9" i="51" s="1"/>
  <c r="AH26" i="46"/>
  <c r="AG26" i="46"/>
  <c r="AJ26" i="46" s="1"/>
  <c r="I18" i="50"/>
  <c r="P25" i="47"/>
  <c r="P31" i="47" s="1"/>
  <c r="P26" i="46"/>
  <c r="P32" i="46" s="1"/>
  <c r="P25" i="51"/>
  <c r="P31" i="51" s="1"/>
  <c r="T28" i="51"/>
  <c r="W28" i="51" s="1"/>
  <c r="P29" i="46"/>
  <c r="P38" i="46" s="1"/>
  <c r="Q8" i="46"/>
  <c r="Q14" i="46" s="1"/>
  <c r="R14" i="46" s="1"/>
  <c r="Q23" i="51"/>
  <c r="P34" i="51"/>
  <c r="P35" i="51"/>
  <c r="Q23" i="47"/>
  <c r="P35" i="47"/>
  <c r="P34" i="47"/>
  <c r="N33" i="46"/>
  <c r="N37" i="46"/>
  <c r="P26" i="52"/>
  <c r="O32" i="52"/>
  <c r="N33" i="52"/>
  <c r="N37" i="52"/>
  <c r="N35" i="47"/>
  <c r="N34" i="47"/>
  <c r="O34" i="46"/>
  <c r="O35" i="46"/>
  <c r="P27" i="52"/>
  <c r="N34" i="46"/>
  <c r="N35" i="46"/>
  <c r="N37" i="51"/>
  <c r="N33" i="51"/>
  <c r="N33" i="47"/>
  <c r="N37" i="47"/>
  <c r="N32" i="51"/>
  <c r="P26" i="51"/>
  <c r="P27" i="47"/>
  <c r="O33" i="47"/>
  <c r="O37" i="47"/>
  <c r="P27" i="46"/>
  <c r="P27" i="51"/>
  <c r="N35" i="51"/>
  <c r="N34" i="51"/>
  <c r="N16" i="47"/>
  <c r="N20" i="47"/>
  <c r="Q6" i="46"/>
  <c r="P17" i="46"/>
  <c r="P18" i="46"/>
  <c r="O8" i="51"/>
  <c r="O14" i="51" s="1"/>
  <c r="M14" i="51"/>
  <c r="Q10" i="46"/>
  <c r="R10" i="46" s="1"/>
  <c r="P16" i="46"/>
  <c r="P20" i="46"/>
  <c r="P6" i="47"/>
  <c r="N17" i="47"/>
  <c r="N18" i="47"/>
  <c r="Q12" i="46"/>
  <c r="Q21" i="46" s="1"/>
  <c r="P21" i="46"/>
  <c r="Q9" i="46"/>
  <c r="P15" i="46"/>
  <c r="P10" i="47"/>
  <c r="O16" i="47"/>
  <c r="O20" i="47"/>
  <c r="M18" i="51"/>
  <c r="M17" i="51"/>
  <c r="O18" i="47"/>
  <c r="O17" i="47"/>
  <c r="O10" i="51"/>
  <c r="M20" i="51"/>
  <c r="M16" i="51"/>
  <c r="P8" i="47"/>
  <c r="O14" i="47"/>
  <c r="P9" i="47"/>
  <c r="N15" i="47"/>
  <c r="AP30" i="47"/>
  <c r="N22" i="50" s="1"/>
  <c r="E133" i="34"/>
  <c r="AO13" i="46"/>
  <c r="D64" i="34"/>
  <c r="D70" i="34"/>
  <c r="D58" i="34"/>
  <c r="AP13" i="46"/>
  <c r="J13" i="50" s="1"/>
  <c r="K13" i="50" s="1"/>
  <c r="E64" i="34"/>
  <c r="E70" i="34"/>
  <c r="E58" i="34"/>
  <c r="S30" i="46"/>
  <c r="V30" i="46" s="1"/>
  <c r="I22" i="41"/>
  <c r="J23" i="50"/>
  <c r="J23" i="41"/>
  <c r="J20" i="50"/>
  <c r="J20" i="41"/>
  <c r="S19" i="46"/>
  <c r="V19" i="46" s="1"/>
  <c r="AP19" i="46" s="1"/>
  <c r="I14" i="41"/>
  <c r="U30" i="46"/>
  <c r="T36" i="46"/>
  <c r="W36" i="46" s="1"/>
  <c r="R30" i="51"/>
  <c r="U19" i="46"/>
  <c r="AO19" i="46" s="1"/>
  <c r="R36" i="47"/>
  <c r="U11" i="46"/>
  <c r="AO11" i="46" s="1"/>
  <c r="S11" i="46"/>
  <c r="V11" i="46" s="1"/>
  <c r="AP11" i="46" s="1"/>
  <c r="P23" i="46"/>
  <c r="T30" i="47"/>
  <c r="W30" i="47" s="1"/>
  <c r="R28" i="47"/>
  <c r="T30" i="52"/>
  <c r="W30" i="52" s="1"/>
  <c r="P19" i="47"/>
  <c r="Q19" i="47" s="1"/>
  <c r="R19" i="47" s="1"/>
  <c r="T13" i="46"/>
  <c r="W13" i="46" s="1"/>
  <c r="O19" i="51"/>
  <c r="N19" i="51"/>
  <c r="T36" i="52"/>
  <c r="W36" i="52" s="1"/>
  <c r="Q11" i="47"/>
  <c r="R11" i="47" s="1"/>
  <c r="M11" i="41" s="1"/>
  <c r="M12" i="52"/>
  <c r="T36" i="51"/>
  <c r="W36" i="51" s="1"/>
  <c r="M6" i="52"/>
  <c r="O12" i="51"/>
  <c r="O21" i="51" s="1"/>
  <c r="N12" i="51"/>
  <c r="N21" i="51" s="1"/>
  <c r="P13" i="47"/>
  <c r="Q13" i="47" s="1"/>
  <c r="P12" i="47"/>
  <c r="M10" i="52"/>
  <c r="O6" i="51"/>
  <c r="N6" i="51"/>
  <c r="N8" i="51"/>
  <c r="N10" i="51"/>
  <c r="T28" i="52"/>
  <c r="W28" i="52" s="1"/>
  <c r="M11" i="52"/>
  <c r="O11" i="51"/>
  <c r="N11" i="51"/>
  <c r="O13" i="51"/>
  <c r="P13" i="51" s="1"/>
  <c r="M8" i="52"/>
  <c r="M14" i="52" s="1"/>
  <c r="T28" i="46"/>
  <c r="W28" i="46" s="1"/>
  <c r="M13" i="52"/>
  <c r="M19" i="52"/>
  <c r="O9" i="51"/>
  <c r="O15" i="51" s="1"/>
  <c r="N9" i="51"/>
  <c r="N15" i="51" s="1"/>
  <c r="M9" i="52"/>
  <c r="M15" i="52" s="1"/>
  <c r="R5" i="46"/>
  <c r="I6" i="41" s="1"/>
  <c r="Q5" i="47"/>
  <c r="R5" i="47" s="1"/>
  <c r="M6" i="41" s="1"/>
  <c r="N5" i="51"/>
  <c r="P5" i="51" s="1"/>
  <c r="Q5" i="51" s="1"/>
  <c r="N5" i="52"/>
  <c r="P5" i="52" s="1"/>
  <c r="AG33" i="47" l="1"/>
  <c r="AJ33" i="47" s="1"/>
  <c r="AH9" i="46"/>
  <c r="AH6" i="47"/>
  <c r="H14" i="8"/>
  <c r="AG16" i="47"/>
  <c r="AJ16" i="47" s="1"/>
  <c r="AE19" i="52"/>
  <c r="AG19" i="52" s="1"/>
  <c r="AJ19" i="52" s="1"/>
  <c r="AE16" i="52"/>
  <c r="AE15" i="52"/>
  <c r="H37" i="8"/>
  <c r="AG13" i="47"/>
  <c r="AJ13" i="47" s="1"/>
  <c r="AH13" i="47"/>
  <c r="AE19" i="51"/>
  <c r="AH19" i="51" s="1"/>
  <c r="AE14" i="52"/>
  <c r="AG14" i="52" s="1"/>
  <c r="AJ14" i="52" s="1"/>
  <c r="AG32" i="47"/>
  <c r="AJ32" i="47" s="1"/>
  <c r="AF25" i="52"/>
  <c r="AI25" i="52" s="1"/>
  <c r="AE25" i="52"/>
  <c r="AH25" i="52" s="1"/>
  <c r="AE13" i="52"/>
  <c r="U13" i="50" s="1"/>
  <c r="AE12" i="52"/>
  <c r="AG12" i="52" s="1"/>
  <c r="AJ12" i="52" s="1"/>
  <c r="P34" i="52"/>
  <c r="AE32" i="51"/>
  <c r="AG32" i="51" s="1"/>
  <c r="AJ32" i="51" s="1"/>
  <c r="AE13" i="51"/>
  <c r="AH13" i="51" s="1"/>
  <c r="AH15" i="47"/>
  <c r="M8" i="50"/>
  <c r="M23" i="50"/>
  <c r="AH8" i="47"/>
  <c r="AG36" i="47"/>
  <c r="AJ36" i="47" s="1"/>
  <c r="AG26" i="47"/>
  <c r="AJ26" i="47" s="1"/>
  <c r="I9" i="50"/>
  <c r="AF12" i="51"/>
  <c r="AI12" i="51" s="1"/>
  <c r="AE12" i="51"/>
  <c r="AH12" i="51" s="1"/>
  <c r="AE9" i="52"/>
  <c r="AH9" i="52" s="1"/>
  <c r="AE28" i="51"/>
  <c r="AG28" i="51" s="1"/>
  <c r="AJ28" i="51" s="1"/>
  <c r="L29" i="8" s="1"/>
  <c r="AE31" i="52"/>
  <c r="AH31" i="52" s="1"/>
  <c r="AE35" i="52"/>
  <c r="AG35" i="52" s="1"/>
  <c r="AJ35" i="52" s="1"/>
  <c r="AE29" i="52"/>
  <c r="AG29" i="52" s="1"/>
  <c r="AJ29" i="52" s="1"/>
  <c r="AE15" i="51"/>
  <c r="AG25" i="47"/>
  <c r="AJ25" i="47" s="1"/>
  <c r="AG19" i="47"/>
  <c r="AJ19" i="47" s="1"/>
  <c r="AG10" i="47"/>
  <c r="AJ10" i="47" s="1"/>
  <c r="M17" i="50"/>
  <c r="AH19" i="47"/>
  <c r="AH10" i="47"/>
  <c r="AH16" i="47"/>
  <c r="AE10" i="51"/>
  <c r="Q10" i="50" s="1"/>
  <c r="AE32" i="52"/>
  <c r="AH32" i="52" s="1"/>
  <c r="AE37" i="51"/>
  <c r="AG37" i="51" s="1"/>
  <c r="AJ37" i="51" s="1"/>
  <c r="P35" i="52"/>
  <c r="Q29" i="51"/>
  <c r="R29" i="51" s="1"/>
  <c r="P38" i="52"/>
  <c r="P32" i="47"/>
  <c r="R32" i="47" s="1"/>
  <c r="S32" i="47" s="1"/>
  <c r="Q25" i="52"/>
  <c r="Q31" i="52" s="1"/>
  <c r="R31" i="52" s="1"/>
  <c r="U31" i="52" s="1"/>
  <c r="Q25" i="51"/>
  <c r="Q31" i="51" s="1"/>
  <c r="R31" i="51" s="1"/>
  <c r="AG6" i="47"/>
  <c r="AJ6" i="47" s="1"/>
  <c r="AG5" i="47"/>
  <c r="AJ5" i="47" s="1"/>
  <c r="AH17" i="47"/>
  <c r="AE8" i="51"/>
  <c r="AG8" i="51" s="1"/>
  <c r="AJ8" i="51" s="1"/>
  <c r="AE27" i="52"/>
  <c r="AH27" i="52" s="1"/>
  <c r="AH21" i="47"/>
  <c r="M6" i="50"/>
  <c r="AE36" i="52"/>
  <c r="AH36" i="52" s="1"/>
  <c r="AO36" i="52" s="1"/>
  <c r="AQ36" i="52" s="1"/>
  <c r="AE34" i="52"/>
  <c r="AH34" i="52" s="1"/>
  <c r="AC21" i="51"/>
  <c r="AF21" i="51" s="1"/>
  <c r="AI21" i="51" s="1"/>
  <c r="AE5" i="51"/>
  <c r="Q6" i="50" s="1"/>
  <c r="AE33" i="52"/>
  <c r="AG33" i="52" s="1"/>
  <c r="AJ33" i="52" s="1"/>
  <c r="AH14" i="47"/>
  <c r="AE30" i="51"/>
  <c r="AH30" i="51" s="1"/>
  <c r="AE20" i="51"/>
  <c r="AG20" i="51" s="1"/>
  <c r="AJ20" i="51" s="1"/>
  <c r="AE18" i="52"/>
  <c r="AG18" i="52" s="1"/>
  <c r="AJ18" i="52" s="1"/>
  <c r="AE6" i="51"/>
  <c r="Q7" i="50" s="1"/>
  <c r="AE29" i="51"/>
  <c r="AH29" i="51" s="1"/>
  <c r="AG23" i="47"/>
  <c r="AJ23" i="47" s="1"/>
  <c r="Q29" i="46"/>
  <c r="R29" i="46" s="1"/>
  <c r="AE35" i="51"/>
  <c r="AH35" i="51" s="1"/>
  <c r="AH23" i="47"/>
  <c r="AE16" i="51"/>
  <c r="AH16" i="51" s="1"/>
  <c r="AG38" i="47"/>
  <c r="AJ38" i="47" s="1"/>
  <c r="H29" i="8"/>
  <c r="AE5" i="52"/>
  <c r="AH5" i="52" s="1"/>
  <c r="AC37" i="52"/>
  <c r="AF37" i="52" s="1"/>
  <c r="AI37" i="52" s="1"/>
  <c r="F48" i="46"/>
  <c r="AE38" i="52"/>
  <c r="AH38" i="52" s="1"/>
  <c r="AE33" i="51"/>
  <c r="AG33" i="51" s="1"/>
  <c r="AJ33" i="51" s="1"/>
  <c r="V23" i="50"/>
  <c r="V23" i="41"/>
  <c r="V22" i="50"/>
  <c r="V22" i="41"/>
  <c r="R23" i="41"/>
  <c r="R23" i="50"/>
  <c r="AF18" i="51"/>
  <c r="AI18" i="51" s="1"/>
  <c r="AE18" i="51"/>
  <c r="AF17" i="51"/>
  <c r="AI17" i="51" s="1"/>
  <c r="AE17" i="51"/>
  <c r="M12" i="50"/>
  <c r="AH12" i="47"/>
  <c r="AG12" i="47"/>
  <c r="AJ12" i="47" s="1"/>
  <c r="R21" i="46"/>
  <c r="U21" i="46" s="1"/>
  <c r="AO21" i="46" s="1"/>
  <c r="Q25" i="47"/>
  <c r="R25" i="47" s="1"/>
  <c r="AH34" i="47"/>
  <c r="AG34" i="47"/>
  <c r="AJ34" i="47" s="1"/>
  <c r="AE23" i="51"/>
  <c r="AE25" i="51"/>
  <c r="AH18" i="47"/>
  <c r="AG18" i="47"/>
  <c r="AJ18" i="47" s="1"/>
  <c r="AC34" i="51"/>
  <c r="AF34" i="51" s="1"/>
  <c r="AI34" i="51" s="1"/>
  <c r="AE21" i="52"/>
  <c r="AE8" i="52"/>
  <c r="AG9" i="47"/>
  <c r="AJ9" i="47" s="1"/>
  <c r="M9" i="50"/>
  <c r="AH9" i="47"/>
  <c r="M11" i="50"/>
  <c r="AH11" i="47"/>
  <c r="AG11" i="47"/>
  <c r="AJ11" i="47" s="1"/>
  <c r="AE10" i="52"/>
  <c r="AE11" i="52"/>
  <c r="AE17" i="52"/>
  <c r="AE11" i="51"/>
  <c r="AE26" i="51"/>
  <c r="AE26" i="52"/>
  <c r="AE14" i="51"/>
  <c r="E231" i="34"/>
  <c r="U15" i="63" s="1"/>
  <c r="AG20" i="47"/>
  <c r="AJ20" i="47" s="1"/>
  <c r="AH20" i="47"/>
  <c r="K20" i="50"/>
  <c r="Q25" i="46"/>
  <c r="R25" i="46" s="1"/>
  <c r="U14" i="50"/>
  <c r="AH19" i="52"/>
  <c r="M19" i="50"/>
  <c r="AH27" i="47"/>
  <c r="AG27" i="47"/>
  <c r="AJ27" i="47" s="1"/>
  <c r="AG16" i="52"/>
  <c r="AJ16" i="52" s="1"/>
  <c r="AH16" i="52"/>
  <c r="M21" i="50"/>
  <c r="AH29" i="47"/>
  <c r="AG29" i="47"/>
  <c r="AJ29" i="47" s="1"/>
  <c r="AH15" i="51"/>
  <c r="AG15" i="51"/>
  <c r="AJ15" i="51" s="1"/>
  <c r="AG30" i="52"/>
  <c r="AJ30" i="52" s="1"/>
  <c r="N31" i="8" s="1"/>
  <c r="U22" i="50"/>
  <c r="AH30" i="52"/>
  <c r="AH30" i="47"/>
  <c r="M22" i="50"/>
  <c r="AG30" i="47"/>
  <c r="AJ30" i="47" s="1"/>
  <c r="J31" i="8" s="1"/>
  <c r="AE23" i="52"/>
  <c r="AG20" i="52"/>
  <c r="AJ20" i="52" s="1"/>
  <c r="AH20" i="52"/>
  <c r="Q29" i="47"/>
  <c r="R29" i="47" s="1"/>
  <c r="AE9" i="51"/>
  <c r="AE28" i="47"/>
  <c r="AE28" i="52"/>
  <c r="AF28" i="52"/>
  <c r="AI28" i="52" s="1"/>
  <c r="AP28" i="52" s="1"/>
  <c r="H9" i="63"/>
  <c r="AH35" i="47"/>
  <c r="AG35" i="47"/>
  <c r="AJ35" i="47" s="1"/>
  <c r="AE6" i="52"/>
  <c r="AE31" i="51"/>
  <c r="AG15" i="52"/>
  <c r="AJ15" i="52" s="1"/>
  <c r="AH15" i="52"/>
  <c r="AG31" i="47"/>
  <c r="AJ31" i="47" s="1"/>
  <c r="AH31" i="47"/>
  <c r="AE27" i="51"/>
  <c r="AE36" i="51"/>
  <c r="AE38" i="51"/>
  <c r="R20" i="41"/>
  <c r="R20" i="50"/>
  <c r="M15" i="63"/>
  <c r="I9" i="63"/>
  <c r="Q26" i="46"/>
  <c r="Q32" i="46" s="1"/>
  <c r="R32" i="46" s="1"/>
  <c r="U32" i="46" s="1"/>
  <c r="AO32" i="46" s="1"/>
  <c r="I10" i="41"/>
  <c r="S10" i="46"/>
  <c r="V10" i="46" s="1"/>
  <c r="AP10" i="46" s="1"/>
  <c r="U10" i="46"/>
  <c r="AO10" i="46" s="1"/>
  <c r="R8" i="46"/>
  <c r="U8" i="46" s="1"/>
  <c r="AO8" i="46" s="1"/>
  <c r="R12" i="46"/>
  <c r="R26" i="47"/>
  <c r="M18" i="41" s="1"/>
  <c r="R23" i="47"/>
  <c r="Q34" i="47"/>
  <c r="R34" i="47" s="1"/>
  <c r="Q35" i="47"/>
  <c r="R35" i="47" s="1"/>
  <c r="Q27" i="47"/>
  <c r="P37" i="47"/>
  <c r="P33" i="47"/>
  <c r="N22" i="41"/>
  <c r="P34" i="46"/>
  <c r="P35" i="46"/>
  <c r="Q26" i="51"/>
  <c r="P32" i="51"/>
  <c r="Q38" i="52"/>
  <c r="R29" i="52"/>
  <c r="Q27" i="51"/>
  <c r="P33" i="51"/>
  <c r="P37" i="51"/>
  <c r="R23" i="51"/>
  <c r="U23" i="51" s="1"/>
  <c r="Q34" i="51"/>
  <c r="R34" i="51" s="1"/>
  <c r="Q35" i="51"/>
  <c r="R35" i="51" s="1"/>
  <c r="Q27" i="46"/>
  <c r="P33" i="46"/>
  <c r="P37" i="46"/>
  <c r="Q27" i="52"/>
  <c r="P33" i="52"/>
  <c r="P37" i="52"/>
  <c r="Q34" i="52"/>
  <c r="Q35" i="52"/>
  <c r="R23" i="52"/>
  <c r="Q26" i="52"/>
  <c r="P32" i="52"/>
  <c r="U14" i="46"/>
  <c r="AO14" i="46" s="1"/>
  <c r="S14" i="46"/>
  <c r="V14" i="46" s="1"/>
  <c r="AP14" i="46" s="1"/>
  <c r="M20" i="52"/>
  <c r="M16" i="52"/>
  <c r="Q10" i="47"/>
  <c r="P16" i="47"/>
  <c r="P20" i="47"/>
  <c r="Q12" i="47"/>
  <c r="P21" i="47"/>
  <c r="R6" i="46"/>
  <c r="Q18" i="46"/>
  <c r="R18" i="46" s="1"/>
  <c r="Q17" i="46"/>
  <c r="R17" i="46" s="1"/>
  <c r="Q9" i="47"/>
  <c r="P15" i="47"/>
  <c r="M18" i="52"/>
  <c r="M17" i="52"/>
  <c r="Q6" i="47"/>
  <c r="P17" i="47"/>
  <c r="P18" i="47"/>
  <c r="N18" i="51"/>
  <c r="N17" i="51"/>
  <c r="O17" i="51"/>
  <c r="O18" i="51"/>
  <c r="P10" i="51"/>
  <c r="N20" i="51"/>
  <c r="N16" i="51"/>
  <c r="O12" i="52"/>
  <c r="O21" i="52" s="1"/>
  <c r="M21" i="52"/>
  <c r="J13" i="41"/>
  <c r="Q8" i="47"/>
  <c r="P14" i="47"/>
  <c r="Q16" i="46"/>
  <c r="R16" i="46" s="1"/>
  <c r="S16" i="46" s="1"/>
  <c r="V16" i="46" s="1"/>
  <c r="AP16" i="46" s="1"/>
  <c r="Q20" i="46"/>
  <c r="R20" i="46" s="1"/>
  <c r="R9" i="46"/>
  <c r="Q15" i="46"/>
  <c r="R15" i="46" s="1"/>
  <c r="O20" i="51"/>
  <c r="O16" i="51"/>
  <c r="P8" i="51"/>
  <c r="N14" i="51"/>
  <c r="AQ13" i="46"/>
  <c r="AP30" i="46"/>
  <c r="J22" i="50" s="1"/>
  <c r="K22" i="50" s="1"/>
  <c r="E84" i="34"/>
  <c r="AO30" i="46"/>
  <c r="D84" i="34"/>
  <c r="T30" i="46"/>
  <c r="W30" i="46" s="1"/>
  <c r="H31" i="8" s="1"/>
  <c r="T19" i="46"/>
  <c r="W19" i="46" s="1"/>
  <c r="H20" i="8" s="1"/>
  <c r="F58" i="34"/>
  <c r="F70" i="34"/>
  <c r="F64" i="34"/>
  <c r="AQ19" i="46"/>
  <c r="S30" i="51"/>
  <c r="V30" i="51" s="1"/>
  <c r="Q22" i="41"/>
  <c r="U36" i="47"/>
  <c r="M23" i="41"/>
  <c r="U28" i="47"/>
  <c r="M20" i="41"/>
  <c r="S19" i="47"/>
  <c r="V19" i="47" s="1"/>
  <c r="AP19" i="47" s="1"/>
  <c r="M14" i="41"/>
  <c r="J14" i="50"/>
  <c r="K14" i="50" s="1"/>
  <c r="J14" i="41"/>
  <c r="J11" i="50"/>
  <c r="K11" i="50" s="1"/>
  <c r="J11" i="41"/>
  <c r="U30" i="51"/>
  <c r="T11" i="46"/>
  <c r="W11" i="46" s="1"/>
  <c r="H12" i="8" s="1"/>
  <c r="AQ11" i="46"/>
  <c r="S36" i="47"/>
  <c r="V36" i="47" s="1"/>
  <c r="S28" i="47"/>
  <c r="V28" i="47" s="1"/>
  <c r="AP28" i="47" s="1"/>
  <c r="U19" i="47"/>
  <c r="P6" i="51"/>
  <c r="Q23" i="46"/>
  <c r="P9" i="51"/>
  <c r="R13" i="47"/>
  <c r="Q13" i="51"/>
  <c r="R13" i="51" s="1"/>
  <c r="O19" i="52"/>
  <c r="N19" i="52"/>
  <c r="O13" i="52"/>
  <c r="N13" i="52"/>
  <c r="N12" i="52"/>
  <c r="P19" i="51"/>
  <c r="O8" i="52"/>
  <c r="O14" i="52" s="1"/>
  <c r="N8" i="52"/>
  <c r="N14" i="52" s="1"/>
  <c r="P12" i="51"/>
  <c r="O9" i="52"/>
  <c r="O15" i="52" s="1"/>
  <c r="N9" i="52"/>
  <c r="N15" i="52" s="1"/>
  <c r="O11" i="52"/>
  <c r="N11" i="52"/>
  <c r="P11" i="51"/>
  <c r="Q11" i="51" s="1"/>
  <c r="R11" i="51" s="1"/>
  <c r="Q11" i="41" s="1"/>
  <c r="O10" i="52"/>
  <c r="N10" i="52"/>
  <c r="O6" i="52"/>
  <c r="N6" i="52"/>
  <c r="U11" i="47"/>
  <c r="S11" i="47"/>
  <c r="V11" i="47" s="1"/>
  <c r="AP11" i="47" s="1"/>
  <c r="U5" i="46"/>
  <c r="D54" i="34" s="1"/>
  <c r="S5" i="46"/>
  <c r="V5" i="46" s="1"/>
  <c r="E54" i="34" s="1"/>
  <c r="R5" i="51"/>
  <c r="S5" i="47"/>
  <c r="T5" i="47" s="1"/>
  <c r="U5" i="47"/>
  <c r="D103" i="34" s="1"/>
  <c r="Q5" i="52"/>
  <c r="R5" i="52" s="1"/>
  <c r="U6" i="41" s="1"/>
  <c r="AH14" i="52" l="1"/>
  <c r="AO19" i="47"/>
  <c r="AH18" i="52"/>
  <c r="R25" i="51"/>
  <c r="Q17" i="41" s="1"/>
  <c r="AG25" i="52"/>
  <c r="AJ25" i="52" s="1"/>
  <c r="Q14" i="50"/>
  <c r="U17" i="50"/>
  <c r="AG13" i="52"/>
  <c r="AJ13" i="52" s="1"/>
  <c r="U9" i="50"/>
  <c r="AH12" i="52"/>
  <c r="AH13" i="52"/>
  <c r="U12" i="50"/>
  <c r="AH28" i="51"/>
  <c r="AO28" i="51" s="1"/>
  <c r="AQ28" i="51" s="1"/>
  <c r="AG32" i="52"/>
  <c r="AJ32" i="52" s="1"/>
  <c r="AH10" i="51"/>
  <c r="AG10" i="51"/>
  <c r="AJ10" i="51" s="1"/>
  <c r="AG19" i="51"/>
  <c r="AJ19" i="51" s="1"/>
  <c r="Q21" i="50"/>
  <c r="R34" i="52"/>
  <c r="S34" i="52" s="1"/>
  <c r="V34" i="52" s="1"/>
  <c r="AH32" i="51"/>
  <c r="AH6" i="51"/>
  <c r="AH8" i="51"/>
  <c r="R38" i="52"/>
  <c r="S38" i="52" s="1"/>
  <c r="V38" i="52" s="1"/>
  <c r="H15" i="63"/>
  <c r="I15" i="63"/>
  <c r="AG5" i="52"/>
  <c r="AJ5" i="52" s="1"/>
  <c r="U6" i="50"/>
  <c r="AG9" i="52"/>
  <c r="AJ9" i="52" s="1"/>
  <c r="AH33" i="52"/>
  <c r="U23" i="50"/>
  <c r="W23" i="50" s="1"/>
  <c r="U21" i="50"/>
  <c r="AH35" i="52"/>
  <c r="Q20" i="50"/>
  <c r="S20" i="50" s="1"/>
  <c r="AH20" i="51"/>
  <c r="AG12" i="51"/>
  <c r="AJ12" i="51" s="1"/>
  <c r="Q13" i="50"/>
  <c r="Q12" i="50"/>
  <c r="AG13" i="51"/>
  <c r="AJ13" i="51" s="1"/>
  <c r="AG29" i="51"/>
  <c r="AJ29" i="51" s="1"/>
  <c r="AH37" i="51"/>
  <c r="AG30" i="51"/>
  <c r="AJ30" i="51" s="1"/>
  <c r="Q22" i="50"/>
  <c r="AO31" i="52"/>
  <c r="AG5" i="51"/>
  <c r="AJ5" i="51" s="1"/>
  <c r="AH5" i="51"/>
  <c r="AH29" i="52"/>
  <c r="AG6" i="51"/>
  <c r="AJ6" i="51" s="1"/>
  <c r="AG16" i="51"/>
  <c r="AJ16" i="51" s="1"/>
  <c r="AH33" i="51"/>
  <c r="AG31" i="52"/>
  <c r="AJ31" i="52" s="1"/>
  <c r="Q31" i="47"/>
  <c r="R31" i="47" s="1"/>
  <c r="S31" i="47" s="1"/>
  <c r="R35" i="52"/>
  <c r="S35" i="52" s="1"/>
  <c r="V35" i="52" s="1"/>
  <c r="AP35" i="52" s="1"/>
  <c r="Q38" i="51"/>
  <c r="R38" i="51" s="1"/>
  <c r="S38" i="51" s="1"/>
  <c r="R25" i="52"/>
  <c r="L6" i="63"/>
  <c r="C35" i="67"/>
  <c r="I6" i="63"/>
  <c r="D19" i="67"/>
  <c r="S21" i="46"/>
  <c r="V21" i="46" s="1"/>
  <c r="AP21" i="46" s="1"/>
  <c r="AQ21" i="46" s="1"/>
  <c r="H6" i="63"/>
  <c r="C19" i="67"/>
  <c r="F54" i="34"/>
  <c r="U32" i="47"/>
  <c r="AO32" i="47" s="1"/>
  <c r="Q38" i="46"/>
  <c r="R38" i="46" s="1"/>
  <c r="U38" i="46" s="1"/>
  <c r="AO38" i="46" s="1"/>
  <c r="J9" i="63"/>
  <c r="AE34" i="51"/>
  <c r="AG34" i="51" s="1"/>
  <c r="AJ34" i="51" s="1"/>
  <c r="AO11" i="47"/>
  <c r="AQ11" i="47" s="1"/>
  <c r="AG34" i="52"/>
  <c r="AJ34" i="52" s="1"/>
  <c r="U19" i="50"/>
  <c r="AG27" i="52"/>
  <c r="AJ27" i="52" s="1"/>
  <c r="AE21" i="51"/>
  <c r="Q31" i="46"/>
  <c r="R31" i="46" s="1"/>
  <c r="U31" i="46" s="1"/>
  <c r="AG38" i="52"/>
  <c r="AJ38" i="52" s="1"/>
  <c r="AG35" i="51"/>
  <c r="AJ35" i="51" s="1"/>
  <c r="Q8" i="50"/>
  <c r="AG36" i="52"/>
  <c r="AJ36" i="52" s="1"/>
  <c r="N37" i="8" s="1"/>
  <c r="AE37" i="52"/>
  <c r="M21" i="41"/>
  <c r="S29" i="47"/>
  <c r="V29" i="47" s="1"/>
  <c r="AP29" i="47" s="1"/>
  <c r="N21" i="50" s="1"/>
  <c r="U29" i="47"/>
  <c r="AO29" i="47" s="1"/>
  <c r="AG31" i="51"/>
  <c r="AJ31" i="51" s="1"/>
  <c r="AH31" i="51"/>
  <c r="AG26" i="52"/>
  <c r="AJ26" i="52" s="1"/>
  <c r="AH26" i="52"/>
  <c r="U18" i="50"/>
  <c r="AH18" i="51"/>
  <c r="AG18" i="51"/>
  <c r="AJ18" i="51" s="1"/>
  <c r="Q18" i="50"/>
  <c r="AH26" i="51"/>
  <c r="AG26" i="51"/>
  <c r="AJ26" i="51" s="1"/>
  <c r="AH17" i="52"/>
  <c r="AG17" i="52"/>
  <c r="AJ17" i="52" s="1"/>
  <c r="U8" i="50"/>
  <c r="AG8" i="52"/>
  <c r="AJ8" i="52" s="1"/>
  <c r="AH8" i="52"/>
  <c r="Q16" i="50"/>
  <c r="AG23" i="51"/>
  <c r="AJ23" i="51" s="1"/>
  <c r="AH23" i="51"/>
  <c r="Q17" i="50"/>
  <c r="AG25" i="51"/>
  <c r="AJ25" i="51" s="1"/>
  <c r="AH25" i="51"/>
  <c r="AG38" i="51"/>
  <c r="AJ38" i="51" s="1"/>
  <c r="AH38" i="51"/>
  <c r="U16" i="50"/>
  <c r="AG23" i="52"/>
  <c r="AJ23" i="52" s="1"/>
  <c r="AH23" i="52"/>
  <c r="AG11" i="52"/>
  <c r="AJ11" i="52" s="1"/>
  <c r="AH11" i="52"/>
  <c r="U11" i="50"/>
  <c r="AH21" i="52"/>
  <c r="AG21" i="52"/>
  <c r="AJ21" i="52" s="1"/>
  <c r="Q38" i="47"/>
  <c r="R38" i="47" s="1"/>
  <c r="S38" i="47" s="1"/>
  <c r="Q23" i="50"/>
  <c r="S23" i="50" s="1"/>
  <c r="AG36" i="51"/>
  <c r="AJ36" i="51" s="1"/>
  <c r="L37" i="8" s="1"/>
  <c r="AH36" i="51"/>
  <c r="AO36" i="51" s="1"/>
  <c r="AQ36" i="51" s="1"/>
  <c r="V20" i="50"/>
  <c r="V20" i="41"/>
  <c r="AG14" i="51"/>
  <c r="AJ14" i="51" s="1"/>
  <c r="AH14" i="51"/>
  <c r="AH10" i="52"/>
  <c r="AG10" i="52"/>
  <c r="AJ10" i="52" s="1"/>
  <c r="U10" i="50"/>
  <c r="U7" i="50"/>
  <c r="AH6" i="52"/>
  <c r="AG6" i="52"/>
  <c r="AJ6" i="52" s="1"/>
  <c r="U25" i="51"/>
  <c r="Q19" i="50"/>
  <c r="AG27" i="51"/>
  <c r="AJ27" i="51" s="1"/>
  <c r="AH27" i="51"/>
  <c r="U20" i="50"/>
  <c r="AH28" i="52"/>
  <c r="AO28" i="52" s="1"/>
  <c r="AQ28" i="52" s="1"/>
  <c r="AG28" i="52"/>
  <c r="AJ28" i="52" s="1"/>
  <c r="N29" i="8" s="1"/>
  <c r="AH11" i="51"/>
  <c r="Q11" i="50"/>
  <c r="AG11" i="51"/>
  <c r="AJ11" i="51" s="1"/>
  <c r="AP30" i="51"/>
  <c r="R22" i="41" s="1"/>
  <c r="E182" i="34"/>
  <c r="Q15" i="63" s="1"/>
  <c r="M20" i="50"/>
  <c r="AH28" i="47"/>
  <c r="AO28" i="47" s="1"/>
  <c r="AQ28" i="47" s="1"/>
  <c r="AG28" i="47"/>
  <c r="AJ28" i="47" s="1"/>
  <c r="F48" i="47" s="1"/>
  <c r="D133" i="34"/>
  <c r="AO30" i="47"/>
  <c r="AQ30" i="47" s="1"/>
  <c r="AG17" i="51"/>
  <c r="AJ17" i="51" s="1"/>
  <c r="AH17" i="51"/>
  <c r="AO30" i="52"/>
  <c r="AQ30" i="52" s="1"/>
  <c r="D231" i="34"/>
  <c r="S32" i="46"/>
  <c r="V32" i="46" s="1"/>
  <c r="AP32" i="46" s="1"/>
  <c r="AQ32" i="46" s="1"/>
  <c r="S31" i="52"/>
  <c r="V31" i="52" s="1"/>
  <c r="AP31" i="52" s="1"/>
  <c r="R26" i="46"/>
  <c r="S26" i="46" s="1"/>
  <c r="V26" i="46" s="1"/>
  <c r="AP26" i="46" s="1"/>
  <c r="J18" i="41" s="1"/>
  <c r="Q9" i="50"/>
  <c r="AG9" i="51"/>
  <c r="AJ9" i="51" s="1"/>
  <c r="AH9" i="51"/>
  <c r="AQ10" i="46"/>
  <c r="I8" i="41"/>
  <c r="S8" i="46"/>
  <c r="V8" i="46" s="1"/>
  <c r="AP8" i="46" s="1"/>
  <c r="J8" i="41" s="1"/>
  <c r="S25" i="51"/>
  <c r="V25" i="51" s="1"/>
  <c r="U16" i="46"/>
  <c r="AO16" i="46" s="1"/>
  <c r="AQ16" i="46" s="1"/>
  <c r="AQ14" i="46"/>
  <c r="J10" i="50"/>
  <c r="K10" i="50" s="1"/>
  <c r="J10" i="41"/>
  <c r="T10" i="46"/>
  <c r="W10" i="46" s="1"/>
  <c r="H11" i="8" s="1"/>
  <c r="T16" i="46"/>
  <c r="W16" i="46" s="1"/>
  <c r="H17" i="8" s="1"/>
  <c r="U31" i="51"/>
  <c r="S31" i="51"/>
  <c r="T14" i="46"/>
  <c r="W14" i="46" s="1"/>
  <c r="H15" i="8" s="1"/>
  <c r="I12" i="41"/>
  <c r="U12" i="46"/>
  <c r="AO12" i="46" s="1"/>
  <c r="S12" i="46"/>
  <c r="T30" i="51"/>
  <c r="W30" i="51" s="1"/>
  <c r="U34" i="47"/>
  <c r="AO34" i="47" s="1"/>
  <c r="S34" i="47"/>
  <c r="V34" i="47" s="1"/>
  <c r="AP34" i="47" s="1"/>
  <c r="S35" i="47"/>
  <c r="V35" i="47" s="1"/>
  <c r="AP35" i="47" s="1"/>
  <c r="U35" i="47"/>
  <c r="AO35" i="47" s="1"/>
  <c r="Q33" i="51"/>
  <c r="R33" i="51" s="1"/>
  <c r="Q37" i="51"/>
  <c r="R37" i="51" s="1"/>
  <c r="R27" i="51"/>
  <c r="I21" i="41"/>
  <c r="S29" i="46"/>
  <c r="V29" i="46" s="1"/>
  <c r="AP29" i="46" s="1"/>
  <c r="U29" i="46"/>
  <c r="AO29" i="46" s="1"/>
  <c r="S29" i="52"/>
  <c r="V29" i="52" s="1"/>
  <c r="AP29" i="52" s="1"/>
  <c r="U21" i="41"/>
  <c r="U29" i="52"/>
  <c r="U34" i="51"/>
  <c r="S34" i="51"/>
  <c r="U25" i="46"/>
  <c r="AO25" i="46" s="1"/>
  <c r="I17" i="41"/>
  <c r="S25" i="46"/>
  <c r="U26" i="47"/>
  <c r="AO26" i="47" s="1"/>
  <c r="J22" i="41"/>
  <c r="R23" i="46"/>
  <c r="I16" i="41" s="1"/>
  <c r="Q34" i="46"/>
  <c r="R34" i="46" s="1"/>
  <c r="Q35" i="46"/>
  <c r="R35" i="46" s="1"/>
  <c r="R27" i="52"/>
  <c r="Q37" i="52"/>
  <c r="R37" i="52" s="1"/>
  <c r="Q33" i="52"/>
  <c r="R33" i="52" s="1"/>
  <c r="U35" i="51"/>
  <c r="S35" i="51"/>
  <c r="R27" i="47"/>
  <c r="Q33" i="47"/>
  <c r="R33" i="47" s="1"/>
  <c r="Q37" i="47"/>
  <c r="R37" i="47" s="1"/>
  <c r="S26" i="47"/>
  <c r="V26" i="47" s="1"/>
  <c r="AP26" i="47" s="1"/>
  <c r="N18" i="41" s="1"/>
  <c r="Q16" i="41"/>
  <c r="S23" i="51"/>
  <c r="T23" i="51" s="1"/>
  <c r="R26" i="52"/>
  <c r="Q32" i="52"/>
  <c r="R32" i="52" s="1"/>
  <c r="R27" i="46"/>
  <c r="Q33" i="46"/>
  <c r="R33" i="46" s="1"/>
  <c r="Q37" i="46"/>
  <c r="R37" i="46" s="1"/>
  <c r="M16" i="41"/>
  <c r="U23" i="47"/>
  <c r="S23" i="47"/>
  <c r="V23" i="47" s="1"/>
  <c r="U16" i="41"/>
  <c r="U23" i="52"/>
  <c r="S23" i="52"/>
  <c r="R26" i="51"/>
  <c r="Q32" i="51"/>
  <c r="R32" i="51" s="1"/>
  <c r="M17" i="41"/>
  <c r="S25" i="47"/>
  <c r="V25" i="47" s="1"/>
  <c r="AP25" i="47" s="1"/>
  <c r="U25" i="47"/>
  <c r="AO25" i="47" s="1"/>
  <c r="Q21" i="41"/>
  <c r="U29" i="51"/>
  <c r="AO29" i="51" s="1"/>
  <c r="S29" i="51"/>
  <c r="U17" i="46"/>
  <c r="AO17" i="46" s="1"/>
  <c r="S17" i="46"/>
  <c r="V17" i="46" s="1"/>
  <c r="AP17" i="46" s="1"/>
  <c r="U18" i="46"/>
  <c r="S18" i="46"/>
  <c r="V18" i="46" s="1"/>
  <c r="Q8" i="51"/>
  <c r="Q14" i="51" s="1"/>
  <c r="P14" i="51"/>
  <c r="Q12" i="51"/>
  <c r="P21" i="51"/>
  <c r="N16" i="52"/>
  <c r="N20" i="52"/>
  <c r="Q6" i="51"/>
  <c r="P17" i="51"/>
  <c r="P18" i="51"/>
  <c r="R9" i="47"/>
  <c r="Q15" i="47"/>
  <c r="R15" i="47" s="1"/>
  <c r="O16" i="52"/>
  <c r="O20" i="52"/>
  <c r="I9" i="41"/>
  <c r="S9" i="46"/>
  <c r="V9" i="46" s="1"/>
  <c r="U9" i="46"/>
  <c r="U20" i="46"/>
  <c r="AO20" i="46" s="1"/>
  <c r="S20" i="46"/>
  <c r="V20" i="46" s="1"/>
  <c r="AP20" i="46" s="1"/>
  <c r="I7" i="41"/>
  <c r="U6" i="46"/>
  <c r="S6" i="46"/>
  <c r="V6" i="46" s="1"/>
  <c r="Q10" i="51"/>
  <c r="P20" i="51"/>
  <c r="P16" i="51"/>
  <c r="Q14" i="47"/>
  <c r="R14" i="47" s="1"/>
  <c r="S14" i="47" s="1"/>
  <c r="V14" i="47" s="1"/>
  <c r="R8" i="47"/>
  <c r="R12" i="47"/>
  <c r="Q21" i="47"/>
  <c r="R21" i="47" s="1"/>
  <c r="O17" i="52"/>
  <c r="O18" i="52"/>
  <c r="Q9" i="51"/>
  <c r="P15" i="51"/>
  <c r="U15" i="46"/>
  <c r="AO15" i="46" s="1"/>
  <c r="S15" i="46"/>
  <c r="V15" i="46" s="1"/>
  <c r="N17" i="52"/>
  <c r="N18" i="52"/>
  <c r="P12" i="52"/>
  <c r="N21" i="52"/>
  <c r="R6" i="47"/>
  <c r="Q17" i="47"/>
  <c r="R17" i="47" s="1"/>
  <c r="Q18" i="47"/>
  <c r="R18" i="47" s="1"/>
  <c r="R10" i="47"/>
  <c r="Q16" i="47"/>
  <c r="R16" i="47" s="1"/>
  <c r="Q20" i="47"/>
  <c r="R20" i="47" s="1"/>
  <c r="U20" i="47" s="1"/>
  <c r="AO20" i="47" s="1"/>
  <c r="AO30" i="51"/>
  <c r="D182" i="34"/>
  <c r="AO36" i="47"/>
  <c r="AP36" i="47"/>
  <c r="N23" i="41" s="1"/>
  <c r="F84" i="34"/>
  <c r="AQ30" i="46"/>
  <c r="T19" i="47"/>
  <c r="W19" i="47" s="1"/>
  <c r="J20" i="8" s="1"/>
  <c r="AQ19" i="47"/>
  <c r="N20" i="50"/>
  <c r="N20" i="41"/>
  <c r="U13" i="51"/>
  <c r="Q13" i="41"/>
  <c r="U13" i="47"/>
  <c r="M13" i="41"/>
  <c r="N14" i="41"/>
  <c r="N14" i="50"/>
  <c r="O14" i="50" s="1"/>
  <c r="N11" i="41"/>
  <c r="N11" i="50"/>
  <c r="O11" i="50" s="1"/>
  <c r="S5" i="51"/>
  <c r="V5" i="51" s="1"/>
  <c r="E152" i="34" s="1"/>
  <c r="Q6" i="41"/>
  <c r="T36" i="47"/>
  <c r="W36" i="47" s="1"/>
  <c r="J37" i="8" s="1"/>
  <c r="T28" i="47"/>
  <c r="W28" i="47" s="1"/>
  <c r="S13" i="51"/>
  <c r="V13" i="51" s="1"/>
  <c r="P11" i="52"/>
  <c r="Q11" i="52" s="1"/>
  <c r="R11" i="52" s="1"/>
  <c r="T11" i="47"/>
  <c r="W11" i="47" s="1"/>
  <c r="J12" i="8" s="1"/>
  <c r="S13" i="47"/>
  <c r="V13" i="47" s="1"/>
  <c r="P19" i="52"/>
  <c r="Q19" i="52" s="1"/>
  <c r="R19" i="52" s="1"/>
  <c r="U14" i="41" s="1"/>
  <c r="S11" i="51"/>
  <c r="V11" i="51" s="1"/>
  <c r="AP11" i="51" s="1"/>
  <c r="U11" i="51"/>
  <c r="P10" i="52"/>
  <c r="P8" i="52"/>
  <c r="V32" i="47"/>
  <c r="AO5" i="46"/>
  <c r="P9" i="52"/>
  <c r="P6" i="52"/>
  <c r="Q19" i="51"/>
  <c r="R19" i="51" s="1"/>
  <c r="Q14" i="41" s="1"/>
  <c r="T32" i="47"/>
  <c r="W32" i="47" s="1"/>
  <c r="J33" i="8" s="1"/>
  <c r="P13" i="52"/>
  <c r="Q13" i="52" s="1"/>
  <c r="R13" i="52" s="1"/>
  <c r="U13" i="41" s="1"/>
  <c r="T5" i="46"/>
  <c r="W5" i="46" s="1"/>
  <c r="AP5" i="46"/>
  <c r="U5" i="51"/>
  <c r="V5" i="47"/>
  <c r="E103" i="34" s="1"/>
  <c r="F103" i="34" s="1"/>
  <c r="U5" i="52"/>
  <c r="D201" i="34" s="1"/>
  <c r="C67" i="67" s="1"/>
  <c r="S5" i="52"/>
  <c r="AO39" i="46"/>
  <c r="K14" i="41"/>
  <c r="K11" i="41"/>
  <c r="K20" i="41"/>
  <c r="O22" i="50"/>
  <c r="K23" i="50"/>
  <c r="AO5" i="47"/>
  <c r="W5" i="47"/>
  <c r="U34" i="52" l="1"/>
  <c r="AO34" i="52" s="1"/>
  <c r="L31" i="8"/>
  <c r="J15" i="63"/>
  <c r="U38" i="52"/>
  <c r="AO38" i="52" s="1"/>
  <c r="D152" i="34"/>
  <c r="C51" i="67" s="1"/>
  <c r="AH34" i="51"/>
  <c r="AO34" i="51" s="1"/>
  <c r="D280" i="34"/>
  <c r="U31" i="47"/>
  <c r="AO31" i="47" s="1"/>
  <c r="E280" i="34"/>
  <c r="T17" i="46"/>
  <c r="W17" i="46" s="1"/>
  <c r="H18" i="8" s="1"/>
  <c r="AO29" i="52"/>
  <c r="AQ29" i="52" s="1"/>
  <c r="U35" i="52"/>
  <c r="AO35" i="52" s="1"/>
  <c r="AQ35" i="52" s="1"/>
  <c r="AQ31" i="52"/>
  <c r="AO25" i="51"/>
  <c r="U38" i="51"/>
  <c r="AO38" i="51" s="1"/>
  <c r="T25" i="51"/>
  <c r="W25" i="51" s="1"/>
  <c r="L26" i="8" s="1"/>
  <c r="AO11" i="51"/>
  <c r="AQ11" i="51" s="1"/>
  <c r="O20" i="50"/>
  <c r="T38" i="52"/>
  <c r="W38" i="52" s="1"/>
  <c r="N39" i="8" s="1"/>
  <c r="T21" i="46"/>
  <c r="W21" i="46" s="1"/>
  <c r="H22" i="8" s="1"/>
  <c r="S25" i="52"/>
  <c r="V25" i="52" s="1"/>
  <c r="AP25" i="52" s="1"/>
  <c r="V17" i="41" s="1"/>
  <c r="U25" i="52"/>
  <c r="AO25" i="52" s="1"/>
  <c r="U17" i="41"/>
  <c r="T29" i="46"/>
  <c r="W29" i="46" s="1"/>
  <c r="H30" i="8" s="1"/>
  <c r="AQ29" i="47"/>
  <c r="S38" i="46"/>
  <c r="V38" i="46" s="1"/>
  <c r="AP38" i="46" s="1"/>
  <c r="AQ38" i="46" s="1"/>
  <c r="T29" i="47"/>
  <c r="W29" i="47" s="1"/>
  <c r="J30" i="8" s="1"/>
  <c r="J18" i="50"/>
  <c r="K18" i="50" s="1"/>
  <c r="E19" i="67"/>
  <c r="Q6" i="63"/>
  <c r="D51" i="67"/>
  <c r="T6" i="63"/>
  <c r="M6" i="63"/>
  <c r="D35" i="67"/>
  <c r="E35" i="67" s="1"/>
  <c r="R22" i="50"/>
  <c r="S22" i="50" s="1"/>
  <c r="AQ30" i="51"/>
  <c r="W20" i="50"/>
  <c r="I18" i="41"/>
  <c r="K18" i="41" s="1"/>
  <c r="N21" i="41"/>
  <c r="S31" i="46"/>
  <c r="V31" i="46" s="1"/>
  <c r="AP31" i="46" s="1"/>
  <c r="U38" i="47"/>
  <c r="AO38" i="47" s="1"/>
  <c r="T31" i="52"/>
  <c r="W31" i="52" s="1"/>
  <c r="N32" i="8" s="1"/>
  <c r="T32" i="46"/>
  <c r="W32" i="46" s="1"/>
  <c r="H33" i="8" s="1"/>
  <c r="AH37" i="52"/>
  <c r="AG37" i="52"/>
  <c r="AJ37" i="52" s="1"/>
  <c r="AG21" i="51"/>
  <c r="AJ21" i="51" s="1"/>
  <c r="F48" i="51" s="1"/>
  <c r="AH21" i="51"/>
  <c r="T9" i="46"/>
  <c r="W9" i="46" s="1"/>
  <c r="H10" i="8" s="1"/>
  <c r="T8" i="46"/>
  <c r="W8" i="46" s="1"/>
  <c r="H9" i="8" s="1"/>
  <c r="U14" i="47"/>
  <c r="AO14" i="47" s="1"/>
  <c r="T23" i="47"/>
  <c r="W23" i="47" s="1"/>
  <c r="J24" i="8" s="1"/>
  <c r="W23" i="51"/>
  <c r="L24" i="8" s="1"/>
  <c r="L15" i="63"/>
  <c r="N15" i="63" s="1"/>
  <c r="F133" i="34"/>
  <c r="AP25" i="51"/>
  <c r="R17" i="50" s="1"/>
  <c r="J29" i="8"/>
  <c r="U26" i="46"/>
  <c r="AO26" i="46" s="1"/>
  <c r="AQ26" i="46" s="1"/>
  <c r="V23" i="51"/>
  <c r="AP23" i="51" s="1"/>
  <c r="R16" i="41" s="1"/>
  <c r="AQ17" i="46"/>
  <c r="T26" i="46"/>
  <c r="W26" i="46" s="1"/>
  <c r="H27" i="8" s="1"/>
  <c r="T15" i="63"/>
  <c r="V15" i="63" s="1"/>
  <c r="F231" i="34"/>
  <c r="AO31" i="51"/>
  <c r="AP38" i="52"/>
  <c r="AP34" i="52"/>
  <c r="AQ34" i="52" s="1"/>
  <c r="J8" i="50"/>
  <c r="K8" i="50" s="1"/>
  <c r="P15" i="63"/>
  <c r="R15" i="63" s="1"/>
  <c r="AQ25" i="47"/>
  <c r="AQ8" i="46"/>
  <c r="T29" i="52"/>
  <c r="W29" i="52" s="1"/>
  <c r="N30" i="8" s="1"/>
  <c r="T15" i="46"/>
  <c r="W15" i="46" s="1"/>
  <c r="H16" i="8" s="1"/>
  <c r="D59" i="34"/>
  <c r="D71" i="34"/>
  <c r="D65" i="34"/>
  <c r="T6" i="46"/>
  <c r="W6" i="46" s="1"/>
  <c r="H7" i="8" s="1"/>
  <c r="AQ26" i="47"/>
  <c r="U23" i="46"/>
  <c r="D76" i="34" s="1"/>
  <c r="S23" i="46"/>
  <c r="T23" i="46" s="1"/>
  <c r="W23" i="46" s="1"/>
  <c r="H24" i="8" s="1"/>
  <c r="T26" i="47"/>
  <c r="W26" i="47" s="1"/>
  <c r="J27" i="8" s="1"/>
  <c r="V31" i="51"/>
  <c r="AP31" i="51" s="1"/>
  <c r="T31" i="51"/>
  <c r="W31" i="51" s="1"/>
  <c r="L32" i="8" s="1"/>
  <c r="T20" i="46"/>
  <c r="W20" i="46" s="1"/>
  <c r="H21" i="8" s="1"/>
  <c r="V12" i="46"/>
  <c r="AP12" i="46" s="1"/>
  <c r="T12" i="46"/>
  <c r="W12" i="46" s="1"/>
  <c r="H13" i="8" s="1"/>
  <c r="S20" i="47"/>
  <c r="V20" i="47" s="1"/>
  <c r="AP20" i="47" s="1"/>
  <c r="AQ20" i="47" s="1"/>
  <c r="T18" i="46"/>
  <c r="W18" i="46" s="1"/>
  <c r="H19" i="8" s="1"/>
  <c r="T34" i="52"/>
  <c r="W34" i="52" s="1"/>
  <c r="N35" i="8" s="1"/>
  <c r="N18" i="50"/>
  <c r="O18" i="50" s="1"/>
  <c r="AQ35" i="47"/>
  <c r="T35" i="47"/>
  <c r="W35" i="47" s="1"/>
  <c r="J36" i="8" s="1"/>
  <c r="S33" i="47"/>
  <c r="V33" i="47" s="1"/>
  <c r="AP33" i="47" s="1"/>
  <c r="U33" i="47"/>
  <c r="U33" i="52"/>
  <c r="AO33" i="52" s="1"/>
  <c r="S33" i="52"/>
  <c r="V33" i="52" s="1"/>
  <c r="AP33" i="52" s="1"/>
  <c r="S37" i="51"/>
  <c r="V37" i="51" s="1"/>
  <c r="AP37" i="51" s="1"/>
  <c r="U37" i="51"/>
  <c r="AO37" i="51" s="1"/>
  <c r="S35" i="46"/>
  <c r="V35" i="46" s="1"/>
  <c r="U35" i="46"/>
  <c r="S37" i="46"/>
  <c r="V37" i="46" s="1"/>
  <c r="AP37" i="46" s="1"/>
  <c r="U37" i="46"/>
  <c r="AO37" i="46" s="1"/>
  <c r="U34" i="46"/>
  <c r="AO34" i="46" s="1"/>
  <c r="S34" i="46"/>
  <c r="V34" i="46" s="1"/>
  <c r="AP34" i="46" s="1"/>
  <c r="U19" i="41"/>
  <c r="S27" i="52"/>
  <c r="V27" i="52" s="1"/>
  <c r="AP27" i="52" s="1"/>
  <c r="U27" i="52"/>
  <c r="AO27" i="52" s="1"/>
  <c r="V34" i="51"/>
  <c r="T34" i="51"/>
  <c r="W34" i="51" s="1"/>
  <c r="L35" i="8" s="1"/>
  <c r="V38" i="47"/>
  <c r="AP38" i="47" s="1"/>
  <c r="T38" i="47"/>
  <c r="W38" i="47" s="1"/>
  <c r="J39" i="8" s="1"/>
  <c r="V23" i="52"/>
  <c r="T23" i="52"/>
  <c r="W23" i="52" s="1"/>
  <c r="N24" i="8" s="1"/>
  <c r="Q19" i="41"/>
  <c r="S27" i="51"/>
  <c r="V27" i="51" s="1"/>
  <c r="U27" i="51"/>
  <c r="AO27" i="51" s="1"/>
  <c r="S37" i="47"/>
  <c r="V37" i="47" s="1"/>
  <c r="U37" i="47"/>
  <c r="AO37" i="47" s="1"/>
  <c r="V29" i="51"/>
  <c r="AP29" i="51" s="1"/>
  <c r="AQ29" i="51" s="1"/>
  <c r="T29" i="51"/>
  <c r="W29" i="51" s="1"/>
  <c r="L30" i="8" s="1"/>
  <c r="T25" i="47"/>
  <c r="W25" i="47" s="1"/>
  <c r="J26" i="8" s="1"/>
  <c r="S32" i="52"/>
  <c r="V32" i="52" s="1"/>
  <c r="AP32" i="52" s="1"/>
  <c r="U32" i="52"/>
  <c r="U33" i="51"/>
  <c r="AO33" i="51" s="1"/>
  <c r="S33" i="51"/>
  <c r="V33" i="51" s="1"/>
  <c r="AP33" i="51" s="1"/>
  <c r="V31" i="47"/>
  <c r="AP31" i="47" s="1"/>
  <c r="AQ31" i="47" s="1"/>
  <c r="T31" i="47"/>
  <c r="W31" i="47" s="1"/>
  <c r="J32" i="8" s="1"/>
  <c r="U18" i="41"/>
  <c r="U26" i="52"/>
  <c r="S26" i="52"/>
  <c r="V26" i="52" s="1"/>
  <c r="V21" i="50"/>
  <c r="W21" i="50" s="1"/>
  <c r="V21" i="41"/>
  <c r="U37" i="52"/>
  <c r="S37" i="52"/>
  <c r="V37" i="52" s="1"/>
  <c r="AP37" i="52" s="1"/>
  <c r="S33" i="46"/>
  <c r="V33" i="46" s="1"/>
  <c r="AP33" i="46" s="1"/>
  <c r="U33" i="46"/>
  <c r="AO33" i="46" s="1"/>
  <c r="N17" i="50"/>
  <c r="N17" i="41"/>
  <c r="D229" i="34"/>
  <c r="D226" i="34"/>
  <c r="D223" i="34"/>
  <c r="AO23" i="52"/>
  <c r="V25" i="46"/>
  <c r="T25" i="46"/>
  <c r="W25" i="46" s="1"/>
  <c r="H26" i="8" s="1"/>
  <c r="AQ29" i="46"/>
  <c r="I19" i="41"/>
  <c r="S27" i="46"/>
  <c r="V27" i="46" s="1"/>
  <c r="AP27" i="46" s="1"/>
  <c r="U27" i="46"/>
  <c r="AP23" i="47"/>
  <c r="E125" i="34"/>
  <c r="E131" i="34"/>
  <c r="E128" i="34"/>
  <c r="D180" i="34"/>
  <c r="D177" i="34"/>
  <c r="D174" i="34"/>
  <c r="AO23" i="51"/>
  <c r="M19" i="41"/>
  <c r="U27" i="47"/>
  <c r="S27" i="47"/>
  <c r="V27" i="47" s="1"/>
  <c r="J21" i="41"/>
  <c r="K21" i="41" s="1"/>
  <c r="J21" i="50"/>
  <c r="K21" i="50" s="1"/>
  <c r="T34" i="47"/>
  <c r="W34" i="47" s="1"/>
  <c r="J35" i="8" s="1"/>
  <c r="Q18" i="41"/>
  <c r="S26" i="51"/>
  <c r="V26" i="51" s="1"/>
  <c r="AP26" i="51" s="1"/>
  <c r="U26" i="51"/>
  <c r="AO23" i="47"/>
  <c r="D128" i="34"/>
  <c r="D125" i="34"/>
  <c r="D131" i="34"/>
  <c r="V35" i="51"/>
  <c r="AP35" i="51" s="1"/>
  <c r="T35" i="51"/>
  <c r="W35" i="51" s="1"/>
  <c r="L36" i="8" s="1"/>
  <c r="AO31" i="46"/>
  <c r="V38" i="51"/>
  <c r="T38" i="51"/>
  <c r="W38" i="51" s="1"/>
  <c r="L39" i="8" s="1"/>
  <c r="S32" i="51"/>
  <c r="V32" i="51" s="1"/>
  <c r="AP32" i="51" s="1"/>
  <c r="U32" i="51"/>
  <c r="T35" i="52"/>
  <c r="W35" i="52" s="1"/>
  <c r="N36" i="8" s="1"/>
  <c r="AO35" i="51"/>
  <c r="AQ34" i="47"/>
  <c r="S15" i="47"/>
  <c r="V15" i="47" s="1"/>
  <c r="AP15" i="47" s="1"/>
  <c r="U15" i="47"/>
  <c r="AO15" i="47" s="1"/>
  <c r="U17" i="47"/>
  <c r="AO17" i="47" s="1"/>
  <c r="S17" i="47"/>
  <c r="V17" i="47" s="1"/>
  <c r="AP17" i="47" s="1"/>
  <c r="S21" i="47"/>
  <c r="V21" i="47" s="1"/>
  <c r="AP21" i="47" s="1"/>
  <c r="U21" i="47"/>
  <c r="AO21" i="47" s="1"/>
  <c r="M7" i="41"/>
  <c r="S6" i="47"/>
  <c r="V6" i="47" s="1"/>
  <c r="U6" i="47"/>
  <c r="R9" i="51"/>
  <c r="Q15" i="51"/>
  <c r="R15" i="51" s="1"/>
  <c r="AP6" i="46"/>
  <c r="E68" i="34"/>
  <c r="E62" i="34"/>
  <c r="E56" i="34"/>
  <c r="R8" i="51"/>
  <c r="AO6" i="46"/>
  <c r="D56" i="34"/>
  <c r="D62" i="34"/>
  <c r="D68" i="34"/>
  <c r="M9" i="41"/>
  <c r="U9" i="47"/>
  <c r="AO9" i="47" s="1"/>
  <c r="S9" i="47"/>
  <c r="V9" i="47" s="1"/>
  <c r="AP9" i="47" s="1"/>
  <c r="AP18" i="46"/>
  <c r="E66" i="34"/>
  <c r="E72" i="34"/>
  <c r="E60" i="34"/>
  <c r="AO18" i="46"/>
  <c r="D60" i="34"/>
  <c r="D72" i="34"/>
  <c r="D66" i="34"/>
  <c r="Q6" i="52"/>
  <c r="P18" i="52"/>
  <c r="P17" i="52"/>
  <c r="Q12" i="52"/>
  <c r="P21" i="52"/>
  <c r="Q9" i="52"/>
  <c r="P15" i="52"/>
  <c r="AQ20" i="46"/>
  <c r="AP15" i="46"/>
  <c r="AQ15" i="46" s="1"/>
  <c r="E65" i="34"/>
  <c r="E59" i="34"/>
  <c r="AO9" i="46"/>
  <c r="D63" i="34"/>
  <c r="D57" i="34"/>
  <c r="D69" i="34"/>
  <c r="R6" i="51"/>
  <c r="Q17" i="51"/>
  <c r="R17" i="51" s="1"/>
  <c r="Q18" i="51"/>
  <c r="R18" i="51" s="1"/>
  <c r="M12" i="41"/>
  <c r="S12" i="47"/>
  <c r="U12" i="47"/>
  <c r="AO12" i="47" s="1"/>
  <c r="U8" i="47"/>
  <c r="S8" i="47"/>
  <c r="M8" i="41"/>
  <c r="Q8" i="52"/>
  <c r="P14" i="52"/>
  <c r="U16" i="47"/>
  <c r="AO16" i="47" s="1"/>
  <c r="S16" i="47"/>
  <c r="AP9" i="46"/>
  <c r="R12" i="51"/>
  <c r="Q21" i="51"/>
  <c r="R21" i="51" s="1"/>
  <c r="S18" i="47"/>
  <c r="V18" i="47" s="1"/>
  <c r="U18" i="47"/>
  <c r="Q10" i="52"/>
  <c r="P20" i="52"/>
  <c r="P16" i="52"/>
  <c r="M10" i="41"/>
  <c r="S10" i="47"/>
  <c r="V10" i="47" s="1"/>
  <c r="AP10" i="47" s="1"/>
  <c r="U10" i="47"/>
  <c r="AO10" i="47" s="1"/>
  <c r="E71" i="34"/>
  <c r="R10" i="51"/>
  <c r="Q20" i="51"/>
  <c r="R20" i="51" s="1"/>
  <c r="Q16" i="51"/>
  <c r="R16" i="51" s="1"/>
  <c r="R14" i="51"/>
  <c r="F182" i="34"/>
  <c r="AQ36" i="47"/>
  <c r="N23" i="50"/>
  <c r="O23" i="50" s="1"/>
  <c r="AP32" i="47"/>
  <c r="AQ32" i="47" s="1"/>
  <c r="AP13" i="47"/>
  <c r="N13" i="50" s="1"/>
  <c r="O13" i="50" s="1"/>
  <c r="E113" i="34"/>
  <c r="E107" i="34"/>
  <c r="E119" i="34"/>
  <c r="AO13" i="47"/>
  <c r="D107" i="34"/>
  <c r="D119" i="34"/>
  <c r="D113" i="34"/>
  <c r="AP14" i="47"/>
  <c r="AO13" i="51"/>
  <c r="D162" i="34"/>
  <c r="D168" i="34"/>
  <c r="D156" i="34"/>
  <c r="AP13" i="51"/>
  <c r="R13" i="50" s="1"/>
  <c r="S13" i="50" s="1"/>
  <c r="E168" i="34"/>
  <c r="E156" i="34"/>
  <c r="E162" i="34"/>
  <c r="T5" i="51"/>
  <c r="W5" i="51" s="1"/>
  <c r="L6" i="8" s="1"/>
  <c r="S11" i="52"/>
  <c r="V11" i="52" s="1"/>
  <c r="AP11" i="52" s="1"/>
  <c r="U11" i="41"/>
  <c r="R11" i="41"/>
  <c r="R11" i="50"/>
  <c r="S11" i="50" s="1"/>
  <c r="J6" i="41"/>
  <c r="K6" i="41" s="1"/>
  <c r="J6" i="50"/>
  <c r="K6" i="50" s="1"/>
  <c r="T13" i="51"/>
  <c r="W13" i="51" s="1"/>
  <c r="L14" i="8" s="1"/>
  <c r="U11" i="52"/>
  <c r="AO11" i="52" s="1"/>
  <c r="T13" i="47"/>
  <c r="W13" i="47" s="1"/>
  <c r="J14" i="8" s="1"/>
  <c r="T14" i="47"/>
  <c r="W14" i="47" s="1"/>
  <c r="J15" i="8" s="1"/>
  <c r="O14" i="41"/>
  <c r="T11" i="51"/>
  <c r="W11" i="51" s="1"/>
  <c r="L12" i="8" s="1"/>
  <c r="S19" i="51"/>
  <c r="V19" i="51" s="1"/>
  <c r="AP19" i="51" s="1"/>
  <c r="U19" i="51"/>
  <c r="AO19" i="51" s="1"/>
  <c r="U13" i="52"/>
  <c r="S13" i="52"/>
  <c r="V13" i="52" s="1"/>
  <c r="S19" i="52"/>
  <c r="V19" i="52" s="1"/>
  <c r="AP19" i="52" s="1"/>
  <c r="U19" i="52"/>
  <c r="AO19" i="52" s="1"/>
  <c r="H6" i="8"/>
  <c r="O18" i="41"/>
  <c r="K13" i="41"/>
  <c r="K22" i="41"/>
  <c r="AQ5" i="46"/>
  <c r="AP5" i="51"/>
  <c r="AP5" i="47"/>
  <c r="W23" i="41"/>
  <c r="AO5" i="51"/>
  <c r="V5" i="52"/>
  <c r="E201" i="34" s="1"/>
  <c r="D67" i="67" s="1"/>
  <c r="T5" i="52"/>
  <c r="AO5" i="52"/>
  <c r="S20" i="41"/>
  <c r="S23" i="41"/>
  <c r="O20" i="41"/>
  <c r="K10" i="41"/>
  <c r="K23" i="41"/>
  <c r="O21" i="50"/>
  <c r="J6" i="8"/>
  <c r="K8" i="41"/>
  <c r="AQ38" i="52" l="1"/>
  <c r="D250" i="34"/>
  <c r="P6" i="63"/>
  <c r="F152" i="34"/>
  <c r="T38" i="46"/>
  <c r="W38" i="46" s="1"/>
  <c r="H39" i="8" s="1"/>
  <c r="D272" i="34"/>
  <c r="E250" i="34"/>
  <c r="AQ25" i="52"/>
  <c r="AO37" i="52"/>
  <c r="AQ37" i="52" s="1"/>
  <c r="E51" i="67"/>
  <c r="V17" i="50"/>
  <c r="T25" i="52"/>
  <c r="W25" i="52" s="1"/>
  <c r="N26" i="8" s="1"/>
  <c r="E67" i="67"/>
  <c r="U6" i="63"/>
  <c r="T15" i="47"/>
  <c r="W15" i="47" s="1"/>
  <c r="J16" i="8" s="1"/>
  <c r="F201" i="34"/>
  <c r="AQ31" i="51"/>
  <c r="T31" i="46"/>
  <c r="W31" i="46" s="1"/>
  <c r="H32" i="8" s="1"/>
  <c r="AQ38" i="47"/>
  <c r="AQ25" i="51"/>
  <c r="D73" i="34"/>
  <c r="F280" i="34"/>
  <c r="AQ23" i="51"/>
  <c r="R17" i="41"/>
  <c r="R16" i="50"/>
  <c r="S16" i="50" s="1"/>
  <c r="AQ15" i="47"/>
  <c r="E232" i="34"/>
  <c r="E180" i="34"/>
  <c r="E177" i="34"/>
  <c r="E174" i="34"/>
  <c r="E233" i="34"/>
  <c r="AP26" i="52"/>
  <c r="V18" i="50" s="1"/>
  <c r="E230" i="34"/>
  <c r="U14" i="63" s="1"/>
  <c r="T33" i="51"/>
  <c r="W33" i="51" s="1"/>
  <c r="L34" i="8" s="1"/>
  <c r="AQ37" i="46"/>
  <c r="E224" i="34"/>
  <c r="E227" i="34"/>
  <c r="E181" i="34"/>
  <c r="T37" i="52"/>
  <c r="W37" i="52" s="1"/>
  <c r="N38" i="8" s="1"/>
  <c r="AP23" i="52"/>
  <c r="V16" i="41" s="1"/>
  <c r="W16" i="41" s="1"/>
  <c r="E229" i="34"/>
  <c r="E226" i="34"/>
  <c r="E223" i="34"/>
  <c r="J6" i="63"/>
  <c r="AP38" i="51"/>
  <c r="AQ38" i="51" s="1"/>
  <c r="E184" i="34"/>
  <c r="E178" i="34"/>
  <c r="E175" i="34"/>
  <c r="AP34" i="51"/>
  <c r="AQ34" i="51" s="1"/>
  <c r="E183" i="34"/>
  <c r="P13" i="63"/>
  <c r="T13" i="63"/>
  <c r="P9" i="63"/>
  <c r="L9" i="63"/>
  <c r="Q9" i="63"/>
  <c r="L13" i="63"/>
  <c r="M13" i="63"/>
  <c r="N6" i="63"/>
  <c r="M9" i="63"/>
  <c r="H10" i="63"/>
  <c r="H8" i="63"/>
  <c r="I10" i="63"/>
  <c r="H7" i="63"/>
  <c r="H11" i="63"/>
  <c r="I7" i="63"/>
  <c r="E63" i="34"/>
  <c r="E69" i="34"/>
  <c r="I11" i="63"/>
  <c r="AQ27" i="52"/>
  <c r="AQ33" i="46"/>
  <c r="D184" i="34"/>
  <c r="T33" i="46"/>
  <c r="W33" i="46" s="1"/>
  <c r="H34" i="8" s="1"/>
  <c r="T20" i="47"/>
  <c r="W20" i="47" s="1"/>
  <c r="J21" i="8" s="1"/>
  <c r="T33" i="52"/>
  <c r="W33" i="52" s="1"/>
  <c r="N34" i="8" s="1"/>
  <c r="D175" i="34"/>
  <c r="T32" i="52"/>
  <c r="W32" i="52" s="1"/>
  <c r="N33" i="8" s="1"/>
  <c r="AO23" i="46"/>
  <c r="D79" i="34"/>
  <c r="D275" i="34" s="1"/>
  <c r="D82" i="34"/>
  <c r="D278" i="34" s="1"/>
  <c r="V23" i="46"/>
  <c r="E76" i="34" s="1"/>
  <c r="T6" i="47"/>
  <c r="W6" i="47" s="1"/>
  <c r="J7" i="8" s="1"/>
  <c r="E85" i="34"/>
  <c r="T26" i="51"/>
  <c r="W26" i="51" s="1"/>
  <c r="L27" i="8" s="1"/>
  <c r="T27" i="46"/>
  <c r="W27" i="46" s="1"/>
  <c r="H28" i="8" s="1"/>
  <c r="T10" i="47"/>
  <c r="W10" i="47" s="1"/>
  <c r="J11" i="8" s="1"/>
  <c r="E57" i="34"/>
  <c r="T17" i="47"/>
  <c r="W17" i="47" s="1"/>
  <c r="J18" i="8" s="1"/>
  <c r="J12" i="41"/>
  <c r="K12" i="41" s="1"/>
  <c r="J12" i="50"/>
  <c r="K12" i="50" s="1"/>
  <c r="AQ9" i="46"/>
  <c r="AQ12" i="46"/>
  <c r="E115" i="34"/>
  <c r="T33" i="47"/>
  <c r="W33" i="47" s="1"/>
  <c r="J34" i="8" s="1"/>
  <c r="T37" i="46"/>
  <c r="W37" i="46" s="1"/>
  <c r="H38" i="8" s="1"/>
  <c r="AQ33" i="52"/>
  <c r="D233" i="34"/>
  <c r="D227" i="34"/>
  <c r="T37" i="51"/>
  <c r="W37" i="51" s="1"/>
  <c r="L38" i="8" s="1"/>
  <c r="E134" i="34"/>
  <c r="T27" i="52"/>
  <c r="W27" i="52" s="1"/>
  <c r="N28" i="8" s="1"/>
  <c r="AQ37" i="51"/>
  <c r="D85" i="34"/>
  <c r="T35" i="46"/>
  <c r="W35" i="46" s="1"/>
  <c r="H36" i="8" s="1"/>
  <c r="F59" i="34"/>
  <c r="F65" i="34"/>
  <c r="D129" i="34"/>
  <c r="AQ33" i="51"/>
  <c r="E86" i="34"/>
  <c r="E77" i="34"/>
  <c r="AP35" i="46"/>
  <c r="E80" i="34"/>
  <c r="AQ35" i="51"/>
  <c r="N16" i="50"/>
  <c r="O16" i="50" s="1"/>
  <c r="N16" i="41"/>
  <c r="O16" i="41" s="1"/>
  <c r="D80" i="34"/>
  <c r="D86" i="34"/>
  <c r="D77" i="34"/>
  <c r="AO35" i="46"/>
  <c r="D135" i="34"/>
  <c r="F131" i="34"/>
  <c r="D224" i="34"/>
  <c r="AO32" i="52"/>
  <c r="AQ32" i="52" s="1"/>
  <c r="D232" i="34"/>
  <c r="T16" i="63" s="1"/>
  <c r="AP27" i="51"/>
  <c r="AQ27" i="51" s="1"/>
  <c r="T27" i="51"/>
  <c r="W27" i="51" s="1"/>
  <c r="L28" i="8" s="1"/>
  <c r="V19" i="41"/>
  <c r="V19" i="50"/>
  <c r="W19" i="50" s="1"/>
  <c r="D183" i="34"/>
  <c r="AO32" i="51"/>
  <c r="AQ32" i="51" s="1"/>
  <c r="AO27" i="46"/>
  <c r="AQ27" i="46" s="1"/>
  <c r="D83" i="34"/>
  <c r="F128" i="34"/>
  <c r="J19" i="41"/>
  <c r="K19" i="41" s="1"/>
  <c r="J19" i="50"/>
  <c r="K19" i="50" s="1"/>
  <c r="T26" i="52"/>
  <c r="W26" i="52" s="1"/>
  <c r="N27" i="8" s="1"/>
  <c r="T34" i="46"/>
  <c r="W34" i="46" s="1"/>
  <c r="H35" i="8" s="1"/>
  <c r="E83" i="34"/>
  <c r="AP25" i="46"/>
  <c r="AP37" i="47"/>
  <c r="AQ37" i="47" s="1"/>
  <c r="E135" i="34"/>
  <c r="E126" i="34"/>
  <c r="E129" i="34"/>
  <c r="F125" i="34"/>
  <c r="AQ23" i="47"/>
  <c r="AO26" i="52"/>
  <c r="D230" i="34"/>
  <c r="T14" i="63" s="1"/>
  <c r="AQ34" i="46"/>
  <c r="AO26" i="51"/>
  <c r="AQ26" i="51" s="1"/>
  <c r="D181" i="34"/>
  <c r="P14" i="63" s="1"/>
  <c r="T27" i="47"/>
  <c r="W27" i="47" s="1"/>
  <c r="J28" i="8" s="1"/>
  <c r="R21" i="50"/>
  <c r="S21" i="50" s="1"/>
  <c r="R21" i="41"/>
  <c r="AP27" i="47"/>
  <c r="E132" i="34"/>
  <c r="AQ31" i="46"/>
  <c r="AO27" i="47"/>
  <c r="D132" i="34"/>
  <c r="L14" i="63" s="1"/>
  <c r="AO33" i="47"/>
  <c r="AQ33" i="47" s="1"/>
  <c r="D134" i="34"/>
  <c r="L16" i="63" s="1"/>
  <c r="R18" i="41"/>
  <c r="S18" i="41" s="1"/>
  <c r="R18" i="50"/>
  <c r="S18" i="50" s="1"/>
  <c r="D178" i="34"/>
  <c r="D126" i="34"/>
  <c r="T37" i="47"/>
  <c r="W37" i="47" s="1"/>
  <c r="J38" i="8" s="1"/>
  <c r="T32" i="51"/>
  <c r="W32" i="51" s="1"/>
  <c r="L33" i="8" s="1"/>
  <c r="S20" i="51"/>
  <c r="V20" i="51" s="1"/>
  <c r="AP20" i="51" s="1"/>
  <c r="U20" i="51"/>
  <c r="AO20" i="51" s="1"/>
  <c r="S15" i="51"/>
  <c r="V15" i="51" s="1"/>
  <c r="AP15" i="51" s="1"/>
  <c r="U15" i="51"/>
  <c r="AO15" i="51" s="1"/>
  <c r="U16" i="51"/>
  <c r="AO16" i="51" s="1"/>
  <c r="S16" i="51"/>
  <c r="V16" i="51" s="1"/>
  <c r="AP16" i="51" s="1"/>
  <c r="U21" i="51"/>
  <c r="AO21" i="51" s="1"/>
  <c r="S21" i="51"/>
  <c r="V21" i="51" s="1"/>
  <c r="AP21" i="51" s="1"/>
  <c r="U18" i="51"/>
  <c r="AO18" i="51" s="1"/>
  <c r="S18" i="51"/>
  <c r="V18" i="51" s="1"/>
  <c r="AP18" i="51" s="1"/>
  <c r="R10" i="52"/>
  <c r="Q20" i="52"/>
  <c r="R20" i="52" s="1"/>
  <c r="Q16" i="52"/>
  <c r="R16" i="52" s="1"/>
  <c r="R12" i="52"/>
  <c r="Q21" i="52"/>
  <c r="R21" i="52" s="1"/>
  <c r="S14" i="51"/>
  <c r="V14" i="51" s="1"/>
  <c r="U14" i="51"/>
  <c r="T18" i="47"/>
  <c r="W18" i="47" s="1"/>
  <c r="J19" i="8" s="1"/>
  <c r="U17" i="51"/>
  <c r="AO17" i="51" s="1"/>
  <c r="S17" i="51"/>
  <c r="V17" i="51" s="1"/>
  <c r="AP17" i="51" s="1"/>
  <c r="T9" i="47"/>
  <c r="W9" i="47" s="1"/>
  <c r="J10" i="8" s="1"/>
  <c r="AO18" i="47"/>
  <c r="D121" i="34"/>
  <c r="D115" i="34"/>
  <c r="D109" i="34"/>
  <c r="R8" i="52"/>
  <c r="Q14" i="52"/>
  <c r="R14" i="52" s="1"/>
  <c r="U14" i="52" s="1"/>
  <c r="AO14" i="52" s="1"/>
  <c r="N9" i="41"/>
  <c r="N9" i="50"/>
  <c r="O9" i="50" s="1"/>
  <c r="J7" i="41"/>
  <c r="K7" i="41" s="1"/>
  <c r="J7" i="50"/>
  <c r="K7" i="50" s="1"/>
  <c r="AQ9" i="47"/>
  <c r="AP18" i="47"/>
  <c r="E109" i="34"/>
  <c r="S9" i="51"/>
  <c r="V9" i="51" s="1"/>
  <c r="AP9" i="51" s="1"/>
  <c r="U9" i="51"/>
  <c r="AO9" i="51" s="1"/>
  <c r="Q9" i="41"/>
  <c r="D112" i="34"/>
  <c r="D106" i="34"/>
  <c r="AO8" i="47"/>
  <c r="D118" i="34"/>
  <c r="F68" i="34"/>
  <c r="AQ17" i="47"/>
  <c r="AQ10" i="47"/>
  <c r="V12" i="47"/>
  <c r="AP12" i="47" s="1"/>
  <c r="AQ12" i="47" s="1"/>
  <c r="T12" i="47"/>
  <c r="W12" i="47" s="1"/>
  <c r="J13" i="8" s="1"/>
  <c r="F60" i="34"/>
  <c r="F56" i="34"/>
  <c r="E105" i="34"/>
  <c r="AP6" i="47"/>
  <c r="E111" i="34"/>
  <c r="E117" i="34"/>
  <c r="F72" i="34"/>
  <c r="AQ18" i="46"/>
  <c r="D114" i="34"/>
  <c r="J9" i="41"/>
  <c r="K9" i="41" s="1"/>
  <c r="J9" i="50"/>
  <c r="K9" i="50" s="1"/>
  <c r="U8" i="51"/>
  <c r="S8" i="51"/>
  <c r="Q8" i="41"/>
  <c r="Q10" i="41"/>
  <c r="S10" i="51"/>
  <c r="V10" i="51" s="1"/>
  <c r="AP10" i="51" s="1"/>
  <c r="U10" i="51"/>
  <c r="AO10" i="51" s="1"/>
  <c r="V8" i="47"/>
  <c r="T8" i="47"/>
  <c r="W8" i="47" s="1"/>
  <c r="J9" i="8" s="1"/>
  <c r="R6" i="52"/>
  <c r="Q18" i="52"/>
  <c r="R18" i="52" s="1"/>
  <c r="Q17" i="52"/>
  <c r="R17" i="52" s="1"/>
  <c r="D105" i="34"/>
  <c r="D111" i="34"/>
  <c r="AO6" i="47"/>
  <c r="D117" i="34"/>
  <c r="AQ6" i="46"/>
  <c r="D108" i="34"/>
  <c r="R9" i="52"/>
  <c r="Q15" i="52"/>
  <c r="R15" i="52" s="1"/>
  <c r="U15" i="52" s="1"/>
  <c r="AO15" i="52" s="1"/>
  <c r="AQ21" i="47"/>
  <c r="Q12" i="41"/>
  <c r="S12" i="51"/>
  <c r="U12" i="51"/>
  <c r="AO12" i="51" s="1"/>
  <c r="F66" i="34"/>
  <c r="F62" i="34"/>
  <c r="N10" i="41"/>
  <c r="N10" i="50"/>
  <c r="O10" i="50" s="1"/>
  <c r="F71" i="34"/>
  <c r="D120" i="34"/>
  <c r="E121" i="34"/>
  <c r="V16" i="47"/>
  <c r="T16" i="47"/>
  <c r="W16" i="47" s="1"/>
  <c r="J17" i="8" s="1"/>
  <c r="S6" i="51"/>
  <c r="Q7" i="41"/>
  <c r="U6" i="51"/>
  <c r="T21" i="47"/>
  <c r="W21" i="47" s="1"/>
  <c r="J22" i="8" s="1"/>
  <c r="N13" i="41"/>
  <c r="O13" i="41" s="1"/>
  <c r="R13" i="41"/>
  <c r="AQ13" i="47"/>
  <c r="AQ14" i="47"/>
  <c r="AQ13" i="51"/>
  <c r="F113" i="34"/>
  <c r="F119" i="34"/>
  <c r="F107" i="34"/>
  <c r="F156" i="34"/>
  <c r="AO13" i="52"/>
  <c r="D217" i="34"/>
  <c r="D266" i="34" s="1"/>
  <c r="D205" i="34"/>
  <c r="D254" i="34" s="1"/>
  <c r="D211" i="34"/>
  <c r="D260" i="34" s="1"/>
  <c r="F168" i="34"/>
  <c r="F162" i="34"/>
  <c r="AP13" i="52"/>
  <c r="V13" i="41" s="1"/>
  <c r="E211" i="34"/>
  <c r="E260" i="34" s="1"/>
  <c r="E205" i="34"/>
  <c r="E254" i="34" s="1"/>
  <c r="E217" i="34"/>
  <c r="E266" i="34" s="1"/>
  <c r="T11" i="52"/>
  <c r="W11" i="52" s="1"/>
  <c r="N12" i="8" s="1"/>
  <c r="AQ11" i="52"/>
  <c r="R14" i="50"/>
  <c r="S14" i="50" s="1"/>
  <c r="R14" i="41"/>
  <c r="S14" i="41" s="1"/>
  <c r="V14" i="50"/>
  <c r="W14" i="50" s="1"/>
  <c r="V14" i="41"/>
  <c r="V11" i="50"/>
  <c r="W11" i="50" s="1"/>
  <c r="V11" i="41"/>
  <c r="W11" i="41" s="1"/>
  <c r="N6" i="41"/>
  <c r="O6" i="41" s="1"/>
  <c r="N6" i="50"/>
  <c r="O6" i="50" s="1"/>
  <c r="R6" i="41"/>
  <c r="S6" i="41" s="1"/>
  <c r="R6" i="50"/>
  <c r="S6" i="50" s="1"/>
  <c r="AQ19" i="51"/>
  <c r="T13" i="52"/>
  <c r="W13" i="52" s="1"/>
  <c r="N14" i="8" s="1"/>
  <c r="T19" i="51"/>
  <c r="W19" i="51" s="1"/>
  <c r="L20" i="8" s="1"/>
  <c r="T19" i="52"/>
  <c r="W19" i="52" s="1"/>
  <c r="N20" i="8" s="1"/>
  <c r="AQ19" i="52"/>
  <c r="AQ5" i="51"/>
  <c r="AQ5" i="47"/>
  <c r="AP5" i="52"/>
  <c r="W5" i="52"/>
  <c r="N6" i="8" s="1"/>
  <c r="O22" i="41"/>
  <c r="O11" i="41"/>
  <c r="S11" i="41"/>
  <c r="W22" i="50"/>
  <c r="S16" i="41"/>
  <c r="O23" i="41"/>
  <c r="E276" i="34" l="1"/>
  <c r="E282" i="34"/>
  <c r="E272" i="34"/>
  <c r="E273" i="34"/>
  <c r="H14" i="63"/>
  <c r="D279" i="34"/>
  <c r="E279" i="34"/>
  <c r="E281" i="34"/>
  <c r="C20" i="67"/>
  <c r="C23" i="67" s="1"/>
  <c r="D273" i="34"/>
  <c r="D282" i="34"/>
  <c r="D276" i="34"/>
  <c r="D281" i="34"/>
  <c r="AQ16" i="51"/>
  <c r="C36" i="67"/>
  <c r="C39" i="67" s="1"/>
  <c r="E82" i="34"/>
  <c r="AQ10" i="51"/>
  <c r="C40" i="67"/>
  <c r="C43" i="67" s="1"/>
  <c r="F250" i="34"/>
  <c r="F180" i="34"/>
  <c r="AQ26" i="52"/>
  <c r="F223" i="34"/>
  <c r="V18" i="41"/>
  <c r="W18" i="41" s="1"/>
  <c r="C24" i="67"/>
  <c r="F226" i="34"/>
  <c r="F174" i="34"/>
  <c r="C44" i="67"/>
  <c r="D20" i="67"/>
  <c r="C28" i="67"/>
  <c r="F229" i="34"/>
  <c r="U17" i="63"/>
  <c r="E73" i="34"/>
  <c r="D122" i="34"/>
  <c r="Q13" i="63"/>
  <c r="R13" i="63" s="1"/>
  <c r="F233" i="34"/>
  <c r="R9" i="63"/>
  <c r="R6" i="63"/>
  <c r="F177" i="34"/>
  <c r="AQ23" i="52"/>
  <c r="U13" i="63"/>
  <c r="V13" i="63" s="1"/>
  <c r="V16" i="50"/>
  <c r="W16" i="50" s="1"/>
  <c r="N9" i="63"/>
  <c r="H17" i="63"/>
  <c r="J11" i="63"/>
  <c r="T9" i="63"/>
  <c r="L11" i="63"/>
  <c r="V14" i="63"/>
  <c r="U9" i="63"/>
  <c r="V6" i="63"/>
  <c r="T17" i="63"/>
  <c r="P16" i="63"/>
  <c r="P17" i="63"/>
  <c r="Q16" i="63"/>
  <c r="M7" i="63"/>
  <c r="L7" i="63"/>
  <c r="M11" i="63"/>
  <c r="L10" i="63"/>
  <c r="L8" i="63"/>
  <c r="L17" i="63"/>
  <c r="U16" i="63"/>
  <c r="V16" i="63" s="1"/>
  <c r="Q14" i="63"/>
  <c r="R14" i="63" s="1"/>
  <c r="M14" i="63"/>
  <c r="N14" i="63" s="1"/>
  <c r="M17" i="63"/>
  <c r="M16" i="63"/>
  <c r="N16" i="63" s="1"/>
  <c r="Q17" i="63"/>
  <c r="N13" i="63"/>
  <c r="F76" i="34"/>
  <c r="I14" i="63"/>
  <c r="F69" i="34"/>
  <c r="I17" i="63"/>
  <c r="H16" i="63"/>
  <c r="I16" i="63"/>
  <c r="J7" i="63"/>
  <c r="AP23" i="46"/>
  <c r="J16" i="50" s="1"/>
  <c r="K16" i="50" s="1"/>
  <c r="E79" i="34"/>
  <c r="E275" i="34" s="1"/>
  <c r="H13" i="63"/>
  <c r="J10" i="63"/>
  <c r="F63" i="34"/>
  <c r="I8" i="63"/>
  <c r="J8" i="63" s="1"/>
  <c r="S15" i="52"/>
  <c r="V15" i="52" s="1"/>
  <c r="AP15" i="52" s="1"/>
  <c r="AQ15" i="52" s="1"/>
  <c r="F134" i="34"/>
  <c r="F232" i="34"/>
  <c r="S14" i="52"/>
  <c r="V14" i="52" s="1"/>
  <c r="AP14" i="52" s="1"/>
  <c r="AQ14" i="52" s="1"/>
  <c r="AQ20" i="51"/>
  <c r="D158" i="34"/>
  <c r="F57" i="34"/>
  <c r="AQ18" i="51"/>
  <c r="T17" i="51"/>
  <c r="W17" i="51" s="1"/>
  <c r="L18" i="8" s="1"/>
  <c r="AQ6" i="47"/>
  <c r="T15" i="51"/>
  <c r="W15" i="51" s="1"/>
  <c r="L16" i="8" s="1"/>
  <c r="E158" i="34"/>
  <c r="D170" i="34"/>
  <c r="AQ17" i="51"/>
  <c r="T21" i="51"/>
  <c r="W21" i="51" s="1"/>
  <c r="L22" i="8" s="1"/>
  <c r="T16" i="51"/>
  <c r="W16" i="51" s="1"/>
  <c r="L17" i="8" s="1"/>
  <c r="F85" i="34"/>
  <c r="F183" i="34"/>
  <c r="F46" i="46"/>
  <c r="F50" i="46" s="1"/>
  <c r="F70" i="46" s="1"/>
  <c r="H98" i="34" s="1"/>
  <c r="F175" i="34"/>
  <c r="F86" i="34"/>
  <c r="F129" i="34"/>
  <c r="F80" i="34"/>
  <c r="F184" i="34"/>
  <c r="AQ27" i="47"/>
  <c r="F224" i="34"/>
  <c r="F230" i="34"/>
  <c r="E136" i="34"/>
  <c r="F83" i="34"/>
  <c r="F126" i="34"/>
  <c r="F178" i="34"/>
  <c r="F181" i="34"/>
  <c r="D185" i="34"/>
  <c r="E234" i="34"/>
  <c r="D136" i="34"/>
  <c r="F135" i="34"/>
  <c r="F132" i="34"/>
  <c r="E185" i="34"/>
  <c r="AQ25" i="46"/>
  <c r="J17" i="41"/>
  <c r="K17" i="41" s="1"/>
  <c r="J17" i="50"/>
  <c r="K17" i="50" s="1"/>
  <c r="F227" i="34"/>
  <c r="AQ35" i="46"/>
  <c r="D234" i="34"/>
  <c r="N19" i="50"/>
  <c r="O19" i="50" s="1"/>
  <c r="N19" i="41"/>
  <c r="O19" i="41" s="1"/>
  <c r="D87" i="34"/>
  <c r="D98" i="34" s="1"/>
  <c r="R19" i="50"/>
  <c r="S19" i="50" s="1"/>
  <c r="R19" i="41"/>
  <c r="S19" i="41" s="1"/>
  <c r="F77" i="34"/>
  <c r="U17" i="52"/>
  <c r="AO17" i="52" s="1"/>
  <c r="S17" i="52"/>
  <c r="V17" i="52" s="1"/>
  <c r="AP17" i="52" s="1"/>
  <c r="S21" i="52"/>
  <c r="V21" i="52" s="1"/>
  <c r="AP21" i="52" s="1"/>
  <c r="U21" i="52"/>
  <c r="AO21" i="52" s="1"/>
  <c r="D163" i="34"/>
  <c r="AO14" i="51"/>
  <c r="D169" i="34"/>
  <c r="D157" i="34"/>
  <c r="F111" i="34"/>
  <c r="F115" i="34"/>
  <c r="AQ21" i="51"/>
  <c r="U8" i="41"/>
  <c r="S8" i="52"/>
  <c r="V8" i="52" s="1"/>
  <c r="U8" i="52"/>
  <c r="F121" i="34"/>
  <c r="U12" i="41"/>
  <c r="S12" i="52"/>
  <c r="V12" i="52" s="1"/>
  <c r="AP12" i="52" s="1"/>
  <c r="U12" i="52"/>
  <c r="AO12" i="52" s="1"/>
  <c r="R10" i="41"/>
  <c r="S10" i="41" s="1"/>
  <c r="R10" i="50"/>
  <c r="S10" i="50" s="1"/>
  <c r="F109" i="34"/>
  <c r="AP16" i="47"/>
  <c r="AQ16" i="47" s="1"/>
  <c r="E108" i="34"/>
  <c r="E114" i="34"/>
  <c r="E120" i="34"/>
  <c r="V6" i="51"/>
  <c r="T6" i="51"/>
  <c r="W6" i="51" s="1"/>
  <c r="L7" i="8" s="1"/>
  <c r="AP14" i="51"/>
  <c r="E163" i="34"/>
  <c r="E169" i="34"/>
  <c r="E157" i="34"/>
  <c r="U20" i="52"/>
  <c r="AO20" i="52" s="1"/>
  <c r="S20" i="52"/>
  <c r="V20" i="52" s="1"/>
  <c r="AP20" i="52" s="1"/>
  <c r="AQ18" i="47"/>
  <c r="U10" i="41"/>
  <c r="S10" i="52"/>
  <c r="V10" i="52" s="1"/>
  <c r="AP10" i="52" s="1"/>
  <c r="U10" i="52"/>
  <c r="AO10" i="52" s="1"/>
  <c r="AQ15" i="51"/>
  <c r="V12" i="51"/>
  <c r="AP12" i="51" s="1"/>
  <c r="AQ12" i="51" s="1"/>
  <c r="T12" i="51"/>
  <c r="W12" i="51" s="1"/>
  <c r="L13" i="8" s="1"/>
  <c r="N7" i="41"/>
  <c r="N7" i="50"/>
  <c r="O7" i="50" s="1"/>
  <c r="S18" i="52"/>
  <c r="U18" i="52"/>
  <c r="AO8" i="51"/>
  <c r="D155" i="34"/>
  <c r="D161" i="34"/>
  <c r="D167" i="34"/>
  <c r="T18" i="51"/>
  <c r="W18" i="51" s="1"/>
  <c r="L19" i="8" s="1"/>
  <c r="T20" i="51"/>
  <c r="W20" i="51" s="1"/>
  <c r="L21" i="8" s="1"/>
  <c r="F105" i="34"/>
  <c r="V8" i="51"/>
  <c r="T8" i="51"/>
  <c r="W8" i="51" s="1"/>
  <c r="L9" i="8" s="1"/>
  <c r="S16" i="52"/>
  <c r="U16" i="52"/>
  <c r="AO16" i="52" s="1"/>
  <c r="E164" i="34"/>
  <c r="T9" i="51"/>
  <c r="W9" i="51" s="1"/>
  <c r="L10" i="8" s="1"/>
  <c r="U7" i="41"/>
  <c r="S6" i="52"/>
  <c r="U6" i="52"/>
  <c r="E106" i="34"/>
  <c r="AP8" i="47"/>
  <c r="E112" i="34"/>
  <c r="E118" i="34"/>
  <c r="R9" i="50"/>
  <c r="S9" i="50" s="1"/>
  <c r="R9" i="41"/>
  <c r="S9" i="41" s="1"/>
  <c r="U9" i="41"/>
  <c r="S9" i="52"/>
  <c r="V9" i="52" s="1"/>
  <c r="AP9" i="52" s="1"/>
  <c r="U9" i="52"/>
  <c r="AO9" i="52" s="1"/>
  <c r="D164" i="34"/>
  <c r="E170" i="34"/>
  <c r="D154" i="34"/>
  <c r="AO6" i="51"/>
  <c r="D160" i="34"/>
  <c r="D166" i="34"/>
  <c r="F117" i="34"/>
  <c r="T10" i="51"/>
  <c r="W10" i="51" s="1"/>
  <c r="L11" i="8" s="1"/>
  <c r="N12" i="41"/>
  <c r="N12" i="50"/>
  <c r="O12" i="50" s="1"/>
  <c r="AQ9" i="51"/>
  <c r="T14" i="51"/>
  <c r="W14" i="51" s="1"/>
  <c r="L15" i="8" s="1"/>
  <c r="V13" i="50"/>
  <c r="W13" i="50" s="1"/>
  <c r="AQ13" i="52"/>
  <c r="F217" i="34"/>
  <c r="F211" i="34"/>
  <c r="F205" i="34"/>
  <c r="V6" i="41"/>
  <c r="W6" i="41" s="1"/>
  <c r="V6" i="50"/>
  <c r="W6" i="50" s="1"/>
  <c r="F46" i="47"/>
  <c r="F50" i="47" s="1"/>
  <c r="F70" i="47" s="1"/>
  <c r="H147" i="34" s="1"/>
  <c r="S21" i="41"/>
  <c r="AQ5" i="52"/>
  <c r="F48" i="52"/>
  <c r="W20" i="41"/>
  <c r="S13" i="41"/>
  <c r="O21" i="41"/>
  <c r="W18" i="50"/>
  <c r="W14" i="41"/>
  <c r="O10" i="41"/>
  <c r="O9" i="41"/>
  <c r="W17" i="50"/>
  <c r="S17" i="50"/>
  <c r="J14" i="63" l="1"/>
  <c r="D28" i="67"/>
  <c r="D31" i="67" s="1"/>
  <c r="E278" i="34"/>
  <c r="D44" i="67"/>
  <c r="D47" i="67" s="1"/>
  <c r="D40" i="67"/>
  <c r="D43" i="67" s="1"/>
  <c r="F82" i="34"/>
  <c r="C60" i="67"/>
  <c r="C63" i="67" s="1"/>
  <c r="D36" i="67"/>
  <c r="E36" i="67" s="1"/>
  <c r="E39" i="67" s="1"/>
  <c r="C52" i="67"/>
  <c r="C55" i="67" s="1"/>
  <c r="T15" i="52"/>
  <c r="W15" i="52" s="1"/>
  <c r="N16" i="8" s="1"/>
  <c r="C56" i="67"/>
  <c r="C59" i="67" s="1"/>
  <c r="D23" i="67"/>
  <c r="C47" i="67"/>
  <c r="C48" i="67" s="1"/>
  <c r="C31" i="67"/>
  <c r="F79" i="34"/>
  <c r="D24" i="67"/>
  <c r="E24" i="67" s="1"/>
  <c r="E27" i="67" s="1"/>
  <c r="C27" i="67"/>
  <c r="V17" i="63"/>
  <c r="E20" i="67"/>
  <c r="E23" i="67" s="1"/>
  <c r="F272" i="34"/>
  <c r="E122" i="34"/>
  <c r="E147" i="34" s="1"/>
  <c r="D171" i="34"/>
  <c r="D196" i="34" s="1"/>
  <c r="F73" i="34"/>
  <c r="D147" i="34"/>
  <c r="F278" i="34"/>
  <c r="T20" i="52"/>
  <c r="W20" i="52" s="1"/>
  <c r="N21" i="8" s="1"/>
  <c r="N11" i="63"/>
  <c r="J17" i="63"/>
  <c r="V9" i="63"/>
  <c r="AQ23" i="46"/>
  <c r="J16" i="41"/>
  <c r="K16" i="41" s="1"/>
  <c r="F275" i="34"/>
  <c r="R16" i="63"/>
  <c r="J16" i="63"/>
  <c r="P11" i="63"/>
  <c r="R17" i="63"/>
  <c r="P8" i="63"/>
  <c r="Q11" i="63"/>
  <c r="P7" i="63"/>
  <c r="P10" i="63"/>
  <c r="Q10" i="63"/>
  <c r="M8" i="63"/>
  <c r="N8" i="63" s="1"/>
  <c r="N7" i="63"/>
  <c r="M10" i="63"/>
  <c r="N10" i="63" s="1"/>
  <c r="N17" i="63"/>
  <c r="I13" i="63"/>
  <c r="J13" i="63" s="1"/>
  <c r="E87" i="34"/>
  <c r="E98" i="34" s="1"/>
  <c r="AQ10" i="52"/>
  <c r="T14" i="52"/>
  <c r="W14" i="52" s="1"/>
  <c r="N15" i="8" s="1"/>
  <c r="F158" i="34"/>
  <c r="AQ21" i="52"/>
  <c r="T21" i="52"/>
  <c r="W21" i="52" s="1"/>
  <c r="N22" i="8" s="1"/>
  <c r="D212" i="34"/>
  <c r="D261" i="34" s="1"/>
  <c r="F118" i="34"/>
  <c r="F170" i="34"/>
  <c r="H44" i="8"/>
  <c r="T8" i="52"/>
  <c r="W8" i="52" s="1"/>
  <c r="N9" i="8" s="1"/>
  <c r="F112" i="34"/>
  <c r="F281" i="34"/>
  <c r="F164" i="34"/>
  <c r="AQ9" i="52"/>
  <c r="D218" i="34"/>
  <c r="D267" i="34" s="1"/>
  <c r="D206" i="34"/>
  <c r="D255" i="34" s="1"/>
  <c r="T17" i="52"/>
  <c r="W17" i="52" s="1"/>
  <c r="N18" i="8" s="1"/>
  <c r="F276" i="34"/>
  <c r="F185" i="34"/>
  <c r="F136" i="34"/>
  <c r="F234" i="34"/>
  <c r="AQ14" i="51"/>
  <c r="F273" i="34"/>
  <c r="F282" i="34"/>
  <c r="E160" i="34"/>
  <c r="E154" i="34"/>
  <c r="E166" i="34"/>
  <c r="AP6" i="51"/>
  <c r="AQ6" i="51" s="1"/>
  <c r="N8" i="41"/>
  <c r="O8" i="41" s="1"/>
  <c r="N8" i="50"/>
  <c r="O8" i="50" s="1"/>
  <c r="V12" i="41"/>
  <c r="V12" i="50"/>
  <c r="W12" i="50" s="1"/>
  <c r="V10" i="50"/>
  <c r="W10" i="50" s="1"/>
  <c r="V10" i="41"/>
  <c r="W10" i="41" s="1"/>
  <c r="F157" i="34"/>
  <c r="D203" i="34"/>
  <c r="D252" i="34" s="1"/>
  <c r="AO6" i="52"/>
  <c r="D215" i="34"/>
  <c r="D264" i="34" s="1"/>
  <c r="D209" i="34"/>
  <c r="D258" i="34" s="1"/>
  <c r="V18" i="52"/>
  <c r="T18" i="52"/>
  <c r="W18" i="52" s="1"/>
  <c r="N19" i="8" s="1"/>
  <c r="F120" i="34"/>
  <c r="F169" i="34"/>
  <c r="T9" i="52"/>
  <c r="W9" i="52" s="1"/>
  <c r="N10" i="8" s="1"/>
  <c r="V6" i="52"/>
  <c r="T6" i="52"/>
  <c r="W6" i="52" s="1"/>
  <c r="N7" i="8" s="1"/>
  <c r="AQ8" i="47"/>
  <c r="F114" i="34"/>
  <c r="D219" i="34"/>
  <c r="D268" i="34" s="1"/>
  <c r="AO18" i="52"/>
  <c r="D213" i="34"/>
  <c r="D262" i="34" s="1"/>
  <c r="D207" i="34"/>
  <c r="D256" i="34" s="1"/>
  <c r="F108" i="34"/>
  <c r="AQ20" i="52"/>
  <c r="F106" i="34"/>
  <c r="D216" i="34"/>
  <c r="D265" i="34" s="1"/>
  <c r="D204" i="34"/>
  <c r="D253" i="34" s="1"/>
  <c r="D210" i="34"/>
  <c r="D259" i="34" s="1"/>
  <c r="AO8" i="52"/>
  <c r="V9" i="50"/>
  <c r="W9" i="50" s="1"/>
  <c r="V9" i="41"/>
  <c r="W9" i="41" s="1"/>
  <c r="V16" i="52"/>
  <c r="T16" i="52"/>
  <c r="W16" i="52" s="1"/>
  <c r="N17" i="8" s="1"/>
  <c r="F163" i="34"/>
  <c r="E210" i="34"/>
  <c r="AP8" i="52"/>
  <c r="E204" i="34"/>
  <c r="E216" i="34"/>
  <c r="T12" i="52"/>
  <c r="W12" i="52" s="1"/>
  <c r="N13" i="8" s="1"/>
  <c r="R12" i="41"/>
  <c r="S12" i="41" s="1"/>
  <c r="R12" i="50"/>
  <c r="S12" i="50" s="1"/>
  <c r="E155" i="34"/>
  <c r="AP8" i="51"/>
  <c r="AQ8" i="51" s="1"/>
  <c r="E167" i="34"/>
  <c r="E161" i="34"/>
  <c r="T10" i="52"/>
  <c r="W10" i="52" s="1"/>
  <c r="N11" i="8" s="1"/>
  <c r="AQ12" i="52"/>
  <c r="AQ17" i="52"/>
  <c r="F254" i="34"/>
  <c r="F266" i="34"/>
  <c r="F260" i="34"/>
  <c r="W13" i="41"/>
  <c r="W19" i="41"/>
  <c r="S22" i="41"/>
  <c r="W22" i="41"/>
  <c r="S17" i="41"/>
  <c r="W21" i="41"/>
  <c r="O12" i="41"/>
  <c r="O7" i="41"/>
  <c r="E28" i="67" l="1"/>
  <c r="E31" i="67" s="1"/>
  <c r="F87" i="34"/>
  <c r="E259" i="34"/>
  <c r="E253" i="34"/>
  <c r="E265" i="34"/>
  <c r="E44" i="67"/>
  <c r="E47" i="67" s="1"/>
  <c r="D39" i="67"/>
  <c r="D48" i="67" s="1"/>
  <c r="E40" i="67"/>
  <c r="E43" i="67" s="1"/>
  <c r="C64" i="67"/>
  <c r="C32" i="67"/>
  <c r="C68" i="67"/>
  <c r="D56" i="67"/>
  <c r="C72" i="67"/>
  <c r="D60" i="67"/>
  <c r="C76" i="67"/>
  <c r="D52" i="67"/>
  <c r="E32" i="67"/>
  <c r="H50" i="8"/>
  <c r="B4" i="57" s="1"/>
  <c r="D27" i="67"/>
  <c r="D32" i="67" s="1"/>
  <c r="D220" i="34"/>
  <c r="D245" i="34" s="1"/>
  <c r="E171" i="34"/>
  <c r="E196" i="34" s="1"/>
  <c r="F122" i="34"/>
  <c r="F98" i="34"/>
  <c r="G32" i="67" s="1"/>
  <c r="T8" i="63"/>
  <c r="T10" i="63"/>
  <c r="U8" i="63"/>
  <c r="T7" i="63"/>
  <c r="T11" i="63"/>
  <c r="R11" i="63"/>
  <c r="Q7" i="63"/>
  <c r="R7" i="63" s="1"/>
  <c r="R10" i="63"/>
  <c r="Q8" i="63"/>
  <c r="R8" i="63" s="1"/>
  <c r="F160" i="34"/>
  <c r="F166" i="34"/>
  <c r="AQ8" i="52"/>
  <c r="E283" i="34"/>
  <c r="F167" i="34"/>
  <c r="F161" i="34"/>
  <c r="F279" i="34"/>
  <c r="F283" i="34" s="1"/>
  <c r="D283" i="34"/>
  <c r="F204" i="34"/>
  <c r="F216" i="34"/>
  <c r="R7" i="41"/>
  <c r="S7" i="41" s="1"/>
  <c r="R7" i="50"/>
  <c r="S7" i="50" s="1"/>
  <c r="V8" i="41"/>
  <c r="W8" i="41" s="1"/>
  <c r="V8" i="50"/>
  <c r="W8" i="50" s="1"/>
  <c r="F210" i="34"/>
  <c r="E213" i="34"/>
  <c r="E262" i="34" s="1"/>
  <c r="AP18" i="52"/>
  <c r="AQ18" i="52" s="1"/>
  <c r="E219" i="34"/>
  <c r="E207" i="34"/>
  <c r="E256" i="34" s="1"/>
  <c r="F155" i="34"/>
  <c r="E203" i="34"/>
  <c r="E252" i="34" s="1"/>
  <c r="E209" i="34"/>
  <c r="E258" i="34" s="1"/>
  <c r="AP6" i="52"/>
  <c r="AQ6" i="52" s="1"/>
  <c r="E215" i="34"/>
  <c r="E264" i="34" s="1"/>
  <c r="R8" i="50"/>
  <c r="S8" i="50" s="1"/>
  <c r="R8" i="41"/>
  <c r="S8" i="41" s="1"/>
  <c r="AP16" i="52"/>
  <c r="AQ16" i="52" s="1"/>
  <c r="E206" i="34"/>
  <c r="E255" i="34" s="1"/>
  <c r="E212" i="34"/>
  <c r="E261" i="34" s="1"/>
  <c r="E218" i="34"/>
  <c r="E267" i="34" s="1"/>
  <c r="W17" i="41"/>
  <c r="F46" i="51"/>
  <c r="F50" i="51" s="1"/>
  <c r="F70" i="51" s="1"/>
  <c r="H196" i="34" s="1"/>
  <c r="F46" i="52"/>
  <c r="J44" i="8"/>
  <c r="J50" i="8" s="1"/>
  <c r="O17" i="41"/>
  <c r="W12" i="41"/>
  <c r="O17" i="50"/>
  <c r="E48" i="67" l="1"/>
  <c r="F219" i="34"/>
  <c r="E268" i="34"/>
  <c r="D68" i="67"/>
  <c r="E68" i="67" s="1"/>
  <c r="E71" i="67" s="1"/>
  <c r="D76" i="67"/>
  <c r="E76" i="67" s="1"/>
  <c r="E79" i="67" s="1"/>
  <c r="C79" i="67"/>
  <c r="D63" i="67"/>
  <c r="E60" i="67"/>
  <c r="E63" i="67" s="1"/>
  <c r="D55" i="67"/>
  <c r="E52" i="67"/>
  <c r="E55" i="67" s="1"/>
  <c r="F209" i="34"/>
  <c r="D72" i="67"/>
  <c r="E72" i="67" s="1"/>
  <c r="E75" i="67" s="1"/>
  <c r="C75" i="67"/>
  <c r="D59" i="67"/>
  <c r="E56" i="67"/>
  <c r="E59" i="67" s="1"/>
  <c r="C71" i="67"/>
  <c r="H32" i="67"/>
  <c r="F203" i="34"/>
  <c r="E220" i="34"/>
  <c r="E245" i="34" s="1"/>
  <c r="I98" i="34"/>
  <c r="U10" i="63"/>
  <c r="V10" i="63" s="1"/>
  <c r="U11" i="63"/>
  <c r="V11" i="63" s="1"/>
  <c r="U7" i="63"/>
  <c r="V7" i="63" s="1"/>
  <c r="V8" i="63"/>
  <c r="F212" i="34"/>
  <c r="F265" i="34"/>
  <c r="F253" i="34"/>
  <c r="F207" i="34"/>
  <c r="F206" i="34"/>
  <c r="F213" i="34"/>
  <c r="F259" i="34"/>
  <c r="V7" i="41"/>
  <c r="W7" i="41" s="1"/>
  <c r="V7" i="50"/>
  <c r="W7" i="50" s="1"/>
  <c r="F215" i="34"/>
  <c r="F218" i="34"/>
  <c r="B5" i="57"/>
  <c r="F50" i="52"/>
  <c r="F70" i="52" s="1"/>
  <c r="H245" i="34" s="1"/>
  <c r="L44" i="8"/>
  <c r="D64" i="67" l="1"/>
  <c r="C80" i="67"/>
  <c r="D71" i="67"/>
  <c r="D269" i="34"/>
  <c r="D294" i="34" s="1"/>
  <c r="D79" i="67"/>
  <c r="E80" i="67"/>
  <c r="D75" i="67"/>
  <c r="E64" i="67"/>
  <c r="L50" i="8"/>
  <c r="B6" i="57" s="1"/>
  <c r="F220" i="34"/>
  <c r="F245" i="34" s="1"/>
  <c r="G80" i="67" s="1"/>
  <c r="F267" i="34"/>
  <c r="F264" i="34"/>
  <c r="F262" i="34"/>
  <c r="F258" i="34"/>
  <c r="F256" i="34"/>
  <c r="F255" i="34"/>
  <c r="F268" i="34"/>
  <c r="F261" i="34"/>
  <c r="N44" i="8"/>
  <c r="N50" i="8" s="1"/>
  <c r="Y5" i="1"/>
  <c r="F46" i="1" s="1"/>
  <c r="F50" i="1" s="1"/>
  <c r="F70" i="1" s="1"/>
  <c r="D80" i="67" l="1"/>
  <c r="H80" i="67"/>
  <c r="F252" i="34"/>
  <c r="F269" i="34" s="1"/>
  <c r="F294" i="34" s="1"/>
  <c r="G96" i="67" s="1"/>
  <c r="E269" i="34"/>
  <c r="E294" i="34" s="1"/>
  <c r="I245" i="34"/>
  <c r="H49" i="34"/>
  <c r="B7" i="57"/>
  <c r="F44" i="8"/>
  <c r="F50" i="8" s="1"/>
  <c r="F52" i="8" s="1"/>
  <c r="F6" i="8"/>
  <c r="H294" i="34" l="1"/>
  <c r="B3" i="57"/>
  <c r="B9" i="57" s="1"/>
  <c r="H96" i="67" l="1"/>
  <c r="I294" i="34"/>
  <c r="I49" i="34"/>
  <c r="B10" i="57"/>
  <c r="F139" i="34" l="1"/>
  <c r="F154" i="34"/>
  <c r="F171" i="34" s="1"/>
  <c r="F196" i="34" s="1"/>
  <c r="G64" i="67" s="1"/>
  <c r="H64" i="67" s="1"/>
  <c r="F138" i="34"/>
  <c r="F141" i="34" l="1"/>
  <c r="F147" i="34" s="1"/>
  <c r="I196" i="34"/>
  <c r="I147" i="34" l="1"/>
  <c r="G48" i="67"/>
  <c r="H48" i="67" s="1"/>
</calcChain>
</file>

<file path=xl/sharedStrings.xml><?xml version="1.0" encoding="utf-8"?>
<sst xmlns="http://schemas.openxmlformats.org/spreadsheetml/2006/main" count="1827" uniqueCount="292">
  <si>
    <t>INSTRUCTIONS TO OFFERORS</t>
  </si>
  <si>
    <t>General</t>
  </si>
  <si>
    <t>1</t>
  </si>
  <si>
    <t>The Prime Offeror shall complete this Government Format Pricing Model (GFPM).</t>
  </si>
  <si>
    <t>2</t>
  </si>
  <si>
    <t xml:space="preserve">All proposed direct labor rates shall be in line with justifying data (historical/incurred costs, salary survey, BLS OES etc.) for each identified locality. </t>
  </si>
  <si>
    <t>3</t>
  </si>
  <si>
    <t>Subcontractor offerors shall complete the subcontractor GFPM (GFPM-Subs).</t>
  </si>
  <si>
    <t>3a</t>
  </si>
  <si>
    <t>The Government has included a separate subcontractor GFPM attachment (GFPM-Subs) for the prime offeror to provide each subcontractor. The subcontractor GFPM shall be utilized for each subcontractor to show its compliance with providing a full labor buildup, per labor category and to ensure compliance with the Government provided floor rates.</t>
  </si>
  <si>
    <t>3b</t>
  </si>
  <si>
    <t>All subcontractors must provide the subcontractor GFPM (GFPM-Subs) to the prime offeror for submittal to the Government as part of its prime offeror proposal OR each subcontractor must submit this file directly to the Government.</t>
  </si>
  <si>
    <t>3c</t>
  </si>
  <si>
    <t xml:space="preserve">To promote consistency between subcontractor files and prime offeror files, the Government has provided a "Sub - FBLR Summary" tab within the GFPM-Subs for the subcontractor to be able to more easily transfer its proposed FBLRs, for its provided labor categories, to the prime offeror for the prime offeror to include in its proposal.  </t>
  </si>
  <si>
    <t>This tab is for offerors to certify that the provided employees meet or exceed the minimum education/experience requirements identified by the USG and to provide an offeror specific labor category name for each labor category identified in the SOW.</t>
  </si>
  <si>
    <r>
      <t xml:space="preserve">Offerors shall input offeror name into cell </t>
    </r>
    <r>
      <rPr>
        <sz val="11"/>
        <color rgb="FFFF0000"/>
        <rFont val="Calibri"/>
        <family val="2"/>
        <scheme val="minor"/>
      </rPr>
      <t>C2</t>
    </r>
    <r>
      <rPr>
        <sz val="11"/>
        <rFont val="Calibri"/>
        <family val="2"/>
        <scheme val="minor"/>
      </rPr>
      <t>.</t>
    </r>
  </si>
  <si>
    <t>4</t>
  </si>
  <si>
    <t>5</t>
  </si>
  <si>
    <t>6</t>
  </si>
  <si>
    <t>No other offeror input necessary, all totals will auto-populate from the "Ordering Period 1", "Ordering Period 2", "Ordering Period 3", "Ordering Period 4", "Ordering Period 5" tabs. The USG may utilize this tab while evaluating the Most Probable Cost to the Government.</t>
  </si>
  <si>
    <t>"Ordering Period 1", "Ordering Period 2",  "Ordering Period 3", "Ordering Period 4", and "Ordering Period 5" Tabs</t>
  </si>
  <si>
    <t>Offeror input is required in all applicable cells highlighted in yellow.</t>
  </si>
  <si>
    <t>The "Ordering Period Labor Categories &amp; Hours" (columns A - H) contain all of the performance locations and labor categories that the USG anticipates to be necessary for completion of this effort.   The "Req. Hours" column (Column F) contains the total number of hours to be proposed for each of the USG identified labor categories. The hours may be allocated to the prime contractor and/or subcontractors. All Proposed (prime &amp; subcontractor) labor hours must be equal to the total number of hours identified in the "Req. Hours" column.</t>
  </si>
  <si>
    <t>2a</t>
  </si>
  <si>
    <t>2b</t>
  </si>
  <si>
    <t>4a</t>
  </si>
  <si>
    <t>All values populate based on the offerors input in the "Prime Labor" and "Subcontractor Labor" tables. No offeror input is necessary.</t>
  </si>
  <si>
    <t>5a</t>
  </si>
  <si>
    <t>7</t>
  </si>
  <si>
    <t>"Escalation" Tab</t>
  </si>
  <si>
    <t>"Composite Labor Rates" Tab</t>
  </si>
  <si>
    <t>No offeror input is necessary.</t>
  </si>
  <si>
    <t>"Prime Ceiling Rates" Tab:</t>
  </si>
  <si>
    <t>The Government is requiring prime contractors to propose a cost ceiling on their fully burdened labor rates (FBLRS) (less fee), where the ceiling is equal to the proposed FBLR (less fee) for each labor category plus 10% for CONUS or 20% for OCONUS. This tab includes a formula that auto-calculates these ceiling rates for each period.</t>
  </si>
  <si>
    <t>"Subcontractor Ceiling Rates" Tab:</t>
  </si>
  <si>
    <t>Service</t>
  </si>
  <si>
    <t>ID</t>
  </si>
  <si>
    <t>Labor Category</t>
  </si>
  <si>
    <t>Offeror Labor Category</t>
  </si>
  <si>
    <t>Location</t>
  </si>
  <si>
    <t>Offeror Certification</t>
  </si>
  <si>
    <t>Date of Certification</t>
  </si>
  <si>
    <t>Program Management</t>
  </si>
  <si>
    <t>Field Service Representative (FSR)</t>
  </si>
  <si>
    <t>OFFEROR NAME:</t>
  </si>
  <si>
    <t>Total Proposed Price</t>
  </si>
  <si>
    <t>Required Labor - Labor Category</t>
  </si>
  <si>
    <t xml:space="preserve">Location </t>
  </si>
  <si>
    <t>Ordering Period 1</t>
  </si>
  <si>
    <t>Ordering Period 2</t>
  </si>
  <si>
    <t>Ordering Period 3</t>
  </si>
  <si>
    <t>Ordering Period 4</t>
  </si>
  <si>
    <t>Ordering Period 5</t>
  </si>
  <si>
    <t>001</t>
  </si>
  <si>
    <t>Project Management Specialist</t>
  </si>
  <si>
    <t>CONUS</t>
  </si>
  <si>
    <t>002</t>
  </si>
  <si>
    <t>Field Service Representative</t>
  </si>
  <si>
    <t>003</t>
  </si>
  <si>
    <t>Heavy Equipment Mechanic</t>
  </si>
  <si>
    <t>004</t>
  </si>
  <si>
    <t>005</t>
  </si>
  <si>
    <t>006</t>
  </si>
  <si>
    <t>007</t>
  </si>
  <si>
    <t>008</t>
  </si>
  <si>
    <t>Welder</t>
  </si>
  <si>
    <t>009</t>
  </si>
  <si>
    <t>010</t>
  </si>
  <si>
    <t xml:space="preserve">Instructor  </t>
  </si>
  <si>
    <t>011</t>
  </si>
  <si>
    <t>012</t>
  </si>
  <si>
    <t>Material Handling Specialist</t>
  </si>
  <si>
    <t>013</t>
  </si>
  <si>
    <t>014</t>
  </si>
  <si>
    <t>Supply/Procurement Specialist</t>
  </si>
  <si>
    <t>015</t>
  </si>
  <si>
    <t>016</t>
  </si>
  <si>
    <t>OCONUS</t>
  </si>
  <si>
    <t>017</t>
  </si>
  <si>
    <t>Description:</t>
  </si>
  <si>
    <t>Total Labor</t>
  </si>
  <si>
    <t xml:space="preserve">Subtotal (Per Period of Performance)                                       </t>
  </si>
  <si>
    <t>Ordering Period 1:</t>
  </si>
  <si>
    <t>Ordering Period 1 Labor Categories &amp; Hours</t>
  </si>
  <si>
    <t>Prime Contractor CPFF Labor</t>
  </si>
  <si>
    <t>Subcontractor Labor</t>
  </si>
  <si>
    <t>Composite FBLR (Prime &amp; Sub)</t>
  </si>
  <si>
    <t>Reference</t>
  </si>
  <si>
    <t>Req. Hours</t>
  </si>
  <si>
    <t>Prop Hours.</t>
  </si>
  <si>
    <t>Delta 
(Req. - Prop.)</t>
  </si>
  <si>
    <t>Prime Hours</t>
  </si>
  <si>
    <t>(Floor Rate)</t>
  </si>
  <si>
    <t>Direct Labor
(Proposed)</t>
  </si>
  <si>
    <t>Direct Labor
(Calculation)</t>
  </si>
  <si>
    <t>Fringe Benefit</t>
  </si>
  <si>
    <t>Labor OH</t>
  </si>
  <si>
    <t>G&amp;A</t>
  </si>
  <si>
    <t>FCCOM</t>
  </si>
  <si>
    <t>Cost</t>
  </si>
  <si>
    <t>Fee</t>
  </si>
  <si>
    <t>FBLR</t>
  </si>
  <si>
    <t>Total Cost</t>
  </si>
  <si>
    <t>Total Fee</t>
  </si>
  <si>
    <t>Total Price</t>
  </si>
  <si>
    <t>Sub Hours</t>
  </si>
  <si>
    <t>Sub FBLR</t>
  </si>
  <si>
    <t>Sub FBLR (Calculation)</t>
  </si>
  <si>
    <t>Prime OH</t>
  </si>
  <si>
    <t>Prime G&amp;A</t>
  </si>
  <si>
    <t>Prime FCCOM</t>
  </si>
  <si>
    <t>Prime Fee</t>
  </si>
  <si>
    <t>FBLR (Inclusive of All Prime Adders)</t>
  </si>
  <si>
    <t>Name of Subcontractor(s)</t>
  </si>
  <si>
    <t>Blended Sub FBLR (Y/N)</t>
  </si>
  <si>
    <t>Billing Nomenclature</t>
  </si>
  <si>
    <t>CPFF</t>
  </si>
  <si>
    <t xml:space="preserve">CONUS </t>
  </si>
  <si>
    <t>Total</t>
  </si>
  <si>
    <t>CONUS HOURS</t>
  </si>
  <si>
    <t>OCONUS HOURS</t>
  </si>
  <si>
    <t>TOTAL HOURS</t>
  </si>
  <si>
    <t>OP1 LABOR</t>
  </si>
  <si>
    <t>OP1 Hours</t>
  </si>
  <si>
    <t>OP1 Price</t>
  </si>
  <si>
    <t>Prime Contractor</t>
  </si>
  <si>
    <t xml:space="preserve">CPFF Labor </t>
  </si>
  <si>
    <t>Subcontractor</t>
  </si>
  <si>
    <t>TOTAL LABOR</t>
  </si>
  <si>
    <t>TOTAL PRICE</t>
  </si>
  <si>
    <t>Ordering Period 2:</t>
  </si>
  <si>
    <t>Ordering Period 2 Labor Categories &amp; Hours</t>
  </si>
  <si>
    <t>OP2 LABOR</t>
  </si>
  <si>
    <t>OP2 Hours</t>
  </si>
  <si>
    <t>OP2 Price</t>
  </si>
  <si>
    <t>Ordering Period 3:</t>
  </si>
  <si>
    <t>Ordering Period 3 Labor Categories &amp; Hours</t>
  </si>
  <si>
    <t>OP3 LABOR</t>
  </si>
  <si>
    <t>OP3 Hours</t>
  </si>
  <si>
    <t>OP3 Price</t>
  </si>
  <si>
    <t>Ordering Period 4:</t>
  </si>
  <si>
    <t>Ordering Period 4 Labor Categories &amp; Hours</t>
  </si>
  <si>
    <t>OP4 LABOR</t>
  </si>
  <si>
    <t>OP4 Hours</t>
  </si>
  <si>
    <t>OP4 Price</t>
  </si>
  <si>
    <t>Ordering Period 5:</t>
  </si>
  <si>
    <t>Ordering Period 5 Labor Categories &amp; Hours</t>
  </si>
  <si>
    <t>OP5 LABOR</t>
  </si>
  <si>
    <t>OP5 Hours</t>
  </si>
  <si>
    <t>OP5 Price</t>
  </si>
  <si>
    <t>Ordering Period</t>
  </si>
  <si>
    <t>Minimum 
Escalation</t>
  </si>
  <si>
    <t>Proposed
 Escalation</t>
  </si>
  <si>
    <t>Calculated 
Escalation</t>
  </si>
  <si>
    <t>CPFF FBLR</t>
  </si>
  <si>
    <t xml:space="preserve">Fee </t>
  </si>
  <si>
    <t>Prime Contractor Labor Ceilings</t>
  </si>
  <si>
    <t>Cost Ceiling</t>
  </si>
  <si>
    <t>FBLR 
Ceiling</t>
  </si>
  <si>
    <t>Subcontractor Labor Ceilings</t>
  </si>
  <si>
    <t>Subcontractor offerors shall submit a detailed cost build up for each proposed fully burdened labor rate utilizing Attachment 0016 (GFPM-Subs). Subcontractors may choose to submit the cost build up data as part of the prime contractor's cost submission or as a separate submission directly to the Government.  If reconciliation differences exist between the prime contractor's pricing submission and the subcontractor cost build up spreadsheets, the Government will rely on the data entered into the prime contractor's Government format spreadsheets to make any reasonableness/realism determinations.</t>
  </si>
  <si>
    <t>Category</t>
  </si>
  <si>
    <t>CLIN</t>
  </si>
  <si>
    <t>TOTAL</t>
  </si>
  <si>
    <t>Total CONUS Labor</t>
  </si>
  <si>
    <t>Total OCONUS Labor</t>
  </si>
  <si>
    <t>Ordering Period 1 TOTAL</t>
  </si>
  <si>
    <t>Travel - Lodging</t>
  </si>
  <si>
    <t>Travel - M&amp;IE</t>
  </si>
  <si>
    <t>Proposed Discount</t>
  </si>
  <si>
    <t>Proposed Ceiling</t>
  </si>
  <si>
    <t>Government Plug</t>
  </si>
  <si>
    <t>DBA</t>
  </si>
  <si>
    <t>2c</t>
  </si>
  <si>
    <t>Indirect Rate on Travel/Material/ODC</t>
  </si>
  <si>
    <t>Ordering Period 5 TOTAL</t>
  </si>
  <si>
    <t>Ordering Period 4 TOTAL</t>
  </si>
  <si>
    <t>Ordering Period 3 TOTAL</t>
  </si>
  <si>
    <t>Ordering Period 2 TOTAL</t>
  </si>
  <si>
    <t>In Column E, a person legally authorized to bind the offeror shall enter their name for certification. This person is certifying that the offerors (prime &amp; subcontractor) will provide personnel that meet the minimum qualifications in accordance with the SOW throughout the entire performance period of this effort.  In Column G the same person shall enter the date of certification.</t>
  </si>
  <si>
    <t xml:space="preserve">This tab organizes all proposed composite (prime and subcontractor) costs, fees and fully burdened labor rates. All values automatically populate based on offerors input on the "Ordering Period" tabs.  </t>
  </si>
  <si>
    <t>2d</t>
  </si>
  <si>
    <t>4b</t>
  </si>
  <si>
    <t>6a</t>
  </si>
  <si>
    <t>6b</t>
  </si>
  <si>
    <t>6c</t>
  </si>
  <si>
    <t>8</t>
  </si>
  <si>
    <t>"Minimum Qualifications" Tab</t>
  </si>
  <si>
    <t>Hours</t>
  </si>
  <si>
    <t>TOTAL PROPOSED PRICE</t>
  </si>
  <si>
    <t>Extended Price</t>
  </si>
  <si>
    <t>"Total - Summary" Tab</t>
  </si>
  <si>
    <t>"Total - Detail" Tab</t>
  </si>
  <si>
    <t>Other OH</t>
  </si>
  <si>
    <r>
      <t xml:space="preserve"> Offerors shall insert direct labor rates in the OP1 tab for the applicable labor categories in Column L (</t>
    </r>
    <r>
      <rPr>
        <sz val="11"/>
        <color rgb="FFFF0000"/>
        <rFont val="Calibri"/>
        <family val="2"/>
        <scheme val="minor"/>
      </rPr>
      <t>L5 - L36</t>
    </r>
    <r>
      <rPr>
        <sz val="11"/>
        <rFont val="Calibri"/>
        <family val="2"/>
        <scheme val="minor"/>
      </rPr>
      <t>).  Note: Per section L of the RTOP, the proposed direct labor rate must meet or exceed the USG floor rates referenced in the OP1 tab in Column K (</t>
    </r>
    <r>
      <rPr>
        <sz val="11"/>
        <color rgb="FFFF0000"/>
        <rFont val="Calibri"/>
        <family val="2"/>
        <scheme val="minor"/>
      </rPr>
      <t>K5 - K36</t>
    </r>
    <r>
      <rPr>
        <sz val="11"/>
        <rFont val="Calibri"/>
        <family val="2"/>
        <scheme val="minor"/>
      </rPr>
      <t>).</t>
    </r>
  </si>
  <si>
    <t>In the "Prime Contractor CPFF Labor" table (columns J - Y in the Ordering Period 1 (OP1) tab and columns J - W in the OP2, OP3, OP4 &amp; OP5 tabs), offerors shall input the proposed number of hours that will be completed by the prime contractor for each of the USG identified labor categories. Offerors are required to submit fully burdened labor rates for each of the USG identified labor categories (column V in the OP1 tab and column T in the OP2, OP3, OP4 &amp; OP5 tabs). Offerors shall insert all of the cost elements (direct labor, DBA Insurance, fringe benefit cost, labor overhead costs, general &amp; administrative cost, fee etc.) that make up all of the fully burdened labor rates proposed for each of the USG identified labor categories (columns L - U in the OP1 tab and columns K - S in the OP2, OP3, OP4 &amp; OP5 tabs). Columns W - Y in the OP1 tab and columns U - W in the OP2, OP3, OP4 &amp; OP5 tabs automatically calculate based on the offeror's inputs.</t>
  </si>
  <si>
    <t>In the event a Prime Offeror proposes a direct labor rate below the floor rate in error, the GFPM corrects this error by utilizing the floor rate (as calculated by the pre-populated formula in column M in the OP1 tab) to compute the Prime Offeror costs that contribute to the Prime Offeror proposed FBLR in column V.</t>
  </si>
  <si>
    <t>In the "Subcontractor Labor" table (columns AA - AO in the OP1 tab and columns Y - AM in the OP2, OP3, OP4 &amp; OP5 tabs), offerors shall input the proposed number of hours that will be completed by the subcontractor for each of the USG identified labor categories. Offerors are required to submit fully burdened labor rates for each of the applicable USG identified labor categories (column AI in the OP1 tab and column AG in the OP2, OP3, OP4 &amp; OP5 tabs). Offerors shall insert all of the cost elements (FBLRs, prime overhead costs, prime general &amp; administrative cost, prime fee etc.) that make up all of the fully burdened labor rates proposed for each of the applicable USG identified labor categories (columns AB - AH in the OP1 tab and columns Z - AF in the OP2, OP3, OP4 &amp; OP5 tabs). Columns AJ - AL in the OP1 tab and Columns AH - AJ in the OP2, OP3, OP4 &amp; OP5 tabs automatically calculate based on the offeror's inputs. If necessary, subcontractors may submit additional cost data in it's own format to further justify the proposed single elements of the subcontractor labor costs.</t>
  </si>
  <si>
    <t>In column AM in the OP1 tab and AK in the OP2, OP3, OP4 &amp; OP5 tabs, the prime offeror shall enter the name of the subcontractor(s) proposed to complete the hours associated with each labor category. If the prime offeror proposes more than one subcontractor for a single labor category a single FBLR (inclusive of prime contractor indirect adders and fee) shall be proposed. The proposed FBLR (inclusive of prime contractor indirect adders and fee) shall be a blend of each subcontractor’s proposed FBLR. In column AN in the OP1 tab and AL in the OP2, OP3, OP4 &amp; OP5 tabs the prime offeror shall indicate if the proposed subcontractor FBLR is a "blended" FBLR.  In column AO in the OP1 tab and AM in the OP2, OP3, OP4 &amp; OP5 tabs the prime offeror shall enter the billing nomenclature for each of the subcontracted labor categories, all subcontracted labor categories shall be differentiated from prime labor categories.</t>
  </si>
  <si>
    <t>Columns AQ - AS in the OP1 tab and Columns AO-AQ in the OP2, OP3, OP4 &amp; OP5 tabs calculate a single composite fully burdened labor rate (prime and subcontractor) for each of the USG identified labor categories.</t>
  </si>
  <si>
    <r>
      <t xml:space="preserve">Offerors may input a proposed discount rate on the Travel - Lodging plug in cell </t>
    </r>
    <r>
      <rPr>
        <sz val="11"/>
        <color rgb="FFFF0000"/>
        <rFont val="Calibri"/>
        <family val="2"/>
        <scheme val="minor"/>
      </rPr>
      <t>E51</t>
    </r>
    <r>
      <rPr>
        <sz val="11"/>
        <rFont val="Calibri"/>
        <family val="2"/>
        <scheme val="minor"/>
      </rPr>
      <t xml:space="preserve"> in all OP tabs.
Offerors may input a proposed discount rate on the Travel - M&amp;IE plug in cell </t>
    </r>
    <r>
      <rPr>
        <sz val="11"/>
        <color rgb="FFFF0000"/>
        <rFont val="Calibri"/>
        <family val="2"/>
        <scheme val="minor"/>
      </rPr>
      <t>E52</t>
    </r>
    <r>
      <rPr>
        <sz val="11"/>
        <rFont val="Calibri"/>
        <family val="2"/>
        <scheme val="minor"/>
      </rPr>
      <t xml:space="preserve"> in all OP tabs.</t>
    </r>
  </si>
  <si>
    <t xml:space="preserve">The DBA, Fringe Benefit, Labor OH, Other OH, G&amp;A, and FCCOM columns are unlocked and editable. </t>
  </si>
  <si>
    <t>The Government is requiring prime contractors to propose a cost ceiling on their subcontractor fully burdened labor rates (FBLRS) (less fee), where the ceiling is equal to the proposed subcontractor FBLR (less fee) for each labor category plus 10% for CONUS or 20% for OCONUS.  This tab includes a formula that auto-calculates these ceiling rates for each period. In the event of unforeseen circumstances related to subcontractors, this tab shows the ceiling rates per labor category for any subcontractor who performs work under the proposed subcontractor allotted labor categories.</t>
  </si>
  <si>
    <t xml:space="preserve">This tab provides the data for the labor escalation rates which apply to all ordering periods of performance tabs.  </t>
  </si>
  <si>
    <t xml:space="preserve">Per section L of the RFP, for evaluation purposes only, this solicitation has set a minimum escalation for each period of performance. Offerors may choose to increase this rate in column C of the escalation tab, but shall not propose an escalation rate which is below the USG minimum. </t>
  </si>
  <si>
    <t>Deprocessing</t>
  </si>
  <si>
    <t>Inspector</t>
  </si>
  <si>
    <t>Total Package Fielding (TPF)</t>
  </si>
  <si>
    <t>Modification Work Order (MWO) Installation</t>
  </si>
  <si>
    <t xml:space="preserve">Field Service Representative </t>
  </si>
  <si>
    <t xml:space="preserve">Instructor </t>
  </si>
  <si>
    <t>AMPV</t>
  </si>
  <si>
    <t>New Equipment Training (NET)/Displaced Equipment Training (DET)</t>
  </si>
  <si>
    <t xml:space="preserve">Total Package Fielding (TPF) </t>
  </si>
  <si>
    <t>Bradley</t>
  </si>
  <si>
    <t>M88</t>
  </si>
  <si>
    <t>Modified Work Orders (MWO) Installation</t>
  </si>
  <si>
    <t>CONUS Labor (CPFF)</t>
  </si>
  <si>
    <t>OCONUS Labor (CPFF)</t>
  </si>
  <si>
    <t>Composite Cost</t>
  </si>
  <si>
    <t>Composite Fee</t>
  </si>
  <si>
    <t>Composite FBLR</t>
  </si>
  <si>
    <t>Estimated Total Cost</t>
  </si>
  <si>
    <t>Estimated Total Fee</t>
  </si>
  <si>
    <t>Estimated Total Price</t>
  </si>
  <si>
    <t>Labor</t>
  </si>
  <si>
    <t>Price</t>
  </si>
  <si>
    <t>Proposed Cost</t>
  </si>
  <si>
    <t>TOTAL Task Order 1 LABOR</t>
  </si>
  <si>
    <t>TOTAL Task Order 1 Travel/Material/ODC</t>
  </si>
  <si>
    <t>TOTAL Task Order 1 Price</t>
  </si>
  <si>
    <t>New Equipment Training (NET) / 
Displaced Equipment Training (DET)</t>
  </si>
  <si>
    <t>Some labor categories are listed more than once as identified by the ID#. Proposed rates are only required to be input once for each labor category, as they will auto-populate in any additional locations. For example, ID 002 appears in Row 6, Row 16, and Row 17.  Once proposed rates are input into the applicable yellow cells for ID 002 in Row 6, they will auto-populate for the same labor category (ID 002) in Rows 16 &amp; 17.</t>
  </si>
  <si>
    <t>H.3.2</t>
  </si>
  <si>
    <t>MWO Installer</t>
  </si>
  <si>
    <t>H.3.10</t>
  </si>
  <si>
    <t>H.3.4</t>
  </si>
  <si>
    <t>H.3.7</t>
  </si>
  <si>
    <t>H.3.3</t>
  </si>
  <si>
    <t>H.3.5</t>
  </si>
  <si>
    <t>H.3.9</t>
  </si>
  <si>
    <t xml:space="preserve">CLIN </t>
  </si>
  <si>
    <t>Travel/ODC</t>
  </si>
  <si>
    <t>Travel/ODC - All Except Lodging and M&amp;IE</t>
  </si>
  <si>
    <t>Total Travel/ODC</t>
  </si>
  <si>
    <t>Material</t>
  </si>
  <si>
    <t>Indirect Rate on Travel/ODC</t>
  </si>
  <si>
    <t>TOTAL Task Order 1 Travel/ODC</t>
  </si>
  <si>
    <t>Indirect Rate on Material</t>
  </si>
  <si>
    <t>TOTAL Task Order 1 Material</t>
  </si>
  <si>
    <t>AMPV - Labor</t>
  </si>
  <si>
    <t>AMPV - Travel/ODC</t>
  </si>
  <si>
    <t>AMPV - Material</t>
  </si>
  <si>
    <t>Bradley - Labor</t>
  </si>
  <si>
    <t>Bradley - Travel/ODC</t>
  </si>
  <si>
    <t>Bradley - Material</t>
  </si>
  <si>
    <t>M88 - Labor</t>
  </si>
  <si>
    <t>M88 - Travel/ODC</t>
  </si>
  <si>
    <t>M88-Material</t>
  </si>
  <si>
    <t>PM</t>
  </si>
  <si>
    <t>Travel/ODC (Cost No Fee)</t>
  </si>
  <si>
    <t>Material (Cost No Fee)</t>
  </si>
  <si>
    <t>Total Material</t>
  </si>
  <si>
    <t>TOTAL Travel/ODC</t>
  </si>
  <si>
    <t>TOTAL Material</t>
  </si>
  <si>
    <t>AMPV TOTAL</t>
  </si>
  <si>
    <t>Bradley TOTAL</t>
  </si>
  <si>
    <t>M88 TOTAL</t>
  </si>
  <si>
    <t>TASK ORDER: AMPV -or- Bradley</t>
  </si>
  <si>
    <t>TASK ORDER: M88</t>
  </si>
  <si>
    <t>TASK ORDER: PM</t>
  </si>
  <si>
    <t>This tab shows the total price for each Ordering Period.</t>
  </si>
  <si>
    <r>
      <t xml:space="preserve">The total proposed price is calculated in cell </t>
    </r>
    <r>
      <rPr>
        <sz val="11"/>
        <color rgb="FFFF0000"/>
        <rFont val="Calibri"/>
        <family val="2"/>
        <scheme val="minor"/>
      </rPr>
      <t>F50</t>
    </r>
    <r>
      <rPr>
        <sz val="11"/>
        <rFont val="Calibri"/>
        <family val="2"/>
        <scheme val="minor"/>
      </rPr>
      <t>.</t>
    </r>
  </si>
  <si>
    <t>Offerors that do not account for Defense Base Act (DBA) Insurance in its indirect rates shall utilize column N in the OP1 tab and Column L in the OP2, OP3, OP4 &amp; OP5 tabs to input its DBA Insurance premium for all applicable OCONUS labor categories.  DBA Insurance shall be proposed in the direct labor build up as it is not included in the Travel/ODC or Material costs.</t>
  </si>
  <si>
    <r>
      <t>The Travel/ODC Plug Figures in cells</t>
    </r>
    <r>
      <rPr>
        <sz val="11"/>
        <color rgb="FFFF0000"/>
        <rFont val="Calibri"/>
        <family val="2"/>
        <scheme val="minor"/>
      </rPr>
      <t xml:space="preserve"> D51 - D54 </t>
    </r>
    <r>
      <rPr>
        <sz val="11"/>
        <rFont val="Calibri"/>
        <family val="2"/>
        <scheme val="minor"/>
      </rPr>
      <t>in all OP tabs are pre-populated plug figures.</t>
    </r>
  </si>
  <si>
    <r>
      <t xml:space="preserve">Offerors may input an indirect ceiling rate that may apply to the Total Travel/ODC cost in cell </t>
    </r>
    <r>
      <rPr>
        <sz val="11"/>
        <color rgb="FFFF0000"/>
        <rFont val="Calibri"/>
        <family val="2"/>
        <scheme val="minor"/>
      </rPr>
      <t>E56</t>
    </r>
    <r>
      <rPr>
        <sz val="11"/>
        <rFont val="Calibri"/>
        <family val="2"/>
        <scheme val="minor"/>
      </rPr>
      <t xml:space="preserve"> in all OP tabs. No fee shall be applied to Travel/ODC.</t>
    </r>
  </si>
  <si>
    <t>9</t>
  </si>
  <si>
    <r>
      <t xml:space="preserve">The total Travel/ODC amount will be the sum of the USG plug figures, proposed travel discounts, and proposed indirect costs. (Cell </t>
    </r>
    <r>
      <rPr>
        <sz val="11"/>
        <color rgb="FFFF0000"/>
        <rFont val="Calibri"/>
        <family val="2"/>
        <scheme val="minor"/>
      </rPr>
      <t>F58</t>
    </r>
    <r>
      <rPr>
        <sz val="11"/>
        <rFont val="Calibri"/>
        <family val="2"/>
        <scheme val="minor"/>
      </rPr>
      <t xml:space="preserve"> in all OP tabs)</t>
    </r>
  </si>
  <si>
    <r>
      <t xml:space="preserve">The Material Plug Figures in cell </t>
    </r>
    <r>
      <rPr>
        <sz val="11"/>
        <color rgb="FFFF0000"/>
        <rFont val="Calibri"/>
        <family val="2"/>
        <scheme val="minor"/>
      </rPr>
      <t>F61</t>
    </r>
    <r>
      <rPr>
        <sz val="11"/>
        <rFont val="Calibri"/>
        <family val="2"/>
        <scheme val="minor"/>
      </rPr>
      <t xml:space="preserve"> in all OP tabs are pre-populated plug figures.</t>
    </r>
  </si>
  <si>
    <t>7a</t>
  </si>
  <si>
    <r>
      <t xml:space="preserve">Offerors may input an indirect ceiling rate that may apply to the Total Material cost in cell </t>
    </r>
    <r>
      <rPr>
        <sz val="11"/>
        <color rgb="FFFF0000"/>
        <rFont val="Calibri"/>
        <family val="2"/>
        <scheme val="minor"/>
      </rPr>
      <t>E63</t>
    </r>
    <r>
      <rPr>
        <sz val="11"/>
        <rFont val="Calibri"/>
        <family val="2"/>
        <scheme val="minor"/>
      </rPr>
      <t xml:space="preserve"> in all OP tabs. No fee shall be applied to Material.</t>
    </r>
  </si>
  <si>
    <r>
      <t xml:space="preserve">The total Material amount will be the sum of the USG plug figures and proposed indirect costs. (Cell </t>
    </r>
    <r>
      <rPr>
        <sz val="11"/>
        <color rgb="FFFF0000"/>
        <rFont val="Calibri"/>
        <family val="2"/>
        <scheme val="minor"/>
      </rPr>
      <t xml:space="preserve">F65 </t>
    </r>
    <r>
      <rPr>
        <sz val="11"/>
        <rFont val="Calibri"/>
        <family val="2"/>
        <scheme val="minor"/>
      </rPr>
      <t>in all OP tabs)</t>
    </r>
  </si>
  <si>
    <t>7b</t>
  </si>
  <si>
    <r>
      <t xml:space="preserve">The Total Price for each ordering period is equal to the sum of all prime contractor labor costs, subcontractor labor costs, Travel/Material/ODC costs, and any applicable indirect costs. The total price for each ordering period is identified in cell </t>
    </r>
    <r>
      <rPr>
        <sz val="11"/>
        <color rgb="FFFF0000"/>
        <rFont val="Calibri"/>
        <family val="2"/>
        <scheme val="minor"/>
      </rPr>
      <t xml:space="preserve">F68 </t>
    </r>
    <r>
      <rPr>
        <sz val="11"/>
        <rFont val="Calibri"/>
        <family val="2"/>
        <scheme val="minor"/>
      </rPr>
      <t>in all OP tabs.</t>
    </r>
  </si>
  <si>
    <t>"CLINs - Summary"  &amp; "CLINs - Detail" Tabs:</t>
  </si>
  <si>
    <t>These tabs assist in organizing all proposed costs and fees in a format aligned with the planned CLIN structure.</t>
  </si>
  <si>
    <t>"TO Template" Tabs:</t>
  </si>
  <si>
    <t>These blue tabs provide a potential format for future Task Orders (TO).</t>
  </si>
  <si>
    <t>H.3.6</t>
  </si>
  <si>
    <t>H.3.8</t>
  </si>
  <si>
    <t>Field Service Mechanic</t>
  </si>
  <si>
    <t>H.3.11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</si>
</sst>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_(* \(#,##0\);_(* &quot;-&quot;_);_(@_)"/>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409]mmm\-yy;@"/>
    <numFmt numFmtId="167" formatCode="[$-409]dd\-mmm\-yy;@"/>
    <numFmt numFmtId="168" formatCode="0.0%"/>
    <numFmt numFmtId="169" formatCode="0.000%"/>
    <numFmt numFmtId="170" formatCode="_(&quot;$&quot;* #,##0.00000_);_(&quot;$&quot;* \(#,##0.00000\);_(&quot;$&quot;* &quot;-&quot;??_);_(@_)"/>
    <numFmt numFmtId="171" formatCode="#,##0.0"/>
    <numFmt numFmtId="172" formatCode="000"/>
  </numFmts>
  <fonts count="34"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sz val="11"/>
      <color indexed="8"/>
      <name val="Calibri"/>
      <family val="2"/>
      <scheme val="minor"/>
    </font>
    <font>
      <u/>
      <sz val="11"/>
      <color theme="1"/>
      <name val="Calibri"/>
      <family val="2"/>
      <scheme val="minor"/>
    </font>
    <font>
      <sz val="12"/>
      <color theme="1"/>
      <name val="Times New Roman"/>
      <family val="1"/>
    </font>
    <font>
      <b/>
      <sz val="12"/>
      <color theme="1"/>
      <name val="Calibri"/>
      <family val="2"/>
      <scheme val="minor"/>
    </font>
    <font>
      <b/>
      <sz val="18"/>
      <color theme="1"/>
      <name val="Calibri"/>
      <family val="2"/>
      <scheme val="minor"/>
    </font>
    <font>
      <b/>
      <sz val="26"/>
      <color theme="1"/>
      <name val="Calibri"/>
      <family val="2"/>
      <scheme val="minor"/>
    </font>
    <font>
      <sz val="12"/>
      <color theme="1"/>
      <name val="Calibri"/>
      <family val="2"/>
      <scheme val="minor"/>
    </font>
    <font>
      <sz val="18"/>
      <color theme="1"/>
      <name val="Calibri"/>
      <family val="2"/>
      <scheme val="minor"/>
    </font>
    <font>
      <b/>
      <sz val="11"/>
      <color theme="0"/>
      <name val="Calibri"/>
      <family val="2"/>
      <scheme val="minor"/>
    </font>
    <font>
      <sz val="11"/>
      <name val="Calibri"/>
      <family val="2"/>
      <scheme val="minor"/>
    </font>
    <font>
      <b/>
      <sz val="11"/>
      <name val="Calibri"/>
      <family val="2"/>
      <scheme val="minor"/>
    </font>
    <font>
      <b/>
      <sz val="14"/>
      <name val="Calibri"/>
      <family val="2"/>
      <scheme val="minor"/>
    </font>
    <font>
      <b/>
      <u val="doubleAccounting"/>
      <sz val="16"/>
      <color theme="1"/>
      <name val="Calibri"/>
      <family val="2"/>
      <scheme val="minor"/>
    </font>
    <font>
      <sz val="10"/>
      <name val="Arial"/>
      <family val="2"/>
    </font>
    <font>
      <b/>
      <sz val="16"/>
      <color theme="1"/>
      <name val="Calibri"/>
      <family val="2"/>
      <scheme val="minor"/>
    </font>
    <font>
      <i/>
      <sz val="11"/>
      <color theme="0" tint="-0.499984740745262"/>
      <name val="Calibri"/>
      <family val="2"/>
      <scheme val="minor"/>
    </font>
    <font>
      <sz val="11"/>
      <color rgb="FFFF0000"/>
      <name val="Calibri"/>
      <family val="2"/>
      <scheme val="minor"/>
    </font>
    <font>
      <sz val="8"/>
      <name val="Calibri"/>
      <family val="2"/>
      <scheme val="minor"/>
    </font>
    <font>
      <i/>
      <sz val="10"/>
      <color theme="0" tint="-0.499984740745262"/>
      <name val="Calibri"/>
      <family val="2"/>
      <scheme val="minor"/>
    </font>
    <font>
      <b/>
      <sz val="20"/>
      <color theme="1"/>
      <name val="Calibri"/>
      <family val="2"/>
      <scheme val="minor"/>
    </font>
    <font>
      <b/>
      <u val="double"/>
      <sz val="16"/>
      <name val="Calibri"/>
      <family val="2"/>
      <scheme val="minor"/>
    </font>
    <font>
      <b/>
      <i/>
      <sz val="11"/>
      <color theme="1"/>
      <name val="Calibri"/>
      <family val="2"/>
      <scheme val="minor"/>
    </font>
    <font>
      <u val="singleAccounting"/>
      <sz val="11"/>
      <color theme="1"/>
      <name val="Calibri"/>
      <family val="2"/>
      <scheme val="minor"/>
    </font>
    <font>
      <b/>
      <sz val="13"/>
      <color theme="1"/>
      <name val="Calibri"/>
      <family val="2"/>
      <scheme val="minor"/>
    </font>
    <font>
      <b/>
      <sz val="13"/>
      <name val="Calibri"/>
      <family val="2"/>
      <scheme val="minor"/>
    </font>
    <font>
      <b/>
      <i/>
      <sz val="11"/>
      <color theme="0" tint="-0.499984740745262"/>
      <name val="Calibri"/>
      <family val="2"/>
      <scheme val="minor"/>
    </font>
    <font>
      <sz val="11"/>
      <color theme="0" tint="-0.499984740745262"/>
      <name val="Calibri"/>
      <family val="2"/>
      <scheme val="minor"/>
    </font>
    <font>
      <b/>
      <sz val="11"/>
      <color theme="0" tint="-0.499984740745262"/>
      <name val="Calibri"/>
      <family val="2"/>
      <scheme val="minor"/>
    </font>
    <font>
      <i/>
      <sz val="12"/>
      <color theme="1"/>
      <name val="Calibri"/>
      <family val="2"/>
      <scheme val="minor"/>
    </font>
    <font>
      <b/>
      <sz val="11"/>
      <color rgb="FFFF0000"/>
      <name val="Calibri"/>
      <family val="2"/>
      <scheme val="minor"/>
    </font>
  </fonts>
  <fills count="19">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solid">
        <fgColor rgb="FF00B050"/>
        <bgColor indexed="64"/>
      </patternFill>
    </fill>
    <fill>
      <patternFill patternType="solid">
        <fgColor rgb="FF00B0F0"/>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0"/>
        <bgColor indexed="64"/>
      </patternFill>
    </fill>
    <fill>
      <patternFill patternType="solid">
        <fgColor theme="1"/>
        <bgColor indexed="64"/>
      </patternFill>
    </fill>
    <fill>
      <patternFill patternType="solid">
        <fgColor theme="9" tint="0.59999389629810485"/>
        <bgColor indexed="64"/>
      </patternFill>
    </fill>
    <fill>
      <patternFill patternType="solid">
        <fgColor theme="2"/>
        <bgColor indexed="64"/>
      </patternFill>
    </fill>
    <fill>
      <patternFill patternType="solid">
        <fgColor theme="9" tint="0.79998168889431442"/>
        <bgColor indexed="64"/>
      </patternFill>
    </fill>
    <fill>
      <patternFill patternType="solid">
        <fgColor rgb="FF66FFFF"/>
        <bgColor indexed="64"/>
      </patternFill>
    </fill>
    <fill>
      <patternFill patternType="solid">
        <fgColor rgb="FFFF0000"/>
        <bgColor indexed="64"/>
      </patternFill>
    </fill>
  </fills>
  <borders count="5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style="thin">
        <color indexed="64"/>
      </top>
      <bottom style="thin">
        <color indexed="64"/>
      </bottom>
      <diagonal/>
    </border>
    <border>
      <left style="thin">
        <color indexed="64"/>
      </left>
      <right/>
      <top style="medium">
        <color indexed="64"/>
      </top>
      <bottom style="medium">
        <color indexed="64"/>
      </bottom>
      <diagonal/>
    </border>
    <border>
      <left style="medium">
        <color indexed="64"/>
      </left>
      <right style="medium">
        <color indexed="64"/>
      </right>
      <top/>
      <bottom style="thin">
        <color indexed="64"/>
      </bottom>
      <diagonal/>
    </border>
    <border>
      <left/>
      <right/>
      <top/>
      <bottom style="thin">
        <color indexed="64"/>
      </bottom>
      <diagonal/>
    </border>
    <border>
      <left style="thin">
        <color indexed="64"/>
      </left>
      <right style="thin">
        <color indexed="64"/>
      </right>
      <top/>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6" fontId="1" fillId="0" borderId="0"/>
    <xf numFmtId="167" fontId="17" fillId="0" borderId="0"/>
    <xf numFmtId="0" fontId="1" fillId="0" borderId="0"/>
    <xf numFmtId="166" fontId="1" fillId="0" borderId="0"/>
  </cellStyleXfs>
  <cellXfs count="731">
    <xf numFmtId="0" fontId="0" fillId="0" borderId="0" xfId="0"/>
    <xf numFmtId="0" fontId="0" fillId="0" borderId="0" xfId="3" applyNumberFormat="1" applyFont="1"/>
    <xf numFmtId="10" fontId="0" fillId="2" borderId="4" xfId="0" applyNumberFormat="1" applyFill="1" applyBorder="1" applyProtection="1">
      <protection locked="0"/>
    </xf>
    <xf numFmtId="164" fontId="0" fillId="2" borderId="19" xfId="1" applyNumberFormat="1" applyFont="1" applyFill="1" applyBorder="1" applyProtection="1">
      <protection locked="0"/>
    </xf>
    <xf numFmtId="44" fontId="0" fillId="2" borderId="16" xfId="2" applyFont="1" applyFill="1" applyBorder="1" applyProtection="1">
      <protection locked="0"/>
    </xf>
    <xf numFmtId="44" fontId="0" fillId="2" borderId="4" xfId="2" applyFont="1" applyFill="1" applyBorder="1" applyProtection="1">
      <protection locked="0"/>
    </xf>
    <xf numFmtId="0" fontId="0" fillId="2" borderId="17" xfId="0" applyFill="1" applyBorder="1" applyProtection="1">
      <protection locked="0"/>
    </xf>
    <xf numFmtId="0" fontId="0" fillId="2" borderId="7" xfId="0" applyFill="1" applyBorder="1" applyProtection="1">
      <protection locked="0"/>
    </xf>
    <xf numFmtId="0" fontId="0" fillId="0" borderId="0" xfId="0" applyAlignment="1"/>
    <xf numFmtId="0" fontId="0" fillId="0" borderId="0" xfId="0" applyProtection="1"/>
    <xf numFmtId="0" fontId="0" fillId="2" borderId="4" xfId="0" applyFill="1" applyBorder="1" applyProtection="1">
      <protection locked="0"/>
    </xf>
    <xf numFmtId="0" fontId="0" fillId="0" borderId="0" xfId="0" applyBorder="1" applyProtection="1"/>
    <xf numFmtId="165" fontId="0" fillId="0" borderId="0" xfId="2" applyNumberFormat="1" applyFont="1" applyProtection="1"/>
    <xf numFmtId="165" fontId="0" fillId="0" borderId="0" xfId="2" applyNumberFormat="1" applyFont="1" applyFill="1" applyProtection="1"/>
    <xf numFmtId="165" fontId="0" fillId="0" borderId="0" xfId="2" applyNumberFormat="1" applyFont="1" applyFill="1" applyBorder="1" applyProtection="1"/>
    <xf numFmtId="0" fontId="0" fillId="0" borderId="0" xfId="0" applyFill="1" applyProtection="1"/>
    <xf numFmtId="0" fontId="2" fillId="0" borderId="0" xfId="0" applyFont="1" applyBorder="1" applyAlignment="1" applyProtection="1"/>
    <xf numFmtId="0" fontId="0" fillId="0" borderId="0" xfId="0" applyFill="1" applyBorder="1" applyProtection="1"/>
    <xf numFmtId="0" fontId="7" fillId="9" borderId="25" xfId="0" applyFont="1" applyFill="1" applyBorder="1" applyAlignment="1" applyProtection="1">
      <alignment horizontal="center" vertical="center"/>
    </xf>
    <xf numFmtId="0" fontId="7" fillId="0" borderId="0" xfId="0" applyFont="1" applyFill="1" applyBorder="1" applyAlignment="1" applyProtection="1">
      <alignment horizontal="center" vertical="center"/>
    </xf>
    <xf numFmtId="49" fontId="0" fillId="0" borderId="0" xfId="0" applyNumberFormat="1" applyFill="1" applyBorder="1" applyProtection="1"/>
    <xf numFmtId="0" fontId="10" fillId="0" borderId="0" xfId="0" applyFont="1" applyFill="1" applyBorder="1" applyProtection="1"/>
    <xf numFmtId="165" fontId="10" fillId="0" borderId="0" xfId="2" applyNumberFormat="1" applyFont="1" applyFill="1" applyBorder="1" applyProtection="1"/>
    <xf numFmtId="0" fontId="10" fillId="0" borderId="0" xfId="0" applyFont="1" applyFill="1" applyProtection="1"/>
    <xf numFmtId="0" fontId="10" fillId="0" borderId="0" xfId="0" applyFont="1" applyBorder="1" applyProtection="1"/>
    <xf numFmtId="0" fontId="10" fillId="0" borderId="0" xfId="0" applyFont="1" applyProtection="1"/>
    <xf numFmtId="165" fontId="10" fillId="0" borderId="0" xfId="2" applyNumberFormat="1" applyFont="1" applyFill="1" applyProtection="1"/>
    <xf numFmtId="165" fontId="7" fillId="0" borderId="0" xfId="2" applyNumberFormat="1" applyFont="1" applyFill="1" applyBorder="1" applyProtection="1"/>
    <xf numFmtId="0" fontId="7" fillId="0" borderId="0" xfId="0" applyFont="1" applyAlignment="1" applyProtection="1">
      <alignment vertical="center"/>
    </xf>
    <xf numFmtId="165" fontId="10" fillId="0" borderId="0" xfId="2" applyNumberFormat="1" applyFont="1" applyProtection="1"/>
    <xf numFmtId="165" fontId="16" fillId="7" borderId="25" xfId="2" applyNumberFormat="1" applyFont="1" applyFill="1" applyBorder="1" applyAlignment="1" applyProtection="1">
      <alignment vertical="center"/>
    </xf>
    <xf numFmtId="165" fontId="10" fillId="7" borderId="25" xfId="2" applyNumberFormat="1" applyFont="1" applyFill="1" applyBorder="1" applyProtection="1"/>
    <xf numFmtId="0" fontId="2" fillId="0" borderId="2" xfId="0" applyFont="1" applyFill="1" applyBorder="1" applyAlignment="1" applyProtection="1">
      <alignment horizontal="center"/>
    </xf>
    <xf numFmtId="164" fontId="0" fillId="0" borderId="0" xfId="1" applyNumberFormat="1" applyFont="1" applyFill="1" applyBorder="1" applyAlignment="1" applyProtection="1">
      <alignment horizontal="center" wrapText="1"/>
    </xf>
    <xf numFmtId="0" fontId="0" fillId="0" borderId="0" xfId="0" applyBorder="1" applyAlignment="1" applyProtection="1">
      <alignment horizontal="center" wrapText="1"/>
    </xf>
    <xf numFmtId="164" fontId="0" fillId="3" borderId="33" xfId="1" applyNumberFormat="1" applyFont="1" applyFill="1" applyBorder="1" applyProtection="1"/>
    <xf numFmtId="164" fontId="0" fillId="3" borderId="35" xfId="1" applyNumberFormat="1" applyFont="1" applyFill="1" applyBorder="1" applyProtection="1"/>
    <xf numFmtId="44" fontId="0" fillId="3" borderId="16" xfId="2" applyFont="1" applyFill="1" applyBorder="1" applyProtection="1"/>
    <xf numFmtId="44" fontId="0" fillId="3" borderId="17" xfId="2" applyFont="1" applyFill="1" applyBorder="1" applyProtection="1"/>
    <xf numFmtId="164" fontId="0" fillId="3" borderId="4" xfId="1" applyNumberFormat="1" applyFont="1" applyFill="1" applyBorder="1" applyProtection="1"/>
    <xf numFmtId="164" fontId="0" fillId="3" borderId="7" xfId="1" applyNumberFormat="1" applyFont="1" applyFill="1" applyBorder="1" applyProtection="1"/>
    <xf numFmtId="44" fontId="0" fillId="3" borderId="4" xfId="2" applyFont="1" applyFill="1" applyBorder="1" applyProtection="1"/>
    <xf numFmtId="44" fontId="0" fillId="3" borderId="4" xfId="2" applyNumberFormat="1" applyFont="1" applyFill="1" applyBorder="1" applyProtection="1"/>
    <xf numFmtId="164" fontId="0" fillId="0" borderId="0" xfId="1" applyNumberFormat="1" applyFont="1" applyFill="1" applyBorder="1" applyProtection="1"/>
    <xf numFmtId="0" fontId="6" fillId="0" borderId="0" xfId="0" applyFont="1" applyFill="1" applyBorder="1" applyAlignment="1" applyProtection="1">
      <alignment vertical="center" wrapText="1"/>
    </xf>
    <xf numFmtId="44" fontId="0" fillId="0" borderId="0" xfId="2" applyFont="1" applyFill="1" applyBorder="1" applyProtection="1"/>
    <xf numFmtId="44" fontId="0" fillId="0" borderId="0" xfId="2" applyNumberFormat="1" applyFont="1" applyFill="1" applyBorder="1" applyProtection="1"/>
    <xf numFmtId="164" fontId="0" fillId="0" borderId="0" xfId="1" applyNumberFormat="1" applyFont="1" applyProtection="1"/>
    <xf numFmtId="164" fontId="0" fillId="0" borderId="0" xfId="1" applyNumberFormat="1" applyFont="1" applyFill="1" applyProtection="1"/>
    <xf numFmtId="44" fontId="0" fillId="0" borderId="0" xfId="2" applyFont="1" applyProtection="1"/>
    <xf numFmtId="0" fontId="2" fillId="0" borderId="12" xfId="0" applyFont="1" applyBorder="1" applyProtection="1"/>
    <xf numFmtId="165" fontId="0" fillId="0" borderId="0" xfId="0" applyNumberFormat="1" applyBorder="1" applyProtection="1"/>
    <xf numFmtId="0" fontId="5" fillId="0" borderId="5" xfId="0" applyFont="1" applyBorder="1" applyProtection="1"/>
    <xf numFmtId="164" fontId="0" fillId="0" borderId="0" xfId="1" applyNumberFormat="1" applyFont="1" applyBorder="1" applyProtection="1"/>
    <xf numFmtId="0" fontId="0" fillId="0" borderId="5" xfId="0" applyBorder="1" applyProtection="1"/>
    <xf numFmtId="0" fontId="2" fillId="0" borderId="8" xfId="0" applyFont="1" applyBorder="1" applyProtection="1"/>
    <xf numFmtId="164" fontId="2" fillId="0" borderId="9" xfId="1" applyNumberFormat="1" applyFont="1" applyBorder="1" applyProtection="1"/>
    <xf numFmtId="10" fontId="0" fillId="0" borderId="0" xfId="3" applyNumberFormat="1" applyFont="1" applyFill="1" applyBorder="1" applyProtection="1"/>
    <xf numFmtId="0" fontId="2" fillId="0" borderId="0" xfId="0" applyFont="1" applyBorder="1" applyProtection="1"/>
    <xf numFmtId="0" fontId="2" fillId="0" borderId="1" xfId="0" applyFont="1" applyBorder="1" applyProtection="1"/>
    <xf numFmtId="0" fontId="0" fillId="8" borderId="4" xfId="0" applyFill="1" applyBorder="1" applyAlignment="1" applyProtection="1">
      <alignment horizontal="left" vertical="center"/>
    </xf>
    <xf numFmtId="0" fontId="0" fillId="8" borderId="4" xfId="0" applyFill="1" applyBorder="1" applyAlignment="1" applyProtection="1">
      <alignment horizontal="center" vertical="center" wrapText="1"/>
    </xf>
    <xf numFmtId="0" fontId="0" fillId="11" borderId="4" xfId="0" applyFill="1" applyBorder="1" applyProtection="1"/>
    <xf numFmtId="10" fontId="0" fillId="11" borderId="4" xfId="0" applyNumberFormat="1" applyFill="1" applyBorder="1" applyProtection="1"/>
    <xf numFmtId="44" fontId="0" fillId="0" borderId="0" xfId="0" applyNumberFormat="1" applyProtection="1"/>
    <xf numFmtId="44" fontId="0" fillId="0" borderId="0" xfId="2" applyFont="1" applyFill="1" applyProtection="1"/>
    <xf numFmtId="44" fontId="10" fillId="0" borderId="0" xfId="0" applyNumberFormat="1" applyFont="1" applyFill="1" applyProtection="1"/>
    <xf numFmtId="165" fontId="10" fillId="7" borderId="25" xfId="2" quotePrefix="1" applyNumberFormat="1" applyFont="1" applyFill="1" applyBorder="1" applyProtection="1"/>
    <xf numFmtId="165" fontId="7" fillId="0" borderId="6" xfId="2" applyNumberFormat="1" applyFont="1" applyFill="1" applyBorder="1" applyProtection="1"/>
    <xf numFmtId="165" fontId="7" fillId="7" borderId="26" xfId="2" applyNumberFormat="1" applyFont="1" applyFill="1" applyBorder="1" applyProtection="1"/>
    <xf numFmtId="10" fontId="10" fillId="0" borderId="0" xfId="3" applyNumberFormat="1" applyFont="1" applyProtection="1"/>
    <xf numFmtId="10" fontId="10" fillId="0" borderId="0" xfId="3" applyNumberFormat="1" applyFont="1" applyFill="1" applyProtection="1"/>
    <xf numFmtId="165" fontId="18" fillId="0" borderId="0" xfId="2" applyNumberFormat="1" applyFont="1" applyAlignment="1" applyProtection="1">
      <alignment vertical="center"/>
    </xf>
    <xf numFmtId="165" fontId="10" fillId="0" borderId="0" xfId="2" applyNumberFormat="1" applyFont="1" applyFill="1" applyBorder="1" applyAlignment="1" applyProtection="1">
      <alignment vertical="center"/>
    </xf>
    <xf numFmtId="165" fontId="18" fillId="0" borderId="0" xfId="2" applyNumberFormat="1" applyFont="1" applyFill="1" applyBorder="1" applyAlignment="1" applyProtection="1">
      <alignment vertical="center"/>
    </xf>
    <xf numFmtId="165" fontId="0" fillId="0" borderId="6" xfId="1" applyNumberFormat="1" applyFont="1" applyBorder="1" applyProtection="1"/>
    <xf numFmtId="165" fontId="0" fillId="0" borderId="6" xfId="2" applyNumberFormat="1" applyFont="1" applyBorder="1" applyProtection="1"/>
    <xf numFmtId="165" fontId="0" fillId="0" borderId="6" xfId="2" applyNumberFormat="1" applyFont="1" applyFill="1" applyBorder="1" applyProtection="1"/>
    <xf numFmtId="165" fontId="2" fillId="0" borderId="21" xfId="2" applyNumberFormat="1" applyFont="1" applyBorder="1" applyProtection="1"/>
    <xf numFmtId="165" fontId="2" fillId="0" borderId="0" xfId="2" applyNumberFormat="1" applyFont="1" applyBorder="1" applyProtection="1"/>
    <xf numFmtId="165" fontId="0" fillId="0" borderId="0" xfId="1" applyNumberFormat="1" applyFont="1" applyProtection="1"/>
    <xf numFmtId="165" fontId="2" fillId="0" borderId="25" xfId="2" applyNumberFormat="1" applyFont="1" applyBorder="1" applyProtection="1"/>
    <xf numFmtId="49" fontId="15" fillId="0" borderId="0" xfId="4" applyNumberFormat="1" applyFont="1" applyAlignment="1">
      <alignment horizontal="center"/>
    </xf>
    <xf numFmtId="166" fontId="15" fillId="0" borderId="0" xfId="4" applyFont="1" applyAlignment="1">
      <alignment horizontal="center"/>
    </xf>
    <xf numFmtId="49" fontId="14" fillId="0" borderId="1" xfId="1" quotePrefix="1" applyNumberFormat="1" applyFont="1" applyBorder="1" applyAlignment="1" applyProtection="1">
      <alignment horizontal="center"/>
    </xf>
    <xf numFmtId="0" fontId="13" fillId="0" borderId="3" xfId="0" applyFont="1" applyBorder="1" applyAlignment="1">
      <alignment wrapText="1"/>
    </xf>
    <xf numFmtId="49" fontId="14" fillId="0" borderId="1" xfId="4" quotePrefix="1" applyNumberFormat="1" applyFont="1" applyBorder="1" applyAlignment="1">
      <alignment horizontal="center"/>
    </xf>
    <xf numFmtId="49" fontId="14" fillId="0" borderId="8" xfId="4" quotePrefix="1" applyNumberFormat="1" applyFont="1" applyBorder="1" applyAlignment="1">
      <alignment horizontal="center"/>
    </xf>
    <xf numFmtId="166" fontId="13" fillId="0" borderId="21" xfId="4" applyFont="1" applyBorder="1" applyAlignment="1">
      <alignment wrapText="1"/>
    </xf>
    <xf numFmtId="0" fontId="13" fillId="0" borderId="3" xfId="4" applyNumberFormat="1" applyFont="1" applyBorder="1" applyAlignment="1">
      <alignment wrapText="1"/>
    </xf>
    <xf numFmtId="166" fontId="13" fillId="0" borderId="3" xfId="4" applyFont="1" applyBorder="1" applyAlignment="1">
      <alignment horizontal="left" wrapText="1"/>
    </xf>
    <xf numFmtId="0" fontId="13" fillId="0" borderId="21" xfId="0" applyFont="1" applyBorder="1" applyAlignment="1">
      <alignment wrapText="1"/>
    </xf>
    <xf numFmtId="166" fontId="13" fillId="0" borderId="3" xfId="4" applyFont="1" applyBorder="1" applyAlignment="1">
      <alignment wrapText="1"/>
    </xf>
    <xf numFmtId="0" fontId="13" fillId="0" borderId="21" xfId="0" applyFont="1" applyBorder="1" applyAlignment="1">
      <alignment horizontal="left" wrapText="1"/>
    </xf>
    <xf numFmtId="49" fontId="14" fillId="0" borderId="12" xfId="4" quotePrefix="1" applyNumberFormat="1" applyFont="1" applyBorder="1" applyAlignment="1">
      <alignment horizontal="center"/>
    </xf>
    <xf numFmtId="166" fontId="13" fillId="0" borderId="18" xfId="4" applyFont="1" applyBorder="1" applyAlignment="1">
      <alignment wrapText="1"/>
    </xf>
    <xf numFmtId="49" fontId="14" fillId="0" borderId="5" xfId="4" quotePrefix="1" applyNumberFormat="1" applyFont="1" applyBorder="1" applyAlignment="1">
      <alignment horizontal="center"/>
    </xf>
    <xf numFmtId="166" fontId="13" fillId="0" borderId="6" xfId="4" applyFont="1" applyBorder="1" applyAlignment="1">
      <alignment wrapText="1"/>
    </xf>
    <xf numFmtId="0" fontId="0" fillId="0" borderId="0" xfId="0" applyAlignment="1">
      <alignment horizontal="center"/>
    </xf>
    <xf numFmtId="164" fontId="0" fillId="0" borderId="6" xfId="1" applyNumberFormat="1" applyFont="1" applyFill="1" applyBorder="1" applyProtection="1"/>
    <xf numFmtId="0" fontId="13" fillId="0" borderId="4" xfId="0" applyFont="1" applyFill="1" applyBorder="1" applyAlignment="1" applyProtection="1"/>
    <xf numFmtId="0" fontId="13" fillId="0" borderId="33" xfId="0" applyFont="1" applyFill="1" applyBorder="1" applyAlignment="1" applyProtection="1"/>
    <xf numFmtId="0" fontId="0" fillId="0" borderId="0" xfId="0" applyFont="1"/>
    <xf numFmtId="44" fontId="0" fillId="3" borderId="15" xfId="0" applyNumberFormat="1" applyFont="1" applyFill="1" applyBorder="1"/>
    <xf numFmtId="44" fontId="0" fillId="3" borderId="14" xfId="0" applyNumberFormat="1" applyFont="1" applyFill="1" applyBorder="1"/>
    <xf numFmtId="49" fontId="8" fillId="0" borderId="0" xfId="0" applyNumberFormat="1" applyFont="1" applyFill="1" applyBorder="1" applyAlignment="1"/>
    <xf numFmtId="0" fontId="0" fillId="0" borderId="0" xfId="0" applyFill="1" applyAlignment="1"/>
    <xf numFmtId="49" fontId="14" fillId="0" borderId="12" xfId="1" quotePrefix="1" applyNumberFormat="1" applyFont="1" applyBorder="1" applyAlignment="1" applyProtection="1">
      <alignment horizontal="center"/>
    </xf>
    <xf numFmtId="0" fontId="13" fillId="0" borderId="18" xfId="0" applyFont="1" applyBorder="1" applyAlignment="1">
      <alignment wrapText="1"/>
    </xf>
    <xf numFmtId="164" fontId="0" fillId="2" borderId="15" xfId="1" applyNumberFormat="1" applyFont="1" applyFill="1" applyBorder="1" applyProtection="1">
      <protection locked="0"/>
    </xf>
    <xf numFmtId="44" fontId="0" fillId="3" borderId="33" xfId="2" applyFont="1" applyFill="1" applyBorder="1" applyProtection="1"/>
    <xf numFmtId="44" fontId="0" fillId="2" borderId="33" xfId="2" applyFont="1" applyFill="1" applyBorder="1" applyProtection="1">
      <protection locked="0"/>
    </xf>
    <xf numFmtId="44" fontId="0" fillId="3" borderId="35" xfId="2" applyFont="1" applyFill="1" applyBorder="1" applyProtection="1"/>
    <xf numFmtId="44" fontId="0" fillId="3" borderId="33" xfId="2" applyNumberFormat="1" applyFont="1" applyFill="1" applyBorder="1" applyProtection="1"/>
    <xf numFmtId="0" fontId="0" fillId="2" borderId="35" xfId="0" applyFill="1" applyBorder="1" applyProtection="1">
      <protection locked="0"/>
    </xf>
    <xf numFmtId="44" fontId="0" fillId="3" borderId="7" xfId="2" applyFont="1" applyFill="1" applyBorder="1" applyProtection="1"/>
    <xf numFmtId="0" fontId="0" fillId="0" borderId="0" xfId="0" applyFont="1" applyBorder="1" applyProtection="1"/>
    <xf numFmtId="0" fontId="0" fillId="0" borderId="0" xfId="0" applyFont="1" applyFill="1" applyProtection="1"/>
    <xf numFmtId="0" fontId="0" fillId="0" borderId="0" xfId="0" applyFont="1" applyProtection="1"/>
    <xf numFmtId="0" fontId="0" fillId="0" borderId="0" xfId="0" applyFont="1" applyFill="1" applyBorder="1" applyProtection="1"/>
    <xf numFmtId="0" fontId="0" fillId="0" borderId="0" xfId="0" applyFont="1" applyBorder="1" applyAlignment="1" applyProtection="1">
      <alignment horizontal="left"/>
    </xf>
    <xf numFmtId="0" fontId="0" fillId="0" borderId="0" xfId="0" applyFont="1" applyBorder="1" applyAlignment="1" applyProtection="1">
      <alignment horizontal="left" vertical="center"/>
    </xf>
    <xf numFmtId="0" fontId="0" fillId="0" borderId="0" xfId="0" applyFont="1" applyFill="1" applyAlignment="1" applyProtection="1">
      <alignment horizontal="left" vertical="center"/>
    </xf>
    <xf numFmtId="0" fontId="0" fillId="0" borderId="0" xfId="0" applyFont="1" applyAlignment="1" applyProtection="1">
      <alignment horizontal="left" vertical="center"/>
    </xf>
    <xf numFmtId="44" fontId="0" fillId="3" borderId="15" xfId="2" applyFont="1" applyFill="1" applyBorder="1" applyProtection="1"/>
    <xf numFmtId="0" fontId="0" fillId="0" borderId="4" xfId="0" applyNumberFormat="1" applyBorder="1" applyProtection="1"/>
    <xf numFmtId="0" fontId="2" fillId="9" borderId="27" xfId="0" applyFont="1" applyFill="1" applyBorder="1" applyAlignment="1" applyProtection="1">
      <alignment horizontal="left" vertical="center"/>
    </xf>
    <xf numFmtId="0" fontId="13" fillId="0" borderId="10" xfId="0" applyFont="1" applyFill="1" applyBorder="1" applyAlignment="1" applyProtection="1"/>
    <xf numFmtId="164" fontId="0" fillId="3" borderId="10" xfId="1" applyNumberFormat="1" applyFont="1" applyFill="1" applyBorder="1" applyProtection="1"/>
    <xf numFmtId="164" fontId="0" fillId="3" borderId="11" xfId="1" applyNumberFormat="1" applyFont="1" applyFill="1" applyBorder="1" applyProtection="1"/>
    <xf numFmtId="44" fontId="3" fillId="0" borderId="0" xfId="2" applyFont="1" applyProtection="1"/>
    <xf numFmtId="44" fontId="3" fillId="0" borderId="0" xfId="0" applyNumberFormat="1" applyFont="1" applyFill="1" applyProtection="1"/>
    <xf numFmtId="165" fontId="3" fillId="0" borderId="0" xfId="2" applyNumberFormat="1" applyFont="1" applyProtection="1"/>
    <xf numFmtId="164" fontId="0" fillId="0" borderId="12" xfId="1" applyNumberFormat="1" applyFont="1" applyBorder="1" applyAlignment="1" applyProtection="1">
      <alignment horizontal="center" wrapText="1"/>
    </xf>
    <xf numFmtId="44" fontId="0" fillId="0" borderId="13" xfId="2" applyFont="1" applyBorder="1" applyAlignment="1" applyProtection="1">
      <alignment horizontal="center" wrapText="1"/>
    </xf>
    <xf numFmtId="10" fontId="0" fillId="2" borderId="39" xfId="2" applyNumberFormat="1" applyFont="1" applyFill="1" applyBorder="1" applyAlignment="1" applyProtection="1">
      <alignment horizontal="center" wrapText="1"/>
      <protection locked="0"/>
    </xf>
    <xf numFmtId="44" fontId="0" fillId="0" borderId="13" xfId="2" applyFont="1" applyBorder="1" applyProtection="1"/>
    <xf numFmtId="164" fontId="0" fillId="2" borderId="14" xfId="1" applyNumberFormat="1" applyFont="1" applyFill="1" applyBorder="1" applyProtection="1">
      <protection locked="0"/>
    </xf>
    <xf numFmtId="44" fontId="0" fillId="3" borderId="14" xfId="2" applyFont="1" applyFill="1" applyBorder="1" applyProtection="1"/>
    <xf numFmtId="44" fontId="0" fillId="3" borderId="4" xfId="0" applyNumberFormat="1" applyFont="1" applyFill="1" applyBorder="1"/>
    <xf numFmtId="44" fontId="0" fillId="3" borderId="33" xfId="0" applyNumberFormat="1" applyFont="1" applyFill="1" applyBorder="1"/>
    <xf numFmtId="44" fontId="0" fillId="3" borderId="35" xfId="0" applyNumberFormat="1" applyFont="1" applyFill="1" applyBorder="1"/>
    <xf numFmtId="44" fontId="0" fillId="3" borderId="7" xfId="0" applyNumberFormat="1" applyFont="1" applyFill="1" applyBorder="1"/>
    <xf numFmtId="44" fontId="0" fillId="3" borderId="10" xfId="2" applyFont="1" applyFill="1" applyBorder="1" applyProtection="1"/>
    <xf numFmtId="44" fontId="0" fillId="2" borderId="10" xfId="2" applyFont="1" applyFill="1" applyBorder="1" applyProtection="1">
      <protection locked="0"/>
    </xf>
    <xf numFmtId="44" fontId="0" fillId="3" borderId="11" xfId="2" applyFont="1" applyFill="1" applyBorder="1" applyProtection="1"/>
    <xf numFmtId="164" fontId="0" fillId="2" borderId="36" xfId="1" applyNumberFormat="1" applyFont="1" applyFill="1" applyBorder="1" applyProtection="1">
      <protection locked="0"/>
    </xf>
    <xf numFmtId="0" fontId="0" fillId="2" borderId="11" xfId="0" applyFill="1" applyBorder="1" applyProtection="1">
      <protection locked="0"/>
    </xf>
    <xf numFmtId="44" fontId="0" fillId="3" borderId="36" xfId="2" applyFont="1" applyFill="1" applyBorder="1" applyProtection="1"/>
    <xf numFmtId="44" fontId="0" fillId="3" borderId="10" xfId="2" applyNumberFormat="1" applyFont="1" applyFill="1" applyBorder="1" applyProtection="1"/>
    <xf numFmtId="165" fontId="0" fillId="0" borderId="13" xfId="2" applyNumberFormat="1" applyFont="1" applyBorder="1" applyProtection="1"/>
    <xf numFmtId="44" fontId="0" fillId="0" borderId="18" xfId="2" applyFont="1" applyBorder="1" applyProtection="1"/>
    <xf numFmtId="0" fontId="0" fillId="0" borderId="12" xfId="0" applyBorder="1" applyAlignment="1" applyProtection="1">
      <alignment horizontal="center"/>
    </xf>
    <xf numFmtId="0" fontId="0" fillId="0" borderId="13" xfId="0" applyBorder="1" applyAlignment="1" applyProtection="1">
      <alignment horizontal="center"/>
    </xf>
    <xf numFmtId="0" fontId="0" fillId="0" borderId="18" xfId="0" applyBorder="1" applyAlignment="1" applyProtection="1">
      <alignment horizontal="center"/>
    </xf>
    <xf numFmtId="9" fontId="0" fillId="0" borderId="0" xfId="3" applyFont="1" applyProtection="1"/>
    <xf numFmtId="164" fontId="20" fillId="0" borderId="0" xfId="1" applyNumberFormat="1" applyFont="1" applyProtection="1"/>
    <xf numFmtId="0" fontId="0" fillId="0" borderId="0" xfId="3" applyNumberFormat="1" applyFont="1" applyProtection="1"/>
    <xf numFmtId="44" fontId="20" fillId="0" borderId="0" xfId="2" applyFont="1" applyProtection="1"/>
    <xf numFmtId="0" fontId="13" fillId="0" borderId="16" xfId="0" applyFont="1" applyFill="1" applyBorder="1" applyAlignment="1" applyProtection="1"/>
    <xf numFmtId="164" fontId="0" fillId="3" borderId="16" xfId="1" applyNumberFormat="1" applyFont="1" applyFill="1" applyBorder="1" applyProtection="1"/>
    <xf numFmtId="164" fontId="0" fillId="3" borderId="17" xfId="1" applyNumberFormat="1" applyFont="1" applyFill="1" applyBorder="1" applyProtection="1"/>
    <xf numFmtId="0" fontId="0" fillId="0" borderId="2" xfId="0" applyBorder="1" applyProtection="1"/>
    <xf numFmtId="0" fontId="4" fillId="0" borderId="43" xfId="0" applyFont="1" applyBorder="1" applyProtection="1"/>
    <xf numFmtId="44" fontId="2" fillId="0" borderId="13" xfId="2" applyFont="1" applyBorder="1" applyAlignment="1" applyProtection="1">
      <alignment horizontal="right"/>
    </xf>
    <xf numFmtId="44" fontId="0" fillId="3" borderId="45" xfId="2" applyFont="1" applyFill="1" applyBorder="1" applyProtection="1"/>
    <xf numFmtId="44" fontId="0" fillId="3" borderId="37" xfId="2" applyNumberFormat="1" applyFont="1" applyFill="1" applyBorder="1" applyProtection="1"/>
    <xf numFmtId="44" fontId="0" fillId="3" borderId="19" xfId="2" applyFont="1" applyFill="1" applyBorder="1" applyProtection="1"/>
    <xf numFmtId="44" fontId="0" fillId="3" borderId="16" xfId="2" applyNumberFormat="1" applyFont="1" applyFill="1" applyBorder="1" applyProtection="1"/>
    <xf numFmtId="0" fontId="13" fillId="0" borderId="35" xfId="0" applyFont="1" applyFill="1" applyBorder="1" applyProtection="1"/>
    <xf numFmtId="0" fontId="13" fillId="0" borderId="7" xfId="0" applyFont="1" applyFill="1" applyBorder="1" applyProtection="1"/>
    <xf numFmtId="164" fontId="0" fillId="0" borderId="13" xfId="1" applyNumberFormat="1" applyFont="1" applyBorder="1" applyAlignment="1" applyProtection="1">
      <alignment horizontal="center" wrapText="1"/>
    </xf>
    <xf numFmtId="0" fontId="0" fillId="0" borderId="0" xfId="0" applyFill="1"/>
    <xf numFmtId="0" fontId="3" fillId="0" borderId="2" xfId="0" applyFont="1" applyFill="1" applyBorder="1" applyAlignment="1">
      <alignment horizontal="center"/>
    </xf>
    <xf numFmtId="0" fontId="3" fillId="0" borderId="3" xfId="0" applyFont="1" applyFill="1" applyBorder="1" applyAlignment="1">
      <alignment horizontal="center"/>
    </xf>
    <xf numFmtId="44" fontId="13" fillId="3" borderId="4" xfId="2" applyFont="1" applyFill="1" applyBorder="1" applyProtection="1"/>
    <xf numFmtId="9" fontId="0" fillId="0" borderId="0" xfId="3" applyFont="1" applyFill="1" applyProtection="1"/>
    <xf numFmtId="44" fontId="1" fillId="3" borderId="4" xfId="2" applyFont="1" applyFill="1" applyBorder="1" applyProtection="1"/>
    <xf numFmtId="44" fontId="1" fillId="3" borderId="33" xfId="2" applyFont="1" applyFill="1" applyBorder="1" applyProtection="1"/>
    <xf numFmtId="0" fontId="2" fillId="0" borderId="19" xfId="0" applyFont="1" applyFill="1" applyBorder="1" applyProtection="1"/>
    <xf numFmtId="164" fontId="2" fillId="0" borderId="16" xfId="1" applyNumberFormat="1" applyFont="1" applyFill="1" applyBorder="1" applyProtection="1"/>
    <xf numFmtId="164" fontId="2" fillId="0" borderId="17" xfId="1" applyNumberFormat="1" applyFont="1" applyFill="1" applyBorder="1" applyProtection="1"/>
    <xf numFmtId="0" fontId="0" fillId="0" borderId="4" xfId="0" applyNumberFormat="1" applyFont="1" applyBorder="1" applyAlignment="1"/>
    <xf numFmtId="0" fontId="0" fillId="0" borderId="33" xfId="0" applyNumberFormat="1" applyFont="1" applyBorder="1" applyAlignment="1"/>
    <xf numFmtId="0" fontId="0" fillId="0" borderId="35" xfId="0" applyNumberFormat="1" applyFont="1" applyBorder="1" applyAlignment="1"/>
    <xf numFmtId="0" fontId="0" fillId="0" borderId="7" xfId="0" applyNumberFormat="1" applyFont="1" applyBorder="1" applyAlignment="1"/>
    <xf numFmtId="0" fontId="0" fillId="0" borderId="11" xfId="0" applyNumberFormat="1" applyFont="1" applyBorder="1" applyAlignment="1"/>
    <xf numFmtId="0" fontId="0" fillId="0" borderId="13" xfId="0" applyBorder="1" applyAlignment="1" applyProtection="1">
      <alignment horizontal="center" wrapText="1"/>
    </xf>
    <xf numFmtId="0" fontId="0" fillId="0" borderId="18" xfId="0" applyBorder="1" applyAlignment="1" applyProtection="1">
      <alignment horizontal="center" wrapText="1"/>
    </xf>
    <xf numFmtId="44" fontId="0" fillId="12" borderId="13" xfId="2" applyFont="1" applyFill="1" applyBorder="1" applyProtection="1"/>
    <xf numFmtId="0" fontId="3" fillId="9" borderId="36" xfId="0" applyFont="1" applyFill="1" applyBorder="1" applyAlignment="1">
      <alignment horizontal="center"/>
    </xf>
    <xf numFmtId="0" fontId="3" fillId="9" borderId="10" xfId="0" applyFont="1" applyFill="1" applyBorder="1" applyAlignment="1">
      <alignment horizontal="center"/>
    </xf>
    <xf numFmtId="0" fontId="25" fillId="9" borderId="11" xfId="0" applyFont="1" applyFill="1" applyBorder="1" applyAlignment="1">
      <alignment horizontal="center" wrapText="1"/>
    </xf>
    <xf numFmtId="0" fontId="24" fillId="5" borderId="1" xfId="0" applyFont="1" applyFill="1" applyBorder="1" applyAlignment="1">
      <alignment horizontal="centerContinuous"/>
    </xf>
    <xf numFmtId="0" fontId="22" fillId="5" borderId="2" xfId="0" applyFont="1" applyFill="1" applyBorder="1" applyAlignment="1">
      <alignment horizontal="centerContinuous"/>
    </xf>
    <xf numFmtId="9" fontId="22" fillId="5" borderId="2" xfId="3" applyFont="1" applyFill="1" applyBorder="1" applyAlignment="1">
      <alignment horizontal="centerContinuous"/>
    </xf>
    <xf numFmtId="0" fontId="0" fillId="5" borderId="2" xfId="0" applyFill="1" applyBorder="1" applyAlignment="1">
      <alignment horizontal="centerContinuous"/>
    </xf>
    <xf numFmtId="0" fontId="0" fillId="5" borderId="3" xfId="0" applyFill="1" applyBorder="1" applyAlignment="1">
      <alignment horizontal="centerContinuous"/>
    </xf>
    <xf numFmtId="0" fontId="24" fillId="6" borderId="1" xfId="0" applyFont="1" applyFill="1" applyBorder="1" applyAlignment="1">
      <alignment horizontal="centerContinuous"/>
    </xf>
    <xf numFmtId="0" fontId="22" fillId="6" borderId="2" xfId="0" applyFont="1" applyFill="1" applyBorder="1" applyAlignment="1">
      <alignment horizontal="centerContinuous"/>
    </xf>
    <xf numFmtId="9" fontId="22" fillId="6" borderId="2" xfId="3" applyFont="1" applyFill="1" applyBorder="1" applyAlignment="1">
      <alignment horizontal="centerContinuous"/>
    </xf>
    <xf numFmtId="0" fontId="0" fillId="6" borderId="2" xfId="0" applyFill="1" applyBorder="1" applyAlignment="1">
      <alignment horizontal="centerContinuous"/>
    </xf>
    <xf numFmtId="0" fontId="0" fillId="6" borderId="3" xfId="0" applyFill="1" applyBorder="1" applyAlignment="1">
      <alignment horizontal="centerContinuous"/>
    </xf>
    <xf numFmtId="0" fontId="19" fillId="0" borderId="8" xfId="0" applyFont="1" applyFill="1" applyBorder="1" applyAlignment="1">
      <alignment horizontal="center"/>
    </xf>
    <xf numFmtId="44" fontId="0" fillId="0" borderId="0" xfId="0" applyNumberFormat="1" applyFill="1" applyProtection="1"/>
    <xf numFmtId="164" fontId="0" fillId="0" borderId="0" xfId="1" applyNumberFormat="1" applyFont="1" applyAlignment="1" applyProtection="1">
      <alignment horizontal="center"/>
    </xf>
    <xf numFmtId="0" fontId="11" fillId="2" borderId="4" xfId="0" applyFont="1" applyFill="1" applyBorder="1" applyAlignment="1" applyProtection="1">
      <alignment wrapText="1"/>
      <protection locked="0"/>
    </xf>
    <xf numFmtId="0" fontId="0" fillId="0" borderId="0" xfId="0" applyAlignment="1">
      <alignment wrapText="1"/>
    </xf>
    <xf numFmtId="0" fontId="13" fillId="0" borderId="20" xfId="0" applyFont="1" applyFill="1" applyBorder="1" applyAlignment="1" applyProtection="1"/>
    <xf numFmtId="0" fontId="4" fillId="0" borderId="48" xfId="0" applyFont="1" applyBorder="1" applyProtection="1"/>
    <xf numFmtId="0" fontId="13" fillId="0" borderId="23" xfId="0" applyFont="1" applyFill="1" applyBorder="1" applyAlignment="1" applyProtection="1"/>
    <xf numFmtId="164" fontId="0" fillId="3" borderId="23" xfId="1" applyNumberFormat="1" applyFont="1" applyFill="1" applyBorder="1" applyProtection="1"/>
    <xf numFmtId="164" fontId="0" fillId="3" borderId="24" xfId="1" applyNumberFormat="1" applyFont="1" applyFill="1" applyBorder="1" applyProtection="1"/>
    <xf numFmtId="44" fontId="1" fillId="3" borderId="10" xfId="2" applyFont="1" applyFill="1" applyBorder="1" applyProtection="1"/>
    <xf numFmtId="164" fontId="0" fillId="2" borderId="22" xfId="1" applyNumberFormat="1" applyFont="1" applyFill="1" applyBorder="1" applyProtection="1">
      <protection locked="0"/>
    </xf>
    <xf numFmtId="44" fontId="1" fillId="3" borderId="23" xfId="2" applyFont="1" applyFill="1" applyBorder="1" applyProtection="1"/>
    <xf numFmtId="44" fontId="0" fillId="3" borderId="23" xfId="2" applyFont="1" applyFill="1" applyBorder="1" applyProtection="1"/>
    <xf numFmtId="44" fontId="0" fillId="3" borderId="24" xfId="2" applyFont="1" applyFill="1" applyBorder="1" applyProtection="1"/>
    <xf numFmtId="164" fontId="0" fillId="2" borderId="43" xfId="1" applyNumberFormat="1" applyFont="1" applyFill="1" applyBorder="1" applyProtection="1">
      <protection locked="0"/>
    </xf>
    <xf numFmtId="44" fontId="0" fillId="3" borderId="39" xfId="2" applyFont="1" applyFill="1" applyBorder="1" applyProtection="1"/>
    <xf numFmtId="44" fontId="0" fillId="3" borderId="39" xfId="2" applyNumberFormat="1" applyFont="1" applyFill="1" applyBorder="1" applyProtection="1"/>
    <xf numFmtId="44" fontId="0" fillId="3" borderId="40" xfId="2" applyFont="1" applyFill="1" applyBorder="1" applyProtection="1"/>
    <xf numFmtId="0" fontId="13" fillId="0" borderId="22" xfId="0" quotePrefix="1" applyFont="1" applyFill="1" applyBorder="1" applyAlignment="1" applyProtection="1">
      <alignment horizontal="center"/>
    </xf>
    <xf numFmtId="0" fontId="2" fillId="0" borderId="39" xfId="0" applyFont="1" applyBorder="1" applyProtection="1"/>
    <xf numFmtId="164" fontId="2" fillId="0" borderId="39" xfId="1" applyNumberFormat="1" applyFont="1" applyBorder="1" applyAlignment="1" applyProtection="1">
      <alignment horizontal="center" wrapText="1"/>
    </xf>
    <xf numFmtId="164" fontId="2" fillId="0" borderId="40" xfId="1" applyNumberFormat="1" applyFont="1" applyBorder="1" applyAlignment="1" applyProtection="1">
      <alignment horizontal="center" wrapText="1"/>
    </xf>
    <xf numFmtId="164" fontId="2" fillId="0" borderId="0" xfId="1" applyNumberFormat="1" applyFont="1" applyFill="1" applyBorder="1" applyAlignment="1" applyProtection="1">
      <alignment horizontal="center" wrapText="1"/>
    </xf>
    <xf numFmtId="164" fontId="2" fillId="0" borderId="22" xfId="1" applyNumberFormat="1" applyFont="1" applyBorder="1" applyAlignment="1" applyProtection="1">
      <alignment horizontal="center" wrapText="1"/>
    </xf>
    <xf numFmtId="164" fontId="2" fillId="0" borderId="47" xfId="1" applyNumberFormat="1" applyFont="1" applyBorder="1" applyAlignment="1" applyProtection="1">
      <alignment horizontal="center" wrapText="1"/>
    </xf>
    <xf numFmtId="44" fontId="2" fillId="0" borderId="23" xfId="2" applyFont="1" applyBorder="1" applyAlignment="1" applyProtection="1">
      <alignment horizontal="center" wrapText="1"/>
    </xf>
    <xf numFmtId="44" fontId="2" fillId="0" borderId="23" xfId="2" applyFont="1" applyBorder="1" applyAlignment="1" applyProtection="1">
      <alignment horizontal="center"/>
    </xf>
    <xf numFmtId="165" fontId="2" fillId="0" borderId="23" xfId="2" applyNumberFormat="1" applyFont="1" applyBorder="1" applyProtection="1"/>
    <xf numFmtId="44" fontId="2" fillId="0" borderId="23" xfId="2" applyFont="1" applyBorder="1" applyProtection="1"/>
    <xf numFmtId="44" fontId="2" fillId="0" borderId="24" xfId="2" applyFont="1" applyBorder="1" applyProtection="1"/>
    <xf numFmtId="0" fontId="2" fillId="0" borderId="0" xfId="0" applyFont="1" applyProtection="1"/>
    <xf numFmtId="0" fontId="2" fillId="0" borderId="23" xfId="0" applyFont="1" applyBorder="1" applyAlignment="1" applyProtection="1">
      <alignment horizontal="center" wrapText="1"/>
    </xf>
    <xf numFmtId="0" fontId="2" fillId="0" borderId="24" xfId="0" applyFont="1" applyBorder="1" applyAlignment="1" applyProtection="1">
      <alignment horizontal="center" wrapText="1"/>
    </xf>
    <xf numFmtId="0" fontId="0" fillId="0" borderId="13" xfId="0" applyBorder="1" applyProtection="1"/>
    <xf numFmtId="0" fontId="0" fillId="0" borderId="9" xfId="0" applyBorder="1" applyProtection="1"/>
    <xf numFmtId="0" fontId="13" fillId="0" borderId="37" xfId="0" applyFont="1" applyFill="1" applyBorder="1" applyAlignment="1" applyProtection="1"/>
    <xf numFmtId="0" fontId="13" fillId="0" borderId="4" xfId="0" quotePrefix="1" applyFont="1" applyFill="1" applyBorder="1" applyAlignment="1" applyProtection="1"/>
    <xf numFmtId="0" fontId="13" fillId="0" borderId="33" xfId="0" quotePrefix="1" applyFont="1" applyFill="1" applyBorder="1" applyAlignment="1" applyProtection="1"/>
    <xf numFmtId="0" fontId="13" fillId="0" borderId="10" xfId="0" quotePrefix="1" applyFont="1" applyFill="1" applyBorder="1" applyAlignment="1" applyProtection="1"/>
    <xf numFmtId="0" fontId="2" fillId="0" borderId="46" xfId="0" applyFont="1" applyFill="1" applyBorder="1" applyProtection="1"/>
    <xf numFmtId="164" fontId="2" fillId="0" borderId="37" xfId="1" applyNumberFormat="1" applyFont="1" applyFill="1" applyBorder="1" applyProtection="1"/>
    <xf numFmtId="164" fontId="2" fillId="0" borderId="45" xfId="1" applyNumberFormat="1" applyFont="1" applyFill="1" applyBorder="1" applyProtection="1"/>
    <xf numFmtId="0" fontId="2" fillId="0" borderId="22" xfId="0" applyFont="1" applyFill="1" applyBorder="1" applyProtection="1"/>
    <xf numFmtId="164" fontId="2" fillId="0" borderId="23" xfId="1" applyNumberFormat="1" applyFont="1" applyFill="1" applyBorder="1" applyProtection="1"/>
    <xf numFmtId="164" fontId="2" fillId="0" borderId="24" xfId="1" applyNumberFormat="1" applyFont="1" applyFill="1" applyBorder="1" applyProtection="1"/>
    <xf numFmtId="44" fontId="0" fillId="2" borderId="23" xfId="2" applyFont="1" applyFill="1" applyBorder="1" applyProtection="1">
      <protection locked="0"/>
    </xf>
    <xf numFmtId="0" fontId="0" fillId="2" borderId="24" xfId="0" applyFill="1" applyBorder="1" applyProtection="1">
      <protection locked="0"/>
    </xf>
    <xf numFmtId="44" fontId="0" fillId="3" borderId="43" xfId="2" applyFont="1" applyFill="1" applyBorder="1" applyProtection="1"/>
    <xf numFmtId="44" fontId="0" fillId="3" borderId="22" xfId="2" applyFont="1" applyFill="1" applyBorder="1" applyProtection="1"/>
    <xf numFmtId="44" fontId="0" fillId="3" borderId="23" xfId="2" applyNumberFormat="1" applyFont="1" applyFill="1" applyBorder="1" applyProtection="1"/>
    <xf numFmtId="44" fontId="0" fillId="2" borderId="39" xfId="2" applyFont="1" applyFill="1" applyBorder="1" applyProtection="1">
      <protection locked="0"/>
    </xf>
    <xf numFmtId="0" fontId="0" fillId="2" borderId="40" xfId="0" applyFill="1" applyBorder="1" applyProtection="1">
      <protection locked="0"/>
    </xf>
    <xf numFmtId="0" fontId="13" fillId="0" borderId="43" xfId="0" quotePrefix="1" applyFont="1" applyFill="1" applyBorder="1" applyAlignment="1" applyProtection="1">
      <alignment horizontal="center"/>
    </xf>
    <xf numFmtId="0" fontId="13" fillId="0" borderId="39" xfId="0" applyFont="1" applyFill="1" applyBorder="1" applyAlignment="1" applyProtection="1"/>
    <xf numFmtId="164" fontId="0" fillId="3" borderId="39" xfId="1" applyNumberFormat="1" applyFont="1" applyFill="1" applyBorder="1" applyProtection="1"/>
    <xf numFmtId="0" fontId="0" fillId="2" borderId="33" xfId="0" applyFill="1" applyBorder="1" applyProtection="1">
      <protection locked="0"/>
    </xf>
    <xf numFmtId="0" fontId="0" fillId="2" borderId="10" xfId="0" applyFill="1" applyBorder="1" applyProtection="1">
      <protection locked="0"/>
    </xf>
    <xf numFmtId="0" fontId="13" fillId="0" borderId="20" xfId="0" applyFont="1" applyFill="1" applyBorder="1" applyProtection="1"/>
    <xf numFmtId="0" fontId="13" fillId="0" borderId="24" xfId="0" applyFont="1" applyFill="1" applyBorder="1" applyProtection="1"/>
    <xf numFmtId="0" fontId="0" fillId="0" borderId="50" xfId="0" applyFont="1" applyFill="1" applyBorder="1" applyAlignment="1" applyProtection="1">
      <alignment wrapText="1"/>
    </xf>
    <xf numFmtId="0" fontId="13" fillId="0" borderId="38" xfId="0" applyFont="1" applyFill="1" applyBorder="1" applyProtection="1"/>
    <xf numFmtId="0" fontId="13" fillId="0" borderId="42" xfId="0" applyFont="1" applyFill="1" applyBorder="1" applyProtection="1"/>
    <xf numFmtId="0" fontId="13" fillId="0" borderId="11" xfId="0" applyFont="1" applyFill="1" applyBorder="1" applyProtection="1"/>
    <xf numFmtId="0" fontId="0" fillId="0" borderId="2" xfId="0" applyBorder="1" applyAlignment="1"/>
    <xf numFmtId="0" fontId="0" fillId="0" borderId="2" xfId="0" applyFont="1" applyFill="1" applyBorder="1" applyAlignment="1">
      <alignment vertical="center"/>
    </xf>
    <xf numFmtId="0" fontId="0" fillId="0" borderId="3" xfId="0" applyFont="1" applyFill="1" applyBorder="1" applyAlignment="1">
      <alignment vertical="center"/>
    </xf>
    <xf numFmtId="2" fontId="0" fillId="0" borderId="0" xfId="0" applyNumberFormat="1" applyProtection="1"/>
    <xf numFmtId="0" fontId="3" fillId="0" borderId="5" xfId="0" applyFont="1" applyBorder="1" applyAlignment="1">
      <alignment wrapText="1"/>
    </xf>
    <xf numFmtId="0" fontId="3" fillId="0" borderId="0" xfId="0" applyFont="1" applyBorder="1" applyAlignment="1">
      <alignment wrapText="1"/>
    </xf>
    <xf numFmtId="0" fontId="11" fillId="0" borderId="0" xfId="0" applyFont="1" applyFill="1" applyBorder="1" applyAlignment="1" applyProtection="1">
      <alignment wrapText="1"/>
    </xf>
    <xf numFmtId="44" fontId="13" fillId="2" borderId="23" xfId="2" applyFont="1" applyFill="1" applyBorder="1" applyProtection="1">
      <protection locked="0"/>
    </xf>
    <xf numFmtId="44" fontId="13" fillId="2" borderId="33" xfId="2" applyFont="1" applyFill="1" applyBorder="1" applyProtection="1">
      <protection locked="0"/>
    </xf>
    <xf numFmtId="44" fontId="13" fillId="2" borderId="4" xfId="2" applyFont="1" applyFill="1" applyBorder="1" applyProtection="1">
      <protection locked="0"/>
    </xf>
    <xf numFmtId="44" fontId="13" fillId="2" borderId="10" xfId="2" applyFont="1" applyFill="1" applyBorder="1" applyProtection="1">
      <protection locked="0"/>
    </xf>
    <xf numFmtId="43" fontId="0" fillId="0" borderId="0" xfId="1" applyFont="1" applyProtection="1"/>
    <xf numFmtId="0" fontId="2" fillId="9" borderId="37" xfId="0" applyFont="1" applyFill="1" applyBorder="1" applyAlignment="1" applyProtection="1">
      <alignment horizontal="left" vertical="center"/>
    </xf>
    <xf numFmtId="0" fontId="2" fillId="9" borderId="37" xfId="0" applyFont="1" applyFill="1" applyBorder="1" applyAlignment="1" applyProtection="1">
      <alignment horizontal="left"/>
    </xf>
    <xf numFmtId="0" fontId="2" fillId="0" borderId="0" xfId="0" applyFont="1" applyAlignment="1">
      <alignment horizontal="left"/>
    </xf>
    <xf numFmtId="0" fontId="2" fillId="0" borderId="0" xfId="0" applyFont="1" applyAlignment="1">
      <alignment horizontal="center"/>
    </xf>
    <xf numFmtId="44" fontId="19" fillId="0" borderId="0" xfId="2" applyFont="1" applyProtection="1"/>
    <xf numFmtId="44" fontId="0" fillId="0" borderId="0" xfId="0" applyNumberFormat="1" applyFont="1"/>
    <xf numFmtId="164" fontId="0" fillId="0" borderId="0" xfId="0" applyNumberFormat="1" applyFill="1"/>
    <xf numFmtId="44" fontId="0" fillId="0" borderId="0" xfId="0" applyNumberFormat="1" applyFill="1"/>
    <xf numFmtId="164" fontId="2" fillId="0" borderId="0" xfId="1" applyNumberFormat="1" applyFont="1" applyFill="1" applyProtection="1"/>
    <xf numFmtId="44" fontId="2" fillId="0" borderId="0" xfId="0" applyNumberFormat="1" applyFont="1"/>
    <xf numFmtId="44" fontId="2" fillId="0" borderId="0" xfId="0" applyNumberFormat="1" applyFont="1" applyFill="1"/>
    <xf numFmtId="0" fontId="0" fillId="13" borderId="0" xfId="0" applyFont="1" applyFill="1" applyProtection="1"/>
    <xf numFmtId="44" fontId="0" fillId="0" borderId="0" xfId="0" applyNumberFormat="1" applyFont="1" applyFill="1" applyProtection="1"/>
    <xf numFmtId="44" fontId="19" fillId="0" borderId="0" xfId="2" applyNumberFormat="1" applyFont="1" applyProtection="1"/>
    <xf numFmtId="0" fontId="0" fillId="15" borderId="0" xfId="0" applyFill="1" applyProtection="1"/>
    <xf numFmtId="0" fontId="2" fillId="15" borderId="0" xfId="0" applyFont="1" applyFill="1" applyAlignment="1">
      <alignment horizontal="left"/>
    </xf>
    <xf numFmtId="0" fontId="2" fillId="15" borderId="0" xfId="0" applyFont="1" applyFill="1" applyAlignment="1">
      <alignment horizontal="center"/>
    </xf>
    <xf numFmtId="44" fontId="2" fillId="15" borderId="0" xfId="0" applyNumberFormat="1" applyFont="1" applyFill="1" applyAlignment="1">
      <alignment horizontal="center"/>
    </xf>
    <xf numFmtId="0" fontId="2" fillId="15" borderId="0" xfId="0" applyFont="1" applyFill="1" applyAlignment="1" applyProtection="1">
      <alignment horizontal="left"/>
    </xf>
    <xf numFmtId="0" fontId="2" fillId="0" borderId="0" xfId="0" applyFont="1" applyAlignment="1">
      <alignment horizontal="right"/>
    </xf>
    <xf numFmtId="0" fontId="2" fillId="0" borderId="0" xfId="0" applyFont="1" applyFill="1" applyAlignment="1" applyProtection="1">
      <alignment horizontal="right"/>
    </xf>
    <xf numFmtId="0" fontId="0" fillId="0" borderId="5" xfId="0" applyFont="1" applyBorder="1" applyProtection="1"/>
    <xf numFmtId="165" fontId="0" fillId="0" borderId="0" xfId="2" applyNumberFormat="1" applyFont="1" applyBorder="1" applyProtection="1"/>
    <xf numFmtId="165" fontId="1" fillId="0" borderId="6" xfId="2" applyNumberFormat="1" applyFont="1" applyFill="1" applyBorder="1" applyAlignment="1" applyProtection="1">
      <alignment horizontal="left"/>
    </xf>
    <xf numFmtId="165" fontId="26" fillId="0" borderId="6" xfId="2" applyNumberFormat="1" applyFont="1" applyFill="1" applyBorder="1" applyProtection="1"/>
    <xf numFmtId="165" fontId="1" fillId="0" borderId="6" xfId="2" applyNumberFormat="1" applyFont="1" applyFill="1" applyBorder="1" applyProtection="1"/>
    <xf numFmtId="165" fontId="26" fillId="0" borderId="0" xfId="2" applyNumberFormat="1" applyFont="1" applyBorder="1" applyProtection="1"/>
    <xf numFmtId="165" fontId="1" fillId="0" borderId="6" xfId="2" applyNumberFormat="1" applyFont="1" applyBorder="1" applyProtection="1"/>
    <xf numFmtId="0" fontId="0" fillId="0" borderId="0" xfId="0" applyFont="1" applyAlignment="1"/>
    <xf numFmtId="0" fontId="0" fillId="0" borderId="0" xfId="0" applyAlignment="1" applyProtection="1"/>
    <xf numFmtId="44" fontId="10" fillId="0" borderId="0" xfId="2" applyFont="1" applyProtection="1"/>
    <xf numFmtId="44" fontId="10" fillId="0" borderId="0" xfId="2" applyFont="1" applyBorder="1" applyProtection="1"/>
    <xf numFmtId="44" fontId="7" fillId="0" borderId="0" xfId="2" applyFont="1" applyAlignment="1" applyProtection="1">
      <alignment vertical="center"/>
    </xf>
    <xf numFmtId="44" fontId="10" fillId="0" borderId="0" xfId="2" applyFont="1" applyFill="1" applyProtection="1"/>
    <xf numFmtId="44" fontId="10" fillId="0" borderId="0" xfId="2" applyFont="1" applyFill="1" applyAlignment="1" applyProtection="1">
      <alignment wrapText="1"/>
    </xf>
    <xf numFmtId="49" fontId="14" fillId="0" borderId="1" xfId="4" quotePrefix="1" applyNumberFormat="1" applyFont="1" applyBorder="1" applyAlignment="1">
      <alignment horizontal="center" vertical="top"/>
    </xf>
    <xf numFmtId="166" fontId="13" fillId="0" borderId="3" xfId="4" applyFont="1" applyBorder="1" applyAlignment="1">
      <alignment vertical="top" wrapText="1"/>
    </xf>
    <xf numFmtId="49" fontId="14" fillId="0" borderId="8" xfId="4" quotePrefix="1" applyNumberFormat="1" applyFont="1" applyFill="1" applyBorder="1" applyAlignment="1">
      <alignment horizontal="center"/>
    </xf>
    <xf numFmtId="166" fontId="13" fillId="0" borderId="21" xfId="4" applyFont="1" applyFill="1" applyBorder="1" applyAlignment="1">
      <alignment wrapText="1"/>
    </xf>
    <xf numFmtId="166" fontId="13" fillId="0" borderId="6" xfId="4" applyFont="1" applyFill="1" applyBorder="1" applyAlignment="1">
      <alignment wrapText="1"/>
    </xf>
    <xf numFmtId="49" fontId="14" fillId="0" borderId="5" xfId="4" quotePrefix="1" applyNumberFormat="1" applyFont="1" applyFill="1" applyBorder="1" applyAlignment="1">
      <alignment horizontal="center"/>
    </xf>
    <xf numFmtId="49" fontId="14" fillId="0" borderId="12" xfId="4" quotePrefix="1" applyNumberFormat="1" applyFont="1" applyFill="1" applyBorder="1" applyAlignment="1">
      <alignment horizontal="center"/>
    </xf>
    <xf numFmtId="166" fontId="13" fillId="0" borderId="18" xfId="4" applyFont="1" applyFill="1" applyBorder="1" applyAlignment="1">
      <alignment wrapText="1"/>
    </xf>
    <xf numFmtId="2" fontId="0" fillId="0" borderId="0" xfId="0" applyNumberFormat="1" applyBorder="1" applyProtection="1"/>
    <xf numFmtId="0" fontId="13" fillId="0" borderId="24" xfId="0" applyFont="1" applyFill="1" applyBorder="1" applyAlignment="1" applyProtection="1"/>
    <xf numFmtId="0" fontId="13" fillId="0" borderId="35" xfId="0" applyFont="1" applyFill="1" applyBorder="1" applyAlignment="1" applyProtection="1"/>
    <xf numFmtId="0" fontId="13" fillId="0" borderId="7" xfId="0" applyFont="1" applyFill="1" applyBorder="1" applyAlignment="1" applyProtection="1"/>
    <xf numFmtId="0" fontId="13" fillId="0" borderId="11" xfId="0" applyFont="1" applyFill="1" applyBorder="1" applyAlignment="1" applyProtection="1"/>
    <xf numFmtId="0" fontId="13" fillId="0" borderId="45" xfId="0" applyFont="1" applyFill="1" applyBorder="1" applyAlignment="1" applyProtection="1"/>
    <xf numFmtId="49" fontId="14" fillId="0" borderId="8" xfId="4" applyNumberFormat="1" applyFont="1" applyFill="1" applyBorder="1" applyAlignment="1">
      <alignment horizontal="center"/>
    </xf>
    <xf numFmtId="2" fontId="0" fillId="0" borderId="15" xfId="0" applyNumberFormat="1" applyFont="1" applyBorder="1" applyAlignment="1"/>
    <xf numFmtId="2" fontId="0" fillId="0" borderId="14" xfId="0" applyNumberFormat="1" applyFont="1" applyBorder="1" applyAlignment="1"/>
    <xf numFmtId="2" fontId="0" fillId="0" borderId="36" xfId="0" applyNumberFormat="1" applyFont="1" applyBorder="1" applyAlignment="1"/>
    <xf numFmtId="0" fontId="3" fillId="0" borderId="0" xfId="0" applyFont="1" applyFill="1" applyBorder="1" applyAlignment="1">
      <alignment horizontal="center"/>
    </xf>
    <xf numFmtId="0" fontId="0" fillId="0" borderId="0" xfId="0" applyFill="1" applyAlignment="1">
      <alignment horizontal="center"/>
    </xf>
    <xf numFmtId="0" fontId="0" fillId="0" borderId="0" xfId="0" applyFont="1" applyFill="1" applyBorder="1"/>
    <xf numFmtId="0" fontId="0" fillId="0" borderId="0" xfId="3" applyNumberFormat="1" applyFont="1" applyFill="1" applyBorder="1"/>
    <xf numFmtId="2" fontId="0" fillId="0" borderId="1" xfId="0" applyNumberFormat="1" applyFont="1" applyFill="1" applyBorder="1" applyAlignment="1"/>
    <xf numFmtId="0" fontId="0" fillId="0" borderId="2" xfId="0" applyNumberFormat="1" applyFont="1" applyFill="1" applyBorder="1" applyAlignment="1"/>
    <xf numFmtId="0" fontId="0" fillId="0" borderId="3" xfId="0" applyNumberFormat="1" applyFont="1" applyFill="1" applyBorder="1" applyAlignment="1"/>
    <xf numFmtId="0" fontId="13" fillId="0" borderId="2" xfId="0" quotePrefix="1" applyFont="1" applyFill="1" applyBorder="1" applyProtection="1"/>
    <xf numFmtId="0" fontId="13" fillId="0" borderId="2" xfId="0" applyFont="1" applyFill="1" applyBorder="1" applyProtection="1"/>
    <xf numFmtId="0" fontId="13" fillId="0" borderId="3" xfId="0" applyFont="1" applyFill="1" applyBorder="1" applyProtection="1"/>
    <xf numFmtId="44" fontId="13" fillId="0" borderId="25" xfId="2" applyFont="1" applyFill="1" applyBorder="1" applyProtection="1"/>
    <xf numFmtId="44" fontId="0" fillId="3" borderId="4" xfId="2" applyFont="1" applyFill="1" applyBorder="1" applyAlignment="1">
      <alignment wrapText="1"/>
    </xf>
    <xf numFmtId="44" fontId="0" fillId="3" borderId="7" xfId="2" applyFont="1" applyFill="1" applyBorder="1" applyAlignment="1"/>
    <xf numFmtId="44" fontId="0" fillId="3" borderId="10" xfId="2" applyFont="1" applyFill="1" applyBorder="1" applyAlignment="1">
      <alignment wrapText="1"/>
    </xf>
    <xf numFmtId="44" fontId="0" fillId="3" borderId="11" xfId="2" applyFont="1" applyFill="1" applyBorder="1" applyAlignment="1"/>
    <xf numFmtId="44" fontId="0" fillId="3" borderId="14" xfId="2" applyFont="1" applyFill="1" applyBorder="1" applyAlignment="1"/>
    <xf numFmtId="44" fontId="0" fillId="3" borderId="36" xfId="2" applyFont="1" applyFill="1" applyBorder="1" applyAlignment="1"/>
    <xf numFmtId="168" fontId="0" fillId="0" borderId="0" xfId="3" applyNumberFormat="1" applyFont="1" applyProtection="1"/>
    <xf numFmtId="0" fontId="28" fillId="0" borderId="1" xfId="0" quotePrefix="1" applyFont="1" applyFill="1" applyBorder="1" applyAlignment="1" applyProtection="1">
      <alignment horizontal="left"/>
    </xf>
    <xf numFmtId="165" fontId="13" fillId="3" borderId="25" xfId="2" applyNumberFormat="1" applyFont="1" applyFill="1" applyBorder="1" applyProtection="1"/>
    <xf numFmtId="165" fontId="13" fillId="3" borderId="34" xfId="2" applyNumberFormat="1" applyFont="1" applyFill="1" applyBorder="1" applyProtection="1"/>
    <xf numFmtId="165" fontId="13" fillId="3" borderId="32" xfId="2" applyNumberFormat="1" applyFont="1" applyFill="1" applyBorder="1" applyProtection="1"/>
    <xf numFmtId="165" fontId="13" fillId="3" borderId="26" xfId="2" applyNumberFormat="1" applyFont="1" applyFill="1" applyBorder="1" applyProtection="1"/>
    <xf numFmtId="165" fontId="13" fillId="3" borderId="25" xfId="2" applyNumberFormat="1" applyFont="1" applyFill="1" applyBorder="1" applyAlignment="1" applyProtection="1"/>
    <xf numFmtId="165" fontId="13" fillId="3" borderId="34" xfId="2" applyNumberFormat="1" applyFont="1" applyFill="1" applyBorder="1" applyAlignment="1" applyProtection="1"/>
    <xf numFmtId="165" fontId="13" fillId="3" borderId="32" xfId="2" applyNumberFormat="1" applyFont="1" applyFill="1" applyBorder="1" applyAlignment="1" applyProtection="1"/>
    <xf numFmtId="165" fontId="13" fillId="3" borderId="26" xfId="2" applyNumberFormat="1" applyFont="1" applyFill="1" applyBorder="1" applyAlignment="1" applyProtection="1"/>
    <xf numFmtId="44" fontId="0" fillId="3" borderId="15" xfId="2" applyFont="1" applyFill="1" applyBorder="1" applyAlignment="1"/>
    <xf numFmtId="44" fontId="0" fillId="3" borderId="33" xfId="2" applyFont="1" applyFill="1" applyBorder="1" applyAlignment="1">
      <alignment wrapText="1"/>
    </xf>
    <xf numFmtId="44" fontId="0" fillId="3" borderId="35" xfId="2" applyFont="1" applyFill="1" applyBorder="1" applyAlignment="1"/>
    <xf numFmtId="44" fontId="10" fillId="0" borderId="0" xfId="2" applyNumberFormat="1" applyFont="1" applyProtection="1"/>
    <xf numFmtId="169" fontId="0" fillId="0" borderId="0" xfId="3" applyNumberFormat="1" applyFont="1" applyProtection="1"/>
    <xf numFmtId="49" fontId="14" fillId="0" borderId="1" xfId="4" applyNumberFormat="1" applyFont="1" applyFill="1" applyBorder="1" applyAlignment="1">
      <alignment horizontal="center"/>
    </xf>
    <xf numFmtId="166" fontId="13" fillId="0" borderId="3" xfId="4" applyFont="1" applyFill="1" applyBorder="1" applyAlignment="1">
      <alignment wrapText="1"/>
    </xf>
    <xf numFmtId="44" fontId="0" fillId="13" borderId="23" xfId="2" applyFont="1" applyFill="1" applyBorder="1" applyProtection="1"/>
    <xf numFmtId="44" fontId="0" fillId="13" borderId="33" xfId="2" applyFont="1" applyFill="1" applyBorder="1" applyProtection="1"/>
    <xf numFmtId="44" fontId="0" fillId="13" borderId="4" xfId="2" applyFont="1" applyFill="1" applyBorder="1" applyProtection="1"/>
    <xf numFmtId="44" fontId="0" fillId="13" borderId="10" xfId="2" applyFont="1" applyFill="1" applyBorder="1" applyProtection="1"/>
    <xf numFmtId="0" fontId="0" fillId="15" borderId="0" xfId="0" applyFill="1" applyAlignment="1">
      <alignment horizontal="center"/>
    </xf>
    <xf numFmtId="0" fontId="0" fillId="0" borderId="0" xfId="0" applyFont="1" applyAlignment="1">
      <alignment horizontal="center"/>
    </xf>
    <xf numFmtId="0" fontId="0" fillId="15" borderId="0" xfId="0" applyFill="1" applyAlignment="1" applyProtection="1">
      <alignment horizontal="center"/>
    </xf>
    <xf numFmtId="0" fontId="0" fillId="0" borderId="0" xfId="0" applyAlignment="1" applyProtection="1">
      <alignment horizontal="center"/>
    </xf>
    <xf numFmtId="0" fontId="2" fillId="0" borderId="0" xfId="0" applyFont="1" applyFill="1" applyAlignment="1" applyProtection="1">
      <alignment horizontal="center"/>
    </xf>
    <xf numFmtId="0" fontId="0" fillId="0" borderId="0" xfId="0" applyFont="1" applyFill="1" applyAlignment="1" applyProtection="1">
      <alignment horizontal="center"/>
    </xf>
    <xf numFmtId="44" fontId="0" fillId="0" borderId="0" xfId="2" applyFont="1"/>
    <xf numFmtId="0" fontId="13" fillId="0" borderId="33" xfId="0" applyFont="1" applyFill="1" applyBorder="1" applyProtection="1"/>
    <xf numFmtId="44" fontId="0" fillId="3" borderId="37" xfId="2" applyFont="1" applyFill="1" applyBorder="1" applyProtection="1"/>
    <xf numFmtId="44" fontId="0" fillId="2" borderId="37" xfId="2" applyFont="1" applyFill="1" applyBorder="1" applyProtection="1">
      <protection locked="0"/>
    </xf>
    <xf numFmtId="164" fontId="0" fillId="2" borderId="46" xfId="1" applyNumberFormat="1" applyFont="1" applyFill="1" applyBorder="1" applyProtection="1">
      <protection locked="0"/>
    </xf>
    <xf numFmtId="0" fontId="0" fillId="2" borderId="45" xfId="0" applyFill="1" applyBorder="1" applyProtection="1">
      <protection locked="0"/>
    </xf>
    <xf numFmtId="164" fontId="2" fillId="0" borderId="13" xfId="1" applyNumberFormat="1" applyFont="1" applyBorder="1" applyAlignment="1" applyProtection="1">
      <alignment horizontal="center"/>
    </xf>
    <xf numFmtId="165" fontId="2" fillId="0" borderId="18" xfId="1" applyNumberFormat="1" applyFont="1" applyBorder="1" applyAlignment="1" applyProtection="1">
      <alignment horizontal="center"/>
    </xf>
    <xf numFmtId="0" fontId="2" fillId="0" borderId="13" xfId="0" applyFont="1" applyBorder="1" applyAlignment="1" applyProtection="1">
      <alignment horizontal="left"/>
    </xf>
    <xf numFmtId="164" fontId="2" fillId="0" borderId="18" xfId="1" applyNumberFormat="1" applyFont="1" applyBorder="1" applyAlignment="1" applyProtection="1">
      <alignment horizontal="center"/>
    </xf>
    <xf numFmtId="10" fontId="2" fillId="0" borderId="0" xfId="3" applyNumberFormat="1" applyFont="1" applyFill="1" applyBorder="1" applyAlignment="1" applyProtection="1">
      <alignment horizontal="center"/>
    </xf>
    <xf numFmtId="0" fontId="2" fillId="0" borderId="52" xfId="0" applyFont="1" applyBorder="1" applyAlignment="1">
      <alignment horizontal="right"/>
    </xf>
    <xf numFmtId="166" fontId="13" fillId="0" borderId="21" xfId="4" applyFont="1" applyBorder="1" applyAlignment="1">
      <alignment horizontal="left" wrapText="1"/>
    </xf>
    <xf numFmtId="0" fontId="2" fillId="0" borderId="0" xfId="0" applyFont="1"/>
    <xf numFmtId="0" fontId="0" fillId="2" borderId="37" xfId="0" applyFill="1" applyBorder="1" applyProtection="1">
      <protection locked="0"/>
    </xf>
    <xf numFmtId="44" fontId="19" fillId="0" borderId="0" xfId="2" applyFont="1"/>
    <xf numFmtId="0" fontId="19" fillId="0" borderId="0" xfId="0" applyFont="1"/>
    <xf numFmtId="44" fontId="29" fillId="0" borderId="0" xfId="0" applyNumberFormat="1" applyFont="1"/>
    <xf numFmtId="44" fontId="19" fillId="0" borderId="0" xfId="0" applyNumberFormat="1" applyFont="1"/>
    <xf numFmtId="0" fontId="29" fillId="0" borderId="0" xfId="0" applyFont="1" applyAlignment="1">
      <alignment horizontal="right"/>
    </xf>
    <xf numFmtId="44" fontId="13" fillId="3" borderId="10" xfId="2" applyFont="1" applyFill="1" applyBorder="1" applyProtection="1"/>
    <xf numFmtId="165" fontId="13" fillId="3" borderId="28" xfId="2" applyNumberFormat="1" applyFont="1" applyFill="1" applyBorder="1" applyProtection="1"/>
    <xf numFmtId="0" fontId="13" fillId="0" borderId="45" xfId="0" applyFont="1" applyFill="1" applyBorder="1" applyProtection="1"/>
    <xf numFmtId="0" fontId="13" fillId="0" borderId="4" xfId="0" applyFont="1" applyFill="1" applyBorder="1" applyProtection="1"/>
    <xf numFmtId="0" fontId="0" fillId="0" borderId="4" xfId="0" applyFont="1" applyFill="1" applyBorder="1" applyAlignment="1" applyProtection="1">
      <alignment wrapText="1"/>
    </xf>
    <xf numFmtId="0" fontId="13" fillId="0" borderId="23" xfId="0" applyFont="1" applyFill="1" applyBorder="1" applyProtection="1"/>
    <xf numFmtId="0" fontId="13" fillId="0" borderId="10" xfId="0" applyFont="1" applyFill="1" applyBorder="1" applyProtection="1"/>
    <xf numFmtId="165" fontId="13" fillId="3" borderId="51" xfId="2" applyNumberFormat="1" applyFont="1" applyFill="1" applyBorder="1" applyProtection="1"/>
    <xf numFmtId="0" fontId="2" fillId="9" borderId="25" xfId="0" applyFont="1" applyFill="1" applyBorder="1" applyAlignment="1" applyProtection="1">
      <alignment horizontal="left" vertical="center"/>
    </xf>
    <xf numFmtId="44" fontId="0" fillId="13" borderId="37" xfId="2" applyFont="1" applyFill="1" applyBorder="1" applyProtection="1"/>
    <xf numFmtId="164" fontId="0" fillId="12" borderId="5" xfId="1" applyNumberFormat="1" applyFont="1" applyFill="1" applyBorder="1" applyProtection="1"/>
    <xf numFmtId="44" fontId="0" fillId="12" borderId="0" xfId="2" applyFont="1" applyFill="1" applyBorder="1" applyProtection="1"/>
    <xf numFmtId="0" fontId="0" fillId="12" borderId="0" xfId="0" applyFill="1" applyBorder="1" applyProtection="1"/>
    <xf numFmtId="0" fontId="0" fillId="12" borderId="6" xfId="0" applyFill="1" applyBorder="1" applyProtection="1"/>
    <xf numFmtId="0" fontId="27" fillId="0" borderId="12" xfId="0" applyFont="1" applyBorder="1" applyProtection="1"/>
    <xf numFmtId="0" fontId="2" fillId="0" borderId="13" xfId="0" applyFont="1" applyBorder="1" applyProtection="1"/>
    <xf numFmtId="164" fontId="0" fillId="0" borderId="13" xfId="1" applyNumberFormat="1" applyFont="1" applyBorder="1" applyAlignment="1" applyProtection="1">
      <alignment vertical="center"/>
    </xf>
    <xf numFmtId="164" fontId="0" fillId="0" borderId="18" xfId="1" applyNumberFormat="1" applyFont="1" applyBorder="1" applyAlignment="1" applyProtection="1">
      <alignment horizontal="center" wrapText="1"/>
    </xf>
    <xf numFmtId="0" fontId="13" fillId="0" borderId="16" xfId="0" quotePrefix="1" applyFont="1" applyFill="1" applyBorder="1" applyAlignment="1" applyProtection="1"/>
    <xf numFmtId="0" fontId="13" fillId="0" borderId="23" xfId="0" quotePrefix="1" applyFont="1" applyFill="1" applyBorder="1" applyAlignment="1" applyProtection="1"/>
    <xf numFmtId="0" fontId="13" fillId="0" borderId="39" xfId="0" quotePrefix="1" applyFont="1" applyFill="1" applyBorder="1" applyAlignment="1" applyProtection="1"/>
    <xf numFmtId="164" fontId="0" fillId="3" borderId="40" xfId="1" applyNumberFormat="1" applyFont="1" applyFill="1" applyBorder="1" applyProtection="1"/>
    <xf numFmtId="0" fontId="13" fillId="0" borderId="10" xfId="0" applyFont="1" applyFill="1" applyBorder="1" applyAlignment="1" applyProtection="1">
      <alignment horizontal="left"/>
    </xf>
    <xf numFmtId="0" fontId="27" fillId="0" borderId="5" xfId="0" applyFont="1" applyBorder="1" applyProtection="1"/>
    <xf numFmtId="0" fontId="28" fillId="0" borderId="5" xfId="0" quotePrefix="1" applyFont="1" applyFill="1" applyBorder="1" applyAlignment="1" applyProtection="1">
      <alignment horizontal="left"/>
    </xf>
    <xf numFmtId="0" fontId="13" fillId="0" borderId="0" xfId="0" applyFont="1" applyFill="1" applyBorder="1" applyProtection="1"/>
    <xf numFmtId="0" fontId="13" fillId="0" borderId="6" xfId="0" applyFont="1" applyFill="1" applyBorder="1" applyProtection="1"/>
    <xf numFmtId="0" fontId="13" fillId="0" borderId="37" xfId="0" applyFont="1" applyFill="1" applyBorder="1" applyProtection="1"/>
    <xf numFmtId="164" fontId="0" fillId="0" borderId="0" xfId="1" applyNumberFormat="1" applyFont="1" applyBorder="1" applyAlignment="1" applyProtection="1">
      <alignment vertical="center"/>
    </xf>
    <xf numFmtId="164" fontId="0" fillId="0" borderId="6" xfId="1" applyNumberFormat="1" applyFont="1" applyBorder="1" applyAlignment="1" applyProtection="1">
      <alignment horizontal="center" wrapText="1"/>
    </xf>
    <xf numFmtId="164" fontId="0" fillId="12" borderId="0" xfId="1" applyNumberFormat="1" applyFont="1" applyFill="1" applyBorder="1" applyProtection="1"/>
    <xf numFmtId="44" fontId="0" fillId="12" borderId="6" xfId="2" applyFont="1" applyFill="1" applyBorder="1" applyProtection="1"/>
    <xf numFmtId="44" fontId="0" fillId="12" borderId="5" xfId="2" applyFont="1" applyFill="1" applyBorder="1" applyProtection="1"/>
    <xf numFmtId="44" fontId="0" fillId="12" borderId="0" xfId="2" applyNumberFormat="1" applyFont="1" applyFill="1" applyBorder="1" applyProtection="1"/>
    <xf numFmtId="44" fontId="0" fillId="13" borderId="16" xfId="2" applyFont="1" applyFill="1" applyBorder="1" applyProtection="1"/>
    <xf numFmtId="44" fontId="13" fillId="3" borderId="23" xfId="2" applyFont="1" applyFill="1" applyBorder="1" applyProtection="1"/>
    <xf numFmtId="0" fontId="0" fillId="2" borderId="16" xfId="0" applyFill="1" applyBorder="1" applyProtection="1">
      <protection locked="0"/>
    </xf>
    <xf numFmtId="0" fontId="0" fillId="2" borderId="23" xfId="0" applyFill="1" applyBorder="1" applyProtection="1">
      <protection locked="0"/>
    </xf>
    <xf numFmtId="0" fontId="0" fillId="2" borderId="39" xfId="0" applyFill="1" applyBorder="1" applyProtection="1">
      <protection locked="0"/>
    </xf>
    <xf numFmtId="0" fontId="27" fillId="0" borderId="12" xfId="0" applyFont="1" applyBorder="1" applyAlignment="1" applyProtection="1">
      <alignment horizontal="left"/>
    </xf>
    <xf numFmtId="164" fontId="0" fillId="3" borderId="10" xfId="1" applyNumberFormat="1" applyFont="1" applyFill="1" applyBorder="1" applyAlignment="1" applyProtection="1"/>
    <xf numFmtId="164" fontId="0" fillId="3" borderId="11" xfId="1" applyNumberFormat="1" applyFont="1" applyFill="1" applyBorder="1" applyAlignment="1" applyProtection="1"/>
    <xf numFmtId="164" fontId="0" fillId="0" borderId="0" xfId="1" applyNumberFormat="1" applyFont="1" applyFill="1" applyBorder="1" applyAlignment="1" applyProtection="1"/>
    <xf numFmtId="44" fontId="0" fillId="3" borderId="11" xfId="2" applyFont="1" applyFill="1" applyBorder="1" applyAlignment="1" applyProtection="1"/>
    <xf numFmtId="44" fontId="0" fillId="3" borderId="36" xfId="2" applyFont="1" applyFill="1" applyBorder="1" applyAlignment="1" applyProtection="1"/>
    <xf numFmtId="44" fontId="0" fillId="3" borderId="10" xfId="2" applyNumberFormat="1" applyFont="1" applyFill="1" applyBorder="1" applyAlignment="1" applyProtection="1"/>
    <xf numFmtId="2" fontId="0" fillId="0" borderId="0" xfId="0" applyNumberFormat="1" applyAlignment="1" applyProtection="1"/>
    <xf numFmtId="0" fontId="0" fillId="0" borderId="37" xfId="0" applyFont="1" applyFill="1" applyBorder="1" applyAlignment="1" applyProtection="1">
      <alignment wrapText="1"/>
    </xf>
    <xf numFmtId="164" fontId="0" fillId="0" borderId="0" xfId="3" applyNumberFormat="1" applyFont="1" applyFill="1" applyProtection="1"/>
    <xf numFmtId="10" fontId="0" fillId="0" borderId="0" xfId="3" applyNumberFormat="1" applyFont="1" applyProtection="1"/>
    <xf numFmtId="44" fontId="13" fillId="0" borderId="0" xfId="2" applyFont="1" applyProtection="1"/>
    <xf numFmtId="44" fontId="13" fillId="0" borderId="0" xfId="2" applyFont="1" applyFill="1" applyProtection="1"/>
    <xf numFmtId="0" fontId="19" fillId="0" borderId="5" xfId="0" applyFont="1" applyFill="1" applyBorder="1" applyAlignment="1">
      <alignment horizontal="center"/>
    </xf>
    <xf numFmtId="0" fontId="25" fillId="0" borderId="6" xfId="0" applyFont="1" applyFill="1" applyBorder="1" applyAlignment="1">
      <alignment horizontal="center"/>
    </xf>
    <xf numFmtId="44" fontId="0" fillId="3" borderId="36" xfId="0" applyNumberFormat="1" applyFont="1" applyFill="1" applyBorder="1"/>
    <xf numFmtId="44" fontId="0" fillId="3" borderId="10" xfId="0" applyNumberFormat="1" applyFont="1" applyFill="1" applyBorder="1"/>
    <xf numFmtId="44" fontId="0" fillId="3" borderId="11" xfId="0" applyNumberFormat="1" applyFont="1" applyFill="1" applyBorder="1"/>
    <xf numFmtId="44" fontId="0" fillId="0" borderId="0" xfId="0" applyNumberFormat="1" applyFont="1" applyFill="1" applyBorder="1"/>
    <xf numFmtId="44" fontId="0" fillId="0" borderId="6" xfId="0" applyNumberFormat="1" applyFont="1" applyFill="1" applyBorder="1"/>
    <xf numFmtId="0" fontId="0" fillId="0" borderId="0" xfId="0" applyAlignment="1" applyProtection="1">
      <alignment wrapText="1"/>
    </xf>
    <xf numFmtId="0" fontId="30" fillId="0" borderId="0" xfId="0" applyFont="1"/>
    <xf numFmtId="0" fontId="30" fillId="0" borderId="0" xfId="0" applyFont="1" applyFill="1"/>
    <xf numFmtId="0" fontId="30" fillId="0" borderId="0" xfId="0" applyFont="1" applyProtection="1"/>
    <xf numFmtId="9" fontId="19" fillId="0" borderId="0" xfId="3" applyFont="1" applyFill="1" applyBorder="1"/>
    <xf numFmtId="0" fontId="19" fillId="0" borderId="0" xfId="0" applyFont="1" applyFill="1"/>
    <xf numFmtId="0" fontId="19" fillId="0" borderId="0" xfId="0" applyFont="1" applyFill="1" applyProtection="1"/>
    <xf numFmtId="0" fontId="19" fillId="0" borderId="0" xfId="0" applyFont="1" applyProtection="1"/>
    <xf numFmtId="0" fontId="31" fillId="0" borderId="0" xfId="0" applyFont="1" applyProtection="1"/>
    <xf numFmtId="44" fontId="2" fillId="0" borderId="0" xfId="0" applyNumberFormat="1" applyFont="1" applyFill="1" applyProtection="1"/>
    <xf numFmtId="44" fontId="0" fillId="0" borderId="6" xfId="2" applyFont="1" applyBorder="1" applyProtection="1"/>
    <xf numFmtId="44" fontId="0" fillId="0" borderId="33" xfId="2" applyFont="1" applyFill="1" applyBorder="1" applyProtection="1"/>
    <xf numFmtId="44" fontId="0" fillId="0" borderId="35" xfId="2" applyFont="1" applyFill="1" applyBorder="1" applyProtection="1"/>
    <xf numFmtId="44" fontId="0" fillId="0" borderId="6" xfId="2" applyFont="1" applyFill="1" applyBorder="1" applyProtection="1"/>
    <xf numFmtId="164" fontId="2" fillId="0" borderId="0" xfId="1" applyNumberFormat="1" applyFont="1" applyFill="1" applyBorder="1" applyProtection="1"/>
    <xf numFmtId="44" fontId="0" fillId="0" borderId="4" xfId="2" applyFont="1" applyFill="1" applyBorder="1" applyProtection="1"/>
    <xf numFmtId="44" fontId="2" fillId="0" borderId="21" xfId="2" applyFont="1" applyBorder="1" applyProtection="1"/>
    <xf numFmtId="44" fontId="1" fillId="0" borderId="6" xfId="2" applyFont="1" applyFill="1" applyBorder="1" applyAlignment="1" applyProtection="1">
      <alignment horizontal="left"/>
    </xf>
    <xf numFmtId="44" fontId="26" fillId="0" borderId="6" xfId="2" applyFont="1" applyFill="1" applyBorder="1" applyProtection="1"/>
    <xf numFmtId="44" fontId="0" fillId="0" borderId="10" xfId="2" applyFont="1" applyFill="1" applyBorder="1" applyProtection="1"/>
    <xf numFmtId="44" fontId="1" fillId="0" borderId="6" xfId="2" applyFont="1" applyBorder="1" applyProtection="1"/>
    <xf numFmtId="165" fontId="1" fillId="0" borderId="0" xfId="2" applyNumberFormat="1" applyFont="1" applyBorder="1" applyProtection="1"/>
    <xf numFmtId="44" fontId="26" fillId="0" borderId="6" xfId="2" applyFont="1" applyBorder="1" applyProtection="1"/>
    <xf numFmtId="44" fontId="2" fillId="0" borderId="25" xfId="2" applyFont="1" applyBorder="1" applyProtection="1"/>
    <xf numFmtId="164" fontId="2" fillId="16" borderId="39" xfId="1" applyNumberFormat="1" applyFont="1" applyFill="1" applyBorder="1" applyAlignment="1" applyProtection="1">
      <alignment horizontal="center" wrapText="1"/>
    </xf>
    <xf numFmtId="165" fontId="2" fillId="16" borderId="39" xfId="2" applyNumberFormat="1" applyFont="1" applyFill="1" applyBorder="1" applyProtection="1"/>
    <xf numFmtId="44" fontId="2" fillId="16" borderId="39" xfId="2" applyFont="1" applyFill="1" applyBorder="1" applyProtection="1"/>
    <xf numFmtId="44" fontId="2" fillId="16" borderId="40" xfId="2" applyFont="1" applyFill="1" applyBorder="1" applyProtection="1"/>
    <xf numFmtId="44" fontId="0" fillId="0" borderId="7" xfId="2" applyFont="1" applyFill="1" applyBorder="1" applyProtection="1"/>
    <xf numFmtId="44" fontId="0" fillId="0" borderId="11" xfId="2" applyFont="1" applyFill="1" applyBorder="1" applyProtection="1"/>
    <xf numFmtId="164" fontId="0" fillId="12" borderId="0" xfId="1" applyNumberFormat="1" applyFont="1" applyFill="1" applyBorder="1" applyAlignment="1" applyProtection="1">
      <alignment vertical="center"/>
    </xf>
    <xf numFmtId="165" fontId="0" fillId="12" borderId="0" xfId="2" applyNumberFormat="1" applyFont="1" applyFill="1" applyBorder="1" applyProtection="1"/>
    <xf numFmtId="164" fontId="0" fillId="12" borderId="13" xfId="1" applyNumberFormat="1" applyFont="1" applyFill="1" applyBorder="1" applyAlignment="1" applyProtection="1">
      <alignment vertical="center"/>
    </xf>
    <xf numFmtId="165" fontId="0" fillId="12" borderId="13" xfId="2" applyNumberFormat="1" applyFont="1" applyFill="1" applyBorder="1" applyProtection="1"/>
    <xf numFmtId="44" fontId="0" fillId="12" borderId="18" xfId="2" applyFont="1" applyFill="1" applyBorder="1" applyProtection="1"/>
    <xf numFmtId="170" fontId="0" fillId="0" borderId="0" xfId="0" applyNumberFormat="1" applyFill="1" applyProtection="1"/>
    <xf numFmtId="0" fontId="2" fillId="0" borderId="0" xfId="0" applyFont="1" applyFill="1" applyAlignment="1">
      <alignment horizontal="left"/>
    </xf>
    <xf numFmtId="0" fontId="2" fillId="0" borderId="0" xfId="0" applyFont="1" applyAlignment="1" applyProtection="1">
      <alignment horizontal="left"/>
    </xf>
    <xf numFmtId="0" fontId="0" fillId="0" borderId="0" xfId="0" quotePrefix="1" applyFill="1" applyAlignment="1">
      <alignment horizontal="center"/>
    </xf>
    <xf numFmtId="0" fontId="0" fillId="0" borderId="0" xfId="0" quotePrefix="1" applyAlignment="1" applyProtection="1">
      <alignment horizontal="center"/>
    </xf>
    <xf numFmtId="164" fontId="0" fillId="2" borderId="41" xfId="1" applyNumberFormat="1" applyFont="1" applyFill="1" applyBorder="1" applyAlignment="1" applyProtection="1">
      <protection locked="0"/>
    </xf>
    <xf numFmtId="44" fontId="0" fillId="3" borderId="29" xfId="2" applyFont="1" applyFill="1" applyBorder="1" applyAlignment="1" applyProtection="1"/>
    <xf numFmtId="44" fontId="13" fillId="2" borderId="29" xfId="2" applyFont="1" applyFill="1" applyBorder="1" applyAlignment="1" applyProtection="1">
      <protection locked="0"/>
    </xf>
    <xf numFmtId="44" fontId="0" fillId="2" borderId="29" xfId="2" applyFont="1" applyFill="1" applyBorder="1" applyAlignment="1" applyProtection="1">
      <protection locked="0"/>
    </xf>
    <xf numFmtId="44" fontId="0" fillId="3" borderId="30" xfId="2" applyFont="1" applyFill="1" applyBorder="1" applyAlignment="1" applyProtection="1"/>
    <xf numFmtId="0" fontId="0" fillId="2" borderId="29" xfId="0" applyFill="1" applyBorder="1" applyAlignment="1" applyProtection="1">
      <protection locked="0"/>
    </xf>
    <xf numFmtId="0" fontId="0" fillId="2" borderId="30" xfId="0" applyFill="1" applyBorder="1" applyAlignment="1" applyProtection="1">
      <protection locked="0"/>
    </xf>
    <xf numFmtId="0" fontId="7" fillId="9" borderId="27" xfId="0" applyFont="1" applyFill="1" applyBorder="1" applyAlignment="1" applyProtection="1">
      <alignment horizontal="center" vertical="center"/>
    </xf>
    <xf numFmtId="0" fontId="13" fillId="0" borderId="43" xfId="0" quotePrefix="1" applyFont="1" applyFill="1" applyBorder="1" applyAlignment="1" applyProtection="1">
      <alignment horizontal="center" vertical="center" wrapText="1"/>
    </xf>
    <xf numFmtId="0" fontId="13" fillId="0" borderId="15" xfId="0" quotePrefix="1" applyFont="1" applyFill="1" applyBorder="1" applyAlignment="1" applyProtection="1">
      <alignment horizontal="center" vertical="center" wrapText="1"/>
    </xf>
    <xf numFmtId="44" fontId="13" fillId="3" borderId="33" xfId="2" applyFont="1" applyFill="1" applyBorder="1" applyProtection="1"/>
    <xf numFmtId="10" fontId="0" fillId="2" borderId="4" xfId="3" applyNumberFormat="1" applyFont="1" applyFill="1" applyBorder="1" applyProtection="1">
      <protection locked="0"/>
    </xf>
    <xf numFmtId="0" fontId="0" fillId="0" borderId="0" xfId="0" applyFill="1" applyAlignment="1" applyProtection="1"/>
    <xf numFmtId="0" fontId="22" fillId="0" borderId="0" xfId="0" applyFont="1" applyProtection="1"/>
    <xf numFmtId="9" fontId="22" fillId="0" borderId="0" xfId="3" applyFont="1" applyAlignment="1" applyProtection="1">
      <alignment horizontal="left"/>
    </xf>
    <xf numFmtId="0" fontId="3" fillId="9" borderId="8" xfId="0" applyFont="1" applyFill="1" applyBorder="1" applyAlignment="1" applyProtection="1">
      <alignment horizontal="center"/>
    </xf>
    <xf numFmtId="0" fontId="3" fillId="9" borderId="9" xfId="0" applyFont="1" applyFill="1" applyBorder="1" applyAlignment="1" applyProtection="1">
      <alignment horizontal="center"/>
    </xf>
    <xf numFmtId="0" fontId="3" fillId="9" borderId="21" xfId="0" applyFont="1" applyFill="1" applyBorder="1" applyAlignment="1" applyProtection="1">
      <alignment horizontal="center"/>
    </xf>
    <xf numFmtId="0" fontId="0" fillId="0" borderId="0" xfId="0" applyFont="1" applyFill="1" applyBorder="1" applyAlignment="1" applyProtection="1">
      <alignment vertical="center"/>
    </xf>
    <xf numFmtId="0" fontId="0" fillId="0" borderId="6" xfId="0" applyFont="1" applyFill="1" applyBorder="1" applyAlignment="1" applyProtection="1">
      <alignment vertical="center"/>
    </xf>
    <xf numFmtId="0" fontId="3" fillId="0" borderId="5" xfId="0" applyFont="1" applyFill="1" applyBorder="1" applyAlignment="1" applyProtection="1">
      <alignment horizontal="center"/>
    </xf>
    <xf numFmtId="0" fontId="3" fillId="0" borderId="0" xfId="0" applyFont="1" applyFill="1" applyBorder="1" applyAlignment="1" applyProtection="1">
      <alignment horizontal="center"/>
    </xf>
    <xf numFmtId="0" fontId="3" fillId="0" borderId="6" xfId="0" applyFont="1" applyFill="1" applyBorder="1" applyAlignment="1" applyProtection="1">
      <alignment horizontal="center"/>
    </xf>
    <xf numFmtId="0" fontId="0" fillId="0" borderId="0" xfId="0" applyFill="1" applyAlignment="1" applyProtection="1">
      <alignment horizontal="center"/>
    </xf>
    <xf numFmtId="0" fontId="0" fillId="0" borderId="7" xfId="0" applyNumberFormat="1" applyFont="1" applyBorder="1" applyAlignment="1" applyProtection="1"/>
    <xf numFmtId="44" fontId="0" fillId="3" borderId="14" xfId="0" applyNumberFormat="1" applyFont="1" applyFill="1" applyBorder="1" applyProtection="1"/>
    <xf numFmtId="44" fontId="0" fillId="3" borderId="4" xfId="0" applyNumberFormat="1" applyFont="1" applyFill="1" applyBorder="1" applyProtection="1"/>
    <xf numFmtId="44" fontId="0" fillId="3" borderId="7" xfId="0" applyNumberFormat="1" applyFont="1" applyFill="1" applyBorder="1" applyProtection="1"/>
    <xf numFmtId="0" fontId="0" fillId="0" borderId="11" xfId="0" applyNumberFormat="1" applyFont="1" applyBorder="1" applyAlignment="1" applyProtection="1"/>
    <xf numFmtId="44" fontId="0" fillId="3" borderId="36" xfId="0" applyNumberFormat="1" applyFont="1" applyFill="1" applyBorder="1" applyProtection="1"/>
    <xf numFmtId="44" fontId="0" fillId="3" borderId="10" xfId="0" applyNumberFormat="1" applyFont="1" applyFill="1" applyBorder="1" applyProtection="1"/>
    <xf numFmtId="44" fontId="0" fillId="3" borderId="11" xfId="0" applyNumberFormat="1" applyFont="1" applyFill="1" applyBorder="1" applyProtection="1"/>
    <xf numFmtId="49" fontId="23" fillId="14" borderId="1" xfId="0" applyNumberFormat="1" applyFont="1" applyFill="1" applyBorder="1" applyAlignment="1" applyProtection="1">
      <alignment horizontal="left"/>
    </xf>
    <xf numFmtId="0" fontId="0" fillId="14" borderId="2" xfId="0" applyFill="1" applyBorder="1" applyAlignment="1" applyProtection="1">
      <alignment horizontal="left"/>
    </xf>
    <xf numFmtId="0" fontId="0" fillId="14" borderId="3" xfId="0" applyFill="1" applyBorder="1" applyAlignment="1" applyProtection="1">
      <alignment horizontal="left"/>
    </xf>
    <xf numFmtId="0" fontId="2" fillId="14" borderId="1" xfId="0" applyFont="1" applyFill="1" applyBorder="1" applyProtection="1"/>
    <xf numFmtId="0" fontId="2" fillId="14" borderId="2" xfId="0" applyFont="1" applyFill="1" applyBorder="1" applyProtection="1"/>
    <xf numFmtId="0" fontId="2" fillId="14" borderId="2" xfId="0" applyFont="1" applyFill="1" applyBorder="1" applyAlignment="1" applyProtection="1">
      <alignment horizontal="center"/>
    </xf>
    <xf numFmtId="0" fontId="2" fillId="14" borderId="3" xfId="0" applyFont="1" applyFill="1" applyBorder="1" applyAlignment="1" applyProtection="1">
      <alignment horizontal="center"/>
    </xf>
    <xf numFmtId="0" fontId="4" fillId="16" borderId="43" xfId="0" applyFont="1" applyFill="1" applyBorder="1" applyProtection="1"/>
    <xf numFmtId="0" fontId="13" fillId="0" borderId="15" xfId="0" quotePrefix="1" applyFont="1" applyBorder="1" applyAlignment="1" applyProtection="1">
      <alignment horizontal="left"/>
    </xf>
    <xf numFmtId="0" fontId="13" fillId="0" borderId="14" xfId="0" quotePrefix="1" applyFont="1" applyBorder="1" applyAlignment="1" applyProtection="1">
      <alignment horizontal="left"/>
    </xf>
    <xf numFmtId="0" fontId="13" fillId="0" borderId="14" xfId="0" quotePrefix="1" applyFont="1" applyBorder="1" applyAlignment="1" applyProtection="1">
      <alignment horizontal="left" vertical="center" wrapText="1"/>
    </xf>
    <xf numFmtId="0" fontId="13" fillId="0" borderId="36" xfId="0" quotePrefix="1" applyFont="1" applyBorder="1" applyAlignment="1" applyProtection="1">
      <alignment horizontal="left" vertical="center" wrapText="1"/>
    </xf>
    <xf numFmtId="0" fontId="13" fillId="0" borderId="36" xfId="0" quotePrefix="1" applyFont="1" applyBorder="1" applyAlignment="1" applyProtection="1">
      <alignment horizontal="left"/>
    </xf>
    <xf numFmtId="0" fontId="2" fillId="0" borderId="19" xfId="0" applyFont="1" applyBorder="1" applyProtection="1"/>
    <xf numFmtId="0" fontId="2" fillId="0" borderId="46" xfId="0" applyFont="1" applyBorder="1" applyProtection="1"/>
    <xf numFmtId="0" fontId="2" fillId="0" borderId="22" xfId="0" applyFont="1" applyBorder="1" applyProtection="1"/>
    <xf numFmtId="10" fontId="0" fillId="0" borderId="0" xfId="3" applyNumberFormat="1" applyFont="1" applyFill="1" applyBorder="1" applyAlignment="1" applyProtection="1">
      <alignment horizontal="center"/>
    </xf>
    <xf numFmtId="0" fontId="27" fillId="12" borderId="12" xfId="0" applyFont="1" applyFill="1" applyBorder="1" applyProtection="1"/>
    <xf numFmtId="0" fontId="0" fillId="12" borderId="13" xfId="0" applyFill="1" applyBorder="1" applyAlignment="1" applyProtection="1">
      <alignment horizontal="center"/>
    </xf>
    <xf numFmtId="0" fontId="27" fillId="12" borderId="5" xfId="0" applyFont="1" applyFill="1" applyBorder="1" applyProtection="1"/>
    <xf numFmtId="0" fontId="0" fillId="12" borderId="0" xfId="0" applyFill="1" applyBorder="1" applyAlignment="1" applyProtection="1">
      <alignment horizontal="center"/>
    </xf>
    <xf numFmtId="0" fontId="13" fillId="0" borderId="4" xfId="0" applyNumberFormat="1" applyFont="1" applyFill="1" applyBorder="1" applyProtection="1"/>
    <xf numFmtId="0" fontId="0" fillId="0" borderId="4" xfId="0" applyNumberFormat="1" applyFill="1" applyBorder="1" applyProtection="1"/>
    <xf numFmtId="0" fontId="0" fillId="0" borderId="4" xfId="0" applyNumberFormat="1" applyFont="1" applyFill="1" applyBorder="1" applyAlignment="1"/>
    <xf numFmtId="0" fontId="0" fillId="0" borderId="10" xfId="0" applyNumberFormat="1" applyFont="1" applyFill="1" applyBorder="1" applyAlignment="1"/>
    <xf numFmtId="0" fontId="0" fillId="0" borderId="14" xfId="0" applyNumberFormat="1" applyFont="1" applyBorder="1" applyAlignment="1" applyProtection="1"/>
    <xf numFmtId="0" fontId="0" fillId="0" borderId="36" xfId="0" applyNumberFormat="1" applyFont="1" applyBorder="1" applyAlignment="1" applyProtection="1"/>
    <xf numFmtId="0" fontId="0" fillId="0" borderId="15" xfId="0" applyNumberFormat="1" applyFont="1" applyBorder="1" applyAlignment="1" applyProtection="1"/>
    <xf numFmtId="0" fontId="0" fillId="0" borderId="35" xfId="0" applyNumberFormat="1" applyFont="1" applyBorder="1" applyAlignment="1" applyProtection="1"/>
    <xf numFmtId="44" fontId="0" fillId="3" borderId="15" xfId="0" applyNumberFormat="1" applyFont="1" applyFill="1" applyBorder="1" applyProtection="1"/>
    <xf numFmtId="44" fontId="0" fillId="3" borderId="33" xfId="0" applyNumberFormat="1" applyFont="1" applyFill="1" applyBorder="1" applyProtection="1"/>
    <xf numFmtId="44" fontId="0" fillId="3" borderId="35" xfId="0" applyNumberFormat="1" applyFont="1" applyFill="1" applyBorder="1" applyProtection="1"/>
    <xf numFmtId="43" fontId="0" fillId="0" borderId="0" xfId="1" applyNumberFormat="1" applyFont="1" applyProtection="1"/>
    <xf numFmtId="44" fontId="2" fillId="0" borderId="6" xfId="2" applyFont="1" applyFill="1" applyBorder="1" applyProtection="1"/>
    <xf numFmtId="44" fontId="0" fillId="0" borderId="0" xfId="0" applyNumberFormat="1" applyBorder="1" applyProtection="1"/>
    <xf numFmtId="44" fontId="0" fillId="0" borderId="9" xfId="0" applyNumberFormat="1" applyBorder="1" applyProtection="1"/>
    <xf numFmtId="10" fontId="0" fillId="0" borderId="9" xfId="3" applyNumberFormat="1" applyFont="1" applyFill="1" applyBorder="1" applyProtection="1"/>
    <xf numFmtId="44" fontId="2" fillId="0" borderId="21" xfId="2" applyFont="1" applyFill="1" applyBorder="1" applyProtection="1"/>
    <xf numFmtId="10" fontId="0" fillId="0" borderId="13" xfId="3" applyNumberFormat="1" applyFont="1" applyFill="1" applyBorder="1" applyProtection="1"/>
    <xf numFmtId="0" fontId="2" fillId="0" borderId="13" xfId="0" applyFont="1" applyBorder="1" applyAlignment="1" applyProtection="1">
      <alignment horizontal="center"/>
    </xf>
    <xf numFmtId="165" fontId="2" fillId="0" borderId="9" xfId="0" applyNumberFormat="1" applyFont="1" applyBorder="1" applyProtection="1"/>
    <xf numFmtId="10" fontId="2" fillId="0" borderId="9" xfId="3" applyNumberFormat="1" applyFont="1" applyFill="1" applyBorder="1" applyProtection="1"/>
    <xf numFmtId="165" fontId="2" fillId="0" borderId="21" xfId="2" applyNumberFormat="1" applyFont="1" applyFill="1" applyBorder="1" applyProtection="1"/>
    <xf numFmtId="165" fontId="1" fillId="0" borderId="18" xfId="2" applyNumberFormat="1" applyFont="1" applyFill="1" applyBorder="1" applyProtection="1"/>
    <xf numFmtId="165" fontId="26" fillId="0" borderId="6" xfId="2" applyNumberFormat="1" applyFont="1" applyBorder="1" applyProtection="1"/>
    <xf numFmtId="165" fontId="32" fillId="0" borderId="0" xfId="2" applyNumberFormat="1" applyFont="1" applyProtection="1"/>
    <xf numFmtId="165" fontId="32" fillId="0" borderId="0" xfId="2" applyNumberFormat="1" applyFont="1" applyFill="1" applyProtection="1"/>
    <xf numFmtId="165" fontId="32" fillId="0" borderId="0" xfId="2" applyNumberFormat="1" applyFont="1" applyFill="1" applyBorder="1" applyProtection="1"/>
    <xf numFmtId="164" fontId="0" fillId="0" borderId="0" xfId="0" applyNumberFormat="1" applyFill="1" applyBorder="1"/>
    <xf numFmtId="44" fontId="0" fillId="0" borderId="0" xfId="0" applyNumberFormat="1" applyFill="1" applyBorder="1"/>
    <xf numFmtId="44" fontId="0" fillId="0" borderId="0" xfId="0" applyNumberFormat="1" applyFont="1" applyBorder="1"/>
    <xf numFmtId="0" fontId="2" fillId="14" borderId="0" xfId="0" applyFont="1" applyFill="1" applyBorder="1"/>
    <xf numFmtId="0" fontId="0" fillId="14" borderId="0" xfId="0" applyFill="1" applyBorder="1"/>
    <xf numFmtId="0" fontId="2" fillId="16" borderId="0" xfId="0" applyFont="1" applyFill="1" applyBorder="1" applyAlignment="1">
      <alignment horizontal="left"/>
    </xf>
    <xf numFmtId="0" fontId="2" fillId="16" borderId="0" xfId="0" applyFont="1" applyFill="1" applyBorder="1" applyAlignment="1">
      <alignment horizontal="center"/>
    </xf>
    <xf numFmtId="0" fontId="0" fillId="0" borderId="0" xfId="0" applyFont="1" applyFill="1" applyBorder="1" applyAlignment="1">
      <alignment horizontal="left"/>
    </xf>
    <xf numFmtId="0" fontId="2" fillId="14" borderId="0" xfId="0" applyFont="1" applyFill="1" applyBorder="1" applyAlignment="1" applyProtection="1">
      <alignment horizontal="left"/>
    </xf>
    <xf numFmtId="164" fontId="2" fillId="14" borderId="0" xfId="0" applyNumberFormat="1" applyFont="1" applyFill="1" applyBorder="1" applyProtection="1"/>
    <xf numFmtId="44" fontId="2" fillId="14" borderId="0" xfId="0" applyNumberFormat="1" applyFont="1" applyFill="1" applyBorder="1" applyProtection="1"/>
    <xf numFmtId="0" fontId="2" fillId="9" borderId="0" xfId="0" applyFont="1" applyFill="1" applyBorder="1"/>
    <xf numFmtId="0" fontId="0" fillId="9" borderId="0" xfId="0" applyFill="1" applyBorder="1"/>
    <xf numFmtId="0" fontId="2" fillId="8" borderId="0" xfId="0" applyFont="1" applyFill="1" applyBorder="1" applyAlignment="1">
      <alignment horizontal="left"/>
    </xf>
    <xf numFmtId="0" fontId="2" fillId="8" borderId="0" xfId="0" applyFont="1" applyFill="1" applyBorder="1" applyAlignment="1">
      <alignment horizontal="center"/>
    </xf>
    <xf numFmtId="0" fontId="2" fillId="9" borderId="0" xfId="0" applyFont="1" applyFill="1" applyBorder="1" applyAlignment="1" applyProtection="1">
      <alignment horizontal="left"/>
    </xf>
    <xf numFmtId="164" fontId="2" fillId="9" borderId="0" xfId="0" applyNumberFormat="1" applyFont="1" applyFill="1" applyBorder="1" applyProtection="1"/>
    <xf numFmtId="44" fontId="2" fillId="9" borderId="0" xfId="0" applyNumberFormat="1" applyFont="1" applyFill="1" applyBorder="1" applyProtection="1"/>
    <xf numFmtId="0" fontId="2" fillId="0" borderId="0" xfId="0" applyFont="1" applyFill="1" applyAlignment="1">
      <alignment horizontal="center"/>
    </xf>
    <xf numFmtId="44" fontId="2" fillId="0" borderId="0" xfId="0" applyNumberFormat="1" applyFont="1" applyFill="1" applyAlignment="1">
      <alignment horizontal="center"/>
    </xf>
    <xf numFmtId="0" fontId="2" fillId="16" borderId="0" xfId="0" applyFont="1" applyFill="1"/>
    <xf numFmtId="0" fontId="0" fillId="16" borderId="0" xfId="0" applyFill="1" applyProtection="1"/>
    <xf numFmtId="0" fontId="0" fillId="16" borderId="0" xfId="0" applyFill="1"/>
    <xf numFmtId="0" fontId="2" fillId="16" borderId="0" xfId="0" applyFont="1" applyFill="1" applyAlignment="1" applyProtection="1">
      <alignment horizontal="center"/>
    </xf>
    <xf numFmtId="0" fontId="2" fillId="16" borderId="0" xfId="0" applyFont="1" applyFill="1" applyAlignment="1" applyProtection="1">
      <alignment horizontal="left"/>
    </xf>
    <xf numFmtId="164" fontId="2" fillId="16" borderId="0" xfId="0" applyNumberFormat="1" applyFont="1" applyFill="1" applyProtection="1"/>
    <xf numFmtId="44" fontId="2" fillId="16" borderId="0" xfId="0" applyNumberFormat="1" applyFont="1" applyFill="1" applyProtection="1"/>
    <xf numFmtId="0" fontId="2" fillId="8" borderId="0" xfId="0" applyFont="1" applyFill="1" applyAlignment="1" applyProtection="1">
      <alignment horizontal="center"/>
    </xf>
    <xf numFmtId="0" fontId="2" fillId="8" borderId="0" xfId="0" applyFont="1" applyFill="1" applyAlignment="1" applyProtection="1">
      <alignment horizontal="left"/>
    </xf>
    <xf numFmtId="164" fontId="2" fillId="8" borderId="0" xfId="0" applyNumberFormat="1" applyFont="1" applyFill="1" applyProtection="1"/>
    <xf numFmtId="44" fontId="2" fillId="8" borderId="0" xfId="0" applyNumberFormat="1" applyFont="1" applyFill="1" applyProtection="1"/>
    <xf numFmtId="0" fontId="2" fillId="8" borderId="0" xfId="0" applyFont="1" applyFill="1"/>
    <xf numFmtId="0" fontId="0" fillId="8" borderId="0" xfId="0" applyFill="1" applyProtection="1"/>
    <xf numFmtId="0" fontId="0" fillId="8" borderId="0" xfId="0" applyFill="1"/>
    <xf numFmtId="0" fontId="2" fillId="15" borderId="0" xfId="0" applyFont="1" applyFill="1" applyBorder="1" applyProtection="1"/>
    <xf numFmtId="164" fontId="2" fillId="15" borderId="0" xfId="0" applyNumberFormat="1" applyFont="1" applyFill="1" applyBorder="1"/>
    <xf numFmtId="44" fontId="2" fillId="15" borderId="0" xfId="0" applyNumberFormat="1" applyFont="1" applyFill="1" applyBorder="1"/>
    <xf numFmtId="164" fontId="2" fillId="15" borderId="0" xfId="1" applyNumberFormat="1" applyFont="1" applyFill="1" applyBorder="1" applyProtection="1"/>
    <xf numFmtId="0" fontId="2" fillId="15" borderId="0" xfId="0" applyFont="1" applyFill="1" applyBorder="1" applyAlignment="1">
      <alignment horizontal="left"/>
    </xf>
    <xf numFmtId="44" fontId="0" fillId="13" borderId="0" xfId="0" applyNumberFormat="1" applyFill="1" applyBorder="1"/>
    <xf numFmtId="164" fontId="0" fillId="17" borderId="33" xfId="1" applyNumberFormat="1" applyFont="1" applyFill="1" applyBorder="1" applyProtection="1"/>
    <xf numFmtId="164" fontId="0" fillId="17" borderId="4" xfId="1" applyNumberFormat="1" applyFont="1" applyFill="1" applyBorder="1" applyProtection="1"/>
    <xf numFmtId="164" fontId="0" fillId="17" borderId="10" xfId="1" applyNumberFormat="1" applyFont="1" applyFill="1" applyBorder="1" applyProtection="1"/>
    <xf numFmtId="10" fontId="2" fillId="0" borderId="13" xfId="3" applyNumberFormat="1" applyFont="1" applyFill="1" applyBorder="1" applyAlignment="1" applyProtection="1">
      <alignment horizontal="center"/>
    </xf>
    <xf numFmtId="44" fontId="0" fillId="17" borderId="4" xfId="2" applyFont="1" applyFill="1" applyBorder="1" applyProtection="1"/>
    <xf numFmtId="44" fontId="0" fillId="17" borderId="4" xfId="0" applyNumberFormat="1" applyFill="1" applyBorder="1" applyProtection="1"/>
    <xf numFmtId="0" fontId="0" fillId="0" borderId="13" xfId="0" applyFill="1" applyBorder="1" applyProtection="1"/>
    <xf numFmtId="164" fontId="33" fillId="18" borderId="24" xfId="1" applyNumberFormat="1" applyFont="1" applyFill="1" applyBorder="1" applyProtection="1"/>
    <xf numFmtId="171" fontId="0" fillId="0" borderId="0" xfId="3" applyNumberFormat="1" applyFont="1" applyFill="1" applyProtection="1"/>
    <xf numFmtId="44" fontId="1" fillId="3" borderId="39" xfId="2" applyFont="1" applyFill="1" applyBorder="1" applyProtection="1"/>
    <xf numFmtId="44" fontId="13" fillId="2" borderId="39" xfId="2" applyFont="1" applyFill="1" applyBorder="1" applyProtection="1">
      <protection locked="0"/>
    </xf>
    <xf numFmtId="44" fontId="0" fillId="13" borderId="39" xfId="2" applyFont="1" applyFill="1" applyBorder="1" applyProtection="1"/>
    <xf numFmtId="0" fontId="13" fillId="0" borderId="53" xfId="0" quotePrefix="1" applyFont="1" applyFill="1" applyBorder="1" applyAlignment="1" applyProtection="1"/>
    <xf numFmtId="0" fontId="13" fillId="0" borderId="53" xfId="0" applyFont="1" applyFill="1" applyBorder="1" applyAlignment="1" applyProtection="1"/>
    <xf numFmtId="164" fontId="0" fillId="3" borderId="53" xfId="1" applyNumberFormat="1" applyFont="1" applyFill="1" applyBorder="1" applyProtection="1"/>
    <xf numFmtId="164" fontId="0" fillId="2" borderId="44" xfId="1" applyNumberFormat="1" applyFont="1" applyFill="1" applyBorder="1" applyProtection="1">
      <protection locked="0"/>
    </xf>
    <xf numFmtId="44" fontId="0" fillId="3" borderId="53" xfId="2" applyFont="1" applyFill="1" applyBorder="1" applyProtection="1"/>
    <xf numFmtId="44" fontId="0" fillId="13" borderId="53" xfId="2" applyFont="1" applyFill="1" applyBorder="1" applyProtection="1"/>
    <xf numFmtId="44" fontId="0" fillId="2" borderId="53" xfId="2" applyFont="1" applyFill="1" applyBorder="1" applyProtection="1">
      <protection locked="0"/>
    </xf>
    <xf numFmtId="165" fontId="13" fillId="3" borderId="27" xfId="2" applyNumberFormat="1" applyFont="1" applyFill="1" applyBorder="1" applyProtection="1"/>
    <xf numFmtId="0" fontId="13" fillId="0" borderId="40" xfId="0" applyFont="1" applyFill="1" applyBorder="1" applyAlignment="1" applyProtection="1"/>
    <xf numFmtId="165" fontId="13" fillId="3" borderId="27" xfId="2" applyNumberFormat="1" applyFont="1" applyFill="1" applyBorder="1" applyAlignment="1" applyProtection="1"/>
    <xf numFmtId="172" fontId="0" fillId="0" borderId="4" xfId="0" applyNumberFormat="1" applyBorder="1" applyProtection="1"/>
    <xf numFmtId="172" fontId="13" fillId="0" borderId="23" xfId="0" quotePrefix="1" applyNumberFormat="1" applyFont="1" applyFill="1" applyBorder="1" applyProtection="1"/>
    <xf numFmtId="172" fontId="13" fillId="0" borderId="33" xfId="0" quotePrefix="1" applyNumberFormat="1" applyFont="1" applyFill="1" applyBorder="1" applyProtection="1"/>
    <xf numFmtId="172" fontId="13" fillId="0" borderId="4" xfId="0" quotePrefix="1" applyNumberFormat="1" applyFont="1" applyFill="1" applyBorder="1" applyProtection="1"/>
    <xf numFmtId="172" fontId="13" fillId="0" borderId="10" xfId="0" quotePrefix="1" applyNumberFormat="1" applyFont="1" applyFill="1" applyBorder="1" applyProtection="1"/>
    <xf numFmtId="172" fontId="13" fillId="0" borderId="37" xfId="0" quotePrefix="1" applyNumberFormat="1" applyFont="1" applyFill="1" applyBorder="1" applyProtection="1"/>
    <xf numFmtId="172" fontId="13" fillId="0" borderId="0" xfId="0" quotePrefix="1" applyNumberFormat="1" applyFont="1" applyFill="1" applyBorder="1" applyProtection="1"/>
    <xf numFmtId="172" fontId="13" fillId="0" borderId="23" xfId="0" quotePrefix="1" applyNumberFormat="1" applyFont="1" applyFill="1" applyBorder="1" applyAlignment="1" applyProtection="1"/>
    <xf numFmtId="172" fontId="13" fillId="0" borderId="33" xfId="0" quotePrefix="1" applyNumberFormat="1" applyFont="1" applyFill="1" applyBorder="1" applyAlignment="1" applyProtection="1"/>
    <xf numFmtId="172" fontId="13" fillId="0" borderId="4" xfId="0" quotePrefix="1" applyNumberFormat="1" applyFont="1" applyFill="1" applyBorder="1" applyAlignment="1" applyProtection="1"/>
    <xf numFmtId="172" fontId="13" fillId="0" borderId="10" xfId="0" quotePrefix="1" applyNumberFormat="1" applyFont="1" applyFill="1" applyBorder="1" applyAlignment="1" applyProtection="1"/>
    <xf numFmtId="172" fontId="13" fillId="0" borderId="37" xfId="0" quotePrefix="1" applyNumberFormat="1" applyFont="1" applyFill="1" applyBorder="1" applyAlignment="1" applyProtection="1"/>
    <xf numFmtId="43" fontId="0" fillId="0" borderId="13" xfId="1" applyNumberFormat="1" applyFont="1" applyBorder="1" applyAlignment="1" applyProtection="1">
      <alignment vertical="center"/>
    </xf>
    <xf numFmtId="41" fontId="0" fillId="0" borderId="0" xfId="3" applyNumberFormat="1" applyFont="1" applyFill="1" applyProtection="1"/>
    <xf numFmtId="166" fontId="14" fillId="5" borderId="1" xfId="4" applyFont="1" applyFill="1" applyBorder="1" applyAlignment="1">
      <alignment horizontal="center" vertical="top"/>
    </xf>
    <xf numFmtId="166" fontId="14" fillId="5" borderId="3" xfId="4" applyFont="1" applyFill="1" applyBorder="1" applyAlignment="1">
      <alignment horizontal="center" vertical="top"/>
    </xf>
    <xf numFmtId="166" fontId="14" fillId="5" borderId="12" xfId="4" quotePrefix="1" applyFont="1" applyFill="1" applyBorder="1" applyAlignment="1">
      <alignment horizontal="center" vertical="top"/>
    </xf>
    <xf numFmtId="166" fontId="14" fillId="5" borderId="18" xfId="4" quotePrefix="1" applyFont="1" applyFill="1" applyBorder="1" applyAlignment="1">
      <alignment horizontal="center" vertical="top"/>
    </xf>
    <xf numFmtId="0" fontId="14" fillId="5" borderId="8" xfId="4" applyNumberFormat="1" applyFont="1" applyFill="1" applyBorder="1" applyAlignment="1">
      <alignment horizontal="center" vertical="top"/>
    </xf>
    <xf numFmtId="0" fontId="14" fillId="5" borderId="21" xfId="4" applyNumberFormat="1" applyFont="1" applyFill="1" applyBorder="1" applyAlignment="1">
      <alignment horizontal="center" vertical="top"/>
    </xf>
    <xf numFmtId="166" fontId="15" fillId="5" borderId="1" xfId="4" applyFont="1" applyFill="1" applyBorder="1" applyAlignment="1">
      <alignment horizontal="center" vertical="top"/>
    </xf>
    <xf numFmtId="166" fontId="15" fillId="5" borderId="3" xfId="4" applyFont="1" applyFill="1" applyBorder="1" applyAlignment="1">
      <alignment horizontal="center" vertical="top"/>
    </xf>
    <xf numFmtId="166" fontId="14" fillId="5" borderId="12" xfId="4" applyFont="1" applyFill="1" applyBorder="1" applyAlignment="1">
      <alignment horizontal="center" vertical="top"/>
    </xf>
    <xf numFmtId="166" fontId="14" fillId="5" borderId="18" xfId="4" applyFont="1" applyFill="1" applyBorder="1" applyAlignment="1">
      <alignment horizontal="center" vertical="top"/>
    </xf>
    <xf numFmtId="166" fontId="14" fillId="5" borderId="8" xfId="4" applyFont="1" applyFill="1" applyBorder="1" applyAlignment="1">
      <alignment horizontal="center" vertical="top"/>
    </xf>
    <xf numFmtId="166" fontId="14" fillId="5" borderId="21" xfId="4" applyFont="1" applyFill="1" applyBorder="1" applyAlignment="1">
      <alignment horizontal="center" vertical="top"/>
    </xf>
    <xf numFmtId="49" fontId="14" fillId="5" borderId="1" xfId="4" quotePrefix="1" applyNumberFormat="1" applyFont="1" applyFill="1" applyBorder="1" applyAlignment="1">
      <alignment horizontal="center" vertical="top"/>
    </xf>
    <xf numFmtId="49" fontId="14" fillId="5" borderId="3" xfId="4" quotePrefix="1" applyNumberFormat="1" applyFont="1" applyFill="1" applyBorder="1" applyAlignment="1">
      <alignment horizontal="center" vertical="top"/>
    </xf>
    <xf numFmtId="0" fontId="7" fillId="0" borderId="1" xfId="0" applyFont="1" applyBorder="1" applyAlignment="1" applyProtection="1">
      <alignment horizontal="left" vertical="center"/>
    </xf>
    <xf numFmtId="0" fontId="10" fillId="0" borderId="3" xfId="0" applyFont="1" applyBorder="1" applyAlignment="1" applyProtection="1">
      <alignment horizontal="left" vertical="center"/>
    </xf>
    <xf numFmtId="0" fontId="7" fillId="0" borderId="1" xfId="0" applyFont="1" applyBorder="1" applyAlignment="1" applyProtection="1">
      <alignment vertical="center"/>
    </xf>
    <xf numFmtId="0" fontId="7" fillId="0" borderId="3" xfId="0" applyFont="1" applyBorder="1" applyAlignment="1" applyProtection="1">
      <alignment vertical="center"/>
    </xf>
    <xf numFmtId="0" fontId="7" fillId="0" borderId="3" xfId="0" applyFont="1" applyBorder="1" applyAlignment="1" applyProtection="1">
      <alignment horizontal="left" vertical="center"/>
    </xf>
    <xf numFmtId="0" fontId="7" fillId="0" borderId="1" xfId="0" applyFont="1" applyBorder="1" applyAlignment="1" applyProtection="1">
      <alignment horizontal="center" vertical="center"/>
    </xf>
    <xf numFmtId="0" fontId="7" fillId="0" borderId="3" xfId="0" applyFont="1" applyBorder="1" applyAlignment="1" applyProtection="1">
      <alignment horizontal="center" vertical="center"/>
    </xf>
    <xf numFmtId="0" fontId="7" fillId="9" borderId="27" xfId="0" applyFont="1" applyFill="1" applyBorder="1" applyAlignment="1" applyProtection="1">
      <alignment horizontal="center" vertical="center"/>
    </xf>
    <xf numFmtId="0" fontId="7" fillId="9" borderId="31" xfId="0" applyFont="1" applyFill="1" applyBorder="1" applyAlignment="1" applyProtection="1">
      <alignment horizontal="center" vertical="center"/>
    </xf>
    <xf numFmtId="0" fontId="7" fillId="9" borderId="28" xfId="0" applyFont="1" applyFill="1" applyBorder="1" applyAlignment="1" applyProtection="1">
      <alignment horizontal="center" vertical="center"/>
    </xf>
    <xf numFmtId="0" fontId="7" fillId="9" borderId="51" xfId="0" applyFont="1" applyFill="1" applyBorder="1" applyAlignment="1" applyProtection="1">
      <alignment horizontal="center" vertical="center"/>
    </xf>
    <xf numFmtId="0" fontId="23" fillId="0" borderId="0" xfId="0" applyFont="1" applyBorder="1" applyAlignment="1" applyProtection="1">
      <alignment horizontal="center" vertical="center"/>
    </xf>
    <xf numFmtId="0" fontId="11" fillId="0" borderId="20" xfId="0" applyFont="1" applyBorder="1" applyAlignment="1" applyProtection="1">
      <alignment horizontal="center"/>
    </xf>
    <xf numFmtId="0" fontId="11" fillId="0" borderId="49" xfId="0" applyFont="1" applyBorder="1" applyAlignment="1" applyProtection="1">
      <alignment horizontal="center"/>
    </xf>
    <xf numFmtId="0" fontId="13" fillId="0" borderId="43" xfId="0" quotePrefix="1" applyFont="1" applyFill="1" applyBorder="1" applyAlignment="1" applyProtection="1">
      <alignment horizontal="center" vertical="center" wrapText="1"/>
    </xf>
    <xf numFmtId="0" fontId="13" fillId="0" borderId="44" xfId="0" quotePrefix="1" applyFont="1" applyFill="1" applyBorder="1" applyAlignment="1" applyProtection="1">
      <alignment horizontal="center" vertical="center" wrapText="1"/>
    </xf>
    <xf numFmtId="0" fontId="13" fillId="0" borderId="41" xfId="0" quotePrefix="1" applyFont="1" applyFill="1" applyBorder="1" applyAlignment="1" applyProtection="1">
      <alignment horizontal="center" vertical="center" wrapText="1"/>
    </xf>
    <xf numFmtId="0" fontId="13" fillId="0" borderId="15" xfId="0" quotePrefix="1" applyFont="1" applyFill="1" applyBorder="1" applyAlignment="1" applyProtection="1">
      <alignment horizontal="center" vertical="center" wrapText="1"/>
    </xf>
    <xf numFmtId="0" fontId="13" fillId="0" borderId="14" xfId="0" quotePrefix="1" applyFont="1" applyFill="1" applyBorder="1" applyAlignment="1" applyProtection="1">
      <alignment horizontal="center" vertical="center" wrapText="1"/>
    </xf>
    <xf numFmtId="0" fontId="13" fillId="0" borderId="36" xfId="0" quotePrefix="1" applyFont="1" applyFill="1" applyBorder="1" applyAlignment="1" applyProtection="1">
      <alignment horizontal="center" vertical="center" wrapText="1"/>
    </xf>
    <xf numFmtId="0" fontId="13" fillId="0" borderId="43" xfId="0" quotePrefix="1" applyFont="1" applyFill="1" applyBorder="1" applyAlignment="1" applyProtection="1">
      <alignment horizontal="center" vertical="center"/>
    </xf>
    <xf numFmtId="0" fontId="13" fillId="0" borderId="44" xfId="0" quotePrefix="1" applyFont="1" applyFill="1" applyBorder="1" applyAlignment="1" applyProtection="1">
      <alignment horizontal="center" vertical="center"/>
    </xf>
    <xf numFmtId="0" fontId="13" fillId="0" borderId="41" xfId="0" quotePrefix="1" applyFont="1" applyFill="1" applyBorder="1" applyAlignment="1" applyProtection="1">
      <alignment horizontal="center" vertical="center"/>
    </xf>
    <xf numFmtId="0" fontId="7" fillId="9" borderId="12" xfId="0" applyFont="1" applyFill="1" applyBorder="1" applyAlignment="1" applyProtection="1">
      <alignment vertical="center" wrapText="1"/>
    </xf>
    <xf numFmtId="0" fontId="7" fillId="9" borderId="18" xfId="0" applyFont="1" applyFill="1" applyBorder="1" applyAlignment="1" applyProtection="1"/>
    <xf numFmtId="0" fontId="7" fillId="9" borderId="5" xfId="0" applyFont="1" applyFill="1" applyBorder="1" applyAlignment="1" applyProtection="1"/>
    <xf numFmtId="0" fontId="7" fillId="9" borderId="6" xfId="0" applyFont="1" applyFill="1" applyBorder="1" applyAlignment="1" applyProtection="1"/>
    <xf numFmtId="0" fontId="7" fillId="9" borderId="8" xfId="0" applyFont="1" applyFill="1" applyBorder="1" applyAlignment="1" applyProtection="1"/>
    <xf numFmtId="0" fontId="7" fillId="9" borderId="21" xfId="0" applyFont="1" applyFill="1" applyBorder="1" applyAlignment="1" applyProtection="1"/>
    <xf numFmtId="0" fontId="13" fillId="0" borderId="43" xfId="0" quotePrefix="1" applyFont="1" applyFill="1" applyBorder="1" applyAlignment="1" applyProtection="1">
      <alignment horizontal="center"/>
    </xf>
    <xf numFmtId="0" fontId="0" fillId="0" borderId="41" xfId="0" applyBorder="1" applyAlignment="1">
      <alignment horizontal="center"/>
    </xf>
    <xf numFmtId="49" fontId="9" fillId="10" borderId="1" xfId="0" applyNumberFormat="1" applyFont="1" applyFill="1" applyBorder="1" applyAlignment="1" applyProtection="1"/>
    <xf numFmtId="49" fontId="9" fillId="10" borderId="2" xfId="0" applyNumberFormat="1" applyFont="1" applyFill="1" applyBorder="1" applyAlignment="1" applyProtection="1"/>
    <xf numFmtId="0" fontId="0" fillId="0" borderId="2" xfId="0" applyBorder="1" applyAlignment="1" applyProtection="1"/>
    <xf numFmtId="0" fontId="0" fillId="0" borderId="3" xfId="0" applyBorder="1" applyAlignment="1" applyProtection="1"/>
    <xf numFmtId="0" fontId="2" fillId="0" borderId="1" xfId="0" applyFont="1" applyBorder="1" applyAlignment="1" applyProtection="1">
      <alignment horizontal="center"/>
    </xf>
    <xf numFmtId="0" fontId="2" fillId="0" borderId="2" xfId="0" applyFont="1" applyBorder="1" applyAlignment="1" applyProtection="1">
      <alignment horizontal="center"/>
    </xf>
    <xf numFmtId="0" fontId="2" fillId="0" borderId="3" xfId="0" applyFont="1" applyBorder="1" applyAlignment="1" applyProtection="1">
      <alignment horizontal="center"/>
    </xf>
    <xf numFmtId="0" fontId="12" fillId="5" borderId="1" xfId="0" applyFont="1" applyFill="1" applyBorder="1" applyAlignment="1" applyProtection="1">
      <alignment horizontal="center"/>
    </xf>
    <xf numFmtId="0" fontId="12" fillId="5" borderId="2" xfId="0" applyFont="1" applyFill="1" applyBorder="1" applyAlignment="1" applyProtection="1">
      <alignment horizontal="center"/>
    </xf>
    <xf numFmtId="0" fontId="12" fillId="5" borderId="3" xfId="0" applyFont="1" applyFill="1" applyBorder="1" applyAlignment="1" applyProtection="1">
      <alignment horizontal="center"/>
    </xf>
    <xf numFmtId="0" fontId="2" fillId="4" borderId="1" xfId="0" applyFont="1" applyFill="1" applyBorder="1" applyAlignment="1" applyProtection="1">
      <alignment horizontal="center"/>
    </xf>
    <xf numFmtId="0" fontId="2" fillId="4" borderId="2" xfId="0" applyFont="1" applyFill="1" applyBorder="1" applyAlignment="1" applyProtection="1">
      <alignment horizontal="center"/>
    </xf>
    <xf numFmtId="0" fontId="2" fillId="4" borderId="3" xfId="0" applyFont="1" applyFill="1" applyBorder="1" applyAlignment="1" applyProtection="1">
      <alignment horizontal="center"/>
    </xf>
    <xf numFmtId="0" fontId="12" fillId="6" borderId="1" xfId="0" applyFont="1" applyFill="1" applyBorder="1" applyAlignment="1" applyProtection="1">
      <alignment horizontal="center"/>
    </xf>
    <xf numFmtId="0" fontId="12" fillId="6" borderId="2" xfId="0" applyFont="1" applyFill="1" applyBorder="1" applyAlignment="1" applyProtection="1">
      <alignment horizontal="center"/>
    </xf>
    <xf numFmtId="0" fontId="12" fillId="6" borderId="3" xfId="0" applyFont="1" applyFill="1" applyBorder="1" applyAlignment="1" applyProtection="1">
      <alignment horizontal="center"/>
    </xf>
    <xf numFmtId="0" fontId="0" fillId="0" borderId="44" xfId="0" applyBorder="1" applyAlignment="1">
      <alignment horizontal="center"/>
    </xf>
    <xf numFmtId="0" fontId="2" fillId="9" borderId="27" xfId="0" applyFont="1" applyFill="1" applyBorder="1" applyAlignment="1" applyProtection="1">
      <alignment vertical="center"/>
    </xf>
    <xf numFmtId="0" fontId="0" fillId="9" borderId="31" xfId="0" applyFont="1" applyFill="1" applyBorder="1" applyAlignment="1" applyProtection="1">
      <alignment vertical="center"/>
    </xf>
    <xf numFmtId="0" fontId="0" fillId="9" borderId="28" xfId="0" applyFont="1" applyFill="1" applyBorder="1" applyAlignment="1" applyProtection="1">
      <alignment vertical="center"/>
    </xf>
    <xf numFmtId="0" fontId="2" fillId="9" borderId="1" xfId="0" applyFont="1" applyFill="1" applyBorder="1" applyAlignment="1" applyProtection="1">
      <alignment horizontal="center"/>
    </xf>
    <xf numFmtId="0" fontId="2" fillId="9" borderId="2" xfId="0" applyFont="1" applyFill="1" applyBorder="1" applyAlignment="1" applyProtection="1">
      <alignment horizontal="center"/>
    </xf>
    <xf numFmtId="0" fontId="2" fillId="9" borderId="3" xfId="0" applyFont="1" applyFill="1" applyBorder="1" applyAlignment="1" applyProtection="1">
      <alignment horizontal="center"/>
    </xf>
    <xf numFmtId="0" fontId="2" fillId="9" borderId="12" xfId="0" applyFont="1" applyFill="1" applyBorder="1" applyAlignment="1" applyProtection="1">
      <alignment horizontal="center"/>
    </xf>
    <xf numFmtId="0" fontId="2" fillId="9" borderId="13" xfId="0" applyFont="1" applyFill="1" applyBorder="1" applyAlignment="1" applyProtection="1">
      <alignment horizontal="center"/>
    </xf>
    <xf numFmtId="0" fontId="2" fillId="9" borderId="18" xfId="0" applyFont="1" applyFill="1" applyBorder="1" applyAlignment="1" applyProtection="1">
      <alignment horizontal="center"/>
    </xf>
    <xf numFmtId="0" fontId="2" fillId="9" borderId="5" xfId="0" applyFont="1" applyFill="1" applyBorder="1" applyAlignment="1">
      <alignment horizontal="center"/>
    </xf>
    <xf numFmtId="0" fontId="2" fillId="9" borderId="0" xfId="0" applyFont="1" applyFill="1" applyBorder="1" applyAlignment="1">
      <alignment horizontal="center"/>
    </xf>
    <xf numFmtId="0" fontId="2" fillId="9" borderId="6" xfId="0" applyFont="1" applyFill="1" applyBorder="1" applyAlignment="1">
      <alignment horizontal="center"/>
    </xf>
    <xf numFmtId="0" fontId="2" fillId="9" borderId="14" xfId="0" applyFont="1" applyFill="1" applyBorder="1" applyAlignment="1">
      <alignment horizontal="center"/>
    </xf>
    <xf numFmtId="0" fontId="2" fillId="9" borderId="4" xfId="0" applyFont="1" applyFill="1" applyBorder="1" applyAlignment="1">
      <alignment horizontal="center"/>
    </xf>
    <xf numFmtId="0" fontId="2" fillId="9" borderId="7" xfId="0" applyFont="1" applyFill="1" applyBorder="1" applyAlignment="1">
      <alignment horizontal="center"/>
    </xf>
    <xf numFmtId="0" fontId="2" fillId="9" borderId="27" xfId="0" applyFont="1" applyFill="1" applyBorder="1" applyAlignment="1">
      <alignment vertical="center"/>
    </xf>
    <xf numFmtId="0" fontId="0" fillId="9" borderId="31" xfId="0" applyFont="1" applyFill="1" applyBorder="1" applyAlignment="1">
      <alignment vertical="center"/>
    </xf>
    <xf numFmtId="0" fontId="0" fillId="9" borderId="28" xfId="0" applyFont="1" applyFill="1" applyBorder="1" applyAlignment="1">
      <alignment vertical="center"/>
    </xf>
  </cellXfs>
  <cellStyles count="8">
    <cellStyle name="Comma" xfId="1" builtinId="3"/>
    <cellStyle name="Currency" xfId="2" builtinId="4"/>
    <cellStyle name="Normal" xfId="0" builtinId="0"/>
    <cellStyle name="Normal 10 2 2" xfId="5" xr:uid="{00000000-0005-0000-0000-000003000000}"/>
    <cellStyle name="Normal 2 2 2" xfId="6" xr:uid="{00000000-0005-0000-0000-000004000000}"/>
    <cellStyle name="Normal 7" xfId="4" xr:uid="{00000000-0005-0000-0000-000005000000}"/>
    <cellStyle name="Normal 7 2 2 2" xfId="7" xr:uid="{00000000-0005-0000-0000-000006000000}"/>
    <cellStyle name="Percent" xfId="3" builtinId="5"/>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66FFFF"/>
      <color rgb="FFCCCCFF"/>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armyeitaas.sharepoint-mil.us/TCC/CCTA-HPSA%20ArmamentsChemBio%20Price/INSCOM%20Efforts/INSCOM%20-%20G37%20TREX%202023/IGCE/TREX%20IGCE_20220629_signe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Proposals\Studies\2018-10-25%20-%20INVICTA%20Ext_PCOL%2019-02%20-%20Garret%20Bice\E.%20Proposal\Sanitized\Axios-Attachment%20A%20-%20PCOL%2019-02%20INVICTA%20Cont_10-29-18.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Att%20A.%20%20STUDIES_Subcontract%20Pricing_Time%20Phased%20Spend%20Plan%20Template%20PCOL%2014-03%20ST%20Studies%20Extension%20Vista%202014-02-19%20Rev%201.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ELV14AA777.mi.ds.army.mil\Users6\TCC\CCTA-HPSA%20ArmamentsChemBio%20Price\INSCOM%20Efforts\Marvin%20Rainwater\ERI\Copy%20of%20ERI%20Job%20List%20(00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Y:\Users\mmclaughlin\AppData\Local\Microsoft\Windows\INetCache\Content.Outlook\LUHJAFLV\Pricing%20Cover%20Pag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GCE INSTRUCTIONS"/>
      <sheetName val="Signature Page"/>
      <sheetName val="Summary &amp; Assumptions"/>
      <sheetName val="LCATs Labor Rates &amp; FTE Data"/>
      <sheetName val="Rate Info"/>
      <sheetName val="Deployed Rates"/>
      <sheetName val="IGCE Worksheet"/>
      <sheetName val="Locality_Rates"/>
      <sheetName val="Facilities"/>
      <sheetName val="Lists"/>
      <sheetName val="Rate Data"/>
      <sheetName val="TREX IGCE_20220629_sign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Overview"/>
      <sheetName val="Execution Data"/>
      <sheetName val="GRAPHS"/>
      <sheetName val="PIVOTS"/>
      <sheetName val="Tables"/>
      <sheetName val="Detail Execution Rept"/>
      <sheetName val="Pivot--Baseline"/>
      <sheetName val="Variance--NEW"/>
      <sheetName val="contract"/>
      <sheetName val="MLK"/>
      <sheetName val="Addtl Info &amp; KSA"/>
    </sheetNames>
    <sheetDataSet>
      <sheetData sheetId="0"/>
      <sheetData sheetId="1">
        <row r="4">
          <cell r="P4" t="str">
            <v>Nov 08</v>
          </cell>
          <cell r="T4" t="str">
            <v>0001AA</v>
          </cell>
          <cell r="W4" t="str">
            <v>Base</v>
          </cell>
          <cell r="AA4" t="str">
            <v>Forecast</v>
          </cell>
        </row>
        <row r="5">
          <cell r="P5" t="str">
            <v>Dec 08</v>
          </cell>
          <cell r="T5" t="str">
            <v>0001AB</v>
          </cell>
          <cell r="W5" t="str">
            <v>Opt 1</v>
          </cell>
          <cell r="Y5" t="str">
            <v>Award Fee</v>
          </cell>
          <cell r="AA5" t="str">
            <v>Actual</v>
          </cell>
        </row>
        <row r="6">
          <cell r="P6" t="str">
            <v>Jan 09</v>
          </cell>
          <cell r="T6" t="str">
            <v>0001AC</v>
          </cell>
          <cell r="W6" t="str">
            <v>Opt 2</v>
          </cell>
          <cell r="Y6" t="str">
            <v>Fixed Fee</v>
          </cell>
          <cell r="AA6" t="str">
            <v>Baseline</v>
          </cell>
        </row>
        <row r="7">
          <cell r="P7" t="str">
            <v>Feb 09</v>
          </cell>
          <cell r="T7" t="str">
            <v>0001AD</v>
          </cell>
          <cell r="W7" t="str">
            <v>Opt 3</v>
          </cell>
          <cell r="Y7" t="str">
            <v>Labor</v>
          </cell>
        </row>
        <row r="8">
          <cell r="P8" t="str">
            <v>Mar 09</v>
          </cell>
          <cell r="T8" t="str">
            <v>0001AE</v>
          </cell>
          <cell r="Y8" t="str">
            <v>ODC-HW</v>
          </cell>
        </row>
        <row r="9">
          <cell r="P9" t="str">
            <v>Apr 09</v>
          </cell>
          <cell r="T9" t="str">
            <v>0001AF</v>
          </cell>
          <cell r="Y9" t="str">
            <v>ODC-Travel</v>
          </cell>
        </row>
        <row r="10">
          <cell r="P10" t="str">
            <v>May 09</v>
          </cell>
          <cell r="T10" t="str">
            <v>0001Ax</v>
          </cell>
          <cell r="Y10" t="str">
            <v>PCS-Annual Incentive</v>
          </cell>
        </row>
        <row r="11">
          <cell r="P11" t="str">
            <v>Jun 09</v>
          </cell>
          <cell r="T11" t="str">
            <v>0002AA</v>
          </cell>
          <cell r="Y11" t="str">
            <v>PCS-Annual Shipping</v>
          </cell>
        </row>
        <row r="12">
          <cell r="P12" t="str">
            <v>Jul 09</v>
          </cell>
          <cell r="T12" t="str">
            <v>0002AB</v>
          </cell>
          <cell r="Y12" t="str">
            <v>PCS-COLA</v>
          </cell>
        </row>
        <row r="13">
          <cell r="P13" t="str">
            <v>Aug 09</v>
          </cell>
          <cell r="T13" t="str">
            <v>0002AC</v>
          </cell>
          <cell r="Y13" t="str">
            <v>PCS-Education</v>
          </cell>
        </row>
        <row r="14">
          <cell r="P14" t="str">
            <v>Sep 09</v>
          </cell>
          <cell r="T14" t="str">
            <v>0002AD</v>
          </cell>
          <cell r="Y14" t="str">
            <v>PCS-Initiation</v>
          </cell>
        </row>
        <row r="15">
          <cell r="P15" t="str">
            <v>Oct 09</v>
          </cell>
          <cell r="T15" t="str">
            <v>0002AE</v>
          </cell>
          <cell r="Y15" t="str">
            <v>PCS-LQA</v>
          </cell>
        </row>
        <row r="16">
          <cell r="P16" t="str">
            <v>Nov 09</v>
          </cell>
          <cell r="T16" t="str">
            <v>0002AF</v>
          </cell>
          <cell r="Y16" t="str">
            <v>PCS-Property Management</v>
          </cell>
        </row>
        <row r="17">
          <cell r="P17" t="str">
            <v>Dec 09</v>
          </cell>
          <cell r="T17" t="str">
            <v>0002Ax</v>
          </cell>
          <cell r="Y17" t="str">
            <v>PCS-R&amp;R Airfare</v>
          </cell>
        </row>
        <row r="18">
          <cell r="P18" t="str">
            <v>Jan 10</v>
          </cell>
          <cell r="T18" t="str">
            <v>0003AA</v>
          </cell>
          <cell r="Y18" t="str">
            <v>PCS-Storage</v>
          </cell>
        </row>
        <row r="19">
          <cell r="P19" t="str">
            <v>Feb 10</v>
          </cell>
          <cell r="T19" t="str">
            <v>0003AB</v>
          </cell>
          <cell r="Y19" t="str">
            <v>PCS-Termination</v>
          </cell>
        </row>
        <row r="20">
          <cell r="P20" t="str">
            <v>Mar 10</v>
          </cell>
          <cell r="T20" t="str">
            <v>0003AC</v>
          </cell>
          <cell r="Y20" t="str">
            <v>PCS-Travel</v>
          </cell>
        </row>
        <row r="21">
          <cell r="P21" t="str">
            <v>Apr 10</v>
          </cell>
          <cell r="T21" t="str">
            <v>0003AD</v>
          </cell>
          <cell r="Y21" t="str">
            <v xml:space="preserve">ODC-Other </v>
          </cell>
        </row>
        <row r="22">
          <cell r="P22" t="str">
            <v>May 10</v>
          </cell>
          <cell r="T22" t="str">
            <v>0003AE</v>
          </cell>
        </row>
        <row r="23">
          <cell r="P23" t="str">
            <v>Jun 10</v>
          </cell>
          <cell r="T23" t="str">
            <v>0003AF</v>
          </cell>
        </row>
        <row r="24">
          <cell r="P24" t="str">
            <v>Jul 10</v>
          </cell>
          <cell r="T24" t="str">
            <v>0003AG</v>
          </cell>
        </row>
        <row r="25">
          <cell r="P25" t="str">
            <v>Aug 10</v>
          </cell>
          <cell r="T25" t="str">
            <v>0003AH</v>
          </cell>
        </row>
        <row r="26">
          <cell r="P26" t="str">
            <v>Sep 10</v>
          </cell>
          <cell r="T26" t="str">
            <v>0003AJ</v>
          </cell>
        </row>
        <row r="27">
          <cell r="P27" t="str">
            <v>Oct 10</v>
          </cell>
          <cell r="T27" t="str">
            <v>0003AK</v>
          </cell>
        </row>
        <row r="28">
          <cell r="P28" t="str">
            <v>Nov 10</v>
          </cell>
          <cell r="T28" t="str">
            <v>0003AL</v>
          </cell>
        </row>
        <row r="29">
          <cell r="P29" t="str">
            <v>Dec 10</v>
          </cell>
          <cell r="T29" t="str">
            <v>0003AM</v>
          </cell>
        </row>
        <row r="30">
          <cell r="P30" t="str">
            <v>Jan 11</v>
          </cell>
          <cell r="T30" t="str">
            <v>0003AN</v>
          </cell>
        </row>
        <row r="31">
          <cell r="P31" t="str">
            <v>Feb 11</v>
          </cell>
          <cell r="T31" t="str">
            <v>0003AP</v>
          </cell>
        </row>
        <row r="32">
          <cell r="P32" t="str">
            <v>Mar 11</v>
          </cell>
          <cell r="T32" t="str">
            <v>0003AQ</v>
          </cell>
        </row>
        <row r="33">
          <cell r="P33" t="str">
            <v>Apr 11</v>
          </cell>
          <cell r="T33" t="str">
            <v>0003AR</v>
          </cell>
        </row>
        <row r="34">
          <cell r="P34" t="str">
            <v>May 11</v>
          </cell>
          <cell r="T34" t="str">
            <v>0003AS</v>
          </cell>
        </row>
        <row r="35">
          <cell r="P35" t="str">
            <v>Jun 11</v>
          </cell>
          <cell r="T35" t="str">
            <v>0003AT</v>
          </cell>
        </row>
        <row r="36">
          <cell r="P36" t="str">
            <v>Jul 11</v>
          </cell>
          <cell r="T36" t="str">
            <v>0003AU</v>
          </cell>
        </row>
        <row r="37">
          <cell r="P37" t="str">
            <v>Aug 11</v>
          </cell>
          <cell r="T37" t="str">
            <v>0003AV</v>
          </cell>
        </row>
        <row r="38">
          <cell r="P38" t="str">
            <v>Sep 11</v>
          </cell>
          <cell r="T38" t="str">
            <v>0003AW</v>
          </cell>
        </row>
        <row r="39">
          <cell r="P39" t="str">
            <v>Oct 11</v>
          </cell>
          <cell r="T39" t="str">
            <v>0004AA</v>
          </cell>
        </row>
        <row r="40">
          <cell r="P40" t="str">
            <v>Nov 11</v>
          </cell>
          <cell r="T40" t="str">
            <v>0004AB</v>
          </cell>
        </row>
        <row r="41">
          <cell r="P41" t="str">
            <v>Dec 11</v>
          </cell>
          <cell r="T41" t="str">
            <v>0004AC</v>
          </cell>
        </row>
        <row r="42">
          <cell r="P42" t="str">
            <v>Jan 12</v>
          </cell>
          <cell r="T42" t="str">
            <v>0004AD</v>
          </cell>
        </row>
        <row r="43">
          <cell r="P43" t="str">
            <v>Feb 12</v>
          </cell>
          <cell r="T43" t="str">
            <v>0004AE</v>
          </cell>
        </row>
        <row r="44">
          <cell r="P44" t="str">
            <v>Mar 12</v>
          </cell>
          <cell r="T44" t="str">
            <v>0004AF</v>
          </cell>
        </row>
        <row r="45">
          <cell r="P45" t="str">
            <v>Apr 12</v>
          </cell>
          <cell r="T45" t="str">
            <v>0004AG</v>
          </cell>
        </row>
        <row r="46">
          <cell r="P46" t="str">
            <v>May 12</v>
          </cell>
          <cell r="T46" t="str">
            <v>0004AH</v>
          </cell>
        </row>
        <row r="47">
          <cell r="P47" t="str">
            <v>Jun 12</v>
          </cell>
          <cell r="T47" t="str">
            <v>0004AJ</v>
          </cell>
        </row>
        <row r="48">
          <cell r="P48" t="str">
            <v>Jul 12</v>
          </cell>
          <cell r="T48" t="str">
            <v>0004AK</v>
          </cell>
        </row>
        <row r="49">
          <cell r="P49" t="str">
            <v>Aug 12</v>
          </cell>
          <cell r="T49" t="str">
            <v>0004AL</v>
          </cell>
        </row>
        <row r="50">
          <cell r="P50" t="str">
            <v>Sep 12</v>
          </cell>
          <cell r="T50" t="str">
            <v>0004AM</v>
          </cell>
        </row>
        <row r="51">
          <cell r="P51" t="str">
            <v>Oct 12</v>
          </cell>
          <cell r="T51" t="str">
            <v>0004AN</v>
          </cell>
        </row>
        <row r="52">
          <cell r="P52" t="str">
            <v>Nov 12</v>
          </cell>
          <cell r="T52" t="str">
            <v>0004AP</v>
          </cell>
        </row>
        <row r="53">
          <cell r="P53" t="str">
            <v>Dec 12</v>
          </cell>
          <cell r="T53" t="str">
            <v>0004AQ</v>
          </cell>
        </row>
        <row r="54">
          <cell r="P54" t="str">
            <v>Jan 13</v>
          </cell>
          <cell r="T54" t="str">
            <v>0004AR</v>
          </cell>
        </row>
        <row r="55">
          <cell r="P55" t="str">
            <v>Feb 13</v>
          </cell>
          <cell r="T55" t="str">
            <v>0004AS</v>
          </cell>
        </row>
        <row r="56">
          <cell r="P56" t="str">
            <v>Mar 13</v>
          </cell>
          <cell r="T56" t="str">
            <v>0004AT</v>
          </cell>
        </row>
        <row r="57">
          <cell r="P57" t="str">
            <v>Apr 13</v>
          </cell>
          <cell r="T57" t="str">
            <v>0004AU</v>
          </cell>
        </row>
        <row r="58">
          <cell r="P58" t="str">
            <v>May 13</v>
          </cell>
          <cell r="T58" t="str">
            <v>0004AV</v>
          </cell>
        </row>
        <row r="59">
          <cell r="P59" t="str">
            <v>Jun 13</v>
          </cell>
          <cell r="T59" t="str">
            <v>0004AW</v>
          </cell>
        </row>
        <row r="60">
          <cell r="P60" t="str">
            <v>Jul 13</v>
          </cell>
          <cell r="T60" t="str">
            <v>0005AA</v>
          </cell>
        </row>
        <row r="61">
          <cell r="P61" t="str">
            <v>Aug 13</v>
          </cell>
          <cell r="T61" t="str">
            <v>0005AB</v>
          </cell>
        </row>
        <row r="62">
          <cell r="P62" t="str">
            <v>Sep 13</v>
          </cell>
          <cell r="T62" t="str">
            <v>0005AC</v>
          </cell>
        </row>
        <row r="63">
          <cell r="P63" t="str">
            <v>Oct 13</v>
          </cell>
          <cell r="T63" t="str">
            <v>0006AA</v>
          </cell>
        </row>
        <row r="64">
          <cell r="P64" t="str">
            <v>Nov 13</v>
          </cell>
          <cell r="T64" t="str">
            <v>0006AB</v>
          </cell>
        </row>
        <row r="65">
          <cell r="P65" t="str">
            <v>Dec 13</v>
          </cell>
          <cell r="T65" t="str">
            <v>0006AC</v>
          </cell>
        </row>
        <row r="66">
          <cell r="P66" t="str">
            <v>Jan 14</v>
          </cell>
          <cell r="T66" t="str">
            <v>0008AA</v>
          </cell>
        </row>
        <row r="67">
          <cell r="P67" t="str">
            <v>Feb 14</v>
          </cell>
          <cell r="T67" t="str">
            <v>0008AB</v>
          </cell>
        </row>
        <row r="68">
          <cell r="P68" t="str">
            <v>Mar 14</v>
          </cell>
          <cell r="T68" t="str">
            <v>0008AC</v>
          </cell>
        </row>
        <row r="69">
          <cell r="P69" t="str">
            <v>Apr 14</v>
          </cell>
          <cell r="T69" t="str">
            <v>0008AD</v>
          </cell>
        </row>
        <row r="70">
          <cell r="P70" t="str">
            <v>May 14</v>
          </cell>
          <cell r="T70" t="str">
            <v>0010AA</v>
          </cell>
        </row>
        <row r="71">
          <cell r="P71" t="str">
            <v>Jun 14</v>
          </cell>
          <cell r="T71" t="str">
            <v>0010AB</v>
          </cell>
        </row>
        <row r="72">
          <cell r="P72" t="str">
            <v>Jul 14</v>
          </cell>
          <cell r="T72" t="str">
            <v>0010AC</v>
          </cell>
        </row>
        <row r="73">
          <cell r="P73" t="str">
            <v>Aug 14</v>
          </cell>
          <cell r="T73" t="str">
            <v>0011AA</v>
          </cell>
        </row>
        <row r="74">
          <cell r="P74" t="str">
            <v>Sep 14</v>
          </cell>
          <cell r="T74" t="str">
            <v>0012AA</v>
          </cell>
        </row>
        <row r="75">
          <cell r="P75" t="str">
            <v>Oct 14</v>
          </cell>
          <cell r="T75" t="str">
            <v>0013AA</v>
          </cell>
        </row>
        <row r="76">
          <cell r="P76" t="str">
            <v>Nov 14</v>
          </cell>
          <cell r="T76" t="str">
            <v>0014AA</v>
          </cell>
        </row>
        <row r="77">
          <cell r="P77" t="str">
            <v>Dec 14</v>
          </cell>
          <cell r="T77" t="str">
            <v>0015AA</v>
          </cell>
        </row>
        <row r="78">
          <cell r="P78" t="str">
            <v>Jan 15</v>
          </cell>
          <cell r="T78" t="str">
            <v>0014AB</v>
          </cell>
        </row>
        <row r="79">
          <cell r="P79" t="str">
            <v>Feb 15</v>
          </cell>
          <cell r="T79" t="str">
            <v>0015AB</v>
          </cell>
        </row>
        <row r="80">
          <cell r="P80" t="str">
            <v>Mar 15</v>
          </cell>
          <cell r="T80" t="str">
            <v>0014AC</v>
          </cell>
        </row>
        <row r="81">
          <cell r="P81" t="str">
            <v>Apr 15</v>
          </cell>
          <cell r="T81" t="str">
            <v>0015AC</v>
          </cell>
        </row>
        <row r="82">
          <cell r="P82" t="str">
            <v>May 15</v>
          </cell>
          <cell r="T82" t="str">
            <v>0014AD</v>
          </cell>
        </row>
        <row r="83">
          <cell r="P83" t="str">
            <v>Jun 15</v>
          </cell>
          <cell r="T83" t="str">
            <v>0015AD</v>
          </cell>
        </row>
        <row r="84">
          <cell r="P84" t="str">
            <v>Jul 15</v>
          </cell>
        </row>
        <row r="85">
          <cell r="P85" t="str">
            <v>Aug 15</v>
          </cell>
        </row>
        <row r="86">
          <cell r="P86" t="str">
            <v>Sep 15</v>
          </cell>
        </row>
        <row r="87">
          <cell r="P87" t="str">
            <v>Oct 15</v>
          </cell>
        </row>
        <row r="88">
          <cell r="P88" t="str">
            <v>Nov 15</v>
          </cell>
        </row>
        <row r="89">
          <cell r="P89" t="str">
            <v>Dec 15</v>
          </cell>
        </row>
        <row r="90">
          <cell r="P90" t="str">
            <v>Jan 16</v>
          </cell>
        </row>
        <row r="91">
          <cell r="P91" t="str">
            <v>Feb 16</v>
          </cell>
        </row>
        <row r="92">
          <cell r="P92" t="str">
            <v>Mar 16</v>
          </cell>
        </row>
        <row r="93">
          <cell r="P93" t="str">
            <v>Apr 16</v>
          </cell>
        </row>
        <row r="94">
          <cell r="P94" t="str">
            <v>May 16</v>
          </cell>
        </row>
        <row r="95">
          <cell r="P95" t="str">
            <v>Jun 16</v>
          </cell>
        </row>
        <row r="96">
          <cell r="P96" t="str">
            <v>Jul 16</v>
          </cell>
        </row>
        <row r="97">
          <cell r="P97" t="str">
            <v>Aug 16</v>
          </cell>
        </row>
        <row r="98">
          <cell r="P98" t="str">
            <v>Sep 16</v>
          </cell>
        </row>
        <row r="99">
          <cell r="P99" t="str">
            <v>Oct 16</v>
          </cell>
        </row>
        <row r="100">
          <cell r="P100" t="str">
            <v>Nov 16</v>
          </cell>
        </row>
        <row r="101">
          <cell r="P101" t="str">
            <v>Dec 16</v>
          </cell>
        </row>
        <row r="102">
          <cell r="P102" t="str">
            <v>Jan 17</v>
          </cell>
        </row>
        <row r="103">
          <cell r="P103" t="str">
            <v>Feb 17</v>
          </cell>
        </row>
        <row r="104">
          <cell r="P104" t="str">
            <v>Mar 17</v>
          </cell>
        </row>
        <row r="105">
          <cell r="P105" t="str">
            <v>Apr 17</v>
          </cell>
        </row>
        <row r="106">
          <cell r="P106" t="str">
            <v>May 17</v>
          </cell>
        </row>
        <row r="107">
          <cell r="P107" t="str">
            <v>Jun 17</v>
          </cell>
        </row>
        <row r="108">
          <cell r="P108" t="str">
            <v>Jul 17</v>
          </cell>
        </row>
        <row r="109">
          <cell r="P109" t="str">
            <v>Aug 17</v>
          </cell>
        </row>
        <row r="110">
          <cell r="P110" t="str">
            <v>Sep 17</v>
          </cell>
        </row>
        <row r="111">
          <cell r="P111" t="str">
            <v>Oct 17</v>
          </cell>
        </row>
        <row r="112">
          <cell r="P112" t="str">
            <v>Nov 17</v>
          </cell>
        </row>
        <row r="113">
          <cell r="P113" t="str">
            <v>Dec 17</v>
          </cell>
        </row>
        <row r="114">
          <cell r="P114" t="str">
            <v>Jan 18</v>
          </cell>
        </row>
        <row r="115">
          <cell r="P115" t="str">
            <v>Feb 18</v>
          </cell>
        </row>
        <row r="116">
          <cell r="P116" t="str">
            <v>Mar 18</v>
          </cell>
        </row>
        <row r="117">
          <cell r="P117" t="str">
            <v>Apr 18</v>
          </cell>
        </row>
        <row r="118">
          <cell r="P118" t="str">
            <v>May 18</v>
          </cell>
        </row>
        <row r="119">
          <cell r="P119" t="str">
            <v>Jun 18</v>
          </cell>
        </row>
        <row r="120">
          <cell r="P120" t="str">
            <v>Jul 18</v>
          </cell>
        </row>
        <row r="121">
          <cell r="P121" t="str">
            <v>Aug 18</v>
          </cell>
        </row>
        <row r="122">
          <cell r="P122" t="str">
            <v>Sep 18</v>
          </cell>
        </row>
        <row r="123">
          <cell r="P123" t="str">
            <v>Oct 18</v>
          </cell>
        </row>
        <row r="124">
          <cell r="P124" t="str">
            <v>Nov 18</v>
          </cell>
        </row>
        <row r="125">
          <cell r="P125" t="str">
            <v>Dec 18</v>
          </cell>
        </row>
        <row r="126">
          <cell r="P126" t="str">
            <v>Jan 19</v>
          </cell>
        </row>
        <row r="127">
          <cell r="P127" t="str">
            <v>Feb 19</v>
          </cell>
        </row>
        <row r="128">
          <cell r="P128" t="str">
            <v>Mar 19</v>
          </cell>
        </row>
        <row r="129">
          <cell r="P129" t="str">
            <v>Apr 19</v>
          </cell>
        </row>
        <row r="130">
          <cell r="P130" t="str">
            <v>May 19</v>
          </cell>
        </row>
        <row r="131">
          <cell r="P131" t="str">
            <v>Jun 19</v>
          </cell>
        </row>
        <row r="132">
          <cell r="P132" t="str">
            <v>Jul 19</v>
          </cell>
        </row>
        <row r="133">
          <cell r="P133" t="str">
            <v>Aug 19</v>
          </cell>
        </row>
        <row r="134">
          <cell r="P134" t="str">
            <v>Sep 19</v>
          </cell>
        </row>
        <row r="135">
          <cell r="P135" t="str">
            <v>Oct 19</v>
          </cell>
        </row>
        <row r="136">
          <cell r="P136" t="str">
            <v>Nov 19</v>
          </cell>
        </row>
        <row r="137">
          <cell r="P137" t="str">
            <v>Dec 19</v>
          </cell>
        </row>
        <row r="138">
          <cell r="P138" t="str">
            <v>Jan 20</v>
          </cell>
        </row>
        <row r="139">
          <cell r="P139" t="str">
            <v>Feb 20</v>
          </cell>
        </row>
        <row r="140">
          <cell r="P140" t="str">
            <v>Mar 20</v>
          </cell>
        </row>
        <row r="141">
          <cell r="P141" t="str">
            <v>Apr 20</v>
          </cell>
        </row>
        <row r="142">
          <cell r="P142" t="str">
            <v>May 20</v>
          </cell>
        </row>
        <row r="143">
          <cell r="P143" t="str">
            <v>Jun 20</v>
          </cell>
        </row>
        <row r="144">
          <cell r="P144" t="str">
            <v>Jul 20</v>
          </cell>
        </row>
        <row r="145">
          <cell r="P145" t="str">
            <v>Aug 20</v>
          </cell>
        </row>
        <row r="146">
          <cell r="P146" t="str">
            <v>Sep 20</v>
          </cell>
        </row>
      </sheetData>
      <sheetData sheetId="2"/>
      <sheetData sheetId="3"/>
      <sheetData sheetId="4"/>
      <sheetData sheetId="5">
        <row r="4">
          <cell r="G4" t="str">
            <v>WBS</v>
          </cell>
          <cell r="H4" t="str">
            <v>Unclass WBS Name</v>
          </cell>
        </row>
        <row r="5">
          <cell r="G5" t="str">
            <v>839.03.12.002</v>
          </cell>
          <cell r="H5" t="str">
            <v>CID Support-Site</v>
          </cell>
        </row>
        <row r="6">
          <cell r="G6" t="str">
            <v>839.03.21.001</v>
          </cell>
          <cell r="H6" t="str">
            <v>INVICTA</v>
          </cell>
        </row>
        <row r="7">
          <cell r="G7" t="str">
            <v>839.01.02.503</v>
          </cell>
          <cell r="H7" t="str">
            <v>TWPCS: Tactical W G - 1AA</v>
          </cell>
        </row>
        <row r="8">
          <cell r="G8" t="str">
            <v>839.11.01.002.001.01</v>
          </cell>
          <cell r="H8" t="str">
            <v>11AA/NRP/St-a/PM</v>
          </cell>
        </row>
        <row r="9">
          <cell r="G9" t="str">
            <v>839.11.01.002.001.02</v>
          </cell>
          <cell r="H9" t="str">
            <v>11AA/NRP/St-a/SE</v>
          </cell>
        </row>
        <row r="10">
          <cell r="G10" t="str">
            <v>839.11.01.002.001.03</v>
          </cell>
          <cell r="H10" t="str">
            <v>11AA/NRP/St-a/Integr</v>
          </cell>
        </row>
        <row r="11">
          <cell r="G11" t="str">
            <v>839.11.01.002.001.04</v>
          </cell>
          <cell r="H11" t="str">
            <v>11AA/NRP/St-a/GeoSpt</v>
          </cell>
        </row>
        <row r="12">
          <cell r="G12" t="str">
            <v>839.11.01.002.001.05</v>
          </cell>
          <cell r="H12" t="str">
            <v>11AA/NRP/St-a/SigDev</v>
          </cell>
        </row>
        <row r="13">
          <cell r="G13" t="str">
            <v>839.11.01.002.004.02</v>
          </cell>
          <cell r="H13" t="str">
            <v>11AA/NRP/St-d/SE</v>
          </cell>
        </row>
        <row r="14">
          <cell r="G14" t="str">
            <v>839.11.01.002.004.03</v>
          </cell>
          <cell r="H14" t="str">
            <v>11AA/NRP/St-d/Integr</v>
          </cell>
        </row>
        <row r="15">
          <cell r="G15" t="str">
            <v>839.11.01.002.005.02</v>
          </cell>
          <cell r="H15" t="str">
            <v>11AA/NRP/St-e/SE</v>
          </cell>
        </row>
        <row r="16">
          <cell r="G16" t="str">
            <v>839.11.01.002.007.01</v>
          </cell>
          <cell r="H16" t="str">
            <v>11AA/NRP/St-g/PM</v>
          </cell>
        </row>
        <row r="17">
          <cell r="G17" t="str">
            <v>839.11.01.002.007.02</v>
          </cell>
          <cell r="H17" t="str">
            <v>11AA/NRP/St-g/SE</v>
          </cell>
        </row>
        <row r="18">
          <cell r="G18" t="str">
            <v>839.11.01.002.007.03</v>
          </cell>
          <cell r="H18" t="str">
            <v>11AA/NRP/St-g/Integr</v>
          </cell>
        </row>
        <row r="19">
          <cell r="G19" t="str">
            <v>839.11.01.002.007.05</v>
          </cell>
          <cell r="H19" t="str">
            <v>11AA/NRP/St-g/SigDev</v>
          </cell>
        </row>
        <row r="20">
          <cell r="G20" t="str">
            <v>839.11.01.002.009.01</v>
          </cell>
          <cell r="H20" t="str">
            <v>11AA/NRP/St-i/PM</v>
          </cell>
        </row>
        <row r="21">
          <cell r="G21" t="str">
            <v>839.11.01.002.009.02</v>
          </cell>
          <cell r="H21" t="str">
            <v>11AA/NRP/St-i/SE</v>
          </cell>
        </row>
        <row r="22">
          <cell r="G22" t="str">
            <v>839.11.01.002.009.03</v>
          </cell>
          <cell r="H22" t="str">
            <v>11AA/NRP/St-i/Integr</v>
          </cell>
        </row>
        <row r="23">
          <cell r="G23" t="str">
            <v>839.11.01.002.009.05</v>
          </cell>
          <cell r="H23" t="str">
            <v>11AA/NRP/St-i/SigDev</v>
          </cell>
        </row>
        <row r="24">
          <cell r="G24" t="str">
            <v>839.11.01.002.014.01</v>
          </cell>
          <cell r="H24" t="str">
            <v>11AA/NRP/St-n/PM</v>
          </cell>
        </row>
        <row r="25">
          <cell r="G25" t="str">
            <v>839.11.01.002.014.02</v>
          </cell>
          <cell r="H25" t="str">
            <v>11AA/NRP/St-n/SE</v>
          </cell>
        </row>
        <row r="26">
          <cell r="G26" t="str">
            <v>839.11.01.002.014.05</v>
          </cell>
          <cell r="H26" t="str">
            <v>11AA/NRP/St-n/SigDev</v>
          </cell>
        </row>
        <row r="27">
          <cell r="G27" t="str">
            <v>839.11.01.003.001.010</v>
          </cell>
        </row>
        <row r="28">
          <cell r="G28" t="str">
            <v>839.11.01.003.003.03</v>
          </cell>
          <cell r="H28" t="str">
            <v>11AA/NRP/Dreamn/Integr</v>
          </cell>
        </row>
        <row r="29">
          <cell r="G29" t="str">
            <v>839.11.01.003.003.05</v>
          </cell>
          <cell r="H29" t="str">
            <v>11AA/NRP/Dreamn/SigDev</v>
          </cell>
        </row>
        <row r="30">
          <cell r="G30" t="str">
            <v>839.11.01.003.012.01</v>
          </cell>
          <cell r="H30" t="str">
            <v>11AA/NRP/JICD/PM</v>
          </cell>
        </row>
        <row r="31">
          <cell r="G31" t="str">
            <v>839.11.01.003.012.02</v>
          </cell>
          <cell r="H31" t="str">
            <v>11AA/NRP/JICD/SE</v>
          </cell>
        </row>
        <row r="32">
          <cell r="G32" t="str">
            <v>839.11.01.003.012.03</v>
          </cell>
          <cell r="H32" t="str">
            <v>11AA/NRP/JICD/Integr</v>
          </cell>
        </row>
        <row r="33">
          <cell r="G33" t="str">
            <v>839.11.01.003.012.04</v>
          </cell>
          <cell r="H33" t="str">
            <v>11AA/NRP/JICD/GeoSpt</v>
          </cell>
        </row>
        <row r="34">
          <cell r="G34" t="str">
            <v>839.11.01.003.012.05</v>
          </cell>
          <cell r="H34" t="str">
            <v>11AA/NRP/JICD/SigDev</v>
          </cell>
        </row>
        <row r="35">
          <cell r="G35" t="str">
            <v>839.11.01.003.012.06.01</v>
          </cell>
          <cell r="H35" t="str">
            <v>11AA/NRP/JICD/SWP/DDT</v>
          </cell>
        </row>
        <row r="36">
          <cell r="G36" t="str">
            <v>839.11.01.003.012.06.02</v>
          </cell>
          <cell r="H36" t="str">
            <v>11AA/NRP/JICD/SWP/Ops</v>
          </cell>
        </row>
        <row r="37">
          <cell r="G37" t="str">
            <v>839.11.01.003.012.06.03</v>
          </cell>
          <cell r="H37" t="str">
            <v>11AA/NRP/JICD/SWP/Int</v>
          </cell>
        </row>
        <row r="38">
          <cell r="G38" t="str">
            <v>839.11.01.003.013.03</v>
          </cell>
          <cell r="H38" t="str">
            <v>11AA/NRP/Jujtsu/Integr</v>
          </cell>
        </row>
        <row r="39">
          <cell r="G39" t="str">
            <v>839.11.01.003.016.02</v>
          </cell>
          <cell r="H39" t="str">
            <v>11AA/NRP/M 5.0/SE</v>
          </cell>
        </row>
        <row r="40">
          <cell r="G40" t="str">
            <v>839.11.01.003.016.06.01</v>
          </cell>
          <cell r="H40" t="str">
            <v>11AA/NRP/M 5.0/SWP/DDT</v>
          </cell>
        </row>
        <row r="41">
          <cell r="G41" t="str">
            <v>839.11.01.003.017.01</v>
          </cell>
          <cell r="H41" t="str">
            <v>11AA/NRP/MisEnh/PM</v>
          </cell>
        </row>
        <row r="42">
          <cell r="G42" t="str">
            <v>839.11.01.003.017.02</v>
          </cell>
          <cell r="H42" t="str">
            <v>11AA/NRP/MisEnh/SE</v>
          </cell>
        </row>
        <row r="43">
          <cell r="G43" t="str">
            <v>839.11.01.003.021.03</v>
          </cell>
          <cell r="H43" t="str">
            <v>11AA/NRP/NewUse/Integr</v>
          </cell>
        </row>
        <row r="44">
          <cell r="G44" t="str">
            <v>839.11.01.003.025.01</v>
          </cell>
          <cell r="H44" t="str">
            <v>11AA/NRP/SPCS/PM</v>
          </cell>
        </row>
        <row r="45">
          <cell r="G45" t="str">
            <v>839.11.01.003.025.03</v>
          </cell>
          <cell r="H45" t="str">
            <v>11AA/NRP/SPCS/Integr</v>
          </cell>
        </row>
        <row r="46">
          <cell r="G46" t="str">
            <v>839.11.01.003.025.05</v>
          </cell>
          <cell r="H46" t="str">
            <v>11AA/NRP/SPCS/SigDev</v>
          </cell>
        </row>
        <row r="47">
          <cell r="G47" t="str">
            <v>839.11.01.003.025.06.01</v>
          </cell>
          <cell r="H47" t="str">
            <v>11AA/NRP/SPCS/SWP/DDT</v>
          </cell>
        </row>
        <row r="48">
          <cell r="G48" t="str">
            <v>839.11.01.003.027.05</v>
          </cell>
          <cell r="H48" t="str">
            <v>11AA/NRP/S&amp;S Disc/SigDev</v>
          </cell>
        </row>
        <row r="49">
          <cell r="G49" t="str">
            <v>839.11.01.003.030.03</v>
          </cell>
          <cell r="H49" t="str">
            <v>11AA/NRP/Spider/Integr</v>
          </cell>
        </row>
        <row r="50">
          <cell r="G50" t="str">
            <v>839.11.01.003.030.05</v>
          </cell>
          <cell r="H50" t="str">
            <v>11AA/NRP/Spider/SigDev</v>
          </cell>
        </row>
        <row r="51">
          <cell r="G51" t="str">
            <v>839.11.01.003.031.01</v>
          </cell>
          <cell r="H51" t="str">
            <v>11AA/NRP/SMCOMD&amp;E/PM</v>
          </cell>
        </row>
        <row r="52">
          <cell r="G52" t="str">
            <v>839.11.01.003.031.03</v>
          </cell>
          <cell r="H52" t="str">
            <v>11AA/NRP/SMCOMD&amp;E/Integr</v>
          </cell>
        </row>
        <row r="53">
          <cell r="G53" t="str">
            <v>839.11.01.003.035.01</v>
          </cell>
          <cell r="H53" t="str">
            <v>11AA/NRP/TSM/PM</v>
          </cell>
        </row>
        <row r="54">
          <cell r="G54" t="str">
            <v>839.11.01.003.035.02</v>
          </cell>
          <cell r="H54" t="str">
            <v>11AA/NRP/TSM/SE</v>
          </cell>
        </row>
        <row r="55">
          <cell r="G55" t="str">
            <v>839.11.01.003.035.04</v>
          </cell>
          <cell r="H55" t="str">
            <v>11AA/NRP/TSM/GeoSpt</v>
          </cell>
        </row>
        <row r="56">
          <cell r="G56" t="str">
            <v>839.11.01.003.035.05</v>
          </cell>
          <cell r="H56" t="str">
            <v>11AA/NRP/TSM/SigDev</v>
          </cell>
        </row>
        <row r="57">
          <cell r="G57" t="str">
            <v>839.11.01.003.035.06.01</v>
          </cell>
          <cell r="H57" t="str">
            <v>11AA/NRP/TSM/SWP/DDT</v>
          </cell>
        </row>
        <row r="58">
          <cell r="G58" t="str">
            <v>839.11.01.003.035.06.02</v>
          </cell>
          <cell r="H58" t="str">
            <v>11AA/NRP/TSM/SWP/Ops</v>
          </cell>
        </row>
        <row r="59">
          <cell r="G59" t="str">
            <v>839.11.01.003.035.06.03</v>
          </cell>
          <cell r="H59" t="str">
            <v>11AA/NRP/TSM/SWP/Int</v>
          </cell>
        </row>
        <row r="60">
          <cell r="G60" t="str">
            <v>839.11.01.003.038.03</v>
          </cell>
          <cell r="H60" t="str">
            <v>11AA/NRP/WEAPEX/Integr</v>
          </cell>
        </row>
        <row r="61">
          <cell r="G61" t="str">
            <v>839.11.01.999</v>
          </cell>
          <cell r="H61" t="str">
            <v>AWARD FEE - 0011AA</v>
          </cell>
        </row>
        <row r="62">
          <cell r="G62" t="str">
            <v>839.12.01.002.004.07</v>
          </cell>
          <cell r="H62" t="str">
            <v>12AA/NRP/St-d/Travel</v>
          </cell>
        </row>
        <row r="63">
          <cell r="G63" t="str">
            <v>839.12.01.002.004.08</v>
          </cell>
          <cell r="H63" t="str">
            <v>12AA/NRP/St-d/HW/Matl</v>
          </cell>
        </row>
        <row r="64">
          <cell r="G64" t="str">
            <v>839.12.01.002.004.09</v>
          </cell>
          <cell r="H64" t="str">
            <v>12AA/NRP/St-d/Other</v>
          </cell>
        </row>
        <row r="65">
          <cell r="G65" t="str">
            <v>839.12.01.002.004.10</v>
          </cell>
          <cell r="H65" t="str">
            <v>12AA/NRP/St-d/PCS</v>
          </cell>
        </row>
        <row r="66">
          <cell r="G66" t="str">
            <v>839.12.01.002.005.07</v>
          </cell>
          <cell r="H66" t="str">
            <v>12AA/NRP/St-e/Travel</v>
          </cell>
        </row>
        <row r="67">
          <cell r="G67" t="str">
            <v>839.12.01.002.005.10</v>
          </cell>
          <cell r="H67" t="str">
            <v>12AA/NRP/St-e/PCS</v>
          </cell>
        </row>
        <row r="68">
          <cell r="G68" t="str">
            <v>839.12.01.002.007.07</v>
          </cell>
          <cell r="H68" t="str">
            <v>12AA/NRP/St-g/Travel</v>
          </cell>
        </row>
        <row r="69">
          <cell r="G69" t="str">
            <v>839.12.01.002.009.07</v>
          </cell>
          <cell r="H69" t="str">
            <v>12AA/NRP/St-i/Travel</v>
          </cell>
        </row>
        <row r="70">
          <cell r="G70" t="str">
            <v>839.12.01.002.014.07</v>
          </cell>
          <cell r="H70" t="str">
            <v>12AA/NRP/St-n/Travel</v>
          </cell>
        </row>
        <row r="71">
          <cell r="G71" t="str">
            <v>839.12.01.003.003.07</v>
          </cell>
          <cell r="H71" t="str">
            <v>12AA/NRP/Dreamn/Travel</v>
          </cell>
        </row>
        <row r="72">
          <cell r="G72" t="str">
            <v>839.12.01.003.012.07</v>
          </cell>
          <cell r="H72" t="str">
            <v>12AA/NRP/TPI/Travel</v>
          </cell>
        </row>
        <row r="73">
          <cell r="G73" t="str">
            <v>839.12.01.003.021.07</v>
          </cell>
          <cell r="H73" t="str">
            <v>12AA/NRP/NewUse/Travel</v>
          </cell>
        </row>
        <row r="74">
          <cell r="G74" t="str">
            <v>839.12.01.003.025.07</v>
          </cell>
          <cell r="H74" t="str">
            <v>12AA/NRP/SPCS/Travel</v>
          </cell>
        </row>
        <row r="75">
          <cell r="G75" t="str">
            <v>839.12.01.003.035.07</v>
          </cell>
          <cell r="H75" t="str">
            <v>12AA/NRP/TSM/Travel</v>
          </cell>
        </row>
        <row r="76">
          <cell r="G76" t="str">
            <v>839.13.01.002.005.02</v>
          </cell>
          <cell r="H76" t="str">
            <v>13AA/OCO/St-e/SE</v>
          </cell>
        </row>
        <row r="77">
          <cell r="G77" t="str">
            <v>839.13.01.002.007.02</v>
          </cell>
          <cell r="H77" t="str">
            <v>13AA/OCO/St-g/SE</v>
          </cell>
        </row>
        <row r="78">
          <cell r="G78" t="str">
            <v>839.13.01.002.007.05</v>
          </cell>
          <cell r="H78" t="str">
            <v>13AA/OCO/St-g/SigDev</v>
          </cell>
        </row>
        <row r="79">
          <cell r="G79" t="str">
            <v>839.13.01.003.035.01</v>
          </cell>
          <cell r="H79" t="str">
            <v>13AA/OCO/TSM/PM</v>
          </cell>
        </row>
        <row r="80">
          <cell r="G80" t="str">
            <v>839.13.01.003.035.02</v>
          </cell>
          <cell r="H80" t="str">
            <v>13AA/OCO/TSM/SE</v>
          </cell>
        </row>
        <row r="81">
          <cell r="G81" t="str">
            <v>839.13.01.003.035.04</v>
          </cell>
          <cell r="H81" t="str">
            <v>13AA/OCO/TSM/GeoSpt</v>
          </cell>
        </row>
        <row r="82">
          <cell r="G82" t="str">
            <v>839.13.01.003.035.05</v>
          </cell>
          <cell r="H82" t="str">
            <v>13AA/OCO/TSM/SigDev</v>
          </cell>
        </row>
        <row r="83">
          <cell r="G83" t="str">
            <v>839.13.01.003.035.06.01</v>
          </cell>
          <cell r="H83" t="str">
            <v>13AA/OCO/TSM/SWP/DDT</v>
          </cell>
        </row>
        <row r="84">
          <cell r="G84" t="str">
            <v>839.13.01.003.035.06.02</v>
          </cell>
          <cell r="H84" t="str">
            <v>13AA/OCO/TSM/SWP/Ops</v>
          </cell>
        </row>
        <row r="85">
          <cell r="G85" t="str">
            <v>839.13.01.003.035.06.03</v>
          </cell>
          <cell r="H85" t="str">
            <v>13AA/OCO/TSM/SWP/Int</v>
          </cell>
        </row>
        <row r="86">
          <cell r="G86" t="str">
            <v>839.13.01.999</v>
          </cell>
          <cell r="H86" t="str">
            <v>AWARD FEE - 0013AA</v>
          </cell>
        </row>
        <row r="87">
          <cell r="G87" t="str">
            <v>839.14.01.002.007.01</v>
          </cell>
          <cell r="H87" t="str">
            <v>14AA/OGA/St-g/PM</v>
          </cell>
        </row>
        <row r="88">
          <cell r="G88" t="str">
            <v>839.14.01.002.007.02</v>
          </cell>
          <cell r="H88" t="str">
            <v>14AA/OGA/St-g/SE</v>
          </cell>
        </row>
        <row r="89">
          <cell r="G89" t="str">
            <v>839.14.01.999</v>
          </cell>
          <cell r="H89" t="str">
            <v>AWARD FEE - 0014AA</v>
          </cell>
        </row>
        <row r="90">
          <cell r="G90" t="str">
            <v>839.14.10.002.007.03</v>
          </cell>
          <cell r="H90" t="str">
            <v>14AJ/OGA/St-g/Integr</v>
          </cell>
        </row>
        <row r="91">
          <cell r="G91" t="str">
            <v>839.14.10.003.xxx.06.01</v>
          </cell>
          <cell r="H91" t="str">
            <v>14AJ/OGA/ML/SWP/DDT</v>
          </cell>
        </row>
        <row r="92">
          <cell r="G92" t="str">
            <v>839.17.01.003.059.01</v>
          </cell>
          <cell r="H92" t="str">
            <v>17AA/NRP/SchoolCID/PM</v>
          </cell>
        </row>
        <row r="93">
          <cell r="G93" t="str">
            <v>839.17.01.003.059.02</v>
          </cell>
          <cell r="H93" t="str">
            <v>17AA/NRP/SchoolCID/SE</v>
          </cell>
        </row>
        <row r="94">
          <cell r="G94" t="str">
            <v>839.17.01.003.059.03</v>
          </cell>
          <cell r="H94" t="str">
            <v>17AA/NRP/SchoolCID/Integ</v>
          </cell>
        </row>
        <row r="95">
          <cell r="G95" t="str">
            <v>839.17.01.003.059.04</v>
          </cell>
          <cell r="H95" t="str">
            <v>17AA/NRP/SchoolCID/GeoSpt</v>
          </cell>
        </row>
        <row r="96">
          <cell r="G96" t="str">
            <v>839.17.01.003.059.05</v>
          </cell>
          <cell r="H96" t="str">
            <v>17AA/NRP/SchoolCID/SigDev</v>
          </cell>
        </row>
        <row r="97">
          <cell r="G97" t="str">
            <v>839.17.01.003.059.06.01</v>
          </cell>
          <cell r="H97" t="str">
            <v>17AA/NRP/SchoolCID/SWP/DDT</v>
          </cell>
        </row>
        <row r="98">
          <cell r="G98" t="str">
            <v>839.17.01.003.059.06.02</v>
          </cell>
          <cell r="H98" t="str">
            <v>17AA/NRP/SchoolCID/SWP/Ops</v>
          </cell>
        </row>
        <row r="99">
          <cell r="G99" t="str">
            <v>839.17.01.003.059.06.03</v>
          </cell>
          <cell r="H99" t="str">
            <v>17AA/NRP/SchoolCID/SWP/Int</v>
          </cell>
        </row>
        <row r="100">
          <cell r="G100" t="str">
            <v>839.17.01.003.059.07</v>
          </cell>
          <cell r="H100" t="str">
            <v>17AA/NRP/SchoolCID/Trvl</v>
          </cell>
        </row>
        <row r="101">
          <cell r="G101" t="str">
            <v>839.17.01.003.059.08</v>
          </cell>
          <cell r="H101" t="str">
            <v>17AA/NRP/SchoolCID/Hw/Matl</v>
          </cell>
        </row>
        <row r="102">
          <cell r="G102" t="str">
            <v>839.17.01.003.059.09</v>
          </cell>
          <cell r="H102" t="str">
            <v>17AA/NRP/SchoolCID/Other</v>
          </cell>
        </row>
        <row r="103">
          <cell r="G103" t="str">
            <v>839.17.01.003.060.01</v>
          </cell>
          <cell r="H103" t="str">
            <v>17AA/NRP/SchoolGF/PM</v>
          </cell>
        </row>
        <row r="104">
          <cell r="G104" t="str">
            <v>839.17.01.003.060.02</v>
          </cell>
          <cell r="H104" t="str">
            <v>17AA/NRP/SchoolGF/SE</v>
          </cell>
        </row>
        <row r="105">
          <cell r="G105" t="str">
            <v>839.17.01.003.060.03</v>
          </cell>
          <cell r="H105" t="str">
            <v>17AA/NRP/SchoolGF/Integ</v>
          </cell>
        </row>
        <row r="106">
          <cell r="G106" t="str">
            <v>839.17.01.003.060.04</v>
          </cell>
          <cell r="H106" t="str">
            <v>17AA/NRP/SchoolGF/GeoSpt</v>
          </cell>
        </row>
        <row r="107">
          <cell r="G107" t="str">
            <v>839.17.01.003.060.05</v>
          </cell>
          <cell r="H107" t="str">
            <v>17AA/NRP/SchoolGF/SigDev</v>
          </cell>
        </row>
        <row r="108">
          <cell r="G108" t="str">
            <v>839.17.01.003.060.06.01</v>
          </cell>
          <cell r="H108" t="str">
            <v>17AA/NRP/SchoolGF/SWP/DDT</v>
          </cell>
        </row>
        <row r="109">
          <cell r="G109" t="str">
            <v>839.17.01.003.060.06.02</v>
          </cell>
          <cell r="H109" t="str">
            <v>17AA/NRP/SchoolGF/SWP/Ops</v>
          </cell>
        </row>
        <row r="110">
          <cell r="G110" t="str">
            <v>839.17.01.003.060.06.03</v>
          </cell>
          <cell r="H110" t="str">
            <v>17AA/NRP/SchoolGF/SWP/Int</v>
          </cell>
        </row>
        <row r="111">
          <cell r="G111" t="str">
            <v>839.17.01.003.060.07</v>
          </cell>
          <cell r="H111" t="str">
            <v>17AA/NRP/SchoolGF/Trvl</v>
          </cell>
        </row>
        <row r="112">
          <cell r="G112" t="str">
            <v>839.17.01.003.060.08</v>
          </cell>
          <cell r="H112" t="str">
            <v>17AA/NRP/SchoolGF/Hw/Matl</v>
          </cell>
        </row>
        <row r="113">
          <cell r="G113" t="str">
            <v>839.17.01.003.060.09</v>
          </cell>
          <cell r="H113" t="str">
            <v>17AA/NRP/SchoolGF/Other</v>
          </cell>
        </row>
        <row r="114">
          <cell r="G114" t="str">
            <v>839.18.01.003.064.06.01</v>
          </cell>
          <cell r="H114" t="str">
            <v>18AA/I2/DTTC/SWP/DDT</v>
          </cell>
        </row>
        <row r="115">
          <cell r="G115" t="str">
            <v>839.18.02.003.056.01</v>
          </cell>
          <cell r="H115" t="str">
            <v>18AB/I2/Mint/PM</v>
          </cell>
        </row>
        <row r="116">
          <cell r="G116" t="str">
            <v>839.18.02.003.056.02</v>
          </cell>
          <cell r="H116" t="str">
            <v>18AB/I2/Mint/SE</v>
          </cell>
        </row>
        <row r="117">
          <cell r="G117" t="str">
            <v>839.18.02.003.056.03</v>
          </cell>
          <cell r="H117" t="str">
            <v>18AB/I2/Mint/Integr</v>
          </cell>
        </row>
        <row r="118">
          <cell r="G118" t="str">
            <v>839.18.02.003.056.06.01</v>
          </cell>
          <cell r="H118" t="str">
            <v>18AB/I2/Mint/DDT</v>
          </cell>
        </row>
        <row r="119">
          <cell r="G119" t="str">
            <v>839.18.02.003.056.99</v>
          </cell>
          <cell r="H119" t="str">
            <v>18AB/I2/Mint Award Fee</v>
          </cell>
        </row>
        <row r="120">
          <cell r="G120" t="str">
            <v>839.19.02.003.056.07</v>
          </cell>
          <cell r="H120" t="str">
            <v>19AB/I2/Mint/Travel</v>
          </cell>
        </row>
        <row r="121">
          <cell r="G121" t="str">
            <v>839.19.02.003.056.08</v>
          </cell>
          <cell r="H121" t="str">
            <v>19AB/I2/Mint/HW/Matl</v>
          </cell>
        </row>
        <row r="122">
          <cell r="G122" t="str">
            <v>839.19.02.003.056.09</v>
          </cell>
          <cell r="H122" t="str">
            <v>19AB/I2/Mint/Other</v>
          </cell>
        </row>
      </sheetData>
      <sheetData sheetId="6"/>
      <sheetData sheetId="7"/>
      <sheetData sheetId="8"/>
      <sheetData sheetId="9"/>
      <sheetData sheetId="10"/>
      <sheetData sheetId="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Travel Destinations"/>
      <sheetName val="Execution Data"/>
      <sheetName val="Execution Rpts"/>
      <sheetName val="Travel Rpt"/>
      <sheetName val="XXCHECKXX"/>
    </sheetNames>
    <sheetDataSet>
      <sheetData sheetId="0"/>
      <sheetData sheetId="1">
        <row r="11">
          <cell r="A11" t="str">
            <v>Misawa, JAP</v>
          </cell>
        </row>
        <row r="12">
          <cell r="A12" t="str">
            <v>Frankfurt, GER</v>
          </cell>
        </row>
        <row r="13">
          <cell r="A13" t="str">
            <v>Harrogate, UK</v>
          </cell>
        </row>
        <row r="14">
          <cell r="A14" t="str">
            <v>Alice Springs, AUS</v>
          </cell>
        </row>
        <row r="15">
          <cell r="A15" t="str">
            <v>Denver, USA</v>
          </cell>
        </row>
        <row r="16">
          <cell r="A16" t="str">
            <v>Fairfax, USA</v>
          </cell>
        </row>
        <row r="17">
          <cell r="A17" t="str">
            <v>Phoenix, USA</v>
          </cell>
        </row>
        <row r="18">
          <cell r="A18" t="str">
            <v>Tucson, USA</v>
          </cell>
        </row>
        <row r="19">
          <cell r="A19" t="str">
            <v>Honolulu, USA</v>
          </cell>
        </row>
        <row r="20">
          <cell r="A20" t="str">
            <v>Augusta, USA</v>
          </cell>
        </row>
        <row r="21">
          <cell r="A21" t="str">
            <v>San Antonio, USA</v>
          </cell>
        </row>
        <row r="22">
          <cell r="A22" t="str">
            <v>Bogota, COL</v>
          </cell>
        </row>
        <row r="23">
          <cell r="A23" t="str">
            <v>Seattle, USA</v>
          </cell>
        </row>
        <row r="24">
          <cell r="A24" t="str">
            <v>San Francisco, USA</v>
          </cell>
        </row>
        <row r="25">
          <cell r="A25" t="str">
            <v>Bangkok, THA</v>
          </cell>
        </row>
        <row r="26">
          <cell r="A26" t="str">
            <v>St Louis, USA</v>
          </cell>
        </row>
        <row r="27">
          <cell r="A27" t="str">
            <v>Idaho Falls, USA</v>
          </cell>
        </row>
        <row r="28">
          <cell r="A28" t="str">
            <v>San Diego, USA</v>
          </cell>
        </row>
        <row r="29">
          <cell r="A29" t="str">
            <v>Melbourne, USA</v>
          </cell>
        </row>
        <row r="30">
          <cell r="A30" t="str">
            <v>Greenville, USA</v>
          </cell>
        </row>
        <row r="31">
          <cell r="A31" t="str">
            <v>Dayton, USA</v>
          </cell>
        </row>
        <row r="32">
          <cell r="A32" t="str">
            <v>Sarasota, USA</v>
          </cell>
        </row>
        <row r="33">
          <cell r="A33" t="str">
            <v>Tampa, USA</v>
          </cell>
        </row>
        <row r="34">
          <cell r="A34" t="str">
            <v>Key West, USA</v>
          </cell>
        </row>
        <row r="35">
          <cell r="A35" t="str">
            <v>Westchester, USA</v>
          </cell>
        </row>
        <row r="36">
          <cell r="A36" t="str">
            <v>Omaha, USA</v>
          </cell>
        </row>
        <row r="37">
          <cell r="A37" t="str">
            <v>Afghanistan</v>
          </cell>
        </row>
        <row r="38">
          <cell r="A38" t="str">
            <v>Salt Lake City, USA</v>
          </cell>
        </row>
      </sheetData>
      <sheetData sheetId="2"/>
      <sheetData sheetId="3"/>
      <sheetData sheetId="4"/>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bs List"/>
      <sheetName val="SIA3 Matches"/>
      <sheetName val="PT"/>
      <sheetName val="Sheet9"/>
      <sheetName val="Comparison"/>
      <sheetName val="Sheet8"/>
      <sheetName val="Sheet7"/>
      <sheetName val="ERI Raw (2)"/>
      <sheetName val="ERI List"/>
      <sheetName val="ERI Raw"/>
      <sheetName val="ERI Adjusted Combined"/>
      <sheetName val="ERI Adjusted"/>
      <sheetName val="ERI Adjusted (10th)"/>
      <sheetName val="ERI Adjusted (25th)"/>
      <sheetName val="ERI Adjusted (Mean)"/>
      <sheetName val="ERI Adjusted (75th)"/>
      <sheetName val="ERI Adjusted (90th)"/>
      <sheetName val="Sheet10"/>
      <sheetName val="Sheet11"/>
      <sheetName val="IGCE Dashboard"/>
      <sheetName val="Rate Data"/>
      <sheetName val="Copy of ERI Job List (00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 Down Lists"/>
      <sheetName val="Proposal Information"/>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TIDLIST"/>
    </sheetNames>
    <sheetDataSet>
      <sheetData sheetId="0">
        <row r="3">
          <cell r="E3" t="str">
            <v>Administrative Assistant 1</v>
          </cell>
          <cell r="F3" t="str">
            <v>Contractor</v>
          </cell>
          <cell r="G3" t="str">
            <v>ST</v>
          </cell>
          <cell r="H3" t="str">
            <v>BAG</v>
          </cell>
        </row>
        <row r="4">
          <cell r="E4" t="str">
            <v>Administrative Assistant 2</v>
          </cell>
          <cell r="F4" t="str">
            <v>Government</v>
          </cell>
          <cell r="G4" t="str">
            <v>OT</v>
          </cell>
          <cell r="H4" t="str">
            <v>BARREL</v>
          </cell>
        </row>
        <row r="5">
          <cell r="E5" t="str">
            <v>Administrative Assistant 3</v>
          </cell>
          <cell r="H5" t="str">
            <v>BOARD FEET</v>
          </cell>
        </row>
        <row r="6">
          <cell r="E6" t="str">
            <v>Computer System Analyst 1</v>
          </cell>
          <cell r="H6" t="str">
            <v>BOTTLE</v>
          </cell>
        </row>
        <row r="7">
          <cell r="E7" t="str">
            <v>Computer System Analyst 2</v>
          </cell>
          <cell r="H7" t="str">
            <v>BOX</v>
          </cell>
        </row>
        <row r="8">
          <cell r="E8" t="str">
            <v>Computer System Analyst 3</v>
          </cell>
          <cell r="H8" t="str">
            <v>CARTON</v>
          </cell>
        </row>
        <row r="9">
          <cell r="E9" t="str">
            <v>Drafter/CAD Operator 1</v>
          </cell>
          <cell r="H9" t="str">
            <v>CASE</v>
          </cell>
        </row>
        <row r="10">
          <cell r="E10" t="str">
            <v>Drafter/CAD Operator 2</v>
          </cell>
          <cell r="H10" t="str">
            <v>COPY</v>
          </cell>
        </row>
        <row r="11">
          <cell r="E11" t="str">
            <v>Drafter/CAD Operator 3</v>
          </cell>
          <cell r="H11" t="str">
            <v>CUBIC FOOT</v>
          </cell>
        </row>
        <row r="12">
          <cell r="E12" t="str">
            <v>Drafter/CAD Operator 4</v>
          </cell>
          <cell r="H12" t="str">
            <v>CUBIC INCH</v>
          </cell>
        </row>
        <row r="13">
          <cell r="E13" t="str">
            <v xml:space="preserve">Electrician, Maintenance </v>
          </cell>
          <cell r="H13" t="str">
            <v>CUBIC YARD</v>
          </cell>
        </row>
        <row r="14">
          <cell r="E14" t="str">
            <v>Electronics Technician 1</v>
          </cell>
          <cell r="H14" t="str">
            <v>DAY</v>
          </cell>
        </row>
        <row r="15">
          <cell r="E15" t="str">
            <v>Electronics Technician 2</v>
          </cell>
          <cell r="H15" t="str">
            <v>DOZEN</v>
          </cell>
        </row>
        <row r="16">
          <cell r="E16" t="str">
            <v>Electronics Technician 3</v>
          </cell>
          <cell r="H16" t="str">
            <v>EACH</v>
          </cell>
        </row>
        <row r="17">
          <cell r="E17" t="str">
            <v xml:space="preserve">Engineer/Scientist 1 </v>
          </cell>
          <cell r="H17" t="str">
            <v>FOOT</v>
          </cell>
        </row>
        <row r="18">
          <cell r="E18" t="str">
            <v xml:space="preserve">Engineer/Scientist 2 </v>
          </cell>
          <cell r="H18" t="str">
            <v>GALLON</v>
          </cell>
        </row>
        <row r="19">
          <cell r="E19" t="str">
            <v xml:space="preserve">Engineer/Scientist 3 </v>
          </cell>
          <cell r="H19" t="str">
            <v>HOUR</v>
          </cell>
        </row>
        <row r="20">
          <cell r="E20" t="str">
            <v xml:space="preserve">Engineer/Scientist 4 </v>
          </cell>
          <cell r="H20" t="str">
            <v>HUNDRED</v>
          </cell>
        </row>
        <row r="21">
          <cell r="E21" t="str">
            <v>Engineering Technician 1</v>
          </cell>
          <cell r="H21" t="str">
            <v>INCH</v>
          </cell>
        </row>
        <row r="22">
          <cell r="E22" t="str">
            <v>Engineering Technician 2</v>
          </cell>
          <cell r="H22" t="str">
            <v>KILOGRAM</v>
          </cell>
        </row>
        <row r="23">
          <cell r="E23" t="str">
            <v>Engineering Technician 3</v>
          </cell>
          <cell r="H23" t="str">
            <v>KIT</v>
          </cell>
        </row>
        <row r="24">
          <cell r="E24" t="str">
            <v>Engineering Technician 4</v>
          </cell>
          <cell r="H24" t="str">
            <v>LENGTH</v>
          </cell>
        </row>
        <row r="25">
          <cell r="E25" t="str">
            <v>Engineering Technician 5</v>
          </cell>
          <cell r="H25" t="str">
            <v>LINEAL FOOT</v>
          </cell>
        </row>
        <row r="26">
          <cell r="E26" t="str">
            <v>Engineering Technician 6</v>
          </cell>
          <cell r="H26" t="str">
            <v>LOT</v>
          </cell>
        </row>
        <row r="27">
          <cell r="E27" t="str">
            <v xml:space="preserve">Heavy Equipment Operator </v>
          </cell>
          <cell r="H27" t="str">
            <v>MINUTE</v>
          </cell>
        </row>
        <row r="28">
          <cell r="E28" t="str">
            <v xml:space="preserve">HVAC Mechanic </v>
          </cell>
          <cell r="H28" t="str">
            <v>MONTH</v>
          </cell>
        </row>
        <row r="29">
          <cell r="E29" t="str">
            <v>HVAC Mechanic MVAV Cert</v>
          </cell>
          <cell r="H29" t="str">
            <v>OUNCE</v>
          </cell>
        </row>
        <row r="30">
          <cell r="E30" t="str">
            <v>Laborer</v>
          </cell>
          <cell r="H30" t="str">
            <v>PACKAGE</v>
          </cell>
        </row>
        <row r="31">
          <cell r="E31" t="str">
            <v>Logistician 3</v>
          </cell>
          <cell r="H31" t="str">
            <v>PAGE</v>
          </cell>
        </row>
        <row r="32">
          <cell r="E32" t="str">
            <v xml:space="preserve">Machinist, Maintenance </v>
          </cell>
          <cell r="H32" t="str">
            <v>PAIR</v>
          </cell>
        </row>
        <row r="33">
          <cell r="E33" t="str">
            <v>Maintenance Trade Helper</v>
          </cell>
          <cell r="H33" t="str">
            <v>PERSON HOUR</v>
          </cell>
        </row>
        <row r="34">
          <cell r="E34" t="str">
            <v>Management &amp; Program Tech 1</v>
          </cell>
          <cell r="H34" t="str">
            <v>PIECE</v>
          </cell>
        </row>
        <row r="35">
          <cell r="E35" t="str">
            <v>Management &amp; Program Tech 2</v>
          </cell>
          <cell r="H35" t="str">
            <v>PINT</v>
          </cell>
        </row>
        <row r="36">
          <cell r="E36" t="str">
            <v>Management &amp; Program Tech 3</v>
          </cell>
          <cell r="H36" t="str">
            <v>POUND</v>
          </cell>
        </row>
        <row r="37">
          <cell r="E37" t="str">
            <v>Management Analyst 1</v>
          </cell>
          <cell r="H37" t="str">
            <v>QUART</v>
          </cell>
        </row>
        <row r="38">
          <cell r="E38" t="str">
            <v>Management Analyst 2</v>
          </cell>
          <cell r="H38" t="str">
            <v>REAM</v>
          </cell>
        </row>
        <row r="39">
          <cell r="E39" t="str">
            <v>Management Analyst 3</v>
          </cell>
          <cell r="H39" t="str">
            <v>ROLL</v>
          </cell>
        </row>
        <row r="40">
          <cell r="E40" t="str">
            <v xml:space="preserve">Painter, Maintenance </v>
          </cell>
          <cell r="H40" t="str">
            <v>SET</v>
          </cell>
        </row>
        <row r="41">
          <cell r="E41" t="str">
            <v xml:space="preserve">Pipefitter, Maintenance </v>
          </cell>
          <cell r="H41" t="str">
            <v>SHEET</v>
          </cell>
        </row>
        <row r="42">
          <cell r="E42" t="str">
            <v>Powder Coat Applicator</v>
          </cell>
          <cell r="H42" t="str">
            <v>SPOOL</v>
          </cell>
        </row>
        <row r="43">
          <cell r="E43" t="str">
            <v xml:space="preserve">Project Manager     </v>
          </cell>
          <cell r="H43" t="str">
            <v>SQUARE FOOT</v>
          </cell>
        </row>
        <row r="44">
          <cell r="E44" t="str">
            <v>Rigger</v>
          </cell>
          <cell r="H44" t="str">
            <v>SQUARE YARD</v>
          </cell>
        </row>
        <row r="45">
          <cell r="E45" t="str">
            <v>Sheet-Metal Worker, Maint.</v>
          </cell>
          <cell r="H45" t="str">
            <v>TASK</v>
          </cell>
        </row>
        <row r="46">
          <cell r="E46" t="str">
            <v xml:space="preserve">Supply Technician </v>
          </cell>
          <cell r="H46" t="str">
            <v>THOUSAND</v>
          </cell>
        </row>
        <row r="47">
          <cell r="E47" t="str">
            <v>Technical Writer/Editor 3</v>
          </cell>
          <cell r="H47" t="str">
            <v>TON</v>
          </cell>
        </row>
        <row r="48">
          <cell r="E48" t="str">
            <v>Technical Writer/Editor 4</v>
          </cell>
          <cell r="H48" t="str">
            <v>TUBE</v>
          </cell>
        </row>
        <row r="49">
          <cell r="E49" t="str">
            <v xml:space="preserve">Warehouse Specialist </v>
          </cell>
          <cell r="H49" t="str">
            <v>UNIT</v>
          </cell>
        </row>
        <row r="50">
          <cell r="E50" t="str">
            <v xml:space="preserve">Welder </v>
          </cell>
          <cell r="H50" t="str">
            <v>WEEK</v>
          </cell>
        </row>
        <row r="51">
          <cell r="H51" t="str">
            <v>YARD</v>
          </cell>
        </row>
        <row r="52">
          <cell r="H52" t="str">
            <v>YEAR</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C620E-C3CA-4D1E-ACBC-06CF6F28BC83}">
  <sheetPr codeName="Sheet1"/>
  <dimension ref="A1:L59"/>
  <sheetViews>
    <sheetView zoomScaleNormal="100" workbookViewId="0">
      <selection activeCell="G16" sqref="G16"/>
    </sheetView>
  </sheetViews>
  <sheetFormatPr defaultRowHeight="15" x14ac:dyDescent="0.25"/>
  <cols>
    <col min="1" max="1" width="9.140625" style="98"/>
    <col min="2" max="2" width="141.85546875" customWidth="1"/>
  </cols>
  <sheetData>
    <row r="1" spans="1:2" ht="19.5" thickBot="1" x14ac:dyDescent="0.3">
      <c r="A1" s="657" t="s">
        <v>0</v>
      </c>
      <c r="B1" s="658"/>
    </row>
    <row r="2" spans="1:2" ht="19.5" thickBot="1" x14ac:dyDescent="0.35">
      <c r="A2" s="82"/>
      <c r="B2" s="83"/>
    </row>
    <row r="3" spans="1:2" ht="15.75" thickBot="1" x14ac:dyDescent="0.3">
      <c r="A3" s="659" t="s">
        <v>1</v>
      </c>
      <c r="B3" s="660"/>
    </row>
    <row r="4" spans="1:2" ht="15.75" thickBot="1" x14ac:dyDescent="0.3">
      <c r="A4" s="84" t="s">
        <v>2</v>
      </c>
      <c r="B4" s="85" t="s">
        <v>3</v>
      </c>
    </row>
    <row r="5" spans="1:2" ht="15.75" thickBot="1" x14ac:dyDescent="0.3">
      <c r="A5" s="96" t="s">
        <v>4</v>
      </c>
      <c r="B5" s="97" t="s">
        <v>5</v>
      </c>
    </row>
    <row r="6" spans="1:2" x14ac:dyDescent="0.25">
      <c r="A6" s="107" t="s">
        <v>6</v>
      </c>
      <c r="B6" s="108" t="s">
        <v>7</v>
      </c>
    </row>
    <row r="7" spans="1:2" ht="45" x14ac:dyDescent="0.25">
      <c r="A7" s="96" t="s">
        <v>8</v>
      </c>
      <c r="B7" s="97" t="s">
        <v>9</v>
      </c>
    </row>
    <row r="8" spans="1:2" ht="30" x14ac:dyDescent="0.25">
      <c r="A8" s="96" t="s">
        <v>10</v>
      </c>
      <c r="B8" s="97" t="s">
        <v>11</v>
      </c>
    </row>
    <row r="9" spans="1:2" ht="45.75" thickBot="1" x14ac:dyDescent="0.3">
      <c r="A9" s="87" t="s">
        <v>12</v>
      </c>
      <c r="B9" s="88" t="s">
        <v>13</v>
      </c>
    </row>
    <row r="10" spans="1:2" ht="15.75" thickBot="1" x14ac:dyDescent="0.3">
      <c r="A10" s="661" t="s">
        <v>187</v>
      </c>
      <c r="B10" s="662"/>
    </row>
    <row r="11" spans="1:2" ht="30.75" thickBot="1" x14ac:dyDescent="0.3">
      <c r="A11" s="86" t="s">
        <v>2</v>
      </c>
      <c r="B11" s="89" t="s">
        <v>14</v>
      </c>
    </row>
    <row r="12" spans="1:2" ht="45.75" thickBot="1" x14ac:dyDescent="0.3">
      <c r="A12" s="86" t="s">
        <v>4</v>
      </c>
      <c r="B12" s="90" t="s">
        <v>179</v>
      </c>
    </row>
    <row r="13" spans="1:2" ht="15.75" thickBot="1" x14ac:dyDescent="0.3">
      <c r="A13" s="655" t="s">
        <v>191</v>
      </c>
      <c r="B13" s="656"/>
    </row>
    <row r="14" spans="1:2" ht="15.75" thickBot="1" x14ac:dyDescent="0.3">
      <c r="A14" s="87" t="s">
        <v>2</v>
      </c>
      <c r="B14" s="388" t="s">
        <v>271</v>
      </c>
    </row>
    <row r="15" spans="1:2" ht="15.75" thickBot="1" x14ac:dyDescent="0.3">
      <c r="A15" s="87" t="s">
        <v>4</v>
      </c>
      <c r="B15" s="388" t="s">
        <v>31</v>
      </c>
    </row>
    <row r="16" spans="1:2" ht="15.75" thickBot="1" x14ac:dyDescent="0.3">
      <c r="A16" s="655" t="s">
        <v>192</v>
      </c>
      <c r="B16" s="656"/>
    </row>
    <row r="17" spans="1:12" ht="15.75" thickBot="1" x14ac:dyDescent="0.3">
      <c r="A17" s="86" t="s">
        <v>2</v>
      </c>
      <c r="B17" s="91" t="s">
        <v>15</v>
      </c>
    </row>
    <row r="18" spans="1:12" ht="15.75" thickBot="1" x14ac:dyDescent="0.3">
      <c r="A18" s="86" t="s">
        <v>4</v>
      </c>
      <c r="B18" s="92" t="s">
        <v>272</v>
      </c>
    </row>
    <row r="19" spans="1:12" ht="30.75" thickBot="1" x14ac:dyDescent="0.3">
      <c r="A19" s="86" t="s">
        <v>6</v>
      </c>
      <c r="B19" s="93" t="s">
        <v>19</v>
      </c>
    </row>
    <row r="20" spans="1:12" ht="15.75" thickBot="1" x14ac:dyDescent="0.3">
      <c r="A20" s="653" t="s">
        <v>20</v>
      </c>
      <c r="B20" s="654"/>
    </row>
    <row r="21" spans="1:12" ht="15.75" thickBot="1" x14ac:dyDescent="0.3">
      <c r="A21" s="86">
        <v>1</v>
      </c>
      <c r="B21" s="92" t="s">
        <v>21</v>
      </c>
    </row>
    <row r="22" spans="1:12" ht="60" x14ac:dyDescent="0.25">
      <c r="A22" s="94" t="s">
        <v>4</v>
      </c>
      <c r="B22" s="95" t="s">
        <v>22</v>
      </c>
      <c r="C22" s="271"/>
      <c r="D22" s="272"/>
      <c r="E22" s="272"/>
      <c r="F22" s="272"/>
      <c r="G22" s="272"/>
      <c r="H22" s="272"/>
      <c r="I22" s="272"/>
      <c r="J22" s="272"/>
      <c r="K22" s="207"/>
      <c r="L22" s="207"/>
    </row>
    <row r="23" spans="1:12" ht="90" customHeight="1" x14ac:dyDescent="0.25">
      <c r="A23" s="96" t="s">
        <v>23</v>
      </c>
      <c r="B23" s="97" t="s">
        <v>195</v>
      </c>
    </row>
    <row r="24" spans="1:12" ht="30" x14ac:dyDescent="0.25">
      <c r="A24" s="96" t="s">
        <v>24</v>
      </c>
      <c r="B24" s="97" t="s">
        <v>194</v>
      </c>
    </row>
    <row r="25" spans="1:12" ht="45" x14ac:dyDescent="0.25">
      <c r="A25" s="96" t="s">
        <v>173</v>
      </c>
      <c r="B25" s="97" t="s">
        <v>232</v>
      </c>
    </row>
    <row r="26" spans="1:12" ht="45.75" thickBot="1" x14ac:dyDescent="0.3">
      <c r="A26" s="328" t="s">
        <v>181</v>
      </c>
      <c r="B26" s="317" t="s">
        <v>273</v>
      </c>
    </row>
    <row r="27" spans="1:12" ht="32.25" customHeight="1" thickBot="1" x14ac:dyDescent="0.3">
      <c r="A27" s="364" t="s">
        <v>6</v>
      </c>
      <c r="B27" s="365" t="s">
        <v>196</v>
      </c>
    </row>
    <row r="28" spans="1:12" ht="60.75" customHeight="1" x14ac:dyDescent="0.25">
      <c r="A28" s="96" t="s">
        <v>16</v>
      </c>
      <c r="B28" s="97" t="s">
        <v>160</v>
      </c>
    </row>
    <row r="29" spans="1:12" ht="105" customHeight="1" x14ac:dyDescent="0.25">
      <c r="A29" s="96" t="s">
        <v>25</v>
      </c>
      <c r="B29" s="97" t="s">
        <v>197</v>
      </c>
    </row>
    <row r="30" spans="1:12" ht="90" customHeight="1" thickBot="1" x14ac:dyDescent="0.3">
      <c r="A30" s="87" t="s">
        <v>182</v>
      </c>
      <c r="B30" s="88" t="s">
        <v>198</v>
      </c>
    </row>
    <row r="31" spans="1:12" ht="30" x14ac:dyDescent="0.25">
      <c r="A31" s="96" t="s">
        <v>17</v>
      </c>
      <c r="B31" s="97" t="s">
        <v>199</v>
      </c>
    </row>
    <row r="32" spans="1:12" ht="15.75" thickBot="1" x14ac:dyDescent="0.3">
      <c r="A32" s="87" t="s">
        <v>27</v>
      </c>
      <c r="B32" s="88" t="s">
        <v>26</v>
      </c>
    </row>
    <row r="33" spans="1:2" x14ac:dyDescent="0.25">
      <c r="A33" s="320" t="s">
        <v>18</v>
      </c>
      <c r="B33" s="321" t="s">
        <v>274</v>
      </c>
    </row>
    <row r="34" spans="1:2" ht="30" x14ac:dyDescent="0.25">
      <c r="A34" s="319" t="s">
        <v>183</v>
      </c>
      <c r="B34" s="318" t="s">
        <v>200</v>
      </c>
    </row>
    <row r="35" spans="1:2" x14ac:dyDescent="0.25">
      <c r="A35" s="319" t="s">
        <v>184</v>
      </c>
      <c r="B35" s="318" t="s">
        <v>275</v>
      </c>
    </row>
    <row r="36" spans="1:2" ht="15.75" thickBot="1" x14ac:dyDescent="0.3">
      <c r="A36" s="316" t="s">
        <v>185</v>
      </c>
      <c r="B36" s="317" t="s">
        <v>277</v>
      </c>
    </row>
    <row r="37" spans="1:2" x14ac:dyDescent="0.25">
      <c r="A37" s="319" t="s">
        <v>28</v>
      </c>
      <c r="B37" s="318" t="s">
        <v>278</v>
      </c>
    </row>
    <row r="38" spans="1:2" x14ac:dyDescent="0.25">
      <c r="A38" s="319" t="s">
        <v>279</v>
      </c>
      <c r="B38" s="318" t="s">
        <v>280</v>
      </c>
    </row>
    <row r="39" spans="1:2" ht="18" customHeight="1" thickBot="1" x14ac:dyDescent="0.3">
      <c r="A39" s="316" t="s">
        <v>282</v>
      </c>
      <c r="B39" s="317" t="s">
        <v>281</v>
      </c>
    </row>
    <row r="40" spans="1:2" ht="30.75" thickBot="1" x14ac:dyDescent="0.3">
      <c r="A40" s="314" t="s">
        <v>186</v>
      </c>
      <c r="B40" s="315" t="s">
        <v>283</v>
      </c>
    </row>
    <row r="41" spans="1:2" ht="15.75" thickBot="1" x14ac:dyDescent="0.3">
      <c r="A41" s="87" t="s">
        <v>276</v>
      </c>
      <c r="B41" s="88" t="s">
        <v>201</v>
      </c>
    </row>
    <row r="42" spans="1:2" ht="15.75" thickBot="1" x14ac:dyDescent="0.3">
      <c r="A42" s="651" t="s">
        <v>29</v>
      </c>
      <c r="B42" s="652"/>
    </row>
    <row r="43" spans="1:2" ht="15.75" thickBot="1" x14ac:dyDescent="0.3">
      <c r="A43" s="86" t="s">
        <v>2</v>
      </c>
      <c r="B43" s="89" t="s">
        <v>203</v>
      </c>
    </row>
    <row r="44" spans="1:2" ht="30.75" thickBot="1" x14ac:dyDescent="0.3">
      <c r="A44" s="86" t="s">
        <v>4</v>
      </c>
      <c r="B44" s="92" t="s">
        <v>204</v>
      </c>
    </row>
    <row r="45" spans="1:2" ht="15.75" thickBot="1" x14ac:dyDescent="0.3">
      <c r="A45" s="663" t="s">
        <v>30</v>
      </c>
      <c r="B45" s="664"/>
    </row>
    <row r="46" spans="1:2" ht="30.75" thickBot="1" x14ac:dyDescent="0.3">
      <c r="A46" s="86" t="s">
        <v>2</v>
      </c>
      <c r="B46" s="92" t="s">
        <v>180</v>
      </c>
    </row>
    <row r="47" spans="1:2" ht="15.75" thickBot="1" x14ac:dyDescent="0.3">
      <c r="A47" s="87" t="s">
        <v>4</v>
      </c>
      <c r="B47" s="88" t="s">
        <v>31</v>
      </c>
    </row>
    <row r="48" spans="1:2" ht="15.75" thickBot="1" x14ac:dyDescent="0.3">
      <c r="A48" s="659" t="s">
        <v>32</v>
      </c>
      <c r="B48" s="660"/>
    </row>
    <row r="49" spans="1:2" ht="45.75" thickBot="1" x14ac:dyDescent="0.3">
      <c r="A49" s="86" t="s">
        <v>2</v>
      </c>
      <c r="B49" s="89" t="s">
        <v>33</v>
      </c>
    </row>
    <row r="50" spans="1:2" ht="15.75" thickBot="1" x14ac:dyDescent="0.3">
      <c r="A50" s="87" t="s">
        <v>4</v>
      </c>
      <c r="B50" s="88" t="s">
        <v>31</v>
      </c>
    </row>
    <row r="51" spans="1:2" ht="15.75" thickBot="1" x14ac:dyDescent="0.3">
      <c r="A51" s="651" t="s">
        <v>34</v>
      </c>
      <c r="B51" s="652"/>
    </row>
    <row r="52" spans="1:2" ht="60.75" thickBot="1" x14ac:dyDescent="0.3">
      <c r="A52" s="86" t="s">
        <v>2</v>
      </c>
      <c r="B52" s="89" t="s">
        <v>202</v>
      </c>
    </row>
    <row r="53" spans="1:2" ht="15.75" thickBot="1" x14ac:dyDescent="0.3">
      <c r="A53" s="87" t="s">
        <v>4</v>
      </c>
      <c r="B53" s="88" t="s">
        <v>31</v>
      </c>
    </row>
    <row r="54" spans="1:2" ht="15.75" thickBot="1" x14ac:dyDescent="0.3">
      <c r="A54" s="651" t="s">
        <v>284</v>
      </c>
      <c r="B54" s="652"/>
    </row>
    <row r="55" spans="1:2" ht="15.75" thickBot="1" x14ac:dyDescent="0.3">
      <c r="A55" s="86" t="s">
        <v>2</v>
      </c>
      <c r="B55" s="92" t="s">
        <v>285</v>
      </c>
    </row>
    <row r="56" spans="1:2" ht="15.75" thickBot="1" x14ac:dyDescent="0.3">
      <c r="A56" s="87" t="s">
        <v>4</v>
      </c>
      <c r="B56" s="88" t="s">
        <v>31</v>
      </c>
    </row>
    <row r="57" spans="1:2" ht="15.75" thickBot="1" x14ac:dyDescent="0.3">
      <c r="A57" s="651" t="s">
        <v>286</v>
      </c>
      <c r="B57" s="652"/>
    </row>
    <row r="58" spans="1:2" ht="15.75" thickBot="1" x14ac:dyDescent="0.3">
      <c r="A58" s="86" t="s">
        <v>2</v>
      </c>
      <c r="B58" s="92" t="s">
        <v>287</v>
      </c>
    </row>
    <row r="59" spans="1:2" ht="15.75" thickBot="1" x14ac:dyDescent="0.3">
      <c r="A59" s="87" t="s">
        <v>4</v>
      </c>
      <c r="B59" s="88" t="s">
        <v>31</v>
      </c>
    </row>
  </sheetData>
  <mergeCells count="12">
    <mergeCell ref="A57:B57"/>
    <mergeCell ref="A20:B20"/>
    <mergeCell ref="A13:B13"/>
    <mergeCell ref="A1:B1"/>
    <mergeCell ref="A3:B3"/>
    <mergeCell ref="A10:B10"/>
    <mergeCell ref="A16:B16"/>
    <mergeCell ref="A54:B54"/>
    <mergeCell ref="A42:B42"/>
    <mergeCell ref="A45:B45"/>
    <mergeCell ref="A48:B48"/>
    <mergeCell ref="A51:B51"/>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F20"/>
  <sheetViews>
    <sheetView zoomScale="110" zoomScaleNormal="110" workbookViewId="0">
      <selection activeCell="E26" sqref="E26"/>
    </sheetView>
  </sheetViews>
  <sheetFormatPr defaultColWidth="9.140625" defaultRowHeight="15" x14ac:dyDescent="0.25"/>
  <cols>
    <col min="1" max="1" width="5.7109375" style="9" customWidth="1"/>
    <col min="2" max="2" width="36.42578125" style="9" bestFit="1" customWidth="1"/>
    <col min="3" max="3" width="55.7109375" style="9" customWidth="1"/>
    <col min="4" max="4" width="16.7109375" style="9" customWidth="1"/>
    <col min="5" max="5" width="40.7109375" style="9" customWidth="1"/>
    <col min="6" max="6" width="25.7109375" style="9" customWidth="1"/>
    <col min="7" max="16384" width="9.140625" style="9"/>
  </cols>
  <sheetData>
    <row r="1" spans="1:6" x14ac:dyDescent="0.25">
      <c r="A1" s="279" t="s">
        <v>36</v>
      </c>
      <c r="B1" s="279" t="s">
        <v>37</v>
      </c>
      <c r="C1" s="279" t="s">
        <v>38</v>
      </c>
      <c r="D1" s="279" t="s">
        <v>39</v>
      </c>
      <c r="E1" s="280" t="s">
        <v>40</v>
      </c>
      <c r="F1" s="280" t="s">
        <v>41</v>
      </c>
    </row>
    <row r="2" spans="1:6" x14ac:dyDescent="0.25">
      <c r="A2" s="637">
        <v>1</v>
      </c>
      <c r="B2" s="125" t="s">
        <v>54</v>
      </c>
      <c r="C2" s="10"/>
      <c r="D2" s="125" t="s">
        <v>55</v>
      </c>
      <c r="E2" s="10"/>
      <c r="F2" s="10"/>
    </row>
    <row r="3" spans="1:6" x14ac:dyDescent="0.25">
      <c r="A3" s="637">
        <v>2</v>
      </c>
      <c r="B3" s="125" t="s">
        <v>57</v>
      </c>
      <c r="C3" s="10"/>
      <c r="D3" s="125" t="s">
        <v>55</v>
      </c>
      <c r="E3" s="10"/>
      <c r="F3" s="10"/>
    </row>
    <row r="4" spans="1:6" x14ac:dyDescent="0.25">
      <c r="A4" s="637">
        <f>A3+1</f>
        <v>3</v>
      </c>
      <c r="B4" s="125" t="s">
        <v>290</v>
      </c>
      <c r="C4" s="10"/>
      <c r="D4" s="125" t="s">
        <v>55</v>
      </c>
      <c r="E4" s="10"/>
      <c r="F4" s="10"/>
    </row>
    <row r="5" spans="1:6" x14ac:dyDescent="0.25">
      <c r="A5" s="637">
        <f t="shared" ref="A5:A20" si="0">A4+1</f>
        <v>4</v>
      </c>
      <c r="B5" s="125" t="s">
        <v>59</v>
      </c>
      <c r="C5" s="10"/>
      <c r="D5" s="125" t="s">
        <v>55</v>
      </c>
      <c r="E5" s="10"/>
      <c r="F5" s="10"/>
    </row>
    <row r="6" spans="1:6" x14ac:dyDescent="0.25">
      <c r="A6" s="637">
        <f t="shared" si="0"/>
        <v>5</v>
      </c>
      <c r="B6" s="125" t="s">
        <v>71</v>
      </c>
      <c r="C6" s="10"/>
      <c r="D6" s="125" t="s">
        <v>55</v>
      </c>
      <c r="E6" s="10"/>
      <c r="F6" s="10"/>
    </row>
    <row r="7" spans="1:6" x14ac:dyDescent="0.25">
      <c r="A7" s="637">
        <f t="shared" si="0"/>
        <v>6</v>
      </c>
      <c r="B7" s="125" t="s">
        <v>206</v>
      </c>
      <c r="C7" s="10"/>
      <c r="D7" s="125" t="s">
        <v>55</v>
      </c>
      <c r="E7" s="10"/>
      <c r="F7" s="10"/>
    </row>
    <row r="8" spans="1:6" x14ac:dyDescent="0.25">
      <c r="A8" s="637">
        <f t="shared" si="0"/>
        <v>7</v>
      </c>
      <c r="B8" s="125" t="s">
        <v>74</v>
      </c>
      <c r="C8" s="10"/>
      <c r="D8" s="125" t="s">
        <v>55</v>
      </c>
      <c r="E8" s="10"/>
      <c r="F8" s="10"/>
    </row>
    <row r="9" spans="1:6" x14ac:dyDescent="0.25">
      <c r="A9" s="637">
        <f t="shared" si="0"/>
        <v>8</v>
      </c>
      <c r="B9" s="125" t="s">
        <v>65</v>
      </c>
      <c r="C9" s="10"/>
      <c r="D9" s="125" t="s">
        <v>55</v>
      </c>
      <c r="E9" s="10"/>
      <c r="F9" s="10"/>
    </row>
    <row r="10" spans="1:6" x14ac:dyDescent="0.25">
      <c r="A10" s="637">
        <f t="shared" si="0"/>
        <v>9</v>
      </c>
      <c r="B10" s="125" t="s">
        <v>68</v>
      </c>
      <c r="C10" s="10"/>
      <c r="D10" s="125" t="s">
        <v>55</v>
      </c>
      <c r="E10" s="10"/>
      <c r="F10" s="10"/>
    </row>
    <row r="11" spans="1:6" x14ac:dyDescent="0.25">
      <c r="A11" s="637">
        <f t="shared" si="0"/>
        <v>10</v>
      </c>
      <c r="B11" s="548" t="s">
        <v>234</v>
      </c>
      <c r="C11" s="10"/>
      <c r="D11" s="125" t="s">
        <v>55</v>
      </c>
      <c r="E11" s="10"/>
      <c r="F11" s="10"/>
    </row>
    <row r="12" spans="1:6" x14ac:dyDescent="0.25">
      <c r="A12" s="637">
        <f t="shared" si="0"/>
        <v>11</v>
      </c>
      <c r="B12" s="549" t="s">
        <v>209</v>
      </c>
      <c r="C12" s="10"/>
      <c r="D12" s="125" t="s">
        <v>77</v>
      </c>
      <c r="E12" s="10"/>
      <c r="F12" s="10"/>
    </row>
    <row r="13" spans="1:6" x14ac:dyDescent="0.25">
      <c r="A13" s="637">
        <f t="shared" si="0"/>
        <v>12</v>
      </c>
      <c r="B13" s="125" t="s">
        <v>290</v>
      </c>
      <c r="C13" s="10"/>
      <c r="D13" s="125" t="s">
        <v>77</v>
      </c>
      <c r="E13" s="10"/>
      <c r="F13" s="10"/>
    </row>
    <row r="14" spans="1:6" x14ac:dyDescent="0.25">
      <c r="A14" s="637">
        <f t="shared" si="0"/>
        <v>13</v>
      </c>
      <c r="B14" s="549" t="s">
        <v>59</v>
      </c>
      <c r="C14" s="10"/>
      <c r="D14" s="125" t="s">
        <v>77</v>
      </c>
      <c r="E14" s="10"/>
      <c r="F14" s="10"/>
    </row>
    <row r="15" spans="1:6" x14ac:dyDescent="0.25">
      <c r="A15" s="637">
        <f t="shared" si="0"/>
        <v>14</v>
      </c>
      <c r="B15" s="549" t="s">
        <v>71</v>
      </c>
      <c r="C15" s="10"/>
      <c r="D15" s="125" t="s">
        <v>77</v>
      </c>
      <c r="E15" s="10"/>
      <c r="F15" s="10"/>
    </row>
    <row r="16" spans="1:6" x14ac:dyDescent="0.25">
      <c r="A16" s="637">
        <f t="shared" si="0"/>
        <v>15</v>
      </c>
      <c r="B16" s="549" t="s">
        <v>206</v>
      </c>
      <c r="C16" s="10"/>
      <c r="D16" s="125" t="s">
        <v>77</v>
      </c>
      <c r="E16" s="10"/>
      <c r="F16" s="10"/>
    </row>
    <row r="17" spans="1:6" x14ac:dyDescent="0.25">
      <c r="A17" s="637">
        <f t="shared" si="0"/>
        <v>16</v>
      </c>
      <c r="B17" s="549" t="s">
        <v>74</v>
      </c>
      <c r="C17" s="10"/>
      <c r="D17" s="125" t="s">
        <v>77</v>
      </c>
      <c r="E17" s="10"/>
      <c r="F17" s="10"/>
    </row>
    <row r="18" spans="1:6" x14ac:dyDescent="0.25">
      <c r="A18" s="637">
        <f t="shared" si="0"/>
        <v>17</v>
      </c>
      <c r="B18" s="549" t="s">
        <v>65</v>
      </c>
      <c r="C18" s="10"/>
      <c r="D18" s="125" t="s">
        <v>77</v>
      </c>
      <c r="E18" s="10"/>
      <c r="F18" s="10"/>
    </row>
    <row r="19" spans="1:6" x14ac:dyDescent="0.25">
      <c r="A19" s="637">
        <f t="shared" si="0"/>
        <v>18</v>
      </c>
      <c r="B19" s="549" t="s">
        <v>210</v>
      </c>
      <c r="C19" s="10"/>
      <c r="D19" s="125" t="s">
        <v>77</v>
      </c>
      <c r="E19" s="10"/>
      <c r="F19" s="10"/>
    </row>
    <row r="20" spans="1:6" x14ac:dyDescent="0.25">
      <c r="A20" s="637">
        <f t="shared" si="0"/>
        <v>19</v>
      </c>
      <c r="B20" s="548" t="s">
        <v>234</v>
      </c>
      <c r="C20" s="10"/>
      <c r="D20" s="125" t="s">
        <v>77</v>
      </c>
      <c r="E20" s="10"/>
      <c r="F20" s="10"/>
    </row>
  </sheetData>
  <phoneticPr fontId="21" type="noConversion"/>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87E05-5F38-4C3B-B1B0-B165E1710E29}">
  <dimension ref="A2:D10"/>
  <sheetViews>
    <sheetView tabSelected="1" workbookViewId="0">
      <selection activeCell="B21" sqref="B21"/>
    </sheetView>
  </sheetViews>
  <sheetFormatPr defaultRowHeight="15" x14ac:dyDescent="0.25"/>
  <cols>
    <col min="1" max="1" width="42.85546875" bestFit="1" customWidth="1"/>
    <col min="2" max="3" width="29.42578125" customWidth="1"/>
  </cols>
  <sheetData>
    <row r="2" spans="1:4" x14ac:dyDescent="0.25">
      <c r="B2" s="387" t="s">
        <v>190</v>
      </c>
      <c r="C2" s="395"/>
      <c r="D2" s="392"/>
    </row>
    <row r="3" spans="1:4" x14ac:dyDescent="0.25">
      <c r="A3" t="s">
        <v>48</v>
      </c>
      <c r="B3" s="376">
        <f>'Total - Detail'!F50</f>
        <v>9834599.0907349102</v>
      </c>
      <c r="C3" s="391"/>
      <c r="D3" s="394"/>
    </row>
    <row r="4" spans="1:4" x14ac:dyDescent="0.25">
      <c r="A4" t="s">
        <v>49</v>
      </c>
      <c r="B4" s="376">
        <f>'Total - Detail'!H50</f>
        <v>9834599.0907349102</v>
      </c>
      <c r="C4" s="391"/>
      <c r="D4" s="394"/>
    </row>
    <row r="5" spans="1:4" x14ac:dyDescent="0.25">
      <c r="A5" t="s">
        <v>50</v>
      </c>
      <c r="B5" s="376">
        <f>'Total - Detail'!J50</f>
        <v>9834599.0907349102</v>
      </c>
      <c r="C5" s="391"/>
      <c r="D5" s="394"/>
    </row>
    <row r="6" spans="1:4" x14ac:dyDescent="0.25">
      <c r="A6" t="s">
        <v>51</v>
      </c>
      <c r="B6" s="376">
        <f>'Total - Detail'!L50</f>
        <v>9834599.0907349102</v>
      </c>
      <c r="C6" s="391"/>
      <c r="D6" s="394"/>
    </row>
    <row r="7" spans="1:4" x14ac:dyDescent="0.25">
      <c r="A7" t="s">
        <v>52</v>
      </c>
      <c r="B7" s="376">
        <f>'Total - Detail'!N50</f>
        <v>9834599.0907349102</v>
      </c>
      <c r="C7" s="391"/>
      <c r="D7" s="394"/>
    </row>
    <row r="8" spans="1:4" x14ac:dyDescent="0.25">
      <c r="C8" s="392"/>
      <c r="D8" s="394"/>
    </row>
    <row r="9" spans="1:4" x14ac:dyDescent="0.25">
      <c r="A9" s="389" t="s">
        <v>189</v>
      </c>
      <c r="B9" s="288">
        <f>SUM(B3:B7)</f>
        <v>49172995.453674555</v>
      </c>
      <c r="C9" s="393"/>
      <c r="D9" s="394"/>
    </row>
    <row r="10" spans="1:4" x14ac:dyDescent="0.25">
      <c r="B10" s="394">
        <f>'Total - Detail'!F52-B9</f>
        <v>0</v>
      </c>
      <c r="C10" s="393"/>
      <c r="D10" s="394"/>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2:W55"/>
  <sheetViews>
    <sheetView showGridLines="0" zoomScaleNormal="100" workbookViewId="0">
      <selection activeCell="H11" sqref="H11"/>
    </sheetView>
  </sheetViews>
  <sheetFormatPr defaultColWidth="9.140625" defaultRowHeight="15" x14ac:dyDescent="0.25"/>
  <cols>
    <col min="1" max="1" width="41.28515625" style="118" bestFit="1" customWidth="1"/>
    <col min="2" max="2" width="6.140625" style="116" bestFit="1" customWidth="1"/>
    <col min="3" max="3" width="37.85546875" style="118" customWidth="1"/>
    <col min="4" max="4" width="23" style="118" customWidth="1"/>
    <col min="5" max="5" width="1.7109375" style="116" customWidth="1"/>
    <col min="6" max="6" width="26.7109375" style="12" customWidth="1"/>
    <col min="7" max="7" width="1.7109375" style="13" customWidth="1"/>
    <col min="8" max="8" width="26.7109375" style="12" customWidth="1"/>
    <col min="9" max="9" width="1.7109375" style="14" customWidth="1"/>
    <col min="10" max="10" width="26.7109375" style="14" customWidth="1"/>
    <col min="11" max="11" width="1.7109375" style="14" customWidth="1"/>
    <col min="12" max="12" width="26.7109375" style="12" customWidth="1"/>
    <col min="13" max="13" width="1.7109375" style="14" customWidth="1"/>
    <col min="14" max="14" width="26.7109375" style="14" customWidth="1"/>
    <col min="15" max="15" width="1.7109375" style="117" customWidth="1"/>
    <col min="16" max="16" width="19.7109375" style="118" customWidth="1"/>
    <col min="17" max="17" width="17" style="118" bestFit="1" customWidth="1"/>
    <col min="18" max="18" width="21.85546875" style="118" bestFit="1" customWidth="1"/>
    <col min="19" max="19" width="16.140625" style="118" bestFit="1" customWidth="1"/>
    <col min="20" max="16384" width="9.140625" style="118"/>
  </cols>
  <sheetData>
    <row r="2" spans="1:15" ht="63" customHeight="1" x14ac:dyDescent="0.35">
      <c r="A2" s="677" t="s">
        <v>44</v>
      </c>
      <c r="B2" s="678"/>
      <c r="C2" s="206"/>
      <c r="E2" s="273"/>
      <c r="F2" s="273"/>
      <c r="I2" s="12"/>
      <c r="J2" s="12"/>
      <c r="K2" s="12"/>
    </row>
    <row r="3" spans="1:15" s="116" customFormat="1" ht="49.5" customHeight="1" thickBot="1" x14ac:dyDescent="0.3">
      <c r="C3" s="120"/>
      <c r="D3" s="120"/>
      <c r="E3" s="16"/>
      <c r="F3" s="676" t="s">
        <v>45</v>
      </c>
      <c r="G3" s="676"/>
      <c r="H3" s="676"/>
      <c r="I3" s="676"/>
      <c r="J3" s="676"/>
      <c r="K3" s="676"/>
      <c r="L3" s="676"/>
      <c r="M3" s="676"/>
      <c r="N3" s="676"/>
      <c r="O3" s="119"/>
    </row>
    <row r="4" spans="1:15" s="123" customFormat="1" ht="47.25" customHeight="1" thickBot="1" x14ac:dyDescent="0.3">
      <c r="A4" s="126" t="s">
        <v>35</v>
      </c>
      <c r="B4" s="126" t="s">
        <v>36</v>
      </c>
      <c r="C4" s="126" t="s">
        <v>46</v>
      </c>
      <c r="D4" s="404" t="s">
        <v>47</v>
      </c>
      <c r="E4" s="121"/>
      <c r="F4" s="18" t="s">
        <v>48</v>
      </c>
      <c r="G4" s="19"/>
      <c r="H4" s="18" t="s">
        <v>49</v>
      </c>
      <c r="I4" s="19"/>
      <c r="J4" s="502" t="s">
        <v>50</v>
      </c>
      <c r="K4" s="19"/>
      <c r="L4" s="502" t="s">
        <v>51</v>
      </c>
      <c r="M4" s="19"/>
      <c r="N4" s="18" t="s">
        <v>52</v>
      </c>
      <c r="O4" s="122"/>
    </row>
    <row r="5" spans="1:15" ht="18" thickBot="1" x14ac:dyDescent="0.35">
      <c r="A5" s="350" t="s">
        <v>55</v>
      </c>
      <c r="B5" s="339"/>
      <c r="C5" s="340"/>
      <c r="D5" s="341"/>
      <c r="F5" s="342"/>
      <c r="G5" s="14"/>
      <c r="H5" s="342"/>
      <c r="J5" s="342"/>
      <c r="L5" s="342"/>
      <c r="N5" s="342"/>
    </row>
    <row r="6" spans="1:15" ht="15.75" thickBot="1" x14ac:dyDescent="0.3">
      <c r="A6" s="222" t="s">
        <v>42</v>
      </c>
      <c r="B6" s="638">
        <v>1</v>
      </c>
      <c r="C6" s="401" t="s">
        <v>54</v>
      </c>
      <c r="D6" s="262" t="s">
        <v>55</v>
      </c>
      <c r="F6" s="351">
        <f>'Ordering Period 1'!Y5+'Ordering Period 1'!AL5</f>
        <v>0</v>
      </c>
      <c r="G6" s="14"/>
      <c r="H6" s="351">
        <f>'Ordering Period 2'!W5+'Ordering Period 2'!AJ5</f>
        <v>0</v>
      </c>
      <c r="J6" s="351">
        <f>'Ordering Period 3'!W5+'Ordering Period 3'!AJ5</f>
        <v>0</v>
      </c>
      <c r="L6" s="351">
        <f>'Ordering Period 4'!W5+'Ordering Period 4'!AJ5</f>
        <v>0</v>
      </c>
      <c r="N6" s="351">
        <f>'Ordering Period 5'!W5+'Ordering Period 5'!AJ5</f>
        <v>0</v>
      </c>
    </row>
    <row r="7" spans="1:15" ht="15.75" thickBot="1" x14ac:dyDescent="0.3">
      <c r="A7" s="694" t="s">
        <v>43</v>
      </c>
      <c r="B7" s="638">
        <v>2</v>
      </c>
      <c r="C7" s="263" t="s">
        <v>57</v>
      </c>
      <c r="D7" s="262" t="s">
        <v>55</v>
      </c>
      <c r="F7" s="351">
        <f>'Ordering Period 1'!Y6+'Ordering Period 1'!AL6</f>
        <v>0</v>
      </c>
      <c r="G7" s="14"/>
      <c r="H7" s="351">
        <f>'Ordering Period 2'!W6+'Ordering Period 2'!AJ6</f>
        <v>0</v>
      </c>
      <c r="J7" s="351">
        <f>'Ordering Period 3'!W6+'Ordering Period 3'!AJ6</f>
        <v>0</v>
      </c>
      <c r="L7" s="351">
        <f>'Ordering Period 4'!W6+'Ordering Period 4'!AJ6</f>
        <v>0</v>
      </c>
      <c r="N7" s="351">
        <f>'Ordering Period 5'!W6+'Ordering Period 5'!AJ6</f>
        <v>0</v>
      </c>
    </row>
    <row r="8" spans="1:15" ht="15.75" thickBot="1" x14ac:dyDescent="0.3">
      <c r="A8" s="695"/>
      <c r="B8" s="638">
        <v>3</v>
      </c>
      <c r="C8" s="263" t="s">
        <v>290</v>
      </c>
      <c r="D8" s="262" t="s">
        <v>55</v>
      </c>
      <c r="F8" s="634"/>
      <c r="G8" s="14"/>
      <c r="H8" s="634"/>
      <c r="J8" s="634"/>
      <c r="L8" s="634"/>
      <c r="N8" s="634"/>
    </row>
    <row r="9" spans="1:15" x14ac:dyDescent="0.25">
      <c r="A9" s="679" t="s">
        <v>205</v>
      </c>
      <c r="B9" s="639">
        <v>4</v>
      </c>
      <c r="C9" s="264" t="s">
        <v>59</v>
      </c>
      <c r="D9" s="169" t="s">
        <v>55</v>
      </c>
      <c r="F9" s="352">
        <f>'Ordering Period 1'!Y8+'Ordering Period 1'!AL8</f>
        <v>0</v>
      </c>
      <c r="G9" s="14"/>
      <c r="H9" s="352">
        <f>'Ordering Period 2'!W8+'Ordering Period 2'!AJ8</f>
        <v>0</v>
      </c>
      <c r="J9" s="352">
        <f>'Ordering Period 3'!W8+'Ordering Period 3'!AJ8</f>
        <v>0</v>
      </c>
      <c r="L9" s="352">
        <f>'Ordering Period 4'!W8+'Ordering Period 4'!AJ8</f>
        <v>0</v>
      </c>
      <c r="N9" s="352">
        <f>'Ordering Period 5'!W8+'Ordering Period 5'!AJ8</f>
        <v>0</v>
      </c>
    </row>
    <row r="10" spans="1:15" x14ac:dyDescent="0.25">
      <c r="A10" s="680"/>
      <c r="B10" s="640">
        <v>5</v>
      </c>
      <c r="C10" s="261" t="s">
        <v>71</v>
      </c>
      <c r="D10" s="170" t="s">
        <v>55</v>
      </c>
      <c r="F10" s="353">
        <f>'Ordering Period 1'!Y9+'Ordering Period 1'!AL9</f>
        <v>0</v>
      </c>
      <c r="G10" s="14"/>
      <c r="H10" s="353">
        <f>'Ordering Period 2'!W9+'Ordering Period 2'!AJ9</f>
        <v>0</v>
      </c>
      <c r="J10" s="353">
        <f>'Ordering Period 3'!W9+'Ordering Period 3'!AJ9</f>
        <v>0</v>
      </c>
      <c r="L10" s="353">
        <f>'Ordering Period 4'!W9+'Ordering Period 4'!AJ9</f>
        <v>0</v>
      </c>
      <c r="N10" s="353">
        <f>'Ordering Period 5'!W9+'Ordering Period 5'!AJ9</f>
        <v>0</v>
      </c>
    </row>
    <row r="11" spans="1:15" x14ac:dyDescent="0.25">
      <c r="A11" s="680"/>
      <c r="B11" s="640">
        <v>6</v>
      </c>
      <c r="C11" s="208" t="s">
        <v>206</v>
      </c>
      <c r="D11" s="170" t="s">
        <v>55</v>
      </c>
      <c r="F11" s="353">
        <f>'Ordering Period 1'!Y10+'Ordering Period 1'!AL10</f>
        <v>0</v>
      </c>
      <c r="G11" s="14"/>
      <c r="H11" s="353">
        <f>'Ordering Period 2'!W10+'Ordering Period 2'!AJ10</f>
        <v>0</v>
      </c>
      <c r="J11" s="353">
        <f>'Ordering Period 3'!W10+'Ordering Period 3'!AJ10</f>
        <v>0</v>
      </c>
      <c r="L11" s="353">
        <f>'Ordering Period 4'!W10+'Ordering Period 4'!AJ10</f>
        <v>0</v>
      </c>
      <c r="N11" s="353">
        <f>'Ordering Period 5'!W10+'Ordering Period 5'!AJ10</f>
        <v>0</v>
      </c>
    </row>
    <row r="12" spans="1:15" x14ac:dyDescent="0.25">
      <c r="A12" s="680"/>
      <c r="B12" s="640">
        <v>7</v>
      </c>
      <c r="C12" s="208" t="s">
        <v>74</v>
      </c>
      <c r="D12" s="170" t="s">
        <v>55</v>
      </c>
      <c r="F12" s="353">
        <f>'Ordering Period 1'!Y11+'Ordering Period 1'!AL11</f>
        <v>0</v>
      </c>
      <c r="G12" s="14"/>
      <c r="H12" s="353">
        <f>'Ordering Period 2'!W11+'Ordering Period 2'!AJ11</f>
        <v>0</v>
      </c>
      <c r="J12" s="353">
        <f>'Ordering Period 3'!W11+'Ordering Period 3'!AJ11</f>
        <v>0</v>
      </c>
      <c r="L12" s="353">
        <f>'Ordering Period 4'!W11+'Ordering Period 4'!AJ11</f>
        <v>0</v>
      </c>
      <c r="N12" s="353">
        <f>'Ordering Period 5'!W11+'Ordering Period 5'!AJ11</f>
        <v>0</v>
      </c>
    </row>
    <row r="13" spans="1:15" ht="15.75" thickBot="1" x14ac:dyDescent="0.3">
      <c r="A13" s="681"/>
      <c r="B13" s="641">
        <v>8</v>
      </c>
      <c r="C13" s="265" t="s">
        <v>65</v>
      </c>
      <c r="D13" s="266" t="s">
        <v>55</v>
      </c>
      <c r="F13" s="354">
        <f>'Ordering Period 1'!Y12+'Ordering Period 1'!AL12</f>
        <v>0</v>
      </c>
      <c r="G13" s="14"/>
      <c r="H13" s="354">
        <f>'Ordering Period 2'!W12+'Ordering Period 2'!AJ12</f>
        <v>0</v>
      </c>
      <c r="J13" s="354">
        <f>'Ordering Period 3'!W12+'Ordering Period 3'!AJ12</f>
        <v>0</v>
      </c>
      <c r="L13" s="354">
        <f>'Ordering Period 4'!W12+'Ordering Period 4'!AJ12</f>
        <v>0</v>
      </c>
      <c r="N13" s="354">
        <f>'Ordering Period 5'!W12+'Ordering Period 5'!AJ12</f>
        <v>0</v>
      </c>
    </row>
    <row r="14" spans="1:15" ht="30.75" thickBot="1" x14ac:dyDescent="0.3">
      <c r="A14" s="503" t="s">
        <v>231</v>
      </c>
      <c r="B14" s="642">
        <v>9</v>
      </c>
      <c r="C14" s="443" t="s">
        <v>68</v>
      </c>
      <c r="D14" s="398" t="s">
        <v>55</v>
      </c>
      <c r="F14" s="354">
        <f>'Ordering Period 1'!Y13+'Ordering Period 1'!AL13</f>
        <v>0</v>
      </c>
      <c r="G14" s="14"/>
      <c r="H14" s="354">
        <f>'Ordering Period 2'!W13+'Ordering Period 2'!AJ13</f>
        <v>0</v>
      </c>
      <c r="J14" s="354">
        <f>'Ordering Period 3'!W13+'Ordering Period 3'!AJ13</f>
        <v>0</v>
      </c>
      <c r="L14" s="354">
        <f>'Ordering Period 4'!W13+'Ordering Period 4'!AJ13</f>
        <v>0</v>
      </c>
      <c r="N14" s="354">
        <f>'Ordering Period 5'!W13+'Ordering Period 5'!AJ13</f>
        <v>0</v>
      </c>
    </row>
    <row r="15" spans="1:15" x14ac:dyDescent="0.25">
      <c r="A15" s="679" t="s">
        <v>207</v>
      </c>
      <c r="B15" s="639">
        <v>4</v>
      </c>
      <c r="C15" s="101" t="s">
        <v>59</v>
      </c>
      <c r="D15" s="169" t="s">
        <v>55</v>
      </c>
      <c r="F15" s="352">
        <f>'Ordering Period 1'!Y14+'Ordering Period 1'!AL14</f>
        <v>0</v>
      </c>
      <c r="G15" s="14"/>
      <c r="H15" s="352">
        <f>'Ordering Period 2'!W14+'Ordering Period 2'!AJ14</f>
        <v>0</v>
      </c>
      <c r="J15" s="352">
        <f>'Ordering Period 3'!W14+'Ordering Period 3'!AJ14</f>
        <v>0</v>
      </c>
      <c r="L15" s="352">
        <f>'Ordering Period 4'!W14+'Ordering Period 4'!AJ14</f>
        <v>0</v>
      </c>
      <c r="N15" s="352">
        <f>'Ordering Period 5'!W14+'Ordering Period 5'!AJ14</f>
        <v>0</v>
      </c>
    </row>
    <row r="16" spans="1:15" ht="15" customHeight="1" x14ac:dyDescent="0.25">
      <c r="A16" s="680"/>
      <c r="B16" s="640">
        <v>5</v>
      </c>
      <c r="C16" s="399" t="s">
        <v>71</v>
      </c>
      <c r="D16" s="170" t="s">
        <v>55</v>
      </c>
      <c r="F16" s="353">
        <f>'Ordering Period 1'!Y15+'Ordering Period 1'!AL15</f>
        <v>0</v>
      </c>
      <c r="G16" s="14"/>
      <c r="H16" s="353">
        <f>'Ordering Period 2'!W15+'Ordering Period 2'!AJ15</f>
        <v>0</v>
      </c>
      <c r="J16" s="353">
        <f>'Ordering Period 3'!W15+'Ordering Period 3'!AJ15</f>
        <v>0</v>
      </c>
      <c r="L16" s="353">
        <f>'Ordering Period 4'!W15+'Ordering Period 4'!AJ15</f>
        <v>0</v>
      </c>
      <c r="N16" s="353">
        <f>'Ordering Period 5'!W15+'Ordering Period 5'!AJ15</f>
        <v>0</v>
      </c>
    </row>
    <row r="17" spans="1:14" x14ac:dyDescent="0.25">
      <c r="A17" s="680"/>
      <c r="B17" s="640">
        <v>6</v>
      </c>
      <c r="C17" s="400" t="s">
        <v>206</v>
      </c>
      <c r="D17" s="170" t="s">
        <v>55</v>
      </c>
      <c r="F17" s="353">
        <f>'Ordering Period 1'!Y16+'Ordering Period 1'!AL16</f>
        <v>0</v>
      </c>
      <c r="G17" s="14"/>
      <c r="H17" s="353">
        <f>'Ordering Period 2'!W16+'Ordering Period 2'!AJ16</f>
        <v>0</v>
      </c>
      <c r="J17" s="353">
        <f>'Ordering Period 3'!W16+'Ordering Period 3'!AJ16</f>
        <v>0</v>
      </c>
      <c r="L17" s="353">
        <f>'Ordering Period 4'!W16+'Ordering Period 4'!AJ16</f>
        <v>0</v>
      </c>
      <c r="N17" s="353">
        <f>'Ordering Period 5'!W16+'Ordering Period 5'!AJ16</f>
        <v>0</v>
      </c>
    </row>
    <row r="18" spans="1:14" ht="15.75" thickBot="1" x14ac:dyDescent="0.3">
      <c r="A18" s="680"/>
      <c r="B18" s="642">
        <v>2</v>
      </c>
      <c r="C18" s="423" t="s">
        <v>57</v>
      </c>
      <c r="D18" s="398" t="s">
        <v>55</v>
      </c>
      <c r="F18" s="354">
        <f>'Ordering Period 1'!Y17+'Ordering Period 1'!AL17</f>
        <v>0</v>
      </c>
      <c r="G18" s="14"/>
      <c r="H18" s="354">
        <f>'Ordering Period 2'!W17+'Ordering Period 2'!AJ17</f>
        <v>0</v>
      </c>
      <c r="J18" s="354">
        <f>'Ordering Period 3'!W17+'Ordering Period 3'!AJ17</f>
        <v>0</v>
      </c>
      <c r="L18" s="354">
        <f>'Ordering Period 4'!W17+'Ordering Period 4'!AJ17</f>
        <v>0</v>
      </c>
      <c r="N18" s="354">
        <f>'Ordering Period 5'!W17+'Ordering Period 5'!AJ17</f>
        <v>0</v>
      </c>
    </row>
    <row r="19" spans="1:14" x14ac:dyDescent="0.25">
      <c r="A19" s="682" t="s">
        <v>208</v>
      </c>
      <c r="B19" s="639">
        <v>2</v>
      </c>
      <c r="C19" s="377" t="s">
        <v>57</v>
      </c>
      <c r="D19" s="169" t="s">
        <v>55</v>
      </c>
      <c r="F19" s="352">
        <f>'Ordering Period 1'!Y18+'Ordering Period 1'!AL18</f>
        <v>0</v>
      </c>
      <c r="G19" s="14"/>
      <c r="H19" s="352">
        <f>'Ordering Period 2'!W18+'Ordering Period 2'!AJ18</f>
        <v>0</v>
      </c>
      <c r="J19" s="352">
        <f>'Ordering Period 3'!W18+'Ordering Period 3'!AJ18</f>
        <v>0</v>
      </c>
      <c r="L19" s="352">
        <f>'Ordering Period 4'!W18+'Ordering Period 4'!AJ18</f>
        <v>0</v>
      </c>
      <c r="N19" s="352">
        <f>'Ordering Period 5'!W18+'Ordering Period 5'!AJ18</f>
        <v>0</v>
      </c>
    </row>
    <row r="20" spans="1:14" x14ac:dyDescent="0.25">
      <c r="A20" s="683"/>
      <c r="B20" s="640">
        <v>10</v>
      </c>
      <c r="C20" s="399" t="s">
        <v>234</v>
      </c>
      <c r="D20" s="170" t="s">
        <v>55</v>
      </c>
      <c r="F20" s="403">
        <f>'Ordering Period 1'!Y19+'Ordering Period 1'!AL19</f>
        <v>0</v>
      </c>
      <c r="G20" s="14"/>
      <c r="H20" s="403">
        <f>'Ordering Period 2'!W19+'Ordering Period 2'!AJ19</f>
        <v>0</v>
      </c>
      <c r="J20" s="403">
        <f>'Ordering Period 3'!W19+'Ordering Period 3'!AJ19</f>
        <v>0</v>
      </c>
      <c r="L20" s="403">
        <f>'Ordering Period 4'!W19+'Ordering Period 4'!AJ19</f>
        <v>0</v>
      </c>
      <c r="N20" s="403">
        <f>'Ordering Period 5'!W19+'Ordering Period 5'!AJ19</f>
        <v>0</v>
      </c>
    </row>
    <row r="21" spans="1:14" x14ac:dyDescent="0.25">
      <c r="A21" s="683"/>
      <c r="B21" s="640">
        <v>6</v>
      </c>
      <c r="C21" s="399" t="s">
        <v>206</v>
      </c>
      <c r="D21" s="170" t="s">
        <v>55</v>
      </c>
      <c r="F21" s="403">
        <f>'Ordering Period 1'!Y20+'Ordering Period 1'!AL20</f>
        <v>0</v>
      </c>
      <c r="G21" s="14"/>
      <c r="H21" s="403">
        <f>'Ordering Period 2'!W20+'Ordering Period 2'!AJ20</f>
        <v>0</v>
      </c>
      <c r="J21" s="403">
        <f>'Ordering Period 3'!W20+'Ordering Period 3'!AJ20</f>
        <v>0</v>
      </c>
      <c r="L21" s="403">
        <f>'Ordering Period 4'!W20+'Ordering Period 4'!AJ20</f>
        <v>0</v>
      </c>
      <c r="N21" s="403">
        <f>'Ordering Period 5'!W20+'Ordering Period 5'!AJ20</f>
        <v>0</v>
      </c>
    </row>
    <row r="22" spans="1:14" ht="15.75" thickBot="1" x14ac:dyDescent="0.3">
      <c r="A22" s="684"/>
      <c r="B22" s="641">
        <v>8</v>
      </c>
      <c r="C22" s="402" t="s">
        <v>65</v>
      </c>
      <c r="D22" s="266" t="s">
        <v>55</v>
      </c>
      <c r="F22" s="397">
        <f>'Ordering Period 1'!Y21+'Ordering Period 1'!AL21</f>
        <v>0</v>
      </c>
      <c r="G22" s="14"/>
      <c r="H22" s="397">
        <f>'Ordering Period 2'!W21+'Ordering Period 2'!AJ21</f>
        <v>0</v>
      </c>
      <c r="J22" s="397">
        <f>'Ordering Period 3'!W21+'Ordering Period 3'!AJ21</f>
        <v>0</v>
      </c>
      <c r="L22" s="397">
        <f>'Ordering Period 4'!W21+'Ordering Period 4'!AJ21</f>
        <v>0</v>
      </c>
      <c r="N22" s="397">
        <f>'Ordering Period 5'!W21+'Ordering Period 5'!AJ21</f>
        <v>0</v>
      </c>
    </row>
    <row r="23" spans="1:14" ht="18" thickBot="1" x14ac:dyDescent="0.35">
      <c r="A23" s="420" t="s">
        <v>77</v>
      </c>
      <c r="B23" s="643"/>
      <c r="C23" s="421"/>
      <c r="D23" s="422"/>
      <c r="F23" s="342"/>
      <c r="G23" s="14"/>
      <c r="H23" s="342"/>
      <c r="J23" s="342"/>
      <c r="L23" s="342"/>
      <c r="N23" s="342"/>
    </row>
    <row r="24" spans="1:14" ht="15.75" thickBot="1" x14ac:dyDescent="0.3">
      <c r="A24" s="694" t="s">
        <v>43</v>
      </c>
      <c r="B24" s="644">
        <v>11</v>
      </c>
      <c r="C24" s="210" t="s">
        <v>209</v>
      </c>
      <c r="D24" s="323" t="s">
        <v>77</v>
      </c>
      <c r="F24" s="355">
        <f>'Ordering Period 1'!Y23+'Ordering Period 1'!AL23</f>
        <v>0</v>
      </c>
      <c r="G24" s="14"/>
      <c r="H24" s="355">
        <f>'Ordering Period 2'!W23+'Ordering Period 2'!AJ23</f>
        <v>0</v>
      </c>
      <c r="J24" s="355">
        <f>'Ordering Period 3'!W23+'Ordering Period 3'!AJ23</f>
        <v>0</v>
      </c>
      <c r="L24" s="355">
        <f>'Ordering Period 4'!W23+'Ordering Period 4'!AJ23</f>
        <v>0</v>
      </c>
      <c r="N24" s="355">
        <f>'Ordering Period 5'!W23+'Ordering Period 5'!AJ23</f>
        <v>0</v>
      </c>
    </row>
    <row r="25" spans="1:14" ht="15.75" thickBot="1" x14ac:dyDescent="0.3">
      <c r="A25" s="695"/>
      <c r="B25" s="638">
        <v>12</v>
      </c>
      <c r="C25" s="263" t="s">
        <v>290</v>
      </c>
      <c r="D25" s="635" t="s">
        <v>77</v>
      </c>
      <c r="F25" s="636"/>
      <c r="G25" s="14"/>
      <c r="H25" s="636"/>
      <c r="J25" s="636"/>
      <c r="L25" s="636"/>
      <c r="N25" s="636"/>
    </row>
    <row r="26" spans="1:14" x14ac:dyDescent="0.25">
      <c r="A26" s="685" t="s">
        <v>205</v>
      </c>
      <c r="B26" s="645">
        <v>13</v>
      </c>
      <c r="C26" s="101" t="s">
        <v>59</v>
      </c>
      <c r="D26" s="324" t="s">
        <v>77</v>
      </c>
      <c r="F26" s="356">
        <f>'Ordering Period 1'!Y25+'Ordering Period 1'!AL25</f>
        <v>0</v>
      </c>
      <c r="G26" s="14"/>
      <c r="H26" s="356">
        <f>'Ordering Period 2'!W25+'Ordering Period 2'!AJ25</f>
        <v>0</v>
      </c>
      <c r="J26" s="356">
        <f>'Ordering Period 3'!W25+'Ordering Period 3'!AJ25</f>
        <v>0</v>
      </c>
      <c r="L26" s="356">
        <f>'Ordering Period 4'!W25+'Ordering Period 4'!AJ25</f>
        <v>0</v>
      </c>
      <c r="N26" s="356">
        <f>'Ordering Period 5'!W25+'Ordering Period 5'!AJ25</f>
        <v>0</v>
      </c>
    </row>
    <row r="27" spans="1:14" x14ac:dyDescent="0.25">
      <c r="A27" s="686"/>
      <c r="B27" s="646">
        <v>14</v>
      </c>
      <c r="C27" s="100" t="s">
        <v>71</v>
      </c>
      <c r="D27" s="325" t="s">
        <v>77</v>
      </c>
      <c r="F27" s="357">
        <f>'Ordering Period 1'!Y26+'Ordering Period 1'!AL26</f>
        <v>0</v>
      </c>
      <c r="G27" s="14"/>
      <c r="H27" s="357">
        <f>'Ordering Period 2'!W26+'Ordering Period 2'!AJ26</f>
        <v>0</v>
      </c>
      <c r="J27" s="357">
        <f>'Ordering Period 3'!W26+'Ordering Period 3'!AJ26</f>
        <v>0</v>
      </c>
      <c r="L27" s="357">
        <f>'Ordering Period 4'!W26+'Ordering Period 4'!AJ26</f>
        <v>0</v>
      </c>
      <c r="N27" s="357">
        <f>'Ordering Period 5'!W26+'Ordering Period 5'!AJ26</f>
        <v>0</v>
      </c>
    </row>
    <row r="28" spans="1:14" x14ac:dyDescent="0.25">
      <c r="A28" s="686"/>
      <c r="B28" s="646">
        <v>15</v>
      </c>
      <c r="C28" s="100" t="s">
        <v>206</v>
      </c>
      <c r="D28" s="325" t="s">
        <v>77</v>
      </c>
      <c r="F28" s="357">
        <f>'Ordering Period 1'!Y27+'Ordering Period 1'!AL27</f>
        <v>0</v>
      </c>
      <c r="G28" s="14"/>
      <c r="H28" s="357">
        <f>'Ordering Period 2'!W27+'Ordering Period 2'!AJ27</f>
        <v>0</v>
      </c>
      <c r="J28" s="357">
        <f>'Ordering Period 3'!W27+'Ordering Period 3'!AJ27</f>
        <v>0</v>
      </c>
      <c r="L28" s="357">
        <f>'Ordering Period 4'!W27+'Ordering Period 4'!AJ27</f>
        <v>0</v>
      </c>
      <c r="N28" s="357">
        <f>'Ordering Period 5'!W27+'Ordering Period 5'!AJ27</f>
        <v>0</v>
      </c>
    </row>
    <row r="29" spans="1:14" x14ac:dyDescent="0.25">
      <c r="A29" s="686"/>
      <c r="B29" s="646">
        <v>16</v>
      </c>
      <c r="C29" s="399" t="s">
        <v>74</v>
      </c>
      <c r="D29" s="325" t="s">
        <v>77</v>
      </c>
      <c r="F29" s="357">
        <f>'Ordering Period 1'!Y28+'Ordering Period 1'!AL28</f>
        <v>0</v>
      </c>
      <c r="G29" s="14"/>
      <c r="H29" s="357">
        <f>'Ordering Period 2'!W28+'Ordering Period 2'!AJ28</f>
        <v>0</v>
      </c>
      <c r="J29" s="357">
        <f>'Ordering Period 3'!W28+'Ordering Period 3'!AJ28</f>
        <v>0</v>
      </c>
      <c r="L29" s="357">
        <f>'Ordering Period 4'!W28+'Ordering Period 4'!AJ28</f>
        <v>0</v>
      </c>
      <c r="N29" s="357">
        <f>'Ordering Period 5'!W28+'Ordering Period 5'!AJ28</f>
        <v>0</v>
      </c>
    </row>
    <row r="30" spans="1:14" ht="15.75" thickBot="1" x14ac:dyDescent="0.3">
      <c r="A30" s="687"/>
      <c r="B30" s="647">
        <v>17</v>
      </c>
      <c r="C30" s="127" t="s">
        <v>65</v>
      </c>
      <c r="D30" s="326" t="s">
        <v>77</v>
      </c>
      <c r="F30" s="358">
        <f>'Ordering Period 1'!Y29+'Ordering Period 1'!AL29</f>
        <v>0</v>
      </c>
      <c r="G30" s="14"/>
      <c r="H30" s="358">
        <f>'Ordering Period 2'!W29+'Ordering Period 2'!AJ29</f>
        <v>0</v>
      </c>
      <c r="J30" s="358">
        <f>'Ordering Period 3'!W29+'Ordering Period 3'!AJ29</f>
        <v>0</v>
      </c>
      <c r="L30" s="358">
        <f>'Ordering Period 4'!W29+'Ordering Period 4'!AJ29</f>
        <v>0</v>
      </c>
      <c r="N30" s="358">
        <f>'Ordering Period 5'!W29+'Ordering Period 5'!AJ29</f>
        <v>0</v>
      </c>
    </row>
    <row r="31" spans="1:14" ht="30.75" thickBot="1" x14ac:dyDescent="0.3">
      <c r="A31" s="503" t="s">
        <v>231</v>
      </c>
      <c r="B31" s="648">
        <v>18</v>
      </c>
      <c r="C31" s="239" t="s">
        <v>210</v>
      </c>
      <c r="D31" s="327" t="s">
        <v>77</v>
      </c>
      <c r="F31" s="358">
        <f>'Ordering Period 1'!Y30+'Ordering Period 1'!AL30</f>
        <v>0</v>
      </c>
      <c r="G31" s="14"/>
      <c r="H31" s="358">
        <f>'Ordering Period 2'!W30+'Ordering Period 2'!AJ30</f>
        <v>0</v>
      </c>
      <c r="J31" s="358">
        <f>'Ordering Period 3'!W30+'Ordering Period 3'!AJ30</f>
        <v>0</v>
      </c>
      <c r="L31" s="358">
        <f>'Ordering Period 4'!W30+'Ordering Period 4'!AJ30</f>
        <v>0</v>
      </c>
      <c r="N31" s="358">
        <f>'Ordering Period 5'!W30+'Ordering Period 5'!AJ30</f>
        <v>0</v>
      </c>
    </row>
    <row r="32" spans="1:14" ht="15" customHeight="1" x14ac:dyDescent="0.25">
      <c r="A32" s="682" t="s">
        <v>207</v>
      </c>
      <c r="B32" s="645">
        <v>13</v>
      </c>
      <c r="C32" s="101" t="s">
        <v>59</v>
      </c>
      <c r="D32" s="324" t="s">
        <v>77</v>
      </c>
      <c r="F32" s="356">
        <f>'Ordering Period 1'!Y31+'Ordering Period 1'!AL31</f>
        <v>0</v>
      </c>
      <c r="G32" s="14"/>
      <c r="H32" s="356">
        <f>'Ordering Period 2'!W31+'Ordering Period 2'!AJ31</f>
        <v>0</v>
      </c>
      <c r="J32" s="356">
        <f>'Ordering Period 3'!W31+'Ordering Period 3'!AJ31</f>
        <v>0</v>
      </c>
      <c r="L32" s="356">
        <f>'Ordering Period 4'!W31+'Ordering Period 4'!AJ31</f>
        <v>0</v>
      </c>
      <c r="N32" s="356">
        <f>'Ordering Period 5'!W31+'Ordering Period 5'!AJ31</f>
        <v>0</v>
      </c>
    </row>
    <row r="33" spans="1:23" x14ac:dyDescent="0.25">
      <c r="A33" s="683"/>
      <c r="B33" s="646">
        <v>14</v>
      </c>
      <c r="C33" s="100" t="s">
        <v>71</v>
      </c>
      <c r="D33" s="325" t="s">
        <v>77</v>
      </c>
      <c r="F33" s="357">
        <f>'Ordering Period 1'!Y32+'Ordering Period 1'!AL32</f>
        <v>0</v>
      </c>
      <c r="G33" s="14"/>
      <c r="H33" s="357">
        <f>'Ordering Period 2'!W32+'Ordering Period 2'!AJ32</f>
        <v>0</v>
      </c>
      <c r="J33" s="357">
        <f>'Ordering Period 3'!W32+'Ordering Period 3'!AJ32</f>
        <v>0</v>
      </c>
      <c r="L33" s="357">
        <f>'Ordering Period 4'!W32+'Ordering Period 4'!AJ32</f>
        <v>0</v>
      </c>
      <c r="N33" s="357">
        <f>'Ordering Period 5'!W32+'Ordering Period 5'!AJ32</f>
        <v>0</v>
      </c>
    </row>
    <row r="34" spans="1:23" x14ac:dyDescent="0.25">
      <c r="A34" s="683"/>
      <c r="B34" s="646">
        <v>15</v>
      </c>
      <c r="C34" s="100" t="s">
        <v>206</v>
      </c>
      <c r="D34" s="325" t="s">
        <v>77</v>
      </c>
      <c r="F34" s="357">
        <f>'Ordering Period 1'!Y33+'Ordering Period 1'!AL33</f>
        <v>0</v>
      </c>
      <c r="G34" s="14"/>
      <c r="H34" s="357">
        <f>'Ordering Period 2'!W33+'Ordering Period 2'!AJ33</f>
        <v>0</v>
      </c>
      <c r="J34" s="357">
        <f>'Ordering Period 3'!W33+'Ordering Period 3'!AJ33</f>
        <v>0</v>
      </c>
      <c r="L34" s="357">
        <f>'Ordering Period 4'!W33+'Ordering Period 4'!AJ33</f>
        <v>0</v>
      </c>
      <c r="N34" s="357">
        <f>'Ordering Period 5'!W33+'Ordering Period 5'!AJ33</f>
        <v>0</v>
      </c>
    </row>
    <row r="35" spans="1:23" ht="15.75" thickBot="1" x14ac:dyDescent="0.3">
      <c r="A35" s="684"/>
      <c r="B35" s="647">
        <v>11</v>
      </c>
      <c r="C35" s="402" t="s">
        <v>57</v>
      </c>
      <c r="D35" s="326" t="s">
        <v>77</v>
      </c>
      <c r="F35" s="358">
        <f>'Ordering Period 1'!Y34+'Ordering Period 1'!AL34</f>
        <v>0</v>
      </c>
      <c r="G35" s="14"/>
      <c r="H35" s="358">
        <f>'Ordering Period 2'!W34+'Ordering Period 2'!AJ34</f>
        <v>0</v>
      </c>
      <c r="J35" s="358">
        <f>'Ordering Period 3'!W34+'Ordering Period 3'!AJ34</f>
        <v>0</v>
      </c>
      <c r="L35" s="358">
        <f>'Ordering Period 4'!W34+'Ordering Period 4'!AJ34</f>
        <v>0</v>
      </c>
      <c r="N35" s="358">
        <f>'Ordering Period 5'!W34+'Ordering Period 5'!AJ34</f>
        <v>0</v>
      </c>
    </row>
    <row r="36" spans="1:23" x14ac:dyDescent="0.25">
      <c r="A36" s="682" t="s">
        <v>208</v>
      </c>
      <c r="B36" s="645">
        <v>11</v>
      </c>
      <c r="C36" s="377" t="s">
        <v>57</v>
      </c>
      <c r="D36" s="324" t="s">
        <v>77</v>
      </c>
      <c r="F36" s="356">
        <f>'Ordering Period 1'!Y35+'Ordering Period 1'!AL35</f>
        <v>0</v>
      </c>
      <c r="G36" s="14"/>
      <c r="H36" s="356">
        <f>'Ordering Period 2'!W35+'Ordering Period 2'!AJ35</f>
        <v>0</v>
      </c>
      <c r="J36" s="356">
        <f>'Ordering Period 3'!W35+'Ordering Period 3'!AJ35</f>
        <v>0</v>
      </c>
      <c r="L36" s="356">
        <f>'Ordering Period 4'!W35+'Ordering Period 4'!AJ35</f>
        <v>0</v>
      </c>
      <c r="N36" s="356">
        <f>'Ordering Period 5'!W35+'Ordering Period 5'!AJ35</f>
        <v>0</v>
      </c>
    </row>
    <row r="37" spans="1:23" x14ac:dyDescent="0.25">
      <c r="A37" s="683"/>
      <c r="B37" s="646">
        <v>19</v>
      </c>
      <c r="C37" s="399" t="s">
        <v>234</v>
      </c>
      <c r="D37" s="325" t="s">
        <v>77</v>
      </c>
      <c r="F37" s="357">
        <f>'Ordering Period 1'!Y36+'Ordering Period 1'!AL36</f>
        <v>0</v>
      </c>
      <c r="G37" s="14"/>
      <c r="H37" s="357">
        <f>'Ordering Period 2'!W36+'Ordering Period 2'!AJ36</f>
        <v>0</v>
      </c>
      <c r="J37" s="357">
        <f>'Ordering Period 3'!W36+'Ordering Period 3'!AJ36</f>
        <v>0</v>
      </c>
      <c r="L37" s="357">
        <f>'Ordering Period 4'!W36+'Ordering Period 4'!AJ36</f>
        <v>0</v>
      </c>
      <c r="N37" s="357">
        <f>'Ordering Period 5'!W36+'Ordering Period 5'!AJ36</f>
        <v>0</v>
      </c>
    </row>
    <row r="38" spans="1:23" x14ac:dyDescent="0.25">
      <c r="A38" s="683"/>
      <c r="B38" s="646">
        <v>15</v>
      </c>
      <c r="C38" s="399" t="s">
        <v>206</v>
      </c>
      <c r="D38" s="325" t="s">
        <v>77</v>
      </c>
      <c r="F38" s="357">
        <f>'Ordering Period 1'!Y37+'Ordering Period 1'!AL37</f>
        <v>0</v>
      </c>
      <c r="G38" s="14"/>
      <c r="H38" s="357">
        <f>'Ordering Period 2'!W37+'Ordering Period 2'!AJ37</f>
        <v>0</v>
      </c>
      <c r="J38" s="357">
        <f>'Ordering Period 3'!W37+'Ordering Period 3'!AJ37</f>
        <v>0</v>
      </c>
      <c r="L38" s="357">
        <f>'Ordering Period 4'!W37+'Ordering Period 4'!AJ37</f>
        <v>0</v>
      </c>
      <c r="N38" s="357">
        <f>'Ordering Period 5'!W37+'Ordering Period 5'!AJ37</f>
        <v>0</v>
      </c>
    </row>
    <row r="39" spans="1:23" ht="15.75" thickBot="1" x14ac:dyDescent="0.3">
      <c r="A39" s="684"/>
      <c r="B39" s="647">
        <v>17</v>
      </c>
      <c r="C39" s="402" t="s">
        <v>65</v>
      </c>
      <c r="D39" s="326" t="s">
        <v>77</v>
      </c>
      <c r="F39" s="358">
        <f>'Ordering Period 1'!Y38+'Ordering Period 1'!AL38</f>
        <v>0</v>
      </c>
      <c r="G39" s="14"/>
      <c r="H39" s="358">
        <f>'Ordering Period 2'!W38+'Ordering Period 2'!AJ38</f>
        <v>0</v>
      </c>
      <c r="J39" s="358">
        <f>'Ordering Period 3'!W38+'Ordering Period 3'!AJ38</f>
        <v>0</v>
      </c>
      <c r="L39" s="358">
        <f>'Ordering Period 4'!W38+'Ordering Period 4'!AJ38</f>
        <v>0</v>
      </c>
      <c r="N39" s="358">
        <f>'Ordering Period 5'!W38+'Ordering Period 5'!AJ38</f>
        <v>0</v>
      </c>
    </row>
    <row r="40" spans="1:23" s="119" customFormat="1" ht="30.75" customHeight="1" thickBot="1" x14ac:dyDescent="0.3">
      <c r="C40" s="21"/>
      <c r="D40" s="21"/>
      <c r="F40" s="14"/>
      <c r="G40" s="14"/>
      <c r="H40" s="14"/>
      <c r="I40" s="14"/>
      <c r="J40" s="14"/>
      <c r="K40" s="14"/>
      <c r="L40" s="14"/>
      <c r="M40" s="14"/>
      <c r="N40" s="14"/>
    </row>
    <row r="41" spans="1:23" s="23" customFormat="1" ht="15.75" x14ac:dyDescent="0.25">
      <c r="B41" s="21"/>
      <c r="C41" s="688" t="s">
        <v>79</v>
      </c>
      <c r="D41" s="689"/>
      <c r="E41" s="21"/>
      <c r="F41" s="672" t="str">
        <f>F4</f>
        <v>Ordering Period 1</v>
      </c>
      <c r="G41" s="22"/>
      <c r="H41" s="672" t="str">
        <f>H4</f>
        <v>Ordering Period 2</v>
      </c>
      <c r="I41" s="22"/>
      <c r="J41" s="672" t="str">
        <f>J4</f>
        <v>Ordering Period 3</v>
      </c>
      <c r="K41" s="22"/>
      <c r="L41" s="672" t="str">
        <f>L4</f>
        <v>Ordering Period 4</v>
      </c>
      <c r="M41" s="22"/>
      <c r="N41" s="672" t="str">
        <f>N4</f>
        <v>Ordering Period 5</v>
      </c>
    </row>
    <row r="42" spans="1:23" s="23" customFormat="1" ht="15.75" x14ac:dyDescent="0.25">
      <c r="B42" s="21"/>
      <c r="C42" s="690"/>
      <c r="D42" s="691"/>
      <c r="E42" s="21"/>
      <c r="F42" s="673"/>
      <c r="G42" s="22"/>
      <c r="H42" s="673"/>
      <c r="I42" s="22"/>
      <c r="J42" s="673"/>
      <c r="K42" s="22"/>
      <c r="L42" s="673"/>
      <c r="M42" s="22"/>
      <c r="N42" s="673"/>
    </row>
    <row r="43" spans="1:23" s="25" customFormat="1" ht="30.75" customHeight="1" thickBot="1" x14ac:dyDescent="0.3">
      <c r="B43" s="24"/>
      <c r="C43" s="692"/>
      <c r="D43" s="693"/>
      <c r="E43" s="24"/>
      <c r="F43" s="674"/>
      <c r="G43" s="26"/>
      <c r="H43" s="674"/>
      <c r="I43" s="22"/>
      <c r="J43" s="674"/>
      <c r="K43" s="22"/>
      <c r="L43" s="674"/>
      <c r="M43" s="22"/>
      <c r="N43" s="675"/>
      <c r="O43" s="23"/>
      <c r="P43" s="23"/>
      <c r="Q43" s="23"/>
      <c r="R43" s="23"/>
      <c r="S43" s="23"/>
      <c r="T43" s="24"/>
      <c r="U43" s="19"/>
      <c r="V43" s="24"/>
      <c r="W43" s="19"/>
    </row>
    <row r="44" spans="1:23" s="25" customFormat="1" ht="30.75" customHeight="1" thickBot="1" x14ac:dyDescent="0.3">
      <c r="B44" s="24"/>
      <c r="C44" s="667" t="s">
        <v>80</v>
      </c>
      <c r="D44" s="668"/>
      <c r="E44" s="24"/>
      <c r="F44" s="69">
        <f>'Ordering Period 1'!F50</f>
        <v>0</v>
      </c>
      <c r="G44" s="68"/>
      <c r="H44" s="69">
        <f>'Ordering Period 2'!F50</f>
        <v>0</v>
      </c>
      <c r="I44" s="27"/>
      <c r="J44" s="69">
        <f>'Ordering Period 3'!F50</f>
        <v>0</v>
      </c>
      <c r="K44" s="27"/>
      <c r="L44" s="69">
        <f>'Ordering Period 4'!F50</f>
        <v>0</v>
      </c>
      <c r="M44" s="27"/>
      <c r="N44" s="69">
        <f>'Ordering Period 5'!F50</f>
        <v>0</v>
      </c>
      <c r="O44" s="23"/>
      <c r="P44" s="66"/>
      <c r="Q44" s="23"/>
      <c r="R44" s="23"/>
      <c r="S44" s="23"/>
    </row>
    <row r="45" spans="1:23" s="309" customFormat="1" ht="30.75" customHeight="1" thickBot="1" x14ac:dyDescent="0.3">
      <c r="B45" s="310"/>
      <c r="C45" s="311"/>
      <c r="D45" s="311"/>
      <c r="E45" s="310"/>
      <c r="F45" s="362"/>
      <c r="G45" s="26"/>
      <c r="H45" s="362"/>
      <c r="I45" s="29"/>
      <c r="J45" s="362"/>
      <c r="K45" s="29"/>
      <c r="L45" s="362"/>
      <c r="M45" s="29"/>
      <c r="N45" s="362"/>
      <c r="O45" s="312"/>
      <c r="P45" s="313"/>
      <c r="Q45" s="313"/>
      <c r="R45" s="313"/>
      <c r="S45" s="313"/>
    </row>
    <row r="46" spans="1:23" s="25" customFormat="1" ht="30.75" customHeight="1" thickBot="1" x14ac:dyDescent="0.3">
      <c r="B46" s="24"/>
      <c r="C46" s="665" t="s">
        <v>242</v>
      </c>
      <c r="D46" s="669"/>
      <c r="E46" s="24"/>
      <c r="F46" s="31">
        <f>'Ordering Period 1'!F60</f>
        <v>7927836.0999999996</v>
      </c>
      <c r="G46" s="22"/>
      <c r="H46" s="31">
        <f>'Ordering Period 2'!F60</f>
        <v>7927836.0999999996</v>
      </c>
      <c r="I46" s="22"/>
      <c r="J46" s="31">
        <f>'Ordering Period 3'!F60</f>
        <v>7927836.0999999996</v>
      </c>
      <c r="K46" s="22"/>
      <c r="L46" s="67">
        <f>'Ordering Period 4'!F60</f>
        <v>7927836.0999999996</v>
      </c>
      <c r="M46" s="22"/>
      <c r="N46" s="31">
        <f>'Ordering Period 5'!F60</f>
        <v>7927836.0999999996</v>
      </c>
      <c r="O46" s="23"/>
      <c r="P46" s="66"/>
      <c r="Q46" s="71"/>
      <c r="R46" s="66"/>
      <c r="S46" s="66"/>
    </row>
    <row r="47" spans="1:23" s="309" customFormat="1" ht="30.75" customHeight="1" thickBot="1" x14ac:dyDescent="0.3">
      <c r="B47" s="310"/>
      <c r="C47" s="311"/>
      <c r="D47" s="311"/>
      <c r="E47" s="310"/>
      <c r="F47" s="362"/>
      <c r="G47" s="26"/>
      <c r="H47" s="362"/>
      <c r="I47" s="29"/>
      <c r="J47" s="362"/>
      <c r="K47" s="29"/>
      <c r="L47" s="362"/>
      <c r="M47" s="29"/>
      <c r="N47" s="362"/>
      <c r="O47" s="312"/>
      <c r="P47" s="313"/>
      <c r="Q47" s="313"/>
      <c r="R47" s="313"/>
      <c r="S47" s="313"/>
    </row>
    <row r="48" spans="1:23" s="25" customFormat="1" ht="30.75" customHeight="1" thickBot="1" x14ac:dyDescent="0.3">
      <c r="B48" s="24"/>
      <c r="C48" s="665" t="s">
        <v>245</v>
      </c>
      <c r="D48" s="669"/>
      <c r="E48" s="24"/>
      <c r="F48" s="31">
        <f>'Ordering Period 1'!F67</f>
        <v>1906762.9907349111</v>
      </c>
      <c r="G48" s="22"/>
      <c r="H48" s="31">
        <f>'Ordering Period 2'!F67</f>
        <v>1906762.9907349111</v>
      </c>
      <c r="I48" s="22"/>
      <c r="J48" s="31">
        <f>'Ordering Period 3'!F67</f>
        <v>1906762.9907349111</v>
      </c>
      <c r="K48" s="22"/>
      <c r="L48" s="67">
        <f>'Ordering Period 4'!F67</f>
        <v>1906762.9907349111</v>
      </c>
      <c r="M48" s="22"/>
      <c r="N48" s="31">
        <f>'Ordering Period 5'!F67</f>
        <v>1906762.9907349111</v>
      </c>
      <c r="O48" s="23"/>
      <c r="P48" s="66"/>
      <c r="Q48" s="71"/>
      <c r="R48" s="66"/>
      <c r="S48" s="66"/>
    </row>
    <row r="49" spans="2:19" s="25" customFormat="1" ht="30.75" customHeight="1" thickBot="1" x14ac:dyDescent="0.3">
      <c r="B49" s="24"/>
      <c r="C49" s="28"/>
      <c r="D49" s="28"/>
      <c r="E49" s="24"/>
      <c r="F49" s="29"/>
      <c r="G49" s="26"/>
      <c r="H49" s="29"/>
      <c r="I49" s="70"/>
      <c r="J49" s="29"/>
      <c r="K49" s="70"/>
      <c r="L49" s="29"/>
      <c r="M49" s="70"/>
      <c r="N49" s="29"/>
      <c r="O49" s="23"/>
      <c r="P49" s="66"/>
      <c r="Q49" s="71"/>
      <c r="R49" s="66"/>
      <c r="S49" s="66"/>
    </row>
    <row r="50" spans="2:19" s="25" customFormat="1" ht="30.75" customHeight="1" thickBot="1" x14ac:dyDescent="0.3">
      <c r="B50" s="24"/>
      <c r="C50" s="670" t="s">
        <v>81</v>
      </c>
      <c r="D50" s="671"/>
      <c r="E50" s="24"/>
      <c r="F50" s="31">
        <f>F44+F46+F48</f>
        <v>9834599.0907349102</v>
      </c>
      <c r="G50" s="22"/>
      <c r="H50" s="31">
        <f>H44+H46+H48</f>
        <v>9834599.0907349102</v>
      </c>
      <c r="I50" s="22"/>
      <c r="J50" s="31">
        <f>J44+J46+J48</f>
        <v>9834599.0907349102</v>
      </c>
      <c r="K50" s="22"/>
      <c r="L50" s="31">
        <f>L44+L46+L48</f>
        <v>9834599.0907349102</v>
      </c>
      <c r="M50" s="22"/>
      <c r="N50" s="31">
        <f>N44+N46+N48</f>
        <v>9834599.0907349102</v>
      </c>
      <c r="O50" s="23"/>
      <c r="Q50" s="70"/>
    </row>
    <row r="51" spans="2:19" s="25" customFormat="1" ht="30.75" customHeight="1" thickBot="1" x14ac:dyDescent="0.3">
      <c r="B51" s="24"/>
      <c r="C51" s="28"/>
      <c r="D51" s="28"/>
      <c r="E51" s="24"/>
      <c r="F51" s="572"/>
      <c r="G51" s="573"/>
      <c r="H51" s="572"/>
      <c r="I51" s="574"/>
      <c r="J51" s="574"/>
      <c r="K51" s="574"/>
      <c r="L51" s="572"/>
      <c r="M51" s="574"/>
      <c r="N51" s="574"/>
      <c r="O51" s="23"/>
      <c r="Q51" s="70"/>
    </row>
    <row r="52" spans="2:19" s="25" customFormat="1" ht="47.25" customHeight="1" thickBot="1" x14ac:dyDescent="0.3">
      <c r="B52" s="24"/>
      <c r="C52" s="665" t="s">
        <v>45</v>
      </c>
      <c r="D52" s="666"/>
      <c r="E52" s="24"/>
      <c r="F52" s="30">
        <f>F50+H50+J50+L50+N50</f>
        <v>49172995.453674555</v>
      </c>
      <c r="G52" s="26"/>
      <c r="H52" s="72"/>
      <c r="I52" s="73"/>
      <c r="J52" s="74"/>
      <c r="K52" s="22"/>
      <c r="M52" s="22"/>
      <c r="N52" s="22"/>
      <c r="O52" s="23"/>
      <c r="Q52" s="70"/>
    </row>
    <row r="53" spans="2:19" ht="30.75" customHeight="1" x14ac:dyDescent="0.25">
      <c r="C53" s="28"/>
      <c r="D53" s="28"/>
      <c r="E53" s="24"/>
      <c r="F53" s="29"/>
      <c r="I53" s="12"/>
      <c r="J53" s="12"/>
    </row>
    <row r="55" spans="2:19" x14ac:dyDescent="0.25">
      <c r="H55" s="349"/>
    </row>
  </sheetData>
  <mergeCells count="21">
    <mergeCell ref="A2:B2"/>
    <mergeCell ref="A9:A13"/>
    <mergeCell ref="A15:A18"/>
    <mergeCell ref="A19:A22"/>
    <mergeCell ref="F41:F43"/>
    <mergeCell ref="A26:A30"/>
    <mergeCell ref="A32:A35"/>
    <mergeCell ref="A36:A39"/>
    <mergeCell ref="C41:D43"/>
    <mergeCell ref="A7:A8"/>
    <mergeCell ref="A24:A25"/>
    <mergeCell ref="H41:H43"/>
    <mergeCell ref="J41:J43"/>
    <mergeCell ref="L41:L43"/>
    <mergeCell ref="N41:N43"/>
    <mergeCell ref="F3:N3"/>
    <mergeCell ref="C52:D52"/>
    <mergeCell ref="C44:D44"/>
    <mergeCell ref="C46:D46"/>
    <mergeCell ref="C50:D50"/>
    <mergeCell ref="C48:D48"/>
  </mergeCells>
  <phoneticPr fontId="21" type="noConversion"/>
  <pageMargins left="0.7" right="0.7" top="0.75" bottom="0.75" header="0.3" footer="0.3"/>
  <pageSetup orientation="portrait" verticalDpi="597"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U77"/>
  <sheetViews>
    <sheetView showGridLines="0" zoomScaleNormal="100" workbookViewId="0">
      <pane ySplit="4" topLeftCell="A18" activePane="bottomLeft" state="frozen"/>
      <selection activeCell="G19" sqref="G19"/>
      <selection pane="bottomLeft" activeCell="G31" sqref="G31"/>
    </sheetView>
  </sheetViews>
  <sheetFormatPr defaultColWidth="9.140625" defaultRowHeight="15" x14ac:dyDescent="0.25"/>
  <cols>
    <col min="1" max="1" width="41.28515625" style="9" bestFit="1" customWidth="1"/>
    <col min="2" max="2" width="4" style="9" bestFit="1" customWidth="1"/>
    <col min="3" max="3" width="38.5703125" style="9" bestFit="1" customWidth="1"/>
    <col min="4" max="4" width="16.7109375" style="9" customWidth="1"/>
    <col min="5" max="5" width="17.7109375" style="9" customWidth="1"/>
    <col min="6" max="8" width="16.7109375" style="47" customWidth="1"/>
    <col min="9" max="9" width="1.7109375" style="48" customWidth="1"/>
    <col min="10" max="10" width="14.7109375" style="47" customWidth="1"/>
    <col min="11" max="11" width="14.85546875" style="47" customWidth="1"/>
    <col min="12" max="12" width="14.7109375" style="47" customWidth="1"/>
    <col min="13" max="22" width="14.7109375" style="49" customWidth="1"/>
    <col min="23" max="23" width="23.7109375" style="12" customWidth="1"/>
    <col min="24" max="25" width="23.7109375" style="49" customWidth="1"/>
    <col min="26" max="26" width="1.7109375" style="9" customWidth="1"/>
    <col min="27" max="35" width="14.7109375" style="9" customWidth="1"/>
    <col min="36" max="38" width="23.7109375" style="9" customWidth="1"/>
    <col min="39" max="39" width="36.7109375" style="9" customWidth="1"/>
    <col min="40" max="40" width="12.7109375" style="11" customWidth="1"/>
    <col min="41" max="41" width="24.7109375" style="11" customWidth="1"/>
    <col min="42" max="42" width="1.7109375" style="9" customWidth="1"/>
    <col min="43" max="45" width="16.7109375" style="9" customWidth="1"/>
    <col min="46" max="46" width="9.140625" style="9"/>
    <col min="47" max="47" width="9.5703125" style="9" bestFit="1" customWidth="1"/>
    <col min="48" max="16384" width="9.140625" style="9"/>
  </cols>
  <sheetData>
    <row r="1" spans="1:47" s="15" customFormat="1" ht="34.5" thickBot="1" x14ac:dyDescent="0.55000000000000004">
      <c r="A1" s="696" t="s">
        <v>82</v>
      </c>
      <c r="B1" s="697"/>
      <c r="C1" s="698"/>
      <c r="D1" s="698"/>
      <c r="E1" s="698"/>
      <c r="F1" s="698"/>
      <c r="G1" s="698"/>
      <c r="H1" s="698"/>
      <c r="I1" s="698"/>
      <c r="J1" s="698"/>
      <c r="K1" s="698"/>
      <c r="L1" s="698"/>
      <c r="M1" s="698"/>
      <c r="N1" s="698"/>
      <c r="O1" s="698"/>
      <c r="P1" s="698"/>
      <c r="Q1" s="698"/>
      <c r="R1" s="698"/>
      <c r="S1" s="698"/>
      <c r="T1" s="698"/>
      <c r="U1" s="698"/>
      <c r="V1" s="698"/>
      <c r="W1" s="698"/>
      <c r="X1" s="698"/>
      <c r="Y1" s="698"/>
      <c r="Z1" s="698"/>
      <c r="AA1" s="698"/>
      <c r="AB1" s="698"/>
      <c r="AC1" s="698"/>
      <c r="AD1" s="698"/>
      <c r="AE1" s="698"/>
      <c r="AF1" s="698"/>
      <c r="AG1" s="698"/>
      <c r="AH1" s="698"/>
      <c r="AI1" s="698"/>
      <c r="AJ1" s="698"/>
      <c r="AK1" s="698"/>
      <c r="AL1" s="698"/>
      <c r="AM1" s="698"/>
      <c r="AN1" s="698"/>
      <c r="AO1" s="698"/>
      <c r="AP1" s="698"/>
      <c r="AQ1" s="698"/>
      <c r="AR1" s="698"/>
      <c r="AS1" s="699"/>
    </row>
    <row r="2" spans="1:47" ht="15.75" thickBot="1" x14ac:dyDescent="0.3">
      <c r="A2" s="706" t="s">
        <v>83</v>
      </c>
      <c r="B2" s="707"/>
      <c r="C2" s="707"/>
      <c r="D2" s="707"/>
      <c r="E2" s="707"/>
      <c r="F2" s="707"/>
      <c r="G2" s="707"/>
      <c r="H2" s="708"/>
      <c r="I2" s="32"/>
      <c r="J2" s="703" t="s">
        <v>84</v>
      </c>
      <c r="K2" s="704"/>
      <c r="L2" s="704"/>
      <c r="M2" s="704"/>
      <c r="N2" s="704"/>
      <c r="O2" s="704"/>
      <c r="P2" s="704"/>
      <c r="Q2" s="704"/>
      <c r="R2" s="704"/>
      <c r="S2" s="704"/>
      <c r="T2" s="704"/>
      <c r="U2" s="704"/>
      <c r="V2" s="704"/>
      <c r="W2" s="704"/>
      <c r="X2" s="704"/>
      <c r="Y2" s="705"/>
      <c r="AA2" s="709" t="s">
        <v>85</v>
      </c>
      <c r="AB2" s="710"/>
      <c r="AC2" s="710"/>
      <c r="AD2" s="710"/>
      <c r="AE2" s="710"/>
      <c r="AF2" s="710"/>
      <c r="AG2" s="710"/>
      <c r="AH2" s="710"/>
      <c r="AI2" s="710"/>
      <c r="AJ2" s="710"/>
      <c r="AK2" s="710"/>
      <c r="AL2" s="710"/>
      <c r="AM2" s="710"/>
      <c r="AN2" s="710"/>
      <c r="AO2" s="711"/>
      <c r="AQ2" s="706" t="s">
        <v>86</v>
      </c>
      <c r="AR2" s="707"/>
      <c r="AS2" s="708"/>
    </row>
    <row r="3" spans="1:47" s="234" customFormat="1" ht="45.75" customHeight="1" thickBot="1" x14ac:dyDescent="0.3">
      <c r="A3" s="163" t="s">
        <v>35</v>
      </c>
      <c r="B3" s="209" t="s">
        <v>36</v>
      </c>
      <c r="C3" s="223" t="s">
        <v>37</v>
      </c>
      <c r="D3" s="223" t="s">
        <v>87</v>
      </c>
      <c r="E3" s="223" t="s">
        <v>47</v>
      </c>
      <c r="F3" s="224" t="s">
        <v>88</v>
      </c>
      <c r="G3" s="224" t="s">
        <v>89</v>
      </c>
      <c r="H3" s="225" t="s">
        <v>90</v>
      </c>
      <c r="I3" s="226"/>
      <c r="J3" s="227" t="s">
        <v>91</v>
      </c>
      <c r="K3" s="228" t="s">
        <v>92</v>
      </c>
      <c r="L3" s="228" t="s">
        <v>93</v>
      </c>
      <c r="M3" s="229" t="s">
        <v>94</v>
      </c>
      <c r="N3" s="229" t="s">
        <v>172</v>
      </c>
      <c r="O3" s="229" t="s">
        <v>95</v>
      </c>
      <c r="P3" s="230" t="s">
        <v>96</v>
      </c>
      <c r="Q3" s="230" t="s">
        <v>193</v>
      </c>
      <c r="R3" s="230" t="s">
        <v>97</v>
      </c>
      <c r="S3" s="230" t="s">
        <v>98</v>
      </c>
      <c r="T3" s="230" t="s">
        <v>99</v>
      </c>
      <c r="U3" s="230" t="s">
        <v>100</v>
      </c>
      <c r="V3" s="230" t="s">
        <v>101</v>
      </c>
      <c r="W3" s="231" t="s">
        <v>102</v>
      </c>
      <c r="X3" s="232" t="s">
        <v>103</v>
      </c>
      <c r="Y3" s="233" t="s">
        <v>104</v>
      </c>
      <c r="AA3" s="227" t="s">
        <v>105</v>
      </c>
      <c r="AB3" s="229" t="s">
        <v>106</v>
      </c>
      <c r="AC3" s="229" t="s">
        <v>107</v>
      </c>
      <c r="AD3" s="229" t="s">
        <v>108</v>
      </c>
      <c r="AE3" s="229" t="s">
        <v>109</v>
      </c>
      <c r="AF3" s="229" t="s">
        <v>110</v>
      </c>
      <c r="AG3" s="232" t="s">
        <v>99</v>
      </c>
      <c r="AH3" s="229" t="s">
        <v>111</v>
      </c>
      <c r="AI3" s="229" t="s">
        <v>112</v>
      </c>
      <c r="AJ3" s="229" t="s">
        <v>102</v>
      </c>
      <c r="AK3" s="229" t="s">
        <v>103</v>
      </c>
      <c r="AL3" s="229" t="s">
        <v>104</v>
      </c>
      <c r="AM3" s="235" t="s">
        <v>113</v>
      </c>
      <c r="AN3" s="235" t="s">
        <v>114</v>
      </c>
      <c r="AO3" s="236" t="s">
        <v>115</v>
      </c>
      <c r="AQ3" s="700" t="s">
        <v>116</v>
      </c>
      <c r="AR3" s="701"/>
      <c r="AS3" s="702"/>
    </row>
    <row r="4" spans="1:47" ht="31.5" customHeight="1" thickBot="1" x14ac:dyDescent="0.35">
      <c r="A4" s="410" t="s">
        <v>117</v>
      </c>
      <c r="B4" s="411"/>
      <c r="C4" s="237"/>
      <c r="D4" s="621"/>
      <c r="E4" s="237"/>
      <c r="F4" s="412"/>
      <c r="G4" s="649"/>
      <c r="H4" s="413"/>
      <c r="I4" s="33"/>
      <c r="J4" s="133"/>
      <c r="K4" s="171"/>
      <c r="L4" s="171"/>
      <c r="M4" s="164"/>
      <c r="N4" s="135"/>
      <c r="O4" s="135"/>
      <c r="P4" s="135"/>
      <c r="Q4" s="135"/>
      <c r="R4" s="135"/>
      <c r="S4" s="135"/>
      <c r="T4" s="136"/>
      <c r="U4" s="135"/>
      <c r="V4" s="136"/>
      <c r="W4" s="136"/>
      <c r="X4" s="150"/>
      <c r="Y4" s="151"/>
      <c r="AA4" s="133"/>
      <c r="AB4" s="134"/>
      <c r="AC4" s="134"/>
      <c r="AD4" s="135"/>
      <c r="AE4" s="135"/>
      <c r="AF4" s="135"/>
      <c r="AG4" s="136"/>
      <c r="AH4" s="135"/>
      <c r="AI4" s="134"/>
      <c r="AJ4" s="134"/>
      <c r="AK4" s="134"/>
      <c r="AL4" s="134"/>
      <c r="AM4" s="187"/>
      <c r="AN4" s="187"/>
      <c r="AO4" s="188"/>
      <c r="AP4" s="34"/>
      <c r="AQ4" s="152" t="s">
        <v>99</v>
      </c>
      <c r="AR4" s="153" t="s">
        <v>100</v>
      </c>
      <c r="AS4" s="154" t="s">
        <v>118</v>
      </c>
    </row>
    <row r="5" spans="1:47" ht="15.75" thickBot="1" x14ac:dyDescent="0.3">
      <c r="A5" s="256" t="s">
        <v>42</v>
      </c>
      <c r="B5" s="416">
        <f>'Total - Detail'!B6</f>
        <v>1</v>
      </c>
      <c r="C5" s="257" t="str">
        <f>'Total - Detail'!C6</f>
        <v>Project Management Specialist</v>
      </c>
      <c r="D5" s="257" t="s">
        <v>291</v>
      </c>
      <c r="E5" s="257" t="s">
        <v>55</v>
      </c>
      <c r="F5" s="258">
        <v>19114.698266026175</v>
      </c>
      <c r="G5" s="258">
        <f>SUM(J5,AA5)</f>
        <v>0</v>
      </c>
      <c r="H5" s="417">
        <f>F5-G5</f>
        <v>19114.698266026175</v>
      </c>
      <c r="I5" s="43"/>
      <c r="J5" s="214">
        <v>0</v>
      </c>
      <c r="K5" s="431">
        <v>48.44</v>
      </c>
      <c r="L5" s="274"/>
      <c r="M5" s="216">
        <f>IF($J5&gt;0,IF($L5&lt;$K5,$K5,$L5),0)</f>
        <v>0</v>
      </c>
      <c r="N5" s="366"/>
      <c r="O5" s="249">
        <f>(M5*$O$4)</f>
        <v>0</v>
      </c>
      <c r="P5" s="249">
        <f>(O5+M5)*$P$4</f>
        <v>0</v>
      </c>
      <c r="Q5" s="249">
        <f>(M5+O5)*$Q$4</f>
        <v>0</v>
      </c>
      <c r="R5" s="249">
        <f>(O5+M5+P5+Q5)*$R$4</f>
        <v>0</v>
      </c>
      <c r="S5" s="249">
        <f>(M5+O5+P5+Q5+R5)*$S$4</f>
        <v>0</v>
      </c>
      <c r="T5" s="216">
        <f>SUM(M5:S5)</f>
        <v>0</v>
      </c>
      <c r="U5" s="216">
        <f>(T5-S5)*$U$4</f>
        <v>0</v>
      </c>
      <c r="V5" s="216">
        <f>SUM(T5:U5)</f>
        <v>0</v>
      </c>
      <c r="W5" s="253">
        <f t="shared" ref="W5" si="0">T5*J5</f>
        <v>0</v>
      </c>
      <c r="X5" s="216">
        <f t="shared" ref="X5" si="1">U5*J5</f>
        <v>0</v>
      </c>
      <c r="Y5" s="217">
        <f>V5*J5</f>
        <v>0</v>
      </c>
      <c r="AA5" s="218"/>
      <c r="AB5" s="254"/>
      <c r="AC5" s="219">
        <f>IF($AA5&gt;0,$AB5,0)</f>
        <v>0</v>
      </c>
      <c r="AD5" s="254">
        <f>(AC5*$AD$4)</f>
        <v>0</v>
      </c>
      <c r="AE5" s="254">
        <f>(AC5+AD5)*$AE$4</f>
        <v>0</v>
      </c>
      <c r="AF5" s="254"/>
      <c r="AG5" s="219">
        <f t="shared" ref="AG5" si="2">SUM(AC5:AF5)</f>
        <v>0</v>
      </c>
      <c r="AH5" s="219">
        <f>$AH$4*(AE5+AC5+AD5)</f>
        <v>0</v>
      </c>
      <c r="AI5" s="219">
        <f>SUM(AG5:AH5)</f>
        <v>0</v>
      </c>
      <c r="AJ5" s="219">
        <f>AG5*AA5</f>
        <v>0</v>
      </c>
      <c r="AK5" s="219">
        <f>AH5*AA5</f>
        <v>0</v>
      </c>
      <c r="AL5" s="219">
        <f>AI5*AA5</f>
        <v>0</v>
      </c>
      <c r="AM5" s="434"/>
      <c r="AN5" s="434"/>
      <c r="AO5" s="255"/>
      <c r="AQ5" s="251" t="str">
        <f t="shared" ref="AQ5" si="3">IFERROR(SUM(W5,AJ5)/G5,"")</f>
        <v/>
      </c>
      <c r="AR5" s="220" t="str">
        <f t="shared" ref="AR5" si="4">IFERROR(SUM(X5,AK5)/G5,"")</f>
        <v/>
      </c>
      <c r="AS5" s="221">
        <f>SUM(AQ5:AR5)</f>
        <v>0</v>
      </c>
      <c r="AU5" s="270"/>
    </row>
    <row r="6" spans="1:47" ht="16.5" customHeight="1" thickBot="1" x14ac:dyDescent="0.3">
      <c r="A6" s="694" t="s">
        <v>43</v>
      </c>
      <c r="B6" s="415">
        <f>'Total - Detail'!B7</f>
        <v>2</v>
      </c>
      <c r="C6" s="210" t="s">
        <v>209</v>
      </c>
      <c r="D6" s="210" t="s">
        <v>289</v>
      </c>
      <c r="E6" s="210" t="s">
        <v>55</v>
      </c>
      <c r="F6" s="211">
        <v>39357.391429727235</v>
      </c>
      <c r="G6" s="211">
        <f t="shared" ref="G6:G21" si="5">SUM(J6,AA6)</f>
        <v>0</v>
      </c>
      <c r="H6" s="212">
        <f t="shared" ref="H6:H21" si="6">F6-G6</f>
        <v>39357.391429727235</v>
      </c>
      <c r="I6" s="43"/>
      <c r="J6" s="214"/>
      <c r="K6" s="215">
        <v>35.83</v>
      </c>
      <c r="L6" s="274"/>
      <c r="M6" s="216">
        <f t="shared" ref="M6:M21" si="7">IF($J6&gt;0,IF($L6&lt;$K6,$K6,$L6),0)</f>
        <v>0</v>
      </c>
      <c r="N6" s="366"/>
      <c r="O6" s="249">
        <f t="shared" ref="O6:O19" si="8">(M6*$O$4)</f>
        <v>0</v>
      </c>
      <c r="P6" s="249">
        <f t="shared" ref="P6:P19" si="9">(O6+M6)*$P$4</f>
        <v>0</v>
      </c>
      <c r="Q6" s="249">
        <f t="shared" ref="Q6:Q19" si="10">(M6+O6)*$Q$4</f>
        <v>0</v>
      </c>
      <c r="R6" s="249">
        <f t="shared" ref="R6:R19" si="11">(O6+M6+P6+Q6)*$R$4</f>
        <v>0</v>
      </c>
      <c r="S6" s="249">
        <f t="shared" ref="S6:S19" si="12">(M6+O6+P6+Q6+R6)*$S$4</f>
        <v>0</v>
      </c>
      <c r="T6" s="216">
        <f t="shared" ref="T6:T21" si="13">SUM(M6:S6)</f>
        <v>0</v>
      </c>
      <c r="U6" s="216">
        <f t="shared" ref="U6:U21" si="14">(T6-S6)*$U$4</f>
        <v>0</v>
      </c>
      <c r="V6" s="216">
        <f t="shared" ref="V6:V21" si="15">SUM(T6:U6)</f>
        <v>0</v>
      </c>
      <c r="W6" s="253">
        <f t="shared" ref="W6:W21" si="16">T6*J6</f>
        <v>0</v>
      </c>
      <c r="X6" s="216">
        <f t="shared" ref="X6:X21" si="17">U6*J6</f>
        <v>0</v>
      </c>
      <c r="Y6" s="217">
        <f t="shared" ref="Y6:Y21" si="18">V6*J6</f>
        <v>0</v>
      </c>
      <c r="AA6" s="214"/>
      <c r="AB6" s="249"/>
      <c r="AC6" s="216">
        <f t="shared" ref="AC6:AC21" si="19">IF($AA6&gt;0,$AB6,0)</f>
        <v>0</v>
      </c>
      <c r="AD6" s="249">
        <f t="shared" ref="AD6:AD21" si="20">(AC6*$AD$4)</f>
        <v>0</v>
      </c>
      <c r="AE6" s="249">
        <f t="shared" ref="AE6:AE21" si="21">(AC6+AD6)*$AE$4</f>
        <v>0</v>
      </c>
      <c r="AF6" s="249"/>
      <c r="AG6" s="216">
        <f t="shared" ref="AG6:AG21" si="22">SUM(AC6:AF6)</f>
        <v>0</v>
      </c>
      <c r="AH6" s="216">
        <f t="shared" ref="AH6:AH21" si="23">$AH$4*(AE6+AC6+AD6)</f>
        <v>0</v>
      </c>
      <c r="AI6" s="216">
        <f t="shared" ref="AI6:AI21" si="24">SUM(AG6:AH6)</f>
        <v>0</v>
      </c>
      <c r="AJ6" s="216">
        <f t="shared" ref="AJ6:AJ21" si="25">AG6*AA6</f>
        <v>0</v>
      </c>
      <c r="AK6" s="216">
        <f t="shared" ref="AK6:AK21" si="26">AH6*AA6</f>
        <v>0</v>
      </c>
      <c r="AL6" s="216">
        <f t="shared" ref="AL6:AL21" si="27">AI6*AA6</f>
        <v>0</v>
      </c>
      <c r="AM6" s="433"/>
      <c r="AN6" s="433"/>
      <c r="AO6" s="250"/>
      <c r="AQ6" s="252" t="str">
        <f t="shared" ref="AQ6:AQ21" si="28">IFERROR(SUM(W6,AJ6)/G6,"")</f>
        <v/>
      </c>
      <c r="AR6" s="253" t="str">
        <f t="shared" ref="AR6:AR21" si="29">IFERROR(SUM(X6,AK6)/G6,"")</f>
        <v/>
      </c>
      <c r="AS6" s="217">
        <f t="shared" ref="AS6:AS21" si="30">SUM(AQ6:AR6)</f>
        <v>0</v>
      </c>
      <c r="AU6" s="270"/>
    </row>
    <row r="7" spans="1:47" ht="16.5" customHeight="1" thickBot="1" x14ac:dyDescent="0.3">
      <c r="A7" s="695"/>
      <c r="B7" s="415">
        <f>'Total - Detail'!B8</f>
        <v>3</v>
      </c>
      <c r="C7" s="210" t="str">
        <f>'Total - Detail'!C8</f>
        <v>Field Service Mechanic</v>
      </c>
      <c r="D7" s="210" t="s">
        <v>240</v>
      </c>
      <c r="E7" s="210" t="s">
        <v>55</v>
      </c>
      <c r="F7" s="258">
        <v>73092.298369493452</v>
      </c>
      <c r="G7" s="258"/>
      <c r="H7" s="212">
        <f t="shared" si="6"/>
        <v>73092.298369493452</v>
      </c>
      <c r="I7" s="43"/>
      <c r="J7" s="218"/>
      <c r="K7" s="624">
        <v>30.76</v>
      </c>
      <c r="L7" s="625"/>
      <c r="M7" s="216">
        <f t="shared" si="7"/>
        <v>0</v>
      </c>
      <c r="N7" s="366"/>
      <c r="O7" s="249">
        <f t="shared" ref="O7" si="31">(M7*$O$4)</f>
        <v>0</v>
      </c>
      <c r="P7" s="249">
        <f t="shared" ref="P7" si="32">(O7+M7)*$P$4</f>
        <v>0</v>
      </c>
      <c r="Q7" s="249">
        <f t="shared" ref="Q7" si="33">(M7+O7)*$Q$4</f>
        <v>0</v>
      </c>
      <c r="R7" s="249">
        <f t="shared" ref="R7" si="34">(O7+M7+P7+Q7)*$R$4</f>
        <v>0</v>
      </c>
      <c r="S7" s="249">
        <f t="shared" ref="S7" si="35">(M7+O7+P7+Q7+R7)*$S$4</f>
        <v>0</v>
      </c>
      <c r="T7" s="216">
        <f t="shared" ref="T7" si="36">SUM(M7:S7)</f>
        <v>0</v>
      </c>
      <c r="U7" s="216">
        <f t="shared" ref="U7" si="37">(T7-S7)*$U$4</f>
        <v>0</v>
      </c>
      <c r="V7" s="216">
        <f t="shared" ref="V7" si="38">SUM(T7:U7)</f>
        <v>0</v>
      </c>
      <c r="W7" s="253">
        <f t="shared" ref="W7" si="39">T7*J7</f>
        <v>0</v>
      </c>
      <c r="X7" s="216">
        <f t="shared" ref="X7" si="40">U7*J7</f>
        <v>0</v>
      </c>
      <c r="Y7" s="217">
        <f t="shared" ref="Y7" si="41">V7*J7</f>
        <v>0</v>
      </c>
      <c r="AA7" s="214"/>
      <c r="AB7" s="249"/>
      <c r="AC7" s="216">
        <f t="shared" si="19"/>
        <v>0</v>
      </c>
      <c r="AD7" s="249">
        <f t="shared" ref="AD7" si="42">(AC7*$AD$4)</f>
        <v>0</v>
      </c>
      <c r="AE7" s="249">
        <f t="shared" ref="AE7" si="43">(AC7+AD7)*$AE$4</f>
        <v>0</v>
      </c>
      <c r="AF7" s="249"/>
      <c r="AG7" s="216">
        <f t="shared" ref="AG7" si="44">SUM(AC7:AF7)</f>
        <v>0</v>
      </c>
      <c r="AH7" s="216">
        <f t="shared" ref="AH7" si="45">$AH$4*(AE7+AC7+AD7)</f>
        <v>0</v>
      </c>
      <c r="AI7" s="216">
        <f t="shared" ref="AI7" si="46">SUM(AG7:AH7)</f>
        <v>0</v>
      </c>
      <c r="AJ7" s="216">
        <f t="shared" ref="AJ7" si="47">AG7*AA7</f>
        <v>0</v>
      </c>
      <c r="AK7" s="216">
        <f t="shared" ref="AK7" si="48">AH7*AA7</f>
        <v>0</v>
      </c>
      <c r="AL7" s="216">
        <f t="shared" ref="AL7" si="49">AI7*AA7</f>
        <v>0</v>
      </c>
      <c r="AM7" s="433"/>
      <c r="AN7" s="433"/>
      <c r="AO7" s="250"/>
      <c r="AQ7" s="252" t="str">
        <f t="shared" ref="AQ7" si="50">IFERROR(SUM(W7,AJ7)/G7,"")</f>
        <v/>
      </c>
      <c r="AR7" s="253" t="str">
        <f t="shared" ref="AR7" si="51">IFERROR(SUM(X7,AK7)/G7,"")</f>
        <v/>
      </c>
      <c r="AS7" s="217">
        <f t="shared" ref="AS7" si="52">SUM(AQ7:AR7)</f>
        <v>0</v>
      </c>
      <c r="AU7" s="270"/>
    </row>
    <row r="8" spans="1:47" x14ac:dyDescent="0.25">
      <c r="A8" s="679" t="s">
        <v>205</v>
      </c>
      <c r="B8" s="241">
        <f>'Total - Detail'!B9</f>
        <v>4</v>
      </c>
      <c r="C8" s="101" t="str">
        <f>'Total - Detail'!C9</f>
        <v>Heavy Equipment Mechanic</v>
      </c>
      <c r="D8" s="101" t="s">
        <v>236</v>
      </c>
      <c r="E8" s="101" t="s">
        <v>55</v>
      </c>
      <c r="F8" s="35">
        <v>96564.591240224079</v>
      </c>
      <c r="G8" s="35">
        <f t="shared" si="5"/>
        <v>0</v>
      </c>
      <c r="H8" s="36">
        <f t="shared" si="6"/>
        <v>96564.591240224079</v>
      </c>
      <c r="I8" s="43"/>
      <c r="J8" s="109"/>
      <c r="K8" s="178">
        <v>30.76</v>
      </c>
      <c r="L8" s="111"/>
      <c r="M8" s="110">
        <f t="shared" si="7"/>
        <v>0</v>
      </c>
      <c r="N8" s="367"/>
      <c r="O8" s="111">
        <f t="shared" si="8"/>
        <v>0</v>
      </c>
      <c r="P8" s="111">
        <f t="shared" si="9"/>
        <v>0</v>
      </c>
      <c r="Q8" s="111">
        <f t="shared" si="10"/>
        <v>0</v>
      </c>
      <c r="R8" s="111">
        <f t="shared" si="11"/>
        <v>0</v>
      </c>
      <c r="S8" s="111">
        <f t="shared" si="12"/>
        <v>0</v>
      </c>
      <c r="T8" s="110">
        <f t="shared" si="13"/>
        <v>0</v>
      </c>
      <c r="U8" s="110">
        <f t="shared" si="14"/>
        <v>0</v>
      </c>
      <c r="V8" s="110">
        <f t="shared" si="15"/>
        <v>0</v>
      </c>
      <c r="W8" s="113">
        <f t="shared" si="16"/>
        <v>0</v>
      </c>
      <c r="X8" s="110">
        <f t="shared" si="17"/>
        <v>0</v>
      </c>
      <c r="Y8" s="112">
        <f t="shared" si="18"/>
        <v>0</v>
      </c>
      <c r="AA8" s="109"/>
      <c r="AB8" s="111"/>
      <c r="AC8" s="110">
        <f t="shared" si="19"/>
        <v>0</v>
      </c>
      <c r="AD8" s="111">
        <f t="shared" si="20"/>
        <v>0</v>
      </c>
      <c r="AE8" s="111">
        <f t="shared" si="21"/>
        <v>0</v>
      </c>
      <c r="AF8" s="111"/>
      <c r="AG8" s="110">
        <f t="shared" si="22"/>
        <v>0</v>
      </c>
      <c r="AH8" s="110">
        <f t="shared" si="23"/>
        <v>0</v>
      </c>
      <c r="AI8" s="110">
        <f t="shared" si="24"/>
        <v>0</v>
      </c>
      <c r="AJ8" s="110">
        <f t="shared" si="25"/>
        <v>0</v>
      </c>
      <c r="AK8" s="110">
        <f t="shared" si="26"/>
        <v>0</v>
      </c>
      <c r="AL8" s="110">
        <f t="shared" si="27"/>
        <v>0</v>
      </c>
      <c r="AM8" s="259"/>
      <c r="AN8" s="259"/>
      <c r="AO8" s="114"/>
      <c r="AQ8" s="124" t="str">
        <f t="shared" si="28"/>
        <v/>
      </c>
      <c r="AR8" s="113" t="str">
        <f t="shared" si="29"/>
        <v/>
      </c>
      <c r="AS8" s="112">
        <f t="shared" si="30"/>
        <v>0</v>
      </c>
      <c r="AU8" s="270"/>
    </row>
    <row r="9" spans="1:47" x14ac:dyDescent="0.25">
      <c r="A9" s="680"/>
      <c r="B9" s="240">
        <f>'Total - Detail'!B10</f>
        <v>5</v>
      </c>
      <c r="C9" s="100" t="str">
        <f>'Total - Detail'!C10</f>
        <v>Material Handling Specialist</v>
      </c>
      <c r="D9" s="100" t="s">
        <v>238</v>
      </c>
      <c r="E9" s="100" t="s">
        <v>55</v>
      </c>
      <c r="F9" s="39">
        <v>6328.2994259336247</v>
      </c>
      <c r="G9" s="39">
        <f t="shared" si="5"/>
        <v>0</v>
      </c>
      <c r="H9" s="40">
        <f t="shared" si="6"/>
        <v>6328.2994259336247</v>
      </c>
      <c r="I9" s="43"/>
      <c r="J9" s="137"/>
      <c r="K9" s="177">
        <v>27.78</v>
      </c>
      <c r="L9" s="276"/>
      <c r="M9" s="41">
        <f t="shared" si="7"/>
        <v>0</v>
      </c>
      <c r="N9" s="368"/>
      <c r="O9" s="5">
        <f t="shared" si="8"/>
        <v>0</v>
      </c>
      <c r="P9" s="5">
        <f t="shared" si="9"/>
        <v>0</v>
      </c>
      <c r="Q9" s="5">
        <f t="shared" si="10"/>
        <v>0</v>
      </c>
      <c r="R9" s="5">
        <f t="shared" si="11"/>
        <v>0</v>
      </c>
      <c r="S9" s="5">
        <f t="shared" si="12"/>
        <v>0</v>
      </c>
      <c r="T9" s="41">
        <f t="shared" si="13"/>
        <v>0</v>
      </c>
      <c r="U9" s="41">
        <f t="shared" si="14"/>
        <v>0</v>
      </c>
      <c r="V9" s="41">
        <f t="shared" si="15"/>
        <v>0</v>
      </c>
      <c r="W9" s="42">
        <f t="shared" si="16"/>
        <v>0</v>
      </c>
      <c r="X9" s="41">
        <f t="shared" si="17"/>
        <v>0</v>
      </c>
      <c r="Y9" s="115">
        <f t="shared" si="18"/>
        <v>0</v>
      </c>
      <c r="AA9" s="137"/>
      <c r="AB9" s="5"/>
      <c r="AC9" s="41">
        <f t="shared" si="19"/>
        <v>0</v>
      </c>
      <c r="AD9" s="5">
        <f t="shared" si="20"/>
        <v>0</v>
      </c>
      <c r="AE9" s="5">
        <f t="shared" si="21"/>
        <v>0</v>
      </c>
      <c r="AF9" s="5"/>
      <c r="AG9" s="41">
        <f t="shared" si="22"/>
        <v>0</v>
      </c>
      <c r="AH9" s="41">
        <f t="shared" si="23"/>
        <v>0</v>
      </c>
      <c r="AI9" s="41">
        <f t="shared" si="24"/>
        <v>0</v>
      </c>
      <c r="AJ9" s="41">
        <f t="shared" si="25"/>
        <v>0</v>
      </c>
      <c r="AK9" s="41">
        <f t="shared" si="26"/>
        <v>0</v>
      </c>
      <c r="AL9" s="41">
        <f t="shared" si="27"/>
        <v>0</v>
      </c>
      <c r="AM9" s="10"/>
      <c r="AN9" s="10"/>
      <c r="AO9" s="7"/>
      <c r="AQ9" s="138" t="str">
        <f t="shared" si="28"/>
        <v/>
      </c>
      <c r="AR9" s="42" t="str">
        <f t="shared" si="29"/>
        <v/>
      </c>
      <c r="AS9" s="115">
        <f t="shared" si="30"/>
        <v>0</v>
      </c>
      <c r="AU9" s="270"/>
    </row>
    <row r="10" spans="1:47" x14ac:dyDescent="0.25">
      <c r="A10" s="680"/>
      <c r="B10" s="240">
        <f>'Total - Detail'!B11</f>
        <v>6</v>
      </c>
      <c r="C10" s="100" t="str">
        <f>'Total - Detail'!C11</f>
        <v>Inspector</v>
      </c>
      <c r="D10" s="100" t="s">
        <v>235</v>
      </c>
      <c r="E10" s="100" t="s">
        <v>55</v>
      </c>
      <c r="F10" s="39">
        <v>1981.0998202861908</v>
      </c>
      <c r="G10" s="39">
        <f t="shared" si="5"/>
        <v>0</v>
      </c>
      <c r="H10" s="40">
        <f t="shared" si="6"/>
        <v>1981.0998202861908</v>
      </c>
      <c r="I10" s="43"/>
      <c r="J10" s="137"/>
      <c r="K10" s="177">
        <v>24.98</v>
      </c>
      <c r="L10" s="276"/>
      <c r="M10" s="41">
        <f t="shared" si="7"/>
        <v>0</v>
      </c>
      <c r="N10" s="368"/>
      <c r="O10" s="5">
        <f t="shared" si="8"/>
        <v>0</v>
      </c>
      <c r="P10" s="5">
        <f t="shared" si="9"/>
        <v>0</v>
      </c>
      <c r="Q10" s="5">
        <f t="shared" si="10"/>
        <v>0</v>
      </c>
      <c r="R10" s="5">
        <f t="shared" si="11"/>
        <v>0</v>
      </c>
      <c r="S10" s="5">
        <f t="shared" si="12"/>
        <v>0</v>
      </c>
      <c r="T10" s="41">
        <f t="shared" si="13"/>
        <v>0</v>
      </c>
      <c r="U10" s="41">
        <f t="shared" si="14"/>
        <v>0</v>
      </c>
      <c r="V10" s="41">
        <f t="shared" si="15"/>
        <v>0</v>
      </c>
      <c r="W10" s="42">
        <f t="shared" si="16"/>
        <v>0</v>
      </c>
      <c r="X10" s="41">
        <f t="shared" si="17"/>
        <v>0</v>
      </c>
      <c r="Y10" s="115">
        <f t="shared" si="18"/>
        <v>0</v>
      </c>
      <c r="AA10" s="137"/>
      <c r="AB10" s="5"/>
      <c r="AC10" s="41">
        <f t="shared" si="19"/>
        <v>0</v>
      </c>
      <c r="AD10" s="5">
        <f t="shared" si="20"/>
        <v>0</v>
      </c>
      <c r="AE10" s="5">
        <f t="shared" si="21"/>
        <v>0</v>
      </c>
      <c r="AF10" s="5"/>
      <c r="AG10" s="41">
        <f t="shared" si="22"/>
        <v>0</v>
      </c>
      <c r="AH10" s="41">
        <f t="shared" si="23"/>
        <v>0</v>
      </c>
      <c r="AI10" s="41">
        <f t="shared" si="24"/>
        <v>0</v>
      </c>
      <c r="AJ10" s="41">
        <f t="shared" si="25"/>
        <v>0</v>
      </c>
      <c r="AK10" s="41">
        <f t="shared" si="26"/>
        <v>0</v>
      </c>
      <c r="AL10" s="41">
        <f t="shared" si="27"/>
        <v>0</v>
      </c>
      <c r="AM10" s="10"/>
      <c r="AN10" s="10"/>
      <c r="AO10" s="7"/>
      <c r="AQ10" s="138" t="str">
        <f t="shared" si="28"/>
        <v/>
      </c>
      <c r="AR10" s="42" t="str">
        <f t="shared" si="29"/>
        <v/>
      </c>
      <c r="AS10" s="115">
        <f t="shared" si="30"/>
        <v>0</v>
      </c>
      <c r="AU10" s="270"/>
    </row>
    <row r="11" spans="1:47" x14ac:dyDescent="0.25">
      <c r="A11" s="680"/>
      <c r="B11" s="240">
        <f>'Total - Detail'!B12</f>
        <v>7</v>
      </c>
      <c r="C11" s="100" t="str">
        <f>'Total - Detail'!C12</f>
        <v>Supply/Procurement Specialist</v>
      </c>
      <c r="D11" s="100" t="s">
        <v>233</v>
      </c>
      <c r="E11" s="100" t="s">
        <v>55</v>
      </c>
      <c r="F11" s="39">
        <v>3163.5997130167048</v>
      </c>
      <c r="G11" s="39">
        <f t="shared" si="5"/>
        <v>0</v>
      </c>
      <c r="H11" s="40">
        <f t="shared" si="6"/>
        <v>3163.5997130167048</v>
      </c>
      <c r="I11" s="43"/>
      <c r="J11" s="137"/>
      <c r="K11" s="175">
        <v>35.700000000000003</v>
      </c>
      <c r="L11" s="276"/>
      <c r="M11" s="41">
        <f t="shared" si="7"/>
        <v>0</v>
      </c>
      <c r="N11" s="368"/>
      <c r="O11" s="5">
        <f t="shared" si="8"/>
        <v>0</v>
      </c>
      <c r="P11" s="5">
        <v>8</v>
      </c>
      <c r="Q11" s="5">
        <f t="shared" si="10"/>
        <v>0</v>
      </c>
      <c r="R11" s="5">
        <f t="shared" si="11"/>
        <v>0</v>
      </c>
      <c r="S11" s="5">
        <f t="shared" si="12"/>
        <v>0</v>
      </c>
      <c r="T11" s="41">
        <f t="shared" si="13"/>
        <v>8</v>
      </c>
      <c r="U11" s="41">
        <f t="shared" si="14"/>
        <v>0</v>
      </c>
      <c r="V11" s="41">
        <f t="shared" si="15"/>
        <v>8</v>
      </c>
      <c r="W11" s="42">
        <f t="shared" si="16"/>
        <v>0</v>
      </c>
      <c r="X11" s="41">
        <f t="shared" si="17"/>
        <v>0</v>
      </c>
      <c r="Y11" s="115">
        <f t="shared" si="18"/>
        <v>0</v>
      </c>
      <c r="AA11" s="137"/>
      <c r="AB11" s="5"/>
      <c r="AC11" s="41">
        <f t="shared" si="19"/>
        <v>0</v>
      </c>
      <c r="AD11" s="5">
        <f t="shared" si="20"/>
        <v>0</v>
      </c>
      <c r="AE11" s="5">
        <f t="shared" si="21"/>
        <v>0</v>
      </c>
      <c r="AF11" s="5"/>
      <c r="AG11" s="41">
        <f t="shared" si="22"/>
        <v>0</v>
      </c>
      <c r="AH11" s="41">
        <f t="shared" si="23"/>
        <v>0</v>
      </c>
      <c r="AI11" s="41">
        <f t="shared" si="24"/>
        <v>0</v>
      </c>
      <c r="AJ11" s="41">
        <f t="shared" si="25"/>
        <v>0</v>
      </c>
      <c r="AK11" s="41">
        <f t="shared" si="26"/>
        <v>0</v>
      </c>
      <c r="AL11" s="41">
        <f t="shared" si="27"/>
        <v>0</v>
      </c>
      <c r="AM11" s="10"/>
      <c r="AN11" s="10"/>
      <c r="AO11" s="7"/>
      <c r="AQ11" s="138" t="str">
        <f t="shared" si="28"/>
        <v/>
      </c>
      <c r="AR11" s="42" t="str">
        <f t="shared" si="29"/>
        <v/>
      </c>
      <c r="AS11" s="115">
        <f t="shared" si="30"/>
        <v>0</v>
      </c>
      <c r="AU11" s="270"/>
    </row>
    <row r="12" spans="1:47" ht="15.75" thickBot="1" x14ac:dyDescent="0.3">
      <c r="A12" s="681"/>
      <c r="B12" s="242">
        <f>'Total - Detail'!B13</f>
        <v>8</v>
      </c>
      <c r="C12" s="127" t="str">
        <f>'Total - Detail'!C13</f>
        <v>Welder</v>
      </c>
      <c r="D12" s="418" t="s">
        <v>239</v>
      </c>
      <c r="E12" s="127" t="s">
        <v>55</v>
      </c>
      <c r="F12" s="128">
        <v>3406.6996909640943</v>
      </c>
      <c r="G12" s="128">
        <f t="shared" si="5"/>
        <v>0</v>
      </c>
      <c r="H12" s="129">
        <f t="shared" si="6"/>
        <v>3406.6996909640943</v>
      </c>
      <c r="I12" s="43"/>
      <c r="J12" s="146"/>
      <c r="K12" s="396">
        <v>24.52</v>
      </c>
      <c r="L12" s="277"/>
      <c r="M12" s="143">
        <f t="shared" si="7"/>
        <v>0</v>
      </c>
      <c r="N12" s="369"/>
      <c r="O12" s="144">
        <f t="shared" si="8"/>
        <v>0</v>
      </c>
      <c r="P12" s="144">
        <f t="shared" si="9"/>
        <v>0</v>
      </c>
      <c r="Q12" s="144">
        <f t="shared" si="10"/>
        <v>0</v>
      </c>
      <c r="R12" s="144">
        <f t="shared" si="11"/>
        <v>0</v>
      </c>
      <c r="S12" s="144">
        <f t="shared" si="12"/>
        <v>0</v>
      </c>
      <c r="T12" s="143">
        <f t="shared" si="13"/>
        <v>0</v>
      </c>
      <c r="U12" s="143">
        <f t="shared" si="14"/>
        <v>0</v>
      </c>
      <c r="V12" s="143">
        <f t="shared" si="15"/>
        <v>0</v>
      </c>
      <c r="W12" s="149">
        <f t="shared" si="16"/>
        <v>0</v>
      </c>
      <c r="X12" s="143">
        <f t="shared" si="17"/>
        <v>0</v>
      </c>
      <c r="Y12" s="145">
        <f t="shared" si="18"/>
        <v>0</v>
      </c>
      <c r="AA12" s="146"/>
      <c r="AB12" s="144"/>
      <c r="AC12" s="143">
        <f t="shared" si="19"/>
        <v>0</v>
      </c>
      <c r="AD12" s="144">
        <f t="shared" si="20"/>
        <v>0</v>
      </c>
      <c r="AE12" s="144">
        <f t="shared" si="21"/>
        <v>0</v>
      </c>
      <c r="AF12" s="144"/>
      <c r="AG12" s="143">
        <f t="shared" si="22"/>
        <v>0</v>
      </c>
      <c r="AH12" s="143">
        <f t="shared" si="23"/>
        <v>0</v>
      </c>
      <c r="AI12" s="143">
        <f t="shared" si="24"/>
        <v>0</v>
      </c>
      <c r="AJ12" s="143">
        <f t="shared" si="25"/>
        <v>0</v>
      </c>
      <c r="AK12" s="143">
        <f t="shared" si="26"/>
        <v>0</v>
      </c>
      <c r="AL12" s="143">
        <f t="shared" si="27"/>
        <v>0</v>
      </c>
      <c r="AM12" s="260"/>
      <c r="AN12" s="260"/>
      <c r="AO12" s="147"/>
      <c r="AQ12" s="148" t="str">
        <f t="shared" si="28"/>
        <v/>
      </c>
      <c r="AR12" s="149" t="str">
        <f t="shared" si="29"/>
        <v/>
      </c>
      <c r="AS12" s="145">
        <f t="shared" si="30"/>
        <v>0</v>
      </c>
      <c r="AU12" s="270"/>
    </row>
    <row r="13" spans="1:47" ht="30.75" thickBot="1" x14ac:dyDescent="0.3">
      <c r="A13" s="504" t="s">
        <v>231</v>
      </c>
      <c r="B13" s="242">
        <f>'Total - Detail'!B14</f>
        <v>9</v>
      </c>
      <c r="C13" s="127" t="s">
        <v>210</v>
      </c>
      <c r="D13" s="127" t="s">
        <v>237</v>
      </c>
      <c r="E13" s="127" t="s">
        <v>55</v>
      </c>
      <c r="F13" s="128">
        <v>47226.295715906184</v>
      </c>
      <c r="G13" s="128">
        <f t="shared" si="5"/>
        <v>0</v>
      </c>
      <c r="H13" s="129">
        <f t="shared" si="6"/>
        <v>47226.295715906184</v>
      </c>
      <c r="I13" s="43"/>
      <c r="J13" s="146"/>
      <c r="K13" s="213">
        <v>25.89</v>
      </c>
      <c r="L13" s="277"/>
      <c r="M13" s="143">
        <f t="shared" si="7"/>
        <v>0</v>
      </c>
      <c r="N13" s="369"/>
      <c r="O13" s="144">
        <f t="shared" si="8"/>
        <v>0</v>
      </c>
      <c r="P13" s="144">
        <f t="shared" si="9"/>
        <v>0</v>
      </c>
      <c r="Q13" s="144">
        <f t="shared" si="10"/>
        <v>0</v>
      </c>
      <c r="R13" s="144">
        <f t="shared" si="11"/>
        <v>0</v>
      </c>
      <c r="S13" s="144">
        <f t="shared" si="12"/>
        <v>0</v>
      </c>
      <c r="T13" s="143">
        <f t="shared" si="13"/>
        <v>0</v>
      </c>
      <c r="U13" s="143">
        <f t="shared" si="14"/>
        <v>0</v>
      </c>
      <c r="V13" s="143">
        <f t="shared" si="15"/>
        <v>0</v>
      </c>
      <c r="W13" s="149">
        <f t="shared" si="16"/>
        <v>0</v>
      </c>
      <c r="X13" s="143">
        <f t="shared" si="17"/>
        <v>0</v>
      </c>
      <c r="Y13" s="145">
        <f t="shared" si="18"/>
        <v>0</v>
      </c>
      <c r="AA13" s="146"/>
      <c r="AB13" s="144"/>
      <c r="AC13" s="143">
        <f t="shared" si="19"/>
        <v>0</v>
      </c>
      <c r="AD13" s="144">
        <f t="shared" si="20"/>
        <v>0</v>
      </c>
      <c r="AE13" s="144">
        <f t="shared" si="21"/>
        <v>0</v>
      </c>
      <c r="AF13" s="144"/>
      <c r="AG13" s="143">
        <f t="shared" si="22"/>
        <v>0</v>
      </c>
      <c r="AH13" s="143">
        <f t="shared" si="23"/>
        <v>0</v>
      </c>
      <c r="AI13" s="143">
        <f t="shared" si="24"/>
        <v>0</v>
      </c>
      <c r="AJ13" s="143">
        <f t="shared" si="25"/>
        <v>0</v>
      </c>
      <c r="AK13" s="143">
        <f t="shared" si="26"/>
        <v>0</v>
      </c>
      <c r="AL13" s="143">
        <f t="shared" si="27"/>
        <v>0</v>
      </c>
      <c r="AM13" s="260"/>
      <c r="AN13" s="260"/>
      <c r="AO13" s="147"/>
      <c r="AQ13" s="148" t="str">
        <f t="shared" si="28"/>
        <v/>
      </c>
      <c r="AR13" s="149" t="str">
        <f t="shared" si="29"/>
        <v/>
      </c>
      <c r="AS13" s="145">
        <f t="shared" si="30"/>
        <v>0</v>
      </c>
      <c r="AU13" s="270"/>
    </row>
    <row r="14" spans="1:47" x14ac:dyDescent="0.25">
      <c r="A14" s="679" t="s">
        <v>207</v>
      </c>
      <c r="B14" s="241">
        <f>'Total - Detail'!B15</f>
        <v>4</v>
      </c>
      <c r="C14" s="101" t="str">
        <f>'Total - Detail'!C15</f>
        <v>Heavy Equipment Mechanic</v>
      </c>
      <c r="D14" s="101" t="s">
        <v>236</v>
      </c>
      <c r="E14" s="101" t="s">
        <v>55</v>
      </c>
      <c r="F14" s="35">
        <v>14445.198689615912</v>
      </c>
      <c r="G14" s="35">
        <f t="shared" si="5"/>
        <v>0</v>
      </c>
      <c r="H14" s="36">
        <f t="shared" si="6"/>
        <v>14445.198689615912</v>
      </c>
      <c r="I14" s="43"/>
      <c r="J14" s="109"/>
      <c r="K14" s="178">
        <v>30.76</v>
      </c>
      <c r="L14" s="505">
        <f>L8</f>
        <v>0</v>
      </c>
      <c r="M14" s="110">
        <f t="shared" si="7"/>
        <v>0</v>
      </c>
      <c r="N14" s="367"/>
      <c r="O14" s="110">
        <f>O8</f>
        <v>0</v>
      </c>
      <c r="P14" s="110">
        <f t="shared" ref="P14:S14" si="53">P8</f>
        <v>0</v>
      </c>
      <c r="Q14" s="110">
        <f t="shared" si="53"/>
        <v>0</v>
      </c>
      <c r="R14" s="110">
        <f t="shared" si="53"/>
        <v>0</v>
      </c>
      <c r="S14" s="110">
        <f t="shared" si="53"/>
        <v>0</v>
      </c>
      <c r="T14" s="110">
        <f t="shared" si="13"/>
        <v>0</v>
      </c>
      <c r="U14" s="110">
        <f t="shared" si="14"/>
        <v>0</v>
      </c>
      <c r="V14" s="110">
        <f t="shared" si="15"/>
        <v>0</v>
      </c>
      <c r="W14" s="113">
        <f t="shared" si="16"/>
        <v>0</v>
      </c>
      <c r="X14" s="110">
        <f t="shared" si="17"/>
        <v>0</v>
      </c>
      <c r="Y14" s="112">
        <f t="shared" si="18"/>
        <v>0</v>
      </c>
      <c r="AA14" s="109"/>
      <c r="AB14" s="111"/>
      <c r="AC14" s="110">
        <f t="shared" si="19"/>
        <v>0</v>
      </c>
      <c r="AD14" s="111">
        <f t="shared" si="20"/>
        <v>0</v>
      </c>
      <c r="AE14" s="111">
        <f t="shared" si="21"/>
        <v>0</v>
      </c>
      <c r="AF14" s="111"/>
      <c r="AG14" s="110">
        <f t="shared" si="22"/>
        <v>0</v>
      </c>
      <c r="AH14" s="110">
        <f t="shared" si="23"/>
        <v>0</v>
      </c>
      <c r="AI14" s="110">
        <f t="shared" si="24"/>
        <v>0</v>
      </c>
      <c r="AJ14" s="110">
        <f t="shared" si="25"/>
        <v>0</v>
      </c>
      <c r="AK14" s="110">
        <f t="shared" si="26"/>
        <v>0</v>
      </c>
      <c r="AL14" s="110">
        <f t="shared" si="27"/>
        <v>0</v>
      </c>
      <c r="AM14" s="259"/>
      <c r="AN14" s="259"/>
      <c r="AO14" s="114"/>
      <c r="AQ14" s="124" t="str">
        <f t="shared" si="28"/>
        <v/>
      </c>
      <c r="AR14" s="113" t="str">
        <f t="shared" si="29"/>
        <v/>
      </c>
      <c r="AS14" s="112">
        <f t="shared" si="30"/>
        <v>0</v>
      </c>
      <c r="AU14" s="270"/>
    </row>
    <row r="15" spans="1:47" ht="15" customHeight="1" x14ac:dyDescent="0.25">
      <c r="A15" s="680"/>
      <c r="B15" s="240">
        <f>'Total - Detail'!B16</f>
        <v>5</v>
      </c>
      <c r="C15" s="100" t="str">
        <f>'Total - Detail'!C16</f>
        <v>Material Handling Specialist</v>
      </c>
      <c r="D15" s="100" t="s">
        <v>238</v>
      </c>
      <c r="E15" s="100" t="s">
        <v>55</v>
      </c>
      <c r="F15" s="39">
        <v>6328.2994259336247</v>
      </c>
      <c r="G15" s="39">
        <f t="shared" si="5"/>
        <v>0</v>
      </c>
      <c r="H15" s="40">
        <f t="shared" si="6"/>
        <v>6328.2994259336247</v>
      </c>
      <c r="I15" s="43"/>
      <c r="J15" s="137"/>
      <c r="K15" s="177">
        <v>27.78</v>
      </c>
      <c r="L15" s="41">
        <f>L9</f>
        <v>0</v>
      </c>
      <c r="M15" s="41">
        <f t="shared" si="7"/>
        <v>0</v>
      </c>
      <c r="N15" s="368"/>
      <c r="O15" s="41">
        <f>O9</f>
        <v>0</v>
      </c>
      <c r="P15" s="41">
        <f t="shared" ref="P15:S15" si="54">P9</f>
        <v>0</v>
      </c>
      <c r="Q15" s="41">
        <f t="shared" si="54"/>
        <v>0</v>
      </c>
      <c r="R15" s="41">
        <f t="shared" si="54"/>
        <v>0</v>
      </c>
      <c r="S15" s="41">
        <f t="shared" si="54"/>
        <v>0</v>
      </c>
      <c r="T15" s="41">
        <f t="shared" si="13"/>
        <v>0</v>
      </c>
      <c r="U15" s="41">
        <f t="shared" si="14"/>
        <v>0</v>
      </c>
      <c r="V15" s="41">
        <f t="shared" si="15"/>
        <v>0</v>
      </c>
      <c r="W15" s="42">
        <f t="shared" si="16"/>
        <v>0</v>
      </c>
      <c r="X15" s="41">
        <f t="shared" si="17"/>
        <v>0</v>
      </c>
      <c r="Y15" s="115">
        <f t="shared" si="18"/>
        <v>0</v>
      </c>
      <c r="AA15" s="137"/>
      <c r="AB15" s="5"/>
      <c r="AC15" s="41">
        <f t="shared" si="19"/>
        <v>0</v>
      </c>
      <c r="AD15" s="5">
        <f t="shared" si="20"/>
        <v>0</v>
      </c>
      <c r="AE15" s="5">
        <f t="shared" si="21"/>
        <v>0</v>
      </c>
      <c r="AF15" s="5"/>
      <c r="AG15" s="41">
        <f t="shared" si="22"/>
        <v>0</v>
      </c>
      <c r="AH15" s="41">
        <f t="shared" si="23"/>
        <v>0</v>
      </c>
      <c r="AI15" s="41">
        <f t="shared" si="24"/>
        <v>0</v>
      </c>
      <c r="AJ15" s="41">
        <f t="shared" si="25"/>
        <v>0</v>
      </c>
      <c r="AK15" s="41">
        <f t="shared" si="26"/>
        <v>0</v>
      </c>
      <c r="AL15" s="41">
        <f t="shared" si="27"/>
        <v>0</v>
      </c>
      <c r="AM15" s="10"/>
      <c r="AN15" s="10"/>
      <c r="AO15" s="7"/>
      <c r="AQ15" s="138" t="str">
        <f t="shared" si="28"/>
        <v/>
      </c>
      <c r="AR15" s="42" t="str">
        <f t="shared" si="29"/>
        <v/>
      </c>
      <c r="AS15" s="115">
        <f t="shared" si="30"/>
        <v>0</v>
      </c>
      <c r="AU15" s="270"/>
    </row>
    <row r="16" spans="1:47" ht="15.75" thickBot="1" x14ac:dyDescent="0.3">
      <c r="A16" s="680"/>
      <c r="B16" s="240">
        <f>'Total - Detail'!B17</f>
        <v>6</v>
      </c>
      <c r="C16" s="100" t="str">
        <f>'Total - Detail'!C17</f>
        <v>Inspector</v>
      </c>
      <c r="D16" s="100" t="s">
        <v>235</v>
      </c>
      <c r="E16" s="100" t="s">
        <v>55</v>
      </c>
      <c r="F16" s="39">
        <v>1981.0998202861908</v>
      </c>
      <c r="G16" s="39">
        <f t="shared" si="5"/>
        <v>0</v>
      </c>
      <c r="H16" s="40">
        <f t="shared" si="6"/>
        <v>1981.0998202861908</v>
      </c>
      <c r="I16" s="43"/>
      <c r="J16" s="137"/>
      <c r="K16" s="177">
        <v>24.98</v>
      </c>
      <c r="L16" s="175">
        <f>L10</f>
        <v>0</v>
      </c>
      <c r="M16" s="41">
        <f t="shared" si="7"/>
        <v>0</v>
      </c>
      <c r="N16" s="368"/>
      <c r="O16" s="41">
        <f>O10</f>
        <v>0</v>
      </c>
      <c r="P16" s="41">
        <f t="shared" ref="P16:S16" si="55">P10</f>
        <v>0</v>
      </c>
      <c r="Q16" s="41">
        <f t="shared" si="55"/>
        <v>0</v>
      </c>
      <c r="R16" s="41">
        <f t="shared" si="55"/>
        <v>0</v>
      </c>
      <c r="S16" s="41">
        <f t="shared" si="55"/>
        <v>0</v>
      </c>
      <c r="T16" s="41">
        <f t="shared" si="13"/>
        <v>0</v>
      </c>
      <c r="U16" s="41">
        <f t="shared" si="14"/>
        <v>0</v>
      </c>
      <c r="V16" s="41">
        <f t="shared" si="15"/>
        <v>0</v>
      </c>
      <c r="W16" s="42">
        <f t="shared" si="16"/>
        <v>0</v>
      </c>
      <c r="X16" s="41">
        <f t="shared" si="17"/>
        <v>0</v>
      </c>
      <c r="Y16" s="115">
        <f t="shared" si="18"/>
        <v>0</v>
      </c>
      <c r="AA16" s="137"/>
      <c r="AB16" s="5"/>
      <c r="AC16" s="41">
        <f t="shared" si="19"/>
        <v>0</v>
      </c>
      <c r="AD16" s="5">
        <f t="shared" si="20"/>
        <v>0</v>
      </c>
      <c r="AE16" s="5">
        <f t="shared" si="21"/>
        <v>0</v>
      </c>
      <c r="AF16" s="5"/>
      <c r="AG16" s="41">
        <f t="shared" si="22"/>
        <v>0</v>
      </c>
      <c r="AH16" s="41">
        <f t="shared" si="23"/>
        <v>0</v>
      </c>
      <c r="AI16" s="41">
        <f t="shared" si="24"/>
        <v>0</v>
      </c>
      <c r="AJ16" s="41">
        <f t="shared" si="25"/>
        <v>0</v>
      </c>
      <c r="AK16" s="41">
        <f t="shared" si="26"/>
        <v>0</v>
      </c>
      <c r="AL16" s="41">
        <f t="shared" si="27"/>
        <v>0</v>
      </c>
      <c r="AM16" s="10"/>
      <c r="AN16" s="10"/>
      <c r="AO16" s="7"/>
      <c r="AQ16" s="138" t="str">
        <f t="shared" si="28"/>
        <v/>
      </c>
      <c r="AR16" s="42" t="str">
        <f t="shared" si="29"/>
        <v/>
      </c>
      <c r="AS16" s="115">
        <f t="shared" si="30"/>
        <v>0</v>
      </c>
      <c r="AU16" s="270"/>
    </row>
    <row r="17" spans="1:47" ht="15.75" thickBot="1" x14ac:dyDescent="0.3">
      <c r="A17" s="681"/>
      <c r="B17" s="242">
        <f>'Total - Detail'!B18</f>
        <v>2</v>
      </c>
      <c r="C17" s="127" t="str">
        <f>'Total - Detail'!C18</f>
        <v>Field Service Representative</v>
      </c>
      <c r="D17" s="210" t="s">
        <v>289</v>
      </c>
      <c r="E17" s="127" t="s">
        <v>55</v>
      </c>
      <c r="F17" s="128">
        <v>3163.5997130167048</v>
      </c>
      <c r="G17" s="128">
        <f t="shared" si="5"/>
        <v>0</v>
      </c>
      <c r="H17" s="129">
        <f t="shared" si="6"/>
        <v>3163.5997130167048</v>
      </c>
      <c r="I17" s="43"/>
      <c r="J17" s="146"/>
      <c r="K17" s="213">
        <v>35.83</v>
      </c>
      <c r="L17" s="143">
        <f>L6</f>
        <v>0</v>
      </c>
      <c r="M17" s="143">
        <f>IF($J17&gt;0,IF($L17&lt;$K17,$K17,$L17),0)</f>
        <v>0</v>
      </c>
      <c r="N17" s="369"/>
      <c r="O17" s="143">
        <f>O6</f>
        <v>0</v>
      </c>
      <c r="P17" s="143">
        <f>P6</f>
        <v>0</v>
      </c>
      <c r="Q17" s="143">
        <f>Q6</f>
        <v>0</v>
      </c>
      <c r="R17" s="143">
        <f>R6</f>
        <v>0</v>
      </c>
      <c r="S17" s="143">
        <f>S6</f>
        <v>0</v>
      </c>
      <c r="T17" s="143">
        <f>SUM(M17:S17)</f>
        <v>0</v>
      </c>
      <c r="U17" s="143">
        <f>(T17-S17)*$U$4</f>
        <v>0</v>
      </c>
      <c r="V17" s="143">
        <f>SUM(T17:U17)</f>
        <v>0</v>
      </c>
      <c r="W17" s="149">
        <f t="shared" si="16"/>
        <v>0</v>
      </c>
      <c r="X17" s="143">
        <f t="shared" si="17"/>
        <v>0</v>
      </c>
      <c r="Y17" s="145">
        <f t="shared" si="18"/>
        <v>0</v>
      </c>
      <c r="AA17" s="146"/>
      <c r="AB17" s="144"/>
      <c r="AC17" s="143">
        <f t="shared" si="19"/>
        <v>0</v>
      </c>
      <c r="AD17" s="144">
        <f t="shared" si="20"/>
        <v>0</v>
      </c>
      <c r="AE17" s="144">
        <f t="shared" si="21"/>
        <v>0</v>
      </c>
      <c r="AF17" s="144"/>
      <c r="AG17" s="143">
        <f t="shared" si="22"/>
        <v>0</v>
      </c>
      <c r="AH17" s="143">
        <f t="shared" si="23"/>
        <v>0</v>
      </c>
      <c r="AI17" s="143">
        <f t="shared" si="24"/>
        <v>0</v>
      </c>
      <c r="AJ17" s="143">
        <f t="shared" si="25"/>
        <v>0</v>
      </c>
      <c r="AK17" s="143">
        <f t="shared" si="26"/>
        <v>0</v>
      </c>
      <c r="AL17" s="143">
        <f t="shared" si="27"/>
        <v>0</v>
      </c>
      <c r="AM17" s="260"/>
      <c r="AN17" s="260"/>
      <c r="AO17" s="147"/>
      <c r="AQ17" s="148" t="str">
        <f t="shared" si="28"/>
        <v/>
      </c>
      <c r="AR17" s="149" t="str">
        <f t="shared" si="29"/>
        <v/>
      </c>
      <c r="AS17" s="145">
        <f t="shared" si="30"/>
        <v>0</v>
      </c>
      <c r="AU17" s="270"/>
    </row>
    <row r="18" spans="1:47" x14ac:dyDescent="0.25">
      <c r="A18" s="679" t="s">
        <v>208</v>
      </c>
      <c r="B18" s="241">
        <f>'Total - Detail'!B19</f>
        <v>2</v>
      </c>
      <c r="C18" s="101" t="str">
        <f>'Total - Detail'!C19</f>
        <v>Field Service Representative</v>
      </c>
      <c r="D18" s="101" t="s">
        <v>289</v>
      </c>
      <c r="E18" s="101" t="s">
        <v>55</v>
      </c>
      <c r="F18" s="35">
        <v>1814.9998353538119</v>
      </c>
      <c r="G18" s="35">
        <f t="shared" si="5"/>
        <v>0</v>
      </c>
      <c r="H18" s="36">
        <f t="shared" si="6"/>
        <v>1814.9998353538119</v>
      </c>
      <c r="I18" s="43"/>
      <c r="J18" s="109"/>
      <c r="K18" s="178">
        <v>35.83</v>
      </c>
      <c r="L18" s="110">
        <f>L6</f>
        <v>0</v>
      </c>
      <c r="M18" s="110">
        <f>IF($J18&gt;0,IF($L18&lt;$K18,$K18,$L18),0)</f>
        <v>0</v>
      </c>
      <c r="N18" s="367"/>
      <c r="O18" s="110">
        <f>O6</f>
        <v>0</v>
      </c>
      <c r="P18" s="110">
        <f>P6</f>
        <v>0</v>
      </c>
      <c r="Q18" s="110">
        <f>Q6</f>
        <v>0</v>
      </c>
      <c r="R18" s="110">
        <f>R6</f>
        <v>0</v>
      </c>
      <c r="S18" s="110">
        <f>S6</f>
        <v>0</v>
      </c>
      <c r="T18" s="110">
        <f t="shared" si="13"/>
        <v>0</v>
      </c>
      <c r="U18" s="110">
        <f t="shared" si="14"/>
        <v>0</v>
      </c>
      <c r="V18" s="110">
        <f t="shared" si="15"/>
        <v>0</v>
      </c>
      <c r="W18" s="113">
        <f t="shared" si="16"/>
        <v>0</v>
      </c>
      <c r="X18" s="110">
        <f t="shared" si="17"/>
        <v>0</v>
      </c>
      <c r="Y18" s="112">
        <f t="shared" si="18"/>
        <v>0</v>
      </c>
      <c r="AA18" s="109"/>
      <c r="AB18" s="111"/>
      <c r="AC18" s="110">
        <f t="shared" si="19"/>
        <v>0</v>
      </c>
      <c r="AD18" s="111">
        <f t="shared" si="20"/>
        <v>0</v>
      </c>
      <c r="AE18" s="111">
        <f t="shared" si="21"/>
        <v>0</v>
      </c>
      <c r="AF18" s="111"/>
      <c r="AG18" s="110">
        <f t="shared" si="22"/>
        <v>0</v>
      </c>
      <c r="AH18" s="110">
        <f t="shared" si="23"/>
        <v>0</v>
      </c>
      <c r="AI18" s="110">
        <f t="shared" si="24"/>
        <v>0</v>
      </c>
      <c r="AJ18" s="110">
        <f t="shared" si="25"/>
        <v>0</v>
      </c>
      <c r="AK18" s="110">
        <f t="shared" si="26"/>
        <v>0</v>
      </c>
      <c r="AL18" s="110">
        <f t="shared" si="27"/>
        <v>0</v>
      </c>
      <c r="AM18" s="259"/>
      <c r="AN18" s="259"/>
      <c r="AO18" s="114"/>
      <c r="AQ18" s="124" t="str">
        <f t="shared" si="28"/>
        <v/>
      </c>
      <c r="AR18" s="113" t="str">
        <f t="shared" si="29"/>
        <v/>
      </c>
      <c r="AS18" s="112">
        <f t="shared" si="30"/>
        <v>0</v>
      </c>
      <c r="AU18" s="270"/>
    </row>
    <row r="19" spans="1:47" x14ac:dyDescent="0.25">
      <c r="A19" s="680"/>
      <c r="B19" s="240">
        <f>'Total - Detail'!B20</f>
        <v>10</v>
      </c>
      <c r="C19" s="100" t="str">
        <f>'Total - Detail'!C20</f>
        <v>MWO Installer</v>
      </c>
      <c r="D19" s="100" t="s">
        <v>288</v>
      </c>
      <c r="E19" s="100" t="s">
        <v>55</v>
      </c>
      <c r="F19" s="39">
        <v>23634.597856007273</v>
      </c>
      <c r="G19" s="39">
        <f t="shared" si="5"/>
        <v>0</v>
      </c>
      <c r="H19" s="40">
        <f t="shared" si="6"/>
        <v>23634.597856007273</v>
      </c>
      <c r="I19" s="43"/>
      <c r="J19" s="137"/>
      <c r="K19" s="177">
        <v>30.76</v>
      </c>
      <c r="L19" s="5"/>
      <c r="M19" s="41">
        <f t="shared" si="7"/>
        <v>0</v>
      </c>
      <c r="N19" s="368"/>
      <c r="O19" s="5">
        <f t="shared" si="8"/>
        <v>0</v>
      </c>
      <c r="P19" s="5">
        <f t="shared" si="9"/>
        <v>0</v>
      </c>
      <c r="Q19" s="5">
        <f t="shared" si="10"/>
        <v>0</v>
      </c>
      <c r="R19" s="5">
        <f t="shared" si="11"/>
        <v>0</v>
      </c>
      <c r="S19" s="5">
        <f t="shared" si="12"/>
        <v>0</v>
      </c>
      <c r="T19" s="41">
        <f t="shared" si="13"/>
        <v>0</v>
      </c>
      <c r="U19" s="41">
        <f t="shared" si="14"/>
        <v>0</v>
      </c>
      <c r="V19" s="41">
        <f t="shared" si="15"/>
        <v>0</v>
      </c>
      <c r="W19" s="42">
        <f t="shared" si="16"/>
        <v>0</v>
      </c>
      <c r="X19" s="41">
        <f t="shared" si="17"/>
        <v>0</v>
      </c>
      <c r="Y19" s="115">
        <f t="shared" si="18"/>
        <v>0</v>
      </c>
      <c r="AA19" s="137"/>
      <c r="AB19" s="5"/>
      <c r="AC19" s="41">
        <f t="shared" si="19"/>
        <v>0</v>
      </c>
      <c r="AD19" s="5">
        <f t="shared" si="20"/>
        <v>0</v>
      </c>
      <c r="AE19" s="5">
        <f t="shared" si="21"/>
        <v>0</v>
      </c>
      <c r="AF19" s="5"/>
      <c r="AG19" s="41">
        <f t="shared" si="22"/>
        <v>0</v>
      </c>
      <c r="AH19" s="41">
        <f t="shared" si="23"/>
        <v>0</v>
      </c>
      <c r="AI19" s="41">
        <f t="shared" si="24"/>
        <v>0</v>
      </c>
      <c r="AJ19" s="41">
        <f t="shared" si="25"/>
        <v>0</v>
      </c>
      <c r="AK19" s="41">
        <f t="shared" si="26"/>
        <v>0</v>
      </c>
      <c r="AL19" s="41">
        <f t="shared" si="27"/>
        <v>0</v>
      </c>
      <c r="AM19" s="10"/>
      <c r="AN19" s="10"/>
      <c r="AO19" s="7"/>
      <c r="AQ19" s="138" t="str">
        <f t="shared" si="28"/>
        <v/>
      </c>
      <c r="AR19" s="42" t="str">
        <f t="shared" si="29"/>
        <v/>
      </c>
      <c r="AS19" s="115">
        <f t="shared" si="30"/>
        <v>0</v>
      </c>
      <c r="AU19" s="270"/>
    </row>
    <row r="20" spans="1:47" x14ac:dyDescent="0.25">
      <c r="A20" s="680"/>
      <c r="B20" s="240">
        <f>'Total - Detail'!B21</f>
        <v>6</v>
      </c>
      <c r="C20" s="100" t="str">
        <f>'Total - Detail'!C21</f>
        <v>Inspector</v>
      </c>
      <c r="D20" s="100" t="s">
        <v>240</v>
      </c>
      <c r="E20" s="100" t="s">
        <v>55</v>
      </c>
      <c r="F20" s="39">
        <v>6135.7994433960985</v>
      </c>
      <c r="G20" s="39">
        <f t="shared" si="5"/>
        <v>0</v>
      </c>
      <c r="H20" s="40">
        <f t="shared" si="6"/>
        <v>6135.7994433960985</v>
      </c>
      <c r="I20" s="43"/>
      <c r="J20" s="137"/>
      <c r="K20" s="177">
        <v>24.98</v>
      </c>
      <c r="L20" s="41">
        <f>L10</f>
        <v>0</v>
      </c>
      <c r="M20" s="41">
        <f t="shared" si="7"/>
        <v>0</v>
      </c>
      <c r="N20" s="368"/>
      <c r="O20" s="41">
        <f>O10</f>
        <v>0</v>
      </c>
      <c r="P20" s="41">
        <f t="shared" ref="P20:S20" si="56">P10</f>
        <v>0</v>
      </c>
      <c r="Q20" s="41">
        <f t="shared" si="56"/>
        <v>0</v>
      </c>
      <c r="R20" s="41">
        <f t="shared" si="56"/>
        <v>0</v>
      </c>
      <c r="S20" s="41">
        <f t="shared" si="56"/>
        <v>0</v>
      </c>
      <c r="T20" s="41">
        <f t="shared" si="13"/>
        <v>0</v>
      </c>
      <c r="U20" s="41">
        <f t="shared" si="14"/>
        <v>0</v>
      </c>
      <c r="V20" s="41">
        <f t="shared" si="15"/>
        <v>0</v>
      </c>
      <c r="W20" s="42">
        <f t="shared" si="16"/>
        <v>0</v>
      </c>
      <c r="X20" s="41">
        <f t="shared" si="17"/>
        <v>0</v>
      </c>
      <c r="Y20" s="115">
        <f t="shared" si="18"/>
        <v>0</v>
      </c>
      <c r="AA20" s="137"/>
      <c r="AB20" s="5"/>
      <c r="AC20" s="41">
        <f t="shared" si="19"/>
        <v>0</v>
      </c>
      <c r="AD20" s="5">
        <f t="shared" si="20"/>
        <v>0</v>
      </c>
      <c r="AE20" s="5">
        <f t="shared" si="21"/>
        <v>0</v>
      </c>
      <c r="AF20" s="5"/>
      <c r="AG20" s="41">
        <f t="shared" si="22"/>
        <v>0</v>
      </c>
      <c r="AH20" s="41">
        <f t="shared" si="23"/>
        <v>0</v>
      </c>
      <c r="AI20" s="41">
        <f t="shared" si="24"/>
        <v>0</v>
      </c>
      <c r="AJ20" s="41">
        <f t="shared" si="25"/>
        <v>0</v>
      </c>
      <c r="AK20" s="41">
        <f t="shared" si="26"/>
        <v>0</v>
      </c>
      <c r="AL20" s="41">
        <f t="shared" si="27"/>
        <v>0</v>
      </c>
      <c r="AM20" s="10"/>
      <c r="AN20" s="10"/>
      <c r="AO20" s="7"/>
      <c r="AQ20" s="138" t="str">
        <f t="shared" si="28"/>
        <v/>
      </c>
      <c r="AR20" s="42" t="str">
        <f t="shared" si="29"/>
        <v/>
      </c>
      <c r="AS20" s="115">
        <f t="shared" si="30"/>
        <v>0</v>
      </c>
      <c r="AU20" s="270"/>
    </row>
    <row r="21" spans="1:47" ht="15.75" thickBot="1" x14ac:dyDescent="0.3">
      <c r="A21" s="681"/>
      <c r="B21" s="242">
        <f>'Total - Detail'!B22</f>
        <v>8</v>
      </c>
      <c r="C21" s="127" t="str">
        <f>'Total - Detail'!C22</f>
        <v>Welder</v>
      </c>
      <c r="D21" s="127" t="s">
        <v>239</v>
      </c>
      <c r="E21" s="127" t="s">
        <v>55</v>
      </c>
      <c r="F21" s="128">
        <v>4718.9995719199114</v>
      </c>
      <c r="G21" s="128">
        <f t="shared" si="5"/>
        <v>0</v>
      </c>
      <c r="H21" s="129">
        <f t="shared" si="6"/>
        <v>4718.9995719199114</v>
      </c>
      <c r="I21" s="43"/>
      <c r="J21" s="146"/>
      <c r="K21" s="213">
        <v>24.52</v>
      </c>
      <c r="L21" s="143">
        <f>L12</f>
        <v>0</v>
      </c>
      <c r="M21" s="143">
        <f t="shared" si="7"/>
        <v>0</v>
      </c>
      <c r="N21" s="369"/>
      <c r="O21" s="143">
        <f>O12</f>
        <v>0</v>
      </c>
      <c r="P21" s="143">
        <f t="shared" ref="P21:S21" si="57">P12</f>
        <v>0</v>
      </c>
      <c r="Q21" s="143">
        <f t="shared" si="57"/>
        <v>0</v>
      </c>
      <c r="R21" s="143">
        <f t="shared" si="57"/>
        <v>0</v>
      </c>
      <c r="S21" s="143">
        <f t="shared" si="57"/>
        <v>0</v>
      </c>
      <c r="T21" s="143">
        <f t="shared" si="13"/>
        <v>0</v>
      </c>
      <c r="U21" s="143">
        <f t="shared" si="14"/>
        <v>0</v>
      </c>
      <c r="V21" s="143">
        <f t="shared" si="15"/>
        <v>0</v>
      </c>
      <c r="W21" s="149">
        <f t="shared" si="16"/>
        <v>0</v>
      </c>
      <c r="X21" s="143">
        <f t="shared" si="17"/>
        <v>0</v>
      </c>
      <c r="Y21" s="145">
        <f t="shared" si="18"/>
        <v>0</v>
      </c>
      <c r="AA21" s="146"/>
      <c r="AB21" s="144"/>
      <c r="AC21" s="143">
        <f t="shared" si="19"/>
        <v>0</v>
      </c>
      <c r="AD21" s="144">
        <f t="shared" si="20"/>
        <v>0</v>
      </c>
      <c r="AE21" s="144">
        <f t="shared" si="21"/>
        <v>0</v>
      </c>
      <c r="AF21" s="144"/>
      <c r="AG21" s="143">
        <f t="shared" si="22"/>
        <v>0</v>
      </c>
      <c r="AH21" s="143">
        <f t="shared" si="23"/>
        <v>0</v>
      </c>
      <c r="AI21" s="143">
        <f t="shared" si="24"/>
        <v>0</v>
      </c>
      <c r="AJ21" s="143">
        <f t="shared" si="25"/>
        <v>0</v>
      </c>
      <c r="AK21" s="143">
        <f t="shared" si="26"/>
        <v>0</v>
      </c>
      <c r="AL21" s="143">
        <f t="shared" si="27"/>
        <v>0</v>
      </c>
      <c r="AM21" s="260"/>
      <c r="AN21" s="260"/>
      <c r="AO21" s="147"/>
      <c r="AQ21" s="148" t="str">
        <f t="shared" si="28"/>
        <v/>
      </c>
      <c r="AR21" s="149" t="str">
        <f t="shared" si="29"/>
        <v/>
      </c>
      <c r="AS21" s="145">
        <f t="shared" si="30"/>
        <v>0</v>
      </c>
      <c r="AU21" s="270"/>
    </row>
    <row r="22" spans="1:47" ht="18" thickBot="1" x14ac:dyDescent="0.35">
      <c r="A22" s="419" t="s">
        <v>77</v>
      </c>
      <c r="B22" s="58"/>
      <c r="C22" s="11"/>
      <c r="D22" s="17"/>
      <c r="E22" s="11"/>
      <c r="F22" s="424"/>
      <c r="G22" s="424"/>
      <c r="H22" s="425"/>
      <c r="I22" s="99"/>
      <c r="J22" s="406"/>
      <c r="K22" s="426"/>
      <c r="L22" s="426"/>
      <c r="M22" s="426"/>
      <c r="N22" s="407"/>
      <c r="O22" s="407"/>
      <c r="P22" s="407"/>
      <c r="Q22" s="407"/>
      <c r="R22" s="407">
        <f t="shared" ref="R22" si="58">(O22+M22+P22+Q22)*$R$4</f>
        <v>0</v>
      </c>
      <c r="S22" s="407">
        <f t="shared" ref="S22" si="59">(M22+O22+P22+Q22+R22)*$S$4</f>
        <v>0</v>
      </c>
      <c r="T22" s="407"/>
      <c r="U22" s="407"/>
      <c r="V22" s="407"/>
      <c r="W22" s="407"/>
      <c r="X22" s="407"/>
      <c r="Y22" s="427"/>
      <c r="AA22" s="406"/>
      <c r="AB22" s="407"/>
      <c r="AC22" s="407"/>
      <c r="AD22" s="407"/>
      <c r="AE22" s="407"/>
      <c r="AF22" s="407"/>
      <c r="AG22" s="407"/>
      <c r="AH22" s="407"/>
      <c r="AI22" s="407"/>
      <c r="AJ22" s="407"/>
      <c r="AK22" s="407"/>
      <c r="AL22" s="407"/>
      <c r="AM22" s="408"/>
      <c r="AN22" s="408"/>
      <c r="AO22" s="409"/>
      <c r="AQ22" s="428"/>
      <c r="AR22" s="429"/>
      <c r="AS22" s="427"/>
      <c r="AU22" s="270"/>
    </row>
    <row r="23" spans="1:47" ht="15.75" thickBot="1" x14ac:dyDescent="0.3">
      <c r="A23" s="694" t="s">
        <v>43</v>
      </c>
      <c r="B23" s="415">
        <f>'Total - Detail'!B24</f>
        <v>11</v>
      </c>
      <c r="C23" s="210" t="str">
        <f>'Total - Detail'!C24</f>
        <v xml:space="preserve">Field Service Representative </v>
      </c>
      <c r="D23" s="210" t="s">
        <v>289</v>
      </c>
      <c r="E23" s="210" t="s">
        <v>77</v>
      </c>
      <c r="F23" s="211">
        <v>6177.7094395942677</v>
      </c>
      <c r="G23" s="211">
        <f t="shared" ref="G23:G38" si="60">SUM(J23,AA23)</f>
        <v>0</v>
      </c>
      <c r="H23" s="212">
        <f t="shared" ref="H23:H38" si="61">F23-G23</f>
        <v>6177.7094395942677</v>
      </c>
      <c r="I23" s="43"/>
      <c r="J23" s="214"/>
      <c r="K23" s="216">
        <v>37.621499999999997</v>
      </c>
      <c r="L23" s="274"/>
      <c r="M23" s="216">
        <f t="shared" ref="M23:M38" si="62">IF($J23&gt;0,IF($L23&lt;$K23,$K23,$L23),0)</f>
        <v>0</v>
      </c>
      <c r="N23" s="249">
        <f t="shared" ref="N23:N36" si="63">(M23*$N$4)</f>
        <v>0</v>
      </c>
      <c r="O23" s="249">
        <f t="shared" ref="O23:O36" si="64">(M23+N23)*$O$4</f>
        <v>0</v>
      </c>
      <c r="P23" s="249">
        <f t="shared" ref="P23:P36" si="65">(O23+N23+M23)*$P$4</f>
        <v>0</v>
      </c>
      <c r="Q23" s="249">
        <f t="shared" ref="Q23:Q36" si="66">(M23+N23+O23)*$Q$4</f>
        <v>0</v>
      </c>
      <c r="R23" s="249">
        <f t="shared" ref="R23:R36" si="67">(O23+M23+P23+Q23)*$R$4</f>
        <v>0</v>
      </c>
      <c r="S23" s="249">
        <f t="shared" ref="S23:S36" si="68">(M23+O23+P23+Q23+R23)*$S$4</f>
        <v>0</v>
      </c>
      <c r="T23" s="216">
        <f t="shared" ref="T23:T38" si="69">SUM(M23:S23)</f>
        <v>0</v>
      </c>
      <c r="U23" s="216">
        <f t="shared" ref="U23:U38" si="70">(T23-S23)*$U$4</f>
        <v>0</v>
      </c>
      <c r="V23" s="216">
        <f t="shared" ref="V23:V38" si="71">SUM(T23:U23)</f>
        <v>0</v>
      </c>
      <c r="W23" s="216">
        <f t="shared" ref="W23:W38" si="72">T23*J23</f>
        <v>0</v>
      </c>
      <c r="X23" s="216">
        <f t="shared" ref="X23:X38" si="73">U23*J23</f>
        <v>0</v>
      </c>
      <c r="Y23" s="217">
        <f t="shared" ref="Y23:Y38" si="74">V23*J23</f>
        <v>0</v>
      </c>
      <c r="AA23" s="214"/>
      <c r="AB23" s="249"/>
      <c r="AC23" s="216">
        <f t="shared" ref="AC23:AC38" si="75">IF($AA23&gt;0,$AB23,0)</f>
        <v>0</v>
      </c>
      <c r="AD23" s="249">
        <f t="shared" ref="AD23:AD38" si="76">(AC23*$AD$4)</f>
        <v>0</v>
      </c>
      <c r="AE23" s="249">
        <f t="shared" ref="AE23:AE38" si="77">(AC23+AD23)*$AE$4</f>
        <v>0</v>
      </c>
      <c r="AF23" s="249"/>
      <c r="AG23" s="216">
        <f t="shared" ref="AG23:AG38" si="78">SUM(AC23:AF23)</f>
        <v>0</v>
      </c>
      <c r="AH23" s="216">
        <f t="shared" ref="AH23:AH38" si="79">$AH$4*(AE23+AC23+AD23)</f>
        <v>0</v>
      </c>
      <c r="AI23" s="216">
        <f t="shared" ref="AI23:AI38" si="80">SUM(AG23:AH23)</f>
        <v>0</v>
      </c>
      <c r="AJ23" s="216">
        <f t="shared" ref="AJ23:AJ38" si="81">AG23*AA23</f>
        <v>0</v>
      </c>
      <c r="AK23" s="216">
        <f t="shared" ref="AK23:AK38" si="82">AH23*AA23</f>
        <v>0</v>
      </c>
      <c r="AL23" s="216">
        <f t="shared" ref="AL23:AL38" si="83">AI23*AA23</f>
        <v>0</v>
      </c>
      <c r="AM23" s="433"/>
      <c r="AN23" s="433"/>
      <c r="AO23" s="250"/>
      <c r="AQ23" s="252" t="str">
        <f t="shared" ref="AQ23:AQ38" si="84">IFERROR(SUM(W23,AJ23)/G23,"")</f>
        <v/>
      </c>
      <c r="AR23" s="253" t="str">
        <f t="shared" ref="AR23:AR38" si="85">IFERROR(SUM(X23,AK23)/G23,"")</f>
        <v/>
      </c>
      <c r="AS23" s="217">
        <f t="shared" ref="AS23:AS38" si="86">SUM(AQ23:AR23)</f>
        <v>0</v>
      </c>
      <c r="AU23" s="270"/>
    </row>
    <row r="24" spans="1:47" ht="15.75" thickBot="1" x14ac:dyDescent="0.3">
      <c r="A24" s="695"/>
      <c r="B24" s="416">
        <f>'Total - Detail'!B25</f>
        <v>12</v>
      </c>
      <c r="C24" s="257" t="s">
        <v>290</v>
      </c>
      <c r="D24" s="257" t="s">
        <v>240</v>
      </c>
      <c r="E24" s="257" t="s">
        <v>77</v>
      </c>
      <c r="F24" s="258">
        <v>11472.888959246498</v>
      </c>
      <c r="G24" s="258"/>
      <c r="H24" s="212">
        <f t="shared" si="61"/>
        <v>11472.888959246498</v>
      </c>
      <c r="I24" s="43"/>
      <c r="J24" s="218"/>
      <c r="K24" s="219">
        <v>32.298000000000002</v>
      </c>
      <c r="L24" s="625"/>
      <c r="M24" s="216">
        <f t="shared" si="62"/>
        <v>0</v>
      </c>
      <c r="N24" s="366"/>
      <c r="O24" s="249">
        <f t="shared" ref="O24" si="87">(M24*$O$4)</f>
        <v>0</v>
      </c>
      <c r="P24" s="249">
        <f t="shared" ref="P24" si="88">(O24+M24)*$P$4</f>
        <v>0</v>
      </c>
      <c r="Q24" s="249">
        <f t="shared" ref="Q24" si="89">(M24+O24)*$Q$4</f>
        <v>0</v>
      </c>
      <c r="R24" s="249">
        <f t="shared" si="67"/>
        <v>0</v>
      </c>
      <c r="S24" s="249">
        <f t="shared" si="68"/>
        <v>0</v>
      </c>
      <c r="T24" s="216">
        <f t="shared" si="69"/>
        <v>0</v>
      </c>
      <c r="U24" s="216">
        <f t="shared" si="70"/>
        <v>0</v>
      </c>
      <c r="V24" s="216">
        <f t="shared" si="71"/>
        <v>0</v>
      </c>
      <c r="W24" s="253">
        <f t="shared" si="72"/>
        <v>0</v>
      </c>
      <c r="X24" s="216">
        <f t="shared" si="73"/>
        <v>0</v>
      </c>
      <c r="Y24" s="217">
        <f t="shared" si="74"/>
        <v>0</v>
      </c>
      <c r="AA24" s="214"/>
      <c r="AB24" s="249"/>
      <c r="AC24" s="216">
        <f t="shared" si="75"/>
        <v>0</v>
      </c>
      <c r="AD24" s="249">
        <f t="shared" si="76"/>
        <v>0</v>
      </c>
      <c r="AE24" s="249">
        <f t="shared" si="77"/>
        <v>0</v>
      </c>
      <c r="AF24" s="249"/>
      <c r="AG24" s="216">
        <f t="shared" si="78"/>
        <v>0</v>
      </c>
      <c r="AH24" s="216">
        <f t="shared" si="79"/>
        <v>0</v>
      </c>
      <c r="AI24" s="216">
        <f t="shared" si="80"/>
        <v>0</v>
      </c>
      <c r="AJ24" s="216">
        <f t="shared" si="81"/>
        <v>0</v>
      </c>
      <c r="AK24" s="216">
        <f t="shared" si="82"/>
        <v>0</v>
      </c>
      <c r="AL24" s="216">
        <f t="shared" si="83"/>
        <v>0</v>
      </c>
      <c r="AM24" s="433"/>
      <c r="AN24" s="433"/>
      <c r="AO24" s="250"/>
      <c r="AQ24" s="252" t="str">
        <f t="shared" si="84"/>
        <v/>
      </c>
      <c r="AR24" s="253" t="str">
        <f t="shared" si="85"/>
        <v/>
      </c>
      <c r="AS24" s="217">
        <f t="shared" si="86"/>
        <v>0</v>
      </c>
      <c r="AU24" s="270"/>
    </row>
    <row r="25" spans="1:47" s="11" customFormat="1" x14ac:dyDescent="0.25">
      <c r="A25" s="685" t="s">
        <v>205</v>
      </c>
      <c r="B25" s="241">
        <f>'Total - Detail'!B26</f>
        <v>13</v>
      </c>
      <c r="C25" s="101" t="str">
        <f>'Total - Detail'!C26</f>
        <v>Heavy Equipment Mechanic</v>
      </c>
      <c r="D25" s="101" t="s">
        <v>236</v>
      </c>
      <c r="E25" s="101" t="s">
        <v>77</v>
      </c>
      <c r="F25" s="35">
        <v>668.79993933037429</v>
      </c>
      <c r="G25" s="35">
        <f t="shared" si="60"/>
        <v>0</v>
      </c>
      <c r="H25" s="36">
        <f t="shared" si="61"/>
        <v>668.79993933037429</v>
      </c>
      <c r="I25" s="43"/>
      <c r="J25" s="109"/>
      <c r="K25" s="110">
        <v>32.298000000000002</v>
      </c>
      <c r="L25" s="275"/>
      <c r="M25" s="110">
        <f t="shared" si="62"/>
        <v>0</v>
      </c>
      <c r="N25" s="111">
        <f t="shared" si="63"/>
        <v>0</v>
      </c>
      <c r="O25" s="111">
        <f t="shared" si="64"/>
        <v>0</v>
      </c>
      <c r="P25" s="111">
        <f t="shared" si="65"/>
        <v>0</v>
      </c>
      <c r="Q25" s="111">
        <f t="shared" si="66"/>
        <v>0</v>
      </c>
      <c r="R25" s="111">
        <f t="shared" si="67"/>
        <v>0</v>
      </c>
      <c r="S25" s="111">
        <f t="shared" si="68"/>
        <v>0</v>
      </c>
      <c r="T25" s="110">
        <f t="shared" si="69"/>
        <v>0</v>
      </c>
      <c r="U25" s="110">
        <f t="shared" si="70"/>
        <v>0</v>
      </c>
      <c r="V25" s="110">
        <f t="shared" si="71"/>
        <v>0</v>
      </c>
      <c r="W25" s="110">
        <f t="shared" si="72"/>
        <v>0</v>
      </c>
      <c r="X25" s="110">
        <f t="shared" si="73"/>
        <v>0</v>
      </c>
      <c r="Y25" s="112">
        <f t="shared" si="74"/>
        <v>0</v>
      </c>
      <c r="AA25" s="109"/>
      <c r="AB25" s="111"/>
      <c r="AC25" s="110">
        <f t="shared" si="75"/>
        <v>0</v>
      </c>
      <c r="AD25" s="111">
        <f t="shared" si="76"/>
        <v>0</v>
      </c>
      <c r="AE25" s="111">
        <f t="shared" si="77"/>
        <v>0</v>
      </c>
      <c r="AF25" s="111"/>
      <c r="AG25" s="110">
        <f t="shared" si="78"/>
        <v>0</v>
      </c>
      <c r="AH25" s="110">
        <f t="shared" si="79"/>
        <v>0</v>
      </c>
      <c r="AI25" s="110">
        <f t="shared" si="80"/>
        <v>0</v>
      </c>
      <c r="AJ25" s="110">
        <f t="shared" si="81"/>
        <v>0</v>
      </c>
      <c r="AK25" s="110">
        <f t="shared" si="82"/>
        <v>0</v>
      </c>
      <c r="AL25" s="110">
        <f t="shared" si="83"/>
        <v>0</v>
      </c>
      <c r="AM25" s="259"/>
      <c r="AN25" s="259"/>
      <c r="AO25" s="114"/>
      <c r="AQ25" s="124" t="str">
        <f t="shared" si="84"/>
        <v/>
      </c>
      <c r="AR25" s="113" t="str">
        <f t="shared" si="85"/>
        <v/>
      </c>
      <c r="AS25" s="112">
        <f t="shared" si="86"/>
        <v>0</v>
      </c>
      <c r="AT25" s="9"/>
      <c r="AU25" s="322"/>
    </row>
    <row r="26" spans="1:47" s="11" customFormat="1" x14ac:dyDescent="0.25">
      <c r="A26" s="686"/>
      <c r="B26" s="240">
        <f>'Total - Detail'!B27</f>
        <v>14</v>
      </c>
      <c r="C26" s="100" t="str">
        <f>'Total - Detail'!C27</f>
        <v>Material Handling Specialist</v>
      </c>
      <c r="D26" s="100" t="s">
        <v>238</v>
      </c>
      <c r="E26" s="100" t="s">
        <v>77</v>
      </c>
      <c r="F26" s="39">
        <v>2899.5997369652414</v>
      </c>
      <c r="G26" s="39">
        <f t="shared" si="60"/>
        <v>0</v>
      </c>
      <c r="H26" s="40">
        <f t="shared" si="61"/>
        <v>2899.5997369652414</v>
      </c>
      <c r="I26" s="43"/>
      <c r="J26" s="137"/>
      <c r="K26" s="41">
        <v>29.169000000000004</v>
      </c>
      <c r="L26" s="276"/>
      <c r="M26" s="41">
        <f t="shared" si="62"/>
        <v>0</v>
      </c>
      <c r="N26" s="5">
        <f t="shared" si="63"/>
        <v>0</v>
      </c>
      <c r="O26" s="5">
        <f t="shared" si="64"/>
        <v>0</v>
      </c>
      <c r="P26" s="5">
        <f t="shared" si="65"/>
        <v>0</v>
      </c>
      <c r="Q26" s="5">
        <f t="shared" si="66"/>
        <v>0</v>
      </c>
      <c r="R26" s="5">
        <f t="shared" si="67"/>
        <v>0</v>
      </c>
      <c r="S26" s="5">
        <f t="shared" si="68"/>
        <v>0</v>
      </c>
      <c r="T26" s="41">
        <f t="shared" si="69"/>
        <v>0</v>
      </c>
      <c r="U26" s="41">
        <f t="shared" si="70"/>
        <v>0</v>
      </c>
      <c r="V26" s="41">
        <f t="shared" si="71"/>
        <v>0</v>
      </c>
      <c r="W26" s="41">
        <f t="shared" si="72"/>
        <v>0</v>
      </c>
      <c r="X26" s="41">
        <f t="shared" si="73"/>
        <v>0</v>
      </c>
      <c r="Y26" s="115">
        <f t="shared" si="74"/>
        <v>0</v>
      </c>
      <c r="AA26" s="137"/>
      <c r="AB26" s="5"/>
      <c r="AC26" s="41">
        <f t="shared" si="75"/>
        <v>0</v>
      </c>
      <c r="AD26" s="5">
        <f t="shared" si="76"/>
        <v>0</v>
      </c>
      <c r="AE26" s="5">
        <f t="shared" si="77"/>
        <v>0</v>
      </c>
      <c r="AF26" s="5"/>
      <c r="AG26" s="41">
        <f t="shared" si="78"/>
        <v>0</v>
      </c>
      <c r="AH26" s="41">
        <f t="shared" si="79"/>
        <v>0</v>
      </c>
      <c r="AI26" s="41">
        <f t="shared" si="80"/>
        <v>0</v>
      </c>
      <c r="AJ26" s="41">
        <f t="shared" si="81"/>
        <v>0</v>
      </c>
      <c r="AK26" s="41">
        <f t="shared" si="82"/>
        <v>0</v>
      </c>
      <c r="AL26" s="41">
        <f t="shared" si="83"/>
        <v>0</v>
      </c>
      <c r="AM26" s="10"/>
      <c r="AN26" s="10"/>
      <c r="AO26" s="7"/>
      <c r="AQ26" s="138" t="str">
        <f t="shared" si="84"/>
        <v/>
      </c>
      <c r="AR26" s="42" t="str">
        <f t="shared" si="85"/>
        <v/>
      </c>
      <c r="AS26" s="115">
        <f t="shared" si="86"/>
        <v>0</v>
      </c>
      <c r="AT26" s="9"/>
      <c r="AU26" s="322"/>
    </row>
    <row r="27" spans="1:47" s="11" customFormat="1" x14ac:dyDescent="0.25">
      <c r="A27" s="686"/>
      <c r="B27" s="240">
        <f>'Total - Detail'!B28</f>
        <v>15</v>
      </c>
      <c r="C27" s="100" t="str">
        <f>'Total - Detail'!C28</f>
        <v>Inspector</v>
      </c>
      <c r="D27" s="100" t="s">
        <v>235</v>
      </c>
      <c r="E27" s="100" t="s">
        <v>77</v>
      </c>
      <c r="F27" s="39">
        <v>656.69994042801557</v>
      </c>
      <c r="G27" s="39">
        <f t="shared" si="60"/>
        <v>0</v>
      </c>
      <c r="H27" s="40">
        <f t="shared" si="61"/>
        <v>656.69994042801557</v>
      </c>
      <c r="I27" s="43"/>
      <c r="J27" s="137"/>
      <c r="K27" s="41">
        <v>26.229000000000003</v>
      </c>
      <c r="L27" s="276"/>
      <c r="M27" s="41">
        <f t="shared" si="62"/>
        <v>0</v>
      </c>
      <c r="N27" s="5">
        <f t="shared" si="63"/>
        <v>0</v>
      </c>
      <c r="O27" s="5">
        <f t="shared" si="64"/>
        <v>0</v>
      </c>
      <c r="P27" s="5">
        <f t="shared" si="65"/>
        <v>0</v>
      </c>
      <c r="Q27" s="5">
        <f t="shared" si="66"/>
        <v>0</v>
      </c>
      <c r="R27" s="5">
        <f t="shared" si="67"/>
        <v>0</v>
      </c>
      <c r="S27" s="5">
        <f t="shared" si="68"/>
        <v>0</v>
      </c>
      <c r="T27" s="41">
        <f t="shared" si="69"/>
        <v>0</v>
      </c>
      <c r="U27" s="41">
        <f t="shared" si="70"/>
        <v>0</v>
      </c>
      <c r="V27" s="41">
        <f t="shared" si="71"/>
        <v>0</v>
      </c>
      <c r="W27" s="41">
        <f t="shared" si="72"/>
        <v>0</v>
      </c>
      <c r="X27" s="41">
        <f t="shared" si="73"/>
        <v>0</v>
      </c>
      <c r="Y27" s="115">
        <f t="shared" si="74"/>
        <v>0</v>
      </c>
      <c r="AA27" s="137"/>
      <c r="AB27" s="5"/>
      <c r="AC27" s="41">
        <f t="shared" si="75"/>
        <v>0</v>
      </c>
      <c r="AD27" s="5">
        <f t="shared" si="76"/>
        <v>0</v>
      </c>
      <c r="AE27" s="5">
        <f t="shared" si="77"/>
        <v>0</v>
      </c>
      <c r="AF27" s="5"/>
      <c r="AG27" s="41">
        <f t="shared" si="78"/>
        <v>0</v>
      </c>
      <c r="AH27" s="41">
        <f t="shared" si="79"/>
        <v>0</v>
      </c>
      <c r="AI27" s="41">
        <f t="shared" si="80"/>
        <v>0</v>
      </c>
      <c r="AJ27" s="41">
        <f t="shared" si="81"/>
        <v>0</v>
      </c>
      <c r="AK27" s="41">
        <f t="shared" si="82"/>
        <v>0</v>
      </c>
      <c r="AL27" s="41">
        <f t="shared" si="83"/>
        <v>0</v>
      </c>
      <c r="AM27" s="10"/>
      <c r="AN27" s="10"/>
      <c r="AO27" s="7"/>
      <c r="AQ27" s="138" t="str">
        <f t="shared" si="84"/>
        <v/>
      </c>
      <c r="AR27" s="42" t="str">
        <f t="shared" si="85"/>
        <v/>
      </c>
      <c r="AS27" s="115">
        <f t="shared" si="86"/>
        <v>0</v>
      </c>
      <c r="AT27" s="9"/>
      <c r="AU27" s="322"/>
    </row>
    <row r="28" spans="1:47" s="11" customFormat="1" x14ac:dyDescent="0.25">
      <c r="A28" s="686"/>
      <c r="B28" s="240">
        <f>'Total - Detail'!B29</f>
        <v>16</v>
      </c>
      <c r="C28" s="100" t="str">
        <f>'Total - Detail'!C29</f>
        <v>Supply/Procurement Specialist</v>
      </c>
      <c r="D28" s="100" t="s">
        <v>233</v>
      </c>
      <c r="E28" s="100" t="s">
        <v>77</v>
      </c>
      <c r="F28" s="39">
        <v>1449.7998684826207</v>
      </c>
      <c r="G28" s="39">
        <f t="shared" si="60"/>
        <v>0</v>
      </c>
      <c r="H28" s="40">
        <f t="shared" si="61"/>
        <v>1449.7998684826207</v>
      </c>
      <c r="I28" s="43"/>
      <c r="J28" s="137"/>
      <c r="K28" s="41">
        <v>37.485000000000007</v>
      </c>
      <c r="L28" s="276"/>
      <c r="M28" s="41">
        <f t="shared" si="62"/>
        <v>0</v>
      </c>
      <c r="N28" s="5">
        <f t="shared" si="63"/>
        <v>0</v>
      </c>
      <c r="O28" s="5">
        <f t="shared" si="64"/>
        <v>0</v>
      </c>
      <c r="P28" s="5">
        <f t="shared" si="65"/>
        <v>0</v>
      </c>
      <c r="Q28" s="5">
        <f t="shared" si="66"/>
        <v>0</v>
      </c>
      <c r="R28" s="5">
        <f t="shared" si="67"/>
        <v>0</v>
      </c>
      <c r="S28" s="5">
        <f t="shared" si="68"/>
        <v>0</v>
      </c>
      <c r="T28" s="41">
        <f t="shared" si="69"/>
        <v>0</v>
      </c>
      <c r="U28" s="41">
        <f t="shared" si="70"/>
        <v>0</v>
      </c>
      <c r="V28" s="41">
        <f t="shared" si="71"/>
        <v>0</v>
      </c>
      <c r="W28" s="41">
        <f t="shared" si="72"/>
        <v>0</v>
      </c>
      <c r="X28" s="41">
        <f t="shared" si="73"/>
        <v>0</v>
      </c>
      <c r="Y28" s="115">
        <f t="shared" si="74"/>
        <v>0</v>
      </c>
      <c r="AA28" s="137"/>
      <c r="AB28" s="5"/>
      <c r="AC28" s="41">
        <f t="shared" si="75"/>
        <v>0</v>
      </c>
      <c r="AD28" s="5">
        <f t="shared" si="76"/>
        <v>0</v>
      </c>
      <c r="AE28" s="5">
        <f t="shared" si="77"/>
        <v>0</v>
      </c>
      <c r="AF28" s="5"/>
      <c r="AG28" s="41">
        <f t="shared" si="78"/>
        <v>0</v>
      </c>
      <c r="AH28" s="41">
        <f t="shared" si="79"/>
        <v>0</v>
      </c>
      <c r="AI28" s="41">
        <f t="shared" si="80"/>
        <v>0</v>
      </c>
      <c r="AJ28" s="41">
        <f t="shared" si="81"/>
        <v>0</v>
      </c>
      <c r="AK28" s="41">
        <f t="shared" si="82"/>
        <v>0</v>
      </c>
      <c r="AL28" s="41">
        <f t="shared" si="83"/>
        <v>0</v>
      </c>
      <c r="AM28" s="10"/>
      <c r="AN28" s="10"/>
      <c r="AO28" s="7"/>
      <c r="AQ28" s="138" t="str">
        <f t="shared" si="84"/>
        <v/>
      </c>
      <c r="AR28" s="42" t="str">
        <f t="shared" si="85"/>
        <v/>
      </c>
      <c r="AS28" s="115">
        <f t="shared" si="86"/>
        <v>0</v>
      </c>
      <c r="AT28" s="9"/>
      <c r="AU28" s="322"/>
    </row>
    <row r="29" spans="1:47" s="11" customFormat="1" ht="15.75" thickBot="1" x14ac:dyDescent="0.3">
      <c r="A29" s="687"/>
      <c r="B29" s="242">
        <f>'Total - Detail'!B30</f>
        <v>17</v>
      </c>
      <c r="C29" s="127" t="str">
        <f>'Total - Detail'!C30</f>
        <v>Welder</v>
      </c>
      <c r="D29" s="127" t="s">
        <v>239</v>
      </c>
      <c r="E29" s="127" t="s">
        <v>77</v>
      </c>
      <c r="F29" s="128">
        <v>1129.6998975202212</v>
      </c>
      <c r="G29" s="128">
        <f t="shared" si="60"/>
        <v>0</v>
      </c>
      <c r="H29" s="129">
        <f t="shared" si="61"/>
        <v>1129.6998975202212</v>
      </c>
      <c r="I29" s="43"/>
      <c r="J29" s="146"/>
      <c r="K29" s="143">
        <v>25.746000000000002</v>
      </c>
      <c r="L29" s="277"/>
      <c r="M29" s="143">
        <f t="shared" si="62"/>
        <v>0</v>
      </c>
      <c r="N29" s="144">
        <f t="shared" si="63"/>
        <v>0</v>
      </c>
      <c r="O29" s="144">
        <f t="shared" si="64"/>
        <v>0</v>
      </c>
      <c r="P29" s="144">
        <f t="shared" si="65"/>
        <v>0</v>
      </c>
      <c r="Q29" s="144">
        <f t="shared" si="66"/>
        <v>0</v>
      </c>
      <c r="R29" s="144">
        <f t="shared" si="67"/>
        <v>0</v>
      </c>
      <c r="S29" s="144">
        <f t="shared" si="68"/>
        <v>0</v>
      </c>
      <c r="T29" s="143">
        <f t="shared" si="69"/>
        <v>0</v>
      </c>
      <c r="U29" s="143">
        <f t="shared" si="70"/>
        <v>0</v>
      </c>
      <c r="V29" s="143">
        <f t="shared" si="71"/>
        <v>0</v>
      </c>
      <c r="W29" s="143">
        <f t="shared" si="72"/>
        <v>0</v>
      </c>
      <c r="X29" s="143">
        <f t="shared" si="73"/>
        <v>0</v>
      </c>
      <c r="Y29" s="145">
        <f t="shared" si="74"/>
        <v>0</v>
      </c>
      <c r="AA29" s="146"/>
      <c r="AB29" s="144"/>
      <c r="AC29" s="143">
        <f t="shared" si="75"/>
        <v>0</v>
      </c>
      <c r="AD29" s="144">
        <f t="shared" si="76"/>
        <v>0</v>
      </c>
      <c r="AE29" s="144">
        <f t="shared" si="77"/>
        <v>0</v>
      </c>
      <c r="AF29" s="144"/>
      <c r="AG29" s="143">
        <f t="shared" si="78"/>
        <v>0</v>
      </c>
      <c r="AH29" s="143">
        <f t="shared" si="79"/>
        <v>0</v>
      </c>
      <c r="AI29" s="143">
        <f t="shared" si="80"/>
        <v>0</v>
      </c>
      <c r="AJ29" s="143">
        <f t="shared" si="81"/>
        <v>0</v>
      </c>
      <c r="AK29" s="143">
        <f t="shared" si="82"/>
        <v>0</v>
      </c>
      <c r="AL29" s="143">
        <f t="shared" si="83"/>
        <v>0</v>
      </c>
      <c r="AM29" s="260"/>
      <c r="AN29" s="260"/>
      <c r="AO29" s="147"/>
      <c r="AQ29" s="148" t="str">
        <f t="shared" si="84"/>
        <v/>
      </c>
      <c r="AR29" s="149" t="str">
        <f t="shared" si="85"/>
        <v/>
      </c>
      <c r="AS29" s="145">
        <f t="shared" si="86"/>
        <v>0</v>
      </c>
      <c r="AT29" s="9"/>
      <c r="AU29" s="322"/>
    </row>
    <row r="30" spans="1:47" s="308" customFormat="1" ht="30.75" thickBot="1" x14ac:dyDescent="0.3">
      <c r="A30" s="504" t="s">
        <v>231</v>
      </c>
      <c r="B30" s="242">
        <f>'Total - Detail'!B31</f>
        <v>18</v>
      </c>
      <c r="C30" s="127" t="str">
        <f>'Total - Detail'!C31</f>
        <v xml:space="preserve">Instructor </v>
      </c>
      <c r="D30" s="127" t="s">
        <v>237</v>
      </c>
      <c r="E30" s="127" t="s">
        <v>77</v>
      </c>
      <c r="F30" s="436">
        <v>3764.1996585337838</v>
      </c>
      <c r="G30" s="436">
        <f t="shared" si="60"/>
        <v>0</v>
      </c>
      <c r="H30" s="437">
        <f t="shared" si="61"/>
        <v>3764.1996585337838</v>
      </c>
      <c r="I30" s="438"/>
      <c r="J30" s="495"/>
      <c r="K30" s="496">
        <v>27.184500000000003</v>
      </c>
      <c r="L30" s="497"/>
      <c r="M30" s="496">
        <f t="shared" si="62"/>
        <v>0</v>
      </c>
      <c r="N30" s="498">
        <f t="shared" si="63"/>
        <v>0</v>
      </c>
      <c r="O30" s="498">
        <f t="shared" si="64"/>
        <v>0</v>
      </c>
      <c r="P30" s="498">
        <f t="shared" si="65"/>
        <v>0</v>
      </c>
      <c r="Q30" s="498">
        <f t="shared" si="66"/>
        <v>0</v>
      </c>
      <c r="R30" s="498">
        <f t="shared" si="67"/>
        <v>0</v>
      </c>
      <c r="S30" s="498">
        <f t="shared" si="68"/>
        <v>0</v>
      </c>
      <c r="T30" s="496">
        <f t="shared" si="69"/>
        <v>0</v>
      </c>
      <c r="U30" s="496">
        <f t="shared" si="70"/>
        <v>0</v>
      </c>
      <c r="V30" s="496">
        <f t="shared" si="71"/>
        <v>0</v>
      </c>
      <c r="W30" s="496">
        <f t="shared" si="72"/>
        <v>0</v>
      </c>
      <c r="X30" s="496">
        <f t="shared" si="73"/>
        <v>0</v>
      </c>
      <c r="Y30" s="499">
        <f t="shared" si="74"/>
        <v>0</v>
      </c>
      <c r="AA30" s="495"/>
      <c r="AB30" s="498"/>
      <c r="AC30" s="496">
        <f t="shared" si="75"/>
        <v>0</v>
      </c>
      <c r="AD30" s="498">
        <f t="shared" si="76"/>
        <v>0</v>
      </c>
      <c r="AE30" s="498">
        <f t="shared" si="77"/>
        <v>0</v>
      </c>
      <c r="AF30" s="498"/>
      <c r="AG30" s="496">
        <f t="shared" si="78"/>
        <v>0</v>
      </c>
      <c r="AH30" s="496">
        <f t="shared" si="79"/>
        <v>0</v>
      </c>
      <c r="AI30" s="496">
        <f t="shared" si="80"/>
        <v>0</v>
      </c>
      <c r="AJ30" s="496">
        <f t="shared" si="81"/>
        <v>0</v>
      </c>
      <c r="AK30" s="496">
        <f t="shared" si="82"/>
        <v>0</v>
      </c>
      <c r="AL30" s="496">
        <f t="shared" si="83"/>
        <v>0</v>
      </c>
      <c r="AM30" s="500"/>
      <c r="AN30" s="500"/>
      <c r="AO30" s="501"/>
      <c r="AQ30" s="440" t="str">
        <f t="shared" si="84"/>
        <v/>
      </c>
      <c r="AR30" s="441" t="str">
        <f t="shared" si="85"/>
        <v/>
      </c>
      <c r="AS30" s="439">
        <f t="shared" si="86"/>
        <v>0</v>
      </c>
      <c r="AT30" s="9"/>
      <c r="AU30" s="442"/>
    </row>
    <row r="31" spans="1:47" x14ac:dyDescent="0.25">
      <c r="A31" s="679" t="s">
        <v>207</v>
      </c>
      <c r="B31" s="241">
        <f>'Total - Detail'!B32</f>
        <v>13</v>
      </c>
      <c r="C31" s="101" t="str">
        <f>'Total - Detail'!C32</f>
        <v>Heavy Equipment Mechanic</v>
      </c>
      <c r="D31" s="101" t="s">
        <v>236</v>
      </c>
      <c r="E31" s="101" t="s">
        <v>77</v>
      </c>
      <c r="F31" s="35">
        <v>668.79993933037429</v>
      </c>
      <c r="G31" s="35">
        <f t="shared" si="60"/>
        <v>0</v>
      </c>
      <c r="H31" s="36">
        <f t="shared" si="61"/>
        <v>668.79993933037429</v>
      </c>
      <c r="I31" s="43"/>
      <c r="J31" s="109"/>
      <c r="K31" s="110">
        <v>32.298000000000002</v>
      </c>
      <c r="L31" s="505">
        <f>L25</f>
        <v>0</v>
      </c>
      <c r="M31" s="110">
        <f t="shared" si="62"/>
        <v>0</v>
      </c>
      <c r="N31" s="110">
        <f>N25</f>
        <v>0</v>
      </c>
      <c r="O31" s="110">
        <f t="shared" ref="O31:S31" si="90">O25</f>
        <v>0</v>
      </c>
      <c r="P31" s="110">
        <f t="shared" si="90"/>
        <v>0</v>
      </c>
      <c r="Q31" s="110">
        <f t="shared" si="90"/>
        <v>0</v>
      </c>
      <c r="R31" s="110">
        <f t="shared" si="90"/>
        <v>0</v>
      </c>
      <c r="S31" s="110">
        <f t="shared" si="90"/>
        <v>0</v>
      </c>
      <c r="T31" s="110">
        <f t="shared" si="69"/>
        <v>0</v>
      </c>
      <c r="U31" s="110">
        <f t="shared" si="70"/>
        <v>0</v>
      </c>
      <c r="V31" s="110">
        <f t="shared" si="71"/>
        <v>0</v>
      </c>
      <c r="W31" s="110">
        <f t="shared" si="72"/>
        <v>0</v>
      </c>
      <c r="X31" s="110">
        <f t="shared" si="73"/>
        <v>0</v>
      </c>
      <c r="Y31" s="112">
        <f t="shared" si="74"/>
        <v>0</v>
      </c>
      <c r="AA31" s="109"/>
      <c r="AB31" s="111"/>
      <c r="AC31" s="110">
        <f t="shared" si="75"/>
        <v>0</v>
      </c>
      <c r="AD31" s="111">
        <f t="shared" si="76"/>
        <v>0</v>
      </c>
      <c r="AE31" s="111">
        <f t="shared" si="77"/>
        <v>0</v>
      </c>
      <c r="AF31" s="111"/>
      <c r="AG31" s="110">
        <f t="shared" si="78"/>
        <v>0</v>
      </c>
      <c r="AH31" s="110">
        <f t="shared" si="79"/>
        <v>0</v>
      </c>
      <c r="AI31" s="110">
        <f t="shared" si="80"/>
        <v>0</v>
      </c>
      <c r="AJ31" s="110">
        <f t="shared" si="81"/>
        <v>0</v>
      </c>
      <c r="AK31" s="110">
        <f t="shared" si="82"/>
        <v>0</v>
      </c>
      <c r="AL31" s="110">
        <f t="shared" si="83"/>
        <v>0</v>
      </c>
      <c r="AM31" s="259"/>
      <c r="AN31" s="259"/>
      <c r="AO31" s="114"/>
      <c r="AQ31" s="124" t="str">
        <f t="shared" si="84"/>
        <v/>
      </c>
      <c r="AR31" s="113" t="str">
        <f t="shared" si="85"/>
        <v/>
      </c>
      <c r="AS31" s="112">
        <f t="shared" si="86"/>
        <v>0</v>
      </c>
      <c r="AU31" s="270"/>
    </row>
    <row r="32" spans="1:47" x14ac:dyDescent="0.25">
      <c r="A32" s="680"/>
      <c r="B32" s="240">
        <f>'Total - Detail'!B33</f>
        <v>14</v>
      </c>
      <c r="C32" s="100" t="str">
        <f>'Total - Detail'!C33</f>
        <v>Material Handling Specialist</v>
      </c>
      <c r="D32" s="100" t="s">
        <v>238</v>
      </c>
      <c r="E32" s="100" t="s">
        <v>77</v>
      </c>
      <c r="F32" s="39">
        <v>2899.5997369652414</v>
      </c>
      <c r="G32" s="39">
        <f t="shared" si="60"/>
        <v>0</v>
      </c>
      <c r="H32" s="40">
        <f t="shared" si="61"/>
        <v>2899.5997369652414</v>
      </c>
      <c r="I32" s="43"/>
      <c r="J32" s="137"/>
      <c r="K32" s="41">
        <v>29.169000000000004</v>
      </c>
      <c r="L32" s="175">
        <f>L26</f>
        <v>0</v>
      </c>
      <c r="M32" s="41">
        <f t="shared" si="62"/>
        <v>0</v>
      </c>
      <c r="N32" s="41">
        <f>N26</f>
        <v>0</v>
      </c>
      <c r="O32" s="41">
        <f t="shared" ref="O32:S32" si="91">O26</f>
        <v>0</v>
      </c>
      <c r="P32" s="41">
        <f t="shared" si="91"/>
        <v>0</v>
      </c>
      <c r="Q32" s="41">
        <f t="shared" si="91"/>
        <v>0</v>
      </c>
      <c r="R32" s="41">
        <f t="shared" si="91"/>
        <v>0</v>
      </c>
      <c r="S32" s="41">
        <f t="shared" si="91"/>
        <v>0</v>
      </c>
      <c r="T32" s="41">
        <f t="shared" si="69"/>
        <v>0</v>
      </c>
      <c r="U32" s="41">
        <f t="shared" si="70"/>
        <v>0</v>
      </c>
      <c r="V32" s="41">
        <f t="shared" si="71"/>
        <v>0</v>
      </c>
      <c r="W32" s="41">
        <f t="shared" si="72"/>
        <v>0</v>
      </c>
      <c r="X32" s="41">
        <f t="shared" si="73"/>
        <v>0</v>
      </c>
      <c r="Y32" s="115">
        <f t="shared" si="74"/>
        <v>0</v>
      </c>
      <c r="AA32" s="137"/>
      <c r="AB32" s="5"/>
      <c r="AC32" s="41">
        <f t="shared" si="75"/>
        <v>0</v>
      </c>
      <c r="AD32" s="5">
        <f t="shared" si="76"/>
        <v>0</v>
      </c>
      <c r="AE32" s="5">
        <f t="shared" si="77"/>
        <v>0</v>
      </c>
      <c r="AF32" s="5"/>
      <c r="AG32" s="41">
        <f t="shared" si="78"/>
        <v>0</v>
      </c>
      <c r="AH32" s="41">
        <f t="shared" si="79"/>
        <v>0</v>
      </c>
      <c r="AI32" s="41">
        <f t="shared" si="80"/>
        <v>0</v>
      </c>
      <c r="AJ32" s="41">
        <f t="shared" si="81"/>
        <v>0</v>
      </c>
      <c r="AK32" s="41">
        <f t="shared" si="82"/>
        <v>0</v>
      </c>
      <c r="AL32" s="41">
        <f t="shared" si="83"/>
        <v>0</v>
      </c>
      <c r="AM32" s="10"/>
      <c r="AN32" s="10"/>
      <c r="AO32" s="7"/>
      <c r="AQ32" s="138" t="str">
        <f t="shared" si="84"/>
        <v/>
      </c>
      <c r="AR32" s="42" t="str">
        <f t="shared" si="85"/>
        <v/>
      </c>
      <c r="AS32" s="115">
        <f t="shared" si="86"/>
        <v>0</v>
      </c>
      <c r="AU32" s="270"/>
    </row>
    <row r="33" spans="1:47" x14ac:dyDescent="0.25">
      <c r="A33" s="680"/>
      <c r="B33" s="240">
        <f>'Total - Detail'!B34</f>
        <v>15</v>
      </c>
      <c r="C33" s="100" t="str">
        <f>'Total - Detail'!C34</f>
        <v>Inspector</v>
      </c>
      <c r="D33" s="100" t="s">
        <v>235</v>
      </c>
      <c r="E33" s="100" t="s">
        <v>77</v>
      </c>
      <c r="F33" s="39">
        <v>656.69994042801557</v>
      </c>
      <c r="G33" s="39">
        <f t="shared" si="60"/>
        <v>0</v>
      </c>
      <c r="H33" s="40">
        <f t="shared" si="61"/>
        <v>656.69994042801557</v>
      </c>
      <c r="I33" s="43"/>
      <c r="J33" s="137"/>
      <c r="K33" s="41">
        <v>26.229000000000003</v>
      </c>
      <c r="L33" s="175">
        <f>L27</f>
        <v>0</v>
      </c>
      <c r="M33" s="41">
        <f t="shared" si="62"/>
        <v>0</v>
      </c>
      <c r="N33" s="41">
        <f>N27</f>
        <v>0</v>
      </c>
      <c r="O33" s="41">
        <f t="shared" ref="O33:S33" si="92">O27</f>
        <v>0</v>
      </c>
      <c r="P33" s="41">
        <f t="shared" si="92"/>
        <v>0</v>
      </c>
      <c r="Q33" s="41">
        <f t="shared" si="92"/>
        <v>0</v>
      </c>
      <c r="R33" s="41">
        <f t="shared" si="92"/>
        <v>0</v>
      </c>
      <c r="S33" s="41">
        <f t="shared" si="92"/>
        <v>0</v>
      </c>
      <c r="T33" s="41">
        <f t="shared" si="69"/>
        <v>0</v>
      </c>
      <c r="U33" s="41">
        <f t="shared" si="70"/>
        <v>0</v>
      </c>
      <c r="V33" s="41">
        <f t="shared" si="71"/>
        <v>0</v>
      </c>
      <c r="W33" s="41">
        <f t="shared" si="72"/>
        <v>0</v>
      </c>
      <c r="X33" s="41">
        <f t="shared" si="73"/>
        <v>0</v>
      </c>
      <c r="Y33" s="115">
        <f t="shared" si="74"/>
        <v>0</v>
      </c>
      <c r="AA33" s="137"/>
      <c r="AB33" s="5"/>
      <c r="AC33" s="41">
        <f t="shared" si="75"/>
        <v>0</v>
      </c>
      <c r="AD33" s="5">
        <f t="shared" si="76"/>
        <v>0</v>
      </c>
      <c r="AE33" s="5">
        <f t="shared" si="77"/>
        <v>0</v>
      </c>
      <c r="AF33" s="5"/>
      <c r="AG33" s="41">
        <f t="shared" si="78"/>
        <v>0</v>
      </c>
      <c r="AH33" s="41">
        <f t="shared" si="79"/>
        <v>0</v>
      </c>
      <c r="AI33" s="41">
        <f t="shared" si="80"/>
        <v>0</v>
      </c>
      <c r="AJ33" s="41">
        <f t="shared" si="81"/>
        <v>0</v>
      </c>
      <c r="AK33" s="41">
        <f t="shared" si="82"/>
        <v>0</v>
      </c>
      <c r="AL33" s="41">
        <f t="shared" si="83"/>
        <v>0</v>
      </c>
      <c r="AM33" s="10"/>
      <c r="AN33" s="10"/>
      <c r="AO33" s="7"/>
      <c r="AQ33" s="138" t="str">
        <f t="shared" si="84"/>
        <v/>
      </c>
      <c r="AR33" s="42" t="str">
        <f t="shared" si="85"/>
        <v/>
      </c>
      <c r="AS33" s="115">
        <f t="shared" si="86"/>
        <v>0</v>
      </c>
      <c r="AU33" s="270"/>
    </row>
    <row r="34" spans="1:47" ht="15.75" thickBot="1" x14ac:dyDescent="0.3">
      <c r="A34" s="681"/>
      <c r="B34" s="242">
        <f>'Total - Detail'!B35</f>
        <v>11</v>
      </c>
      <c r="C34" s="127" t="str">
        <f>'Total - Detail'!C35</f>
        <v>Field Service Representative</v>
      </c>
      <c r="D34" s="127" t="s">
        <v>289</v>
      </c>
      <c r="E34" s="127" t="s">
        <v>77</v>
      </c>
      <c r="F34" s="128">
        <v>1449.7998684826207</v>
      </c>
      <c r="G34" s="128">
        <f t="shared" si="60"/>
        <v>0</v>
      </c>
      <c r="H34" s="129">
        <f t="shared" si="61"/>
        <v>1449.7998684826207</v>
      </c>
      <c r="I34" s="43"/>
      <c r="J34" s="146"/>
      <c r="K34" s="143">
        <v>32.298000000000002</v>
      </c>
      <c r="L34" s="396">
        <f>L23</f>
        <v>0</v>
      </c>
      <c r="M34" s="143">
        <f t="shared" si="62"/>
        <v>0</v>
      </c>
      <c r="N34" s="143">
        <f>N23</f>
        <v>0</v>
      </c>
      <c r="O34" s="143">
        <f t="shared" ref="O34:S34" si="93">O23</f>
        <v>0</v>
      </c>
      <c r="P34" s="143">
        <f t="shared" si="93"/>
        <v>0</v>
      </c>
      <c r="Q34" s="143">
        <f t="shared" si="93"/>
        <v>0</v>
      </c>
      <c r="R34" s="143">
        <f t="shared" si="93"/>
        <v>0</v>
      </c>
      <c r="S34" s="143">
        <f t="shared" si="93"/>
        <v>0</v>
      </c>
      <c r="T34" s="143">
        <f t="shared" si="69"/>
        <v>0</v>
      </c>
      <c r="U34" s="143">
        <f t="shared" si="70"/>
        <v>0</v>
      </c>
      <c r="V34" s="143">
        <f t="shared" si="71"/>
        <v>0</v>
      </c>
      <c r="W34" s="143">
        <f t="shared" si="72"/>
        <v>0</v>
      </c>
      <c r="X34" s="143">
        <f t="shared" si="73"/>
        <v>0</v>
      </c>
      <c r="Y34" s="145">
        <f t="shared" si="74"/>
        <v>0</v>
      </c>
      <c r="AA34" s="146"/>
      <c r="AB34" s="144"/>
      <c r="AC34" s="143">
        <f t="shared" si="75"/>
        <v>0</v>
      </c>
      <c r="AD34" s="144">
        <f t="shared" si="76"/>
        <v>0</v>
      </c>
      <c r="AE34" s="144">
        <f t="shared" si="77"/>
        <v>0</v>
      </c>
      <c r="AF34" s="144"/>
      <c r="AG34" s="143">
        <f t="shared" si="78"/>
        <v>0</v>
      </c>
      <c r="AH34" s="143">
        <f t="shared" si="79"/>
        <v>0</v>
      </c>
      <c r="AI34" s="143">
        <f t="shared" si="80"/>
        <v>0</v>
      </c>
      <c r="AJ34" s="143">
        <f t="shared" si="81"/>
        <v>0</v>
      </c>
      <c r="AK34" s="143">
        <f t="shared" si="82"/>
        <v>0</v>
      </c>
      <c r="AL34" s="143">
        <f t="shared" si="83"/>
        <v>0</v>
      </c>
      <c r="AM34" s="260"/>
      <c r="AN34" s="260"/>
      <c r="AO34" s="147"/>
      <c r="AQ34" s="148" t="str">
        <f t="shared" si="84"/>
        <v/>
      </c>
      <c r="AR34" s="149" t="str">
        <f t="shared" si="85"/>
        <v/>
      </c>
      <c r="AS34" s="145">
        <f t="shared" si="86"/>
        <v>0</v>
      </c>
      <c r="AU34" s="270"/>
    </row>
    <row r="35" spans="1:47" ht="15.75" customHeight="1" x14ac:dyDescent="0.25">
      <c r="A35" s="679" t="s">
        <v>208</v>
      </c>
      <c r="B35" s="241">
        <f>'Total - Detail'!B36</f>
        <v>11</v>
      </c>
      <c r="C35" s="101" t="str">
        <f>'Total - Detail'!C36</f>
        <v>Field Service Representative</v>
      </c>
      <c r="D35" s="101" t="s">
        <v>289</v>
      </c>
      <c r="E35" s="101" t="s">
        <v>77</v>
      </c>
      <c r="F35" s="35">
        <v>774.39992975095981</v>
      </c>
      <c r="G35" s="35">
        <f t="shared" si="60"/>
        <v>0</v>
      </c>
      <c r="H35" s="36">
        <f t="shared" si="61"/>
        <v>774.39992975095981</v>
      </c>
      <c r="I35" s="43"/>
      <c r="J35" s="109"/>
      <c r="K35" s="110">
        <v>32.298000000000002</v>
      </c>
      <c r="L35" s="505">
        <f>L23</f>
        <v>0</v>
      </c>
      <c r="M35" s="110">
        <f t="shared" si="62"/>
        <v>0</v>
      </c>
      <c r="N35" s="110">
        <f>N23</f>
        <v>0</v>
      </c>
      <c r="O35" s="110">
        <f t="shared" ref="O35:S35" si="94">O23</f>
        <v>0</v>
      </c>
      <c r="P35" s="110">
        <f t="shared" si="94"/>
        <v>0</v>
      </c>
      <c r="Q35" s="110">
        <f t="shared" si="94"/>
        <v>0</v>
      </c>
      <c r="R35" s="110">
        <f t="shared" si="94"/>
        <v>0</v>
      </c>
      <c r="S35" s="110">
        <f t="shared" si="94"/>
        <v>0</v>
      </c>
      <c r="T35" s="110">
        <f t="shared" si="69"/>
        <v>0</v>
      </c>
      <c r="U35" s="110">
        <f t="shared" si="70"/>
        <v>0</v>
      </c>
      <c r="V35" s="110">
        <f t="shared" si="71"/>
        <v>0</v>
      </c>
      <c r="W35" s="110">
        <f t="shared" si="72"/>
        <v>0</v>
      </c>
      <c r="X35" s="110">
        <f t="shared" si="73"/>
        <v>0</v>
      </c>
      <c r="Y35" s="112">
        <f t="shared" si="74"/>
        <v>0</v>
      </c>
      <c r="AA35" s="109"/>
      <c r="AB35" s="111"/>
      <c r="AC35" s="110">
        <f t="shared" si="75"/>
        <v>0</v>
      </c>
      <c r="AD35" s="111">
        <f t="shared" si="76"/>
        <v>0</v>
      </c>
      <c r="AE35" s="111">
        <f t="shared" si="77"/>
        <v>0</v>
      </c>
      <c r="AF35" s="111"/>
      <c r="AG35" s="110">
        <f t="shared" si="78"/>
        <v>0</v>
      </c>
      <c r="AH35" s="110">
        <f t="shared" si="79"/>
        <v>0</v>
      </c>
      <c r="AI35" s="110">
        <f t="shared" si="80"/>
        <v>0</v>
      </c>
      <c r="AJ35" s="110">
        <f t="shared" si="81"/>
        <v>0</v>
      </c>
      <c r="AK35" s="110">
        <f t="shared" si="82"/>
        <v>0</v>
      </c>
      <c r="AL35" s="110">
        <f t="shared" si="83"/>
        <v>0</v>
      </c>
      <c r="AM35" s="259"/>
      <c r="AN35" s="259"/>
      <c r="AO35" s="114"/>
      <c r="AQ35" s="124" t="str">
        <f t="shared" si="84"/>
        <v/>
      </c>
      <c r="AR35" s="113" t="str">
        <f t="shared" si="85"/>
        <v/>
      </c>
      <c r="AS35" s="112">
        <f t="shared" si="86"/>
        <v>0</v>
      </c>
      <c r="AU35" s="270"/>
    </row>
    <row r="36" spans="1:47" x14ac:dyDescent="0.25">
      <c r="A36" s="680"/>
      <c r="B36" s="240">
        <f>'Total - Detail'!B37</f>
        <v>19</v>
      </c>
      <c r="C36" s="100" t="str">
        <f>'Total - Detail'!C37</f>
        <v>MWO Installer</v>
      </c>
      <c r="D36" s="100" t="s">
        <v>288</v>
      </c>
      <c r="E36" s="100" t="s">
        <v>77</v>
      </c>
      <c r="F36" s="39">
        <v>10084.799085165909</v>
      </c>
      <c r="G36" s="39">
        <f t="shared" si="60"/>
        <v>0</v>
      </c>
      <c r="H36" s="40">
        <f t="shared" si="61"/>
        <v>10084.799085165909</v>
      </c>
      <c r="I36" s="43"/>
      <c r="J36" s="137"/>
      <c r="K36" s="41">
        <v>32.298000000000002</v>
      </c>
      <c r="L36" s="276"/>
      <c r="M36" s="41">
        <f t="shared" si="62"/>
        <v>0</v>
      </c>
      <c r="N36" s="5">
        <f t="shared" si="63"/>
        <v>0</v>
      </c>
      <c r="O36" s="5">
        <f t="shared" si="64"/>
        <v>0</v>
      </c>
      <c r="P36" s="5">
        <f t="shared" si="65"/>
        <v>0</v>
      </c>
      <c r="Q36" s="5">
        <f t="shared" si="66"/>
        <v>0</v>
      </c>
      <c r="R36" s="5">
        <f t="shared" si="67"/>
        <v>0</v>
      </c>
      <c r="S36" s="5">
        <f t="shared" si="68"/>
        <v>0</v>
      </c>
      <c r="T36" s="41">
        <f t="shared" si="69"/>
        <v>0</v>
      </c>
      <c r="U36" s="41">
        <f t="shared" si="70"/>
        <v>0</v>
      </c>
      <c r="V36" s="41">
        <f t="shared" si="71"/>
        <v>0</v>
      </c>
      <c r="W36" s="41">
        <f t="shared" si="72"/>
        <v>0</v>
      </c>
      <c r="X36" s="41">
        <f t="shared" si="73"/>
        <v>0</v>
      </c>
      <c r="Y36" s="115">
        <f t="shared" si="74"/>
        <v>0</v>
      </c>
      <c r="AA36" s="137"/>
      <c r="AB36" s="5"/>
      <c r="AC36" s="41">
        <f t="shared" si="75"/>
        <v>0</v>
      </c>
      <c r="AD36" s="5">
        <f t="shared" si="76"/>
        <v>0</v>
      </c>
      <c r="AE36" s="5">
        <f t="shared" si="77"/>
        <v>0</v>
      </c>
      <c r="AF36" s="5"/>
      <c r="AG36" s="41">
        <f t="shared" si="78"/>
        <v>0</v>
      </c>
      <c r="AH36" s="41">
        <f t="shared" si="79"/>
        <v>0</v>
      </c>
      <c r="AI36" s="41">
        <f t="shared" si="80"/>
        <v>0</v>
      </c>
      <c r="AJ36" s="41">
        <f t="shared" si="81"/>
        <v>0</v>
      </c>
      <c r="AK36" s="41">
        <f t="shared" si="82"/>
        <v>0</v>
      </c>
      <c r="AL36" s="41">
        <f t="shared" si="83"/>
        <v>0</v>
      </c>
      <c r="AM36" s="10"/>
      <c r="AN36" s="10"/>
      <c r="AO36" s="7"/>
      <c r="AQ36" s="138" t="str">
        <f t="shared" si="84"/>
        <v/>
      </c>
      <c r="AR36" s="42" t="str">
        <f t="shared" si="85"/>
        <v/>
      </c>
      <c r="AS36" s="115">
        <f t="shared" si="86"/>
        <v>0</v>
      </c>
      <c r="AU36" s="270"/>
    </row>
    <row r="37" spans="1:47" x14ac:dyDescent="0.25">
      <c r="A37" s="680"/>
      <c r="B37" s="240">
        <f>'Total - Detail'!B38</f>
        <v>15</v>
      </c>
      <c r="C37" s="100" t="str">
        <f>'Total - Detail'!C38</f>
        <v>Inspector</v>
      </c>
      <c r="D37" s="100" t="s">
        <v>235</v>
      </c>
      <c r="E37" s="100" t="s">
        <v>77</v>
      </c>
      <c r="F37" s="39">
        <v>2617.999762510347</v>
      </c>
      <c r="G37" s="39">
        <f t="shared" si="60"/>
        <v>0</v>
      </c>
      <c r="H37" s="40">
        <f t="shared" si="61"/>
        <v>2617.999762510347</v>
      </c>
      <c r="I37" s="43"/>
      <c r="J37" s="137"/>
      <c r="K37" s="41">
        <v>26.229000000000003</v>
      </c>
      <c r="L37" s="175">
        <f>L27</f>
        <v>0</v>
      </c>
      <c r="M37" s="41">
        <f t="shared" si="62"/>
        <v>0</v>
      </c>
      <c r="N37" s="41">
        <f>N27</f>
        <v>0</v>
      </c>
      <c r="O37" s="41">
        <f t="shared" ref="O37:S37" si="95">O27</f>
        <v>0</v>
      </c>
      <c r="P37" s="41">
        <f t="shared" si="95"/>
        <v>0</v>
      </c>
      <c r="Q37" s="41">
        <f t="shared" si="95"/>
        <v>0</v>
      </c>
      <c r="R37" s="41">
        <f t="shared" si="95"/>
        <v>0</v>
      </c>
      <c r="S37" s="41">
        <f t="shared" si="95"/>
        <v>0</v>
      </c>
      <c r="T37" s="41">
        <f t="shared" si="69"/>
        <v>0</v>
      </c>
      <c r="U37" s="41">
        <f t="shared" si="70"/>
        <v>0</v>
      </c>
      <c r="V37" s="41">
        <f t="shared" si="71"/>
        <v>0</v>
      </c>
      <c r="W37" s="41">
        <f t="shared" si="72"/>
        <v>0</v>
      </c>
      <c r="X37" s="41">
        <f t="shared" si="73"/>
        <v>0</v>
      </c>
      <c r="Y37" s="115">
        <f t="shared" si="74"/>
        <v>0</v>
      </c>
      <c r="AA37" s="137"/>
      <c r="AB37" s="5"/>
      <c r="AC37" s="41">
        <f t="shared" si="75"/>
        <v>0</v>
      </c>
      <c r="AD37" s="5">
        <f t="shared" si="76"/>
        <v>0</v>
      </c>
      <c r="AE37" s="5">
        <f t="shared" si="77"/>
        <v>0</v>
      </c>
      <c r="AF37" s="5"/>
      <c r="AG37" s="41">
        <f t="shared" si="78"/>
        <v>0</v>
      </c>
      <c r="AH37" s="41">
        <f t="shared" si="79"/>
        <v>0</v>
      </c>
      <c r="AI37" s="41">
        <f t="shared" si="80"/>
        <v>0</v>
      </c>
      <c r="AJ37" s="41">
        <f t="shared" si="81"/>
        <v>0</v>
      </c>
      <c r="AK37" s="41">
        <f t="shared" si="82"/>
        <v>0</v>
      </c>
      <c r="AL37" s="41">
        <f t="shared" si="83"/>
        <v>0</v>
      </c>
      <c r="AM37" s="10"/>
      <c r="AN37" s="10"/>
      <c r="AO37" s="7"/>
      <c r="AQ37" s="138" t="str">
        <f t="shared" si="84"/>
        <v/>
      </c>
      <c r="AR37" s="42" t="str">
        <f t="shared" si="85"/>
        <v/>
      </c>
      <c r="AS37" s="115">
        <f t="shared" si="86"/>
        <v>0</v>
      </c>
      <c r="AU37" s="270"/>
    </row>
    <row r="38" spans="1:47" ht="15.75" thickBot="1" x14ac:dyDescent="0.3">
      <c r="A38" s="681"/>
      <c r="B38" s="242">
        <f>'Total - Detail'!B39</f>
        <v>17</v>
      </c>
      <c r="C38" s="127" t="str">
        <f>'Total - Detail'!C39</f>
        <v>Welder</v>
      </c>
      <c r="D38" s="127" t="s">
        <v>239</v>
      </c>
      <c r="E38" s="127" t="s">
        <v>77</v>
      </c>
      <c r="F38" s="128">
        <v>2014.0998172926238</v>
      </c>
      <c r="G38" s="128">
        <f t="shared" si="60"/>
        <v>0</v>
      </c>
      <c r="H38" s="129">
        <f t="shared" si="61"/>
        <v>2014.0998172926238</v>
      </c>
      <c r="I38" s="43"/>
      <c r="J38" s="146"/>
      <c r="K38" s="143">
        <v>25.746000000000002</v>
      </c>
      <c r="L38" s="396">
        <f>L29</f>
        <v>0</v>
      </c>
      <c r="M38" s="143">
        <f t="shared" si="62"/>
        <v>0</v>
      </c>
      <c r="N38" s="143">
        <f>N29</f>
        <v>0</v>
      </c>
      <c r="O38" s="143">
        <f t="shared" ref="O38:S38" si="96">O29</f>
        <v>0</v>
      </c>
      <c r="P38" s="143">
        <f t="shared" si="96"/>
        <v>0</v>
      </c>
      <c r="Q38" s="143">
        <f t="shared" si="96"/>
        <v>0</v>
      </c>
      <c r="R38" s="143">
        <f t="shared" si="96"/>
        <v>0</v>
      </c>
      <c r="S38" s="143">
        <f t="shared" si="96"/>
        <v>0</v>
      </c>
      <c r="T38" s="143">
        <f t="shared" si="69"/>
        <v>0</v>
      </c>
      <c r="U38" s="143">
        <f t="shared" si="70"/>
        <v>0</v>
      </c>
      <c r="V38" s="143">
        <f t="shared" si="71"/>
        <v>0</v>
      </c>
      <c r="W38" s="143">
        <f t="shared" si="72"/>
        <v>0</v>
      </c>
      <c r="X38" s="143">
        <f t="shared" si="73"/>
        <v>0</v>
      </c>
      <c r="Y38" s="145">
        <f t="shared" si="74"/>
        <v>0</v>
      </c>
      <c r="AA38" s="146"/>
      <c r="AB38" s="144"/>
      <c r="AC38" s="143">
        <f t="shared" si="75"/>
        <v>0</v>
      </c>
      <c r="AD38" s="144">
        <f t="shared" si="76"/>
        <v>0</v>
      </c>
      <c r="AE38" s="144">
        <f t="shared" si="77"/>
        <v>0</v>
      </c>
      <c r="AF38" s="144"/>
      <c r="AG38" s="143">
        <f t="shared" si="78"/>
        <v>0</v>
      </c>
      <c r="AH38" s="143">
        <f t="shared" si="79"/>
        <v>0</v>
      </c>
      <c r="AI38" s="143">
        <f t="shared" si="80"/>
        <v>0</v>
      </c>
      <c r="AJ38" s="143">
        <f t="shared" si="81"/>
        <v>0</v>
      </c>
      <c r="AK38" s="143">
        <f t="shared" si="82"/>
        <v>0</v>
      </c>
      <c r="AL38" s="143">
        <f t="shared" si="83"/>
        <v>0</v>
      </c>
      <c r="AM38" s="260"/>
      <c r="AN38" s="260"/>
      <c r="AO38" s="147"/>
      <c r="AQ38" s="148" t="str">
        <f t="shared" si="84"/>
        <v/>
      </c>
      <c r="AR38" s="149" t="str">
        <f t="shared" si="85"/>
        <v/>
      </c>
      <c r="AS38" s="145">
        <f t="shared" si="86"/>
        <v>0</v>
      </c>
      <c r="AU38" s="270"/>
    </row>
    <row r="39" spans="1:47" s="15" customFormat="1" ht="15.75" x14ac:dyDescent="0.25">
      <c r="A39" s="20"/>
      <c r="B39" s="20"/>
      <c r="C39" s="44"/>
      <c r="D39" s="44"/>
      <c r="E39" s="179" t="s">
        <v>119</v>
      </c>
      <c r="F39" s="180">
        <f>SUM(F5:F21)</f>
        <v>352457.56802710734</v>
      </c>
      <c r="G39" s="180">
        <f>SUM(G5:G21)</f>
        <v>0</v>
      </c>
      <c r="H39" s="181">
        <f>F39-G39</f>
        <v>352457.56802710734</v>
      </c>
      <c r="I39" s="43"/>
      <c r="J39" s="43"/>
      <c r="K39" s="43"/>
      <c r="L39" s="43"/>
      <c r="M39" s="45"/>
      <c r="N39" s="45"/>
      <c r="O39" s="45"/>
      <c r="P39" s="45"/>
      <c r="Q39" s="45"/>
      <c r="R39" s="45"/>
      <c r="S39" s="45"/>
      <c r="Y39" s="45"/>
      <c r="AA39" s="43"/>
      <c r="AB39" s="45"/>
      <c r="AC39" s="45"/>
      <c r="AD39" s="45"/>
      <c r="AE39" s="45"/>
      <c r="AF39" s="45"/>
      <c r="AG39" s="45"/>
      <c r="AH39" s="45"/>
      <c r="AI39" s="45"/>
      <c r="AJ39" s="46"/>
      <c r="AK39" s="46"/>
      <c r="AL39" s="46"/>
      <c r="AM39" s="17"/>
      <c r="AN39" s="17"/>
      <c r="AO39" s="17"/>
      <c r="AQ39" s="45"/>
      <c r="AR39" s="46"/>
      <c r="AS39" s="45"/>
    </row>
    <row r="40" spans="1:47" s="15" customFormat="1" ht="16.5" thickBot="1" x14ac:dyDescent="0.3">
      <c r="A40" s="20"/>
      <c r="B40" s="20"/>
      <c r="C40" s="44"/>
      <c r="D40" s="44"/>
      <c r="E40" s="243" t="s">
        <v>120</v>
      </c>
      <c r="F40" s="244">
        <f>SUM(F23:F38)</f>
        <v>49385.595520027113</v>
      </c>
      <c r="G40" s="244">
        <f>SUM(G23:G38)</f>
        <v>0</v>
      </c>
      <c r="H40" s="245">
        <f>F40-G40</f>
        <v>49385.595520027113</v>
      </c>
      <c r="I40" s="43"/>
      <c r="J40" s="43"/>
      <c r="K40" s="43"/>
      <c r="L40" s="43"/>
      <c r="M40" s="45"/>
      <c r="N40" s="45"/>
      <c r="O40" s="45"/>
      <c r="P40" s="45"/>
      <c r="Q40" s="45"/>
      <c r="R40" s="45"/>
      <c r="S40" s="45"/>
      <c r="W40" s="204"/>
      <c r="X40" s="204"/>
      <c r="Y40" s="204"/>
      <c r="AA40" s="43"/>
      <c r="AB40" s="45"/>
      <c r="AC40" s="45"/>
      <c r="AD40" s="45"/>
      <c r="AE40" s="45"/>
      <c r="AF40" s="45"/>
      <c r="AG40" s="45"/>
      <c r="AH40" s="45"/>
      <c r="AI40" s="45"/>
      <c r="AJ40" s="204"/>
      <c r="AK40" s="204"/>
      <c r="AL40" s="204"/>
      <c r="AM40" s="17"/>
      <c r="AN40" s="17"/>
      <c r="AO40" s="17"/>
      <c r="AQ40" s="45"/>
      <c r="AR40" s="46"/>
      <c r="AS40" s="45"/>
    </row>
    <row r="41" spans="1:47" s="15" customFormat="1" ht="16.5" thickBot="1" x14ac:dyDescent="0.3">
      <c r="A41" s="20"/>
      <c r="B41" s="20"/>
      <c r="C41" s="44"/>
      <c r="D41" s="44"/>
      <c r="E41" s="246" t="s">
        <v>121</v>
      </c>
      <c r="F41" s="247">
        <f>F39+F40</f>
        <v>401843.16354713443</v>
      </c>
      <c r="G41" s="247">
        <f>G39+G40</f>
        <v>0</v>
      </c>
      <c r="H41" s="622">
        <f>H39+H40</f>
        <v>401843.16354713443</v>
      </c>
      <c r="I41" s="43"/>
      <c r="J41" s="43"/>
      <c r="K41" s="43"/>
      <c r="L41" s="47"/>
      <c r="M41" s="45"/>
      <c r="N41" s="45"/>
      <c r="O41" s="45"/>
      <c r="P41" s="45"/>
      <c r="Q41" s="45"/>
      <c r="R41" s="45"/>
      <c r="S41" s="45"/>
      <c r="Y41" s="45"/>
      <c r="AA41" s="43"/>
      <c r="AB41" s="45"/>
      <c r="AC41" s="45"/>
      <c r="AD41" s="45"/>
      <c r="AE41" s="45"/>
      <c r="AF41" s="45"/>
      <c r="AG41" s="45"/>
      <c r="AH41" s="45"/>
      <c r="AI41" s="45"/>
      <c r="AJ41" s="46"/>
      <c r="AK41" s="46"/>
      <c r="AL41" s="46"/>
      <c r="AM41" s="17"/>
      <c r="AN41" s="17"/>
      <c r="AO41" s="17"/>
      <c r="AQ41" s="45"/>
      <c r="AR41" s="46"/>
      <c r="AS41" s="45"/>
    </row>
    <row r="42" spans="1:47" x14ac:dyDescent="0.25">
      <c r="F42" s="9"/>
      <c r="G42" s="9"/>
      <c r="H42" s="9"/>
      <c r="V42" s="130"/>
      <c r="W42" s="131"/>
      <c r="X42" s="131"/>
      <c r="AJ42" s="130"/>
      <c r="AK42" s="131"/>
      <c r="AL42" s="131"/>
    </row>
    <row r="43" spans="1:47" ht="15.75" thickBot="1" x14ac:dyDescent="0.3">
      <c r="J43" s="559"/>
      <c r="M43" s="157"/>
      <c r="V43" s="130"/>
      <c r="Y43" s="64"/>
      <c r="AJ43" s="130"/>
      <c r="AK43" s="132"/>
      <c r="AL43" s="130"/>
    </row>
    <row r="44" spans="1:47" x14ac:dyDescent="0.25">
      <c r="C44" s="50" t="s">
        <v>122</v>
      </c>
      <c r="D44" s="237"/>
      <c r="E44" s="382" t="s">
        <v>123</v>
      </c>
      <c r="F44" s="385" t="s">
        <v>124</v>
      </c>
      <c r="H44" s="48"/>
      <c r="J44" s="559"/>
      <c r="K44" s="49"/>
      <c r="L44" s="49"/>
      <c r="M44" s="155"/>
      <c r="N44" s="45"/>
      <c r="P44" s="45"/>
      <c r="Q44" s="45"/>
      <c r="R44" s="45"/>
      <c r="S44" s="45"/>
      <c r="X44" s="9"/>
      <c r="Y44" s="64"/>
      <c r="AM44" s="51"/>
    </row>
    <row r="45" spans="1:47" x14ac:dyDescent="0.25">
      <c r="C45" s="52" t="s">
        <v>125</v>
      </c>
      <c r="D45" s="11"/>
      <c r="E45" s="53"/>
      <c r="F45" s="75"/>
      <c r="G45" s="156"/>
      <c r="H45" s="48"/>
      <c r="J45" s="49"/>
      <c r="K45" s="49"/>
      <c r="L45" s="49"/>
      <c r="M45" s="158"/>
      <c r="N45" s="45"/>
      <c r="P45" s="45"/>
      <c r="Q45" s="45"/>
      <c r="R45" s="45"/>
      <c r="S45" s="45"/>
      <c r="X45" s="64"/>
      <c r="Y45" s="64"/>
      <c r="AM45" s="11"/>
      <c r="AO45" s="9"/>
    </row>
    <row r="46" spans="1:47" x14ac:dyDescent="0.25">
      <c r="C46" s="54" t="s">
        <v>126</v>
      </c>
      <c r="D46" s="11"/>
      <c r="E46" s="53">
        <f>SUM(J5:J38)</f>
        <v>0</v>
      </c>
      <c r="F46" s="76">
        <f>SUM(Y5:Y38)</f>
        <v>0</v>
      </c>
      <c r="G46" s="156"/>
      <c r="H46" s="49"/>
      <c r="J46" s="444"/>
      <c r="K46" s="48"/>
      <c r="L46" s="48"/>
      <c r="M46" s="158"/>
      <c r="X46" s="9"/>
      <c r="Y46" s="64"/>
      <c r="AM46" s="11"/>
      <c r="AO46" s="9"/>
    </row>
    <row r="47" spans="1:47" x14ac:dyDescent="0.25">
      <c r="C47" s="52" t="s">
        <v>127</v>
      </c>
      <c r="D47" s="11"/>
      <c r="E47" s="53"/>
      <c r="F47" s="75"/>
      <c r="G47" s="156"/>
      <c r="J47" s="650"/>
      <c r="K47" s="65"/>
      <c r="L47" s="65"/>
      <c r="X47" s="9"/>
      <c r="Y47" s="64"/>
      <c r="AM47" s="11"/>
      <c r="AO47" s="9"/>
    </row>
    <row r="48" spans="1:47" x14ac:dyDescent="0.25">
      <c r="C48" s="54" t="s">
        <v>126</v>
      </c>
      <c r="D48" s="11"/>
      <c r="E48" s="53">
        <f>SUM(AA5:AA38)</f>
        <v>0</v>
      </c>
      <c r="F48" s="76">
        <f>SUM(AL5:AL38)</f>
        <v>0</v>
      </c>
      <c r="J48" s="48"/>
      <c r="K48" s="48"/>
      <c r="L48" s="48"/>
      <c r="M48" s="363"/>
      <c r="N48" s="363"/>
      <c r="X48" s="9"/>
      <c r="Y48" s="64"/>
      <c r="AM48" s="11"/>
      <c r="AO48" s="9"/>
    </row>
    <row r="49" spans="3:41" x14ac:dyDescent="0.25">
      <c r="C49" s="54"/>
      <c r="D49" s="11"/>
      <c r="E49" s="53"/>
      <c r="F49" s="76"/>
      <c r="H49" s="48"/>
      <c r="J49" s="48"/>
      <c r="K49" s="48"/>
      <c r="L49" s="48"/>
      <c r="X49" s="9"/>
      <c r="Y49" s="64"/>
      <c r="AM49" s="11"/>
      <c r="AO49" s="9"/>
    </row>
    <row r="50" spans="3:41" ht="15.75" thickBot="1" x14ac:dyDescent="0.3">
      <c r="C50" s="55" t="s">
        <v>128</v>
      </c>
      <c r="D50" s="238"/>
      <c r="E50" s="56">
        <f>SUM(E46:E49)</f>
        <v>0</v>
      </c>
      <c r="F50" s="78">
        <f>SUM(F46:F49)</f>
        <v>0</v>
      </c>
      <c r="H50" s="48"/>
      <c r="J50" s="48"/>
      <c r="K50" s="48"/>
      <c r="L50" s="48"/>
      <c r="V50" s="12"/>
      <c r="X50" s="9"/>
      <c r="Y50" s="64"/>
      <c r="AM50" s="11"/>
      <c r="AO50" s="9"/>
    </row>
    <row r="51" spans="3:41" ht="15.75" thickBot="1" x14ac:dyDescent="0.3">
      <c r="C51" s="47"/>
      <c r="D51" s="80"/>
      <c r="H51" s="48"/>
      <c r="J51" s="49"/>
      <c r="K51" s="49"/>
      <c r="L51" s="49"/>
      <c r="V51" s="12"/>
      <c r="X51" s="9"/>
      <c r="Y51" s="64"/>
      <c r="AM51" s="11"/>
      <c r="AO51" s="9"/>
    </row>
    <row r="52" spans="3:41" x14ac:dyDescent="0.25">
      <c r="C52" s="50" t="s">
        <v>242</v>
      </c>
      <c r="D52" s="384" t="s">
        <v>171</v>
      </c>
      <c r="E52" s="382" t="s">
        <v>169</v>
      </c>
      <c r="F52" s="383" t="s">
        <v>99</v>
      </c>
      <c r="H52" s="48"/>
      <c r="J52" s="12"/>
      <c r="K52" s="12"/>
      <c r="L52" s="12"/>
      <c r="V52" s="12"/>
      <c r="X52" s="9"/>
      <c r="Y52" s="64"/>
      <c r="AM52" s="11"/>
      <c r="AO52" s="9"/>
    </row>
    <row r="53" spans="3:41" x14ac:dyDescent="0.25">
      <c r="C53" s="54" t="s">
        <v>167</v>
      </c>
      <c r="D53" s="301">
        <v>3250412.8006196138</v>
      </c>
      <c r="E53" s="506"/>
      <c r="F53" s="302">
        <f>IF(E53&lt;0,"ERROR",D53-(D53*E53))</f>
        <v>3250412.8006196138</v>
      </c>
      <c r="G53" s="155"/>
      <c r="H53" s="156"/>
      <c r="J53" s="49"/>
      <c r="K53" s="49"/>
      <c r="L53" s="49"/>
      <c r="V53" s="12"/>
      <c r="X53" s="9"/>
      <c r="Y53" s="64"/>
      <c r="AM53" s="11"/>
      <c r="AO53" s="9"/>
    </row>
    <row r="54" spans="3:41" x14ac:dyDescent="0.25">
      <c r="C54" s="54" t="s">
        <v>168</v>
      </c>
      <c r="D54" s="301">
        <v>1902680.6637773348</v>
      </c>
      <c r="E54" s="506"/>
      <c r="F54" s="302">
        <f>IF(E54&lt;0,"ERROR",D54-(D54*E54))</f>
        <v>1902680.6637773348</v>
      </c>
      <c r="G54" s="155"/>
      <c r="H54" s="156"/>
      <c r="J54" s="49"/>
      <c r="K54" s="49"/>
      <c r="L54" s="49"/>
      <c r="V54" s="12"/>
      <c r="X54" s="9"/>
      <c r="Y54" s="64"/>
      <c r="AM54" s="11"/>
      <c r="AO54" s="9"/>
    </row>
    <row r="55" spans="3:41" ht="17.25" x14ac:dyDescent="0.4">
      <c r="C55" s="300" t="s">
        <v>243</v>
      </c>
      <c r="D55" s="305">
        <v>2774742.6346752802</v>
      </c>
      <c r="E55" s="57"/>
      <c r="F55" s="303">
        <f>D55</f>
        <v>2774742.6346752802</v>
      </c>
      <c r="G55" s="155"/>
      <c r="H55" s="156"/>
      <c r="J55" s="49"/>
      <c r="K55" s="49"/>
      <c r="L55" s="49"/>
      <c r="V55" s="12"/>
      <c r="X55" s="9"/>
      <c r="Y55" s="64"/>
      <c r="AM55" s="11"/>
      <c r="AO55" s="9"/>
    </row>
    <row r="56" spans="3:41" x14ac:dyDescent="0.25">
      <c r="C56" s="300" t="s">
        <v>244</v>
      </c>
      <c r="D56" s="51">
        <f>SUM(D53:D55)</f>
        <v>7927836.0990722291</v>
      </c>
      <c r="E56" s="57"/>
      <c r="F56" s="304">
        <f>ROUND(SUM(F53:F55),2)</f>
        <v>7927836.0999999996</v>
      </c>
      <c r="G56" s="155"/>
      <c r="H56" s="156"/>
      <c r="J56" s="49"/>
      <c r="K56" s="49"/>
      <c r="L56" s="49"/>
      <c r="V56" s="12"/>
      <c r="X56" s="9"/>
      <c r="Y56" s="64"/>
      <c r="AM56" s="11"/>
      <c r="AO56" s="9"/>
    </row>
    <row r="57" spans="3:41" x14ac:dyDescent="0.25">
      <c r="C57" s="300"/>
      <c r="D57" s="51"/>
      <c r="E57" s="386" t="s">
        <v>170</v>
      </c>
      <c r="F57" s="304"/>
      <c r="G57" s="155"/>
      <c r="H57" s="156"/>
      <c r="J57" s="49"/>
      <c r="K57" s="49"/>
      <c r="L57" s="49"/>
      <c r="V57" s="12"/>
      <c r="X57" s="9"/>
      <c r="Y57" s="64"/>
      <c r="AM57" s="11"/>
      <c r="AO57" s="9"/>
    </row>
    <row r="58" spans="3:41" ht="17.25" x14ac:dyDescent="0.4">
      <c r="C58" s="300" t="s">
        <v>246</v>
      </c>
      <c r="D58" s="51"/>
      <c r="E58" s="506"/>
      <c r="F58" s="303">
        <f>F56*E58</f>
        <v>0</v>
      </c>
      <c r="G58" s="155"/>
      <c r="H58" s="156"/>
      <c r="J58" s="49"/>
      <c r="K58" s="49"/>
      <c r="L58" s="49"/>
      <c r="V58" s="12"/>
      <c r="X58" s="9"/>
      <c r="Y58" s="64"/>
      <c r="AM58" s="11"/>
      <c r="AO58" s="9"/>
    </row>
    <row r="59" spans="3:41" x14ac:dyDescent="0.25">
      <c r="C59" s="300"/>
      <c r="D59" s="51"/>
      <c r="E59" s="57"/>
      <c r="F59" s="304"/>
      <c r="G59" s="155"/>
      <c r="H59" s="156"/>
      <c r="J59" s="49"/>
      <c r="K59" s="49"/>
      <c r="L59" s="49"/>
      <c r="V59" s="12"/>
      <c r="X59" s="9"/>
      <c r="Y59" s="64"/>
      <c r="AM59" s="11"/>
      <c r="AO59" s="9"/>
    </row>
    <row r="60" spans="3:41" ht="15.75" thickBot="1" x14ac:dyDescent="0.3">
      <c r="C60" s="55" t="s">
        <v>263</v>
      </c>
      <c r="D60" s="567"/>
      <c r="E60" s="568"/>
      <c r="F60" s="569">
        <f>F56+F58</f>
        <v>7927836.0999999996</v>
      </c>
      <c r="G60" s="155"/>
      <c r="H60" s="156"/>
      <c r="J60" s="49"/>
      <c r="K60" s="49"/>
      <c r="L60" s="49"/>
      <c r="V60" s="12"/>
      <c r="X60" s="9"/>
      <c r="Y60" s="64"/>
      <c r="AM60" s="11"/>
      <c r="AO60" s="9"/>
    </row>
    <row r="61" spans="3:41" ht="15.75" thickBot="1" x14ac:dyDescent="0.3">
      <c r="C61" s="47"/>
      <c r="D61" s="80"/>
      <c r="H61" s="48"/>
      <c r="J61" s="49"/>
      <c r="K61" s="49"/>
      <c r="L61" s="49"/>
      <c r="V61" s="12"/>
      <c r="X61" s="9"/>
      <c r="Y61" s="64"/>
      <c r="AM61" s="11"/>
      <c r="AO61" s="9"/>
    </row>
    <row r="62" spans="3:41" x14ac:dyDescent="0.25">
      <c r="C62" s="50" t="s">
        <v>245</v>
      </c>
      <c r="D62" s="237"/>
      <c r="E62" s="618" t="s">
        <v>170</v>
      </c>
      <c r="F62" s="383" t="s">
        <v>99</v>
      </c>
      <c r="H62" s="156"/>
      <c r="J62" s="49"/>
      <c r="K62" s="49"/>
      <c r="L62" s="49"/>
      <c r="V62" s="12"/>
      <c r="X62" s="9"/>
      <c r="Y62" s="64"/>
      <c r="AM62" s="11"/>
      <c r="AO62" s="9"/>
    </row>
    <row r="63" spans="3:41" x14ac:dyDescent="0.25">
      <c r="C63" s="300" t="s">
        <v>245</v>
      </c>
      <c r="D63" s="51"/>
      <c r="E63" s="11"/>
      <c r="F63" s="306">
        <v>1906762.9907349111</v>
      </c>
      <c r="G63" s="155"/>
      <c r="H63" s="156"/>
      <c r="J63" s="49"/>
      <c r="K63" s="49"/>
      <c r="L63" s="49"/>
      <c r="V63" s="12"/>
      <c r="X63" s="9"/>
      <c r="Y63" s="64"/>
      <c r="AM63" s="11"/>
      <c r="AO63" s="9"/>
    </row>
    <row r="64" spans="3:41" x14ac:dyDescent="0.25">
      <c r="C64" s="54"/>
      <c r="D64" s="11"/>
      <c r="E64" s="386"/>
      <c r="F64" s="77"/>
      <c r="H64" s="48"/>
      <c r="J64" s="49"/>
      <c r="K64" s="49"/>
      <c r="L64" s="49"/>
      <c r="V64" s="12"/>
      <c r="X64" s="9"/>
      <c r="Y64" s="64"/>
      <c r="AM64" s="11"/>
      <c r="AO64" s="9"/>
    </row>
    <row r="65" spans="1:41" ht="17.25" x14ac:dyDescent="0.4">
      <c r="C65" s="54" t="s">
        <v>248</v>
      </c>
      <c r="D65" s="11"/>
      <c r="E65" s="506"/>
      <c r="F65" s="571">
        <f>F63*E65</f>
        <v>0</v>
      </c>
      <c r="H65" s="48"/>
      <c r="J65" s="49"/>
      <c r="K65" s="49"/>
      <c r="L65" s="49"/>
      <c r="V65" s="12"/>
      <c r="X65" s="9"/>
      <c r="Y65" s="9"/>
      <c r="AM65" s="11"/>
      <c r="AO65" s="9"/>
    </row>
    <row r="66" spans="1:41" x14ac:dyDescent="0.25">
      <c r="C66" s="54"/>
      <c r="D66" s="11"/>
      <c r="E66" s="57"/>
      <c r="F66" s="76"/>
      <c r="H66" s="48"/>
      <c r="J66" s="49"/>
      <c r="K66" s="49"/>
      <c r="L66" s="49"/>
      <c r="V66" s="12"/>
      <c r="X66" s="9"/>
      <c r="Y66" s="9"/>
      <c r="AM66" s="11"/>
      <c r="AO66" s="9"/>
    </row>
    <row r="67" spans="1:41" ht="15.75" thickBot="1" x14ac:dyDescent="0.3">
      <c r="A67" s="58"/>
      <c r="B67" s="11"/>
      <c r="C67" s="55" t="s">
        <v>264</v>
      </c>
      <c r="D67" s="238"/>
      <c r="E67" s="56"/>
      <c r="F67" s="78">
        <f>F63+F65</f>
        <v>1906762.9907349111</v>
      </c>
      <c r="H67" s="48"/>
      <c r="J67" s="49"/>
      <c r="K67" s="49"/>
      <c r="L67" s="49"/>
      <c r="V67" s="12"/>
      <c r="X67" s="9"/>
      <c r="Y67" s="9"/>
      <c r="AM67" s="11"/>
      <c r="AO67" s="9"/>
    </row>
    <row r="68" spans="1:41" x14ac:dyDescent="0.25">
      <c r="J68" s="48"/>
      <c r="K68" s="49"/>
      <c r="L68" s="49"/>
      <c r="AN68" s="9"/>
      <c r="AO68" s="9"/>
    </row>
    <row r="69" spans="1:41" ht="15.75" thickBot="1" x14ac:dyDescent="0.3">
      <c r="J69" s="48"/>
      <c r="K69" s="49"/>
      <c r="L69" s="49"/>
      <c r="AN69" s="9"/>
      <c r="AO69" s="9"/>
    </row>
    <row r="70" spans="1:41" ht="15.75" thickBot="1" x14ac:dyDescent="0.3">
      <c r="C70" s="59" t="s">
        <v>129</v>
      </c>
      <c r="D70" s="162"/>
      <c r="E70" s="162"/>
      <c r="F70" s="81">
        <f>F50+F60+F67</f>
        <v>9834599.0907349102</v>
      </c>
      <c r="J70" s="48"/>
      <c r="K70" s="49"/>
      <c r="L70" s="49"/>
      <c r="AN70" s="9"/>
      <c r="AO70" s="9"/>
    </row>
    <row r="71" spans="1:41" x14ac:dyDescent="0.25">
      <c r="G71" s="278"/>
      <c r="J71" s="48"/>
      <c r="K71" s="49"/>
      <c r="L71" s="49"/>
      <c r="AN71" s="9"/>
      <c r="AO71" s="9"/>
    </row>
    <row r="72" spans="1:41" x14ac:dyDescent="0.25">
      <c r="B72" s="234"/>
      <c r="C72" s="234"/>
      <c r="D72" s="234"/>
      <c r="E72" s="47"/>
      <c r="F72" s="79"/>
      <c r="G72" s="278"/>
      <c r="J72" s="48"/>
      <c r="K72" s="49"/>
      <c r="L72" s="49"/>
      <c r="AN72" s="9"/>
      <c r="AO72" s="9"/>
    </row>
    <row r="73" spans="1:41" x14ac:dyDescent="0.25">
      <c r="E73" s="47"/>
      <c r="AO73" s="9"/>
    </row>
    <row r="74" spans="1:41" x14ac:dyDescent="0.25">
      <c r="H74" s="48"/>
      <c r="J74" s="49"/>
      <c r="K74" s="49"/>
      <c r="L74" s="49"/>
      <c r="V74" s="12"/>
      <c r="X74" s="9"/>
      <c r="Y74" s="9"/>
      <c r="AM74" s="11"/>
      <c r="AO74" s="9"/>
    </row>
    <row r="75" spans="1:41" x14ac:dyDescent="0.25">
      <c r="G75" s="48"/>
    </row>
    <row r="76" spans="1:41" x14ac:dyDescent="0.25">
      <c r="G76" s="48"/>
    </row>
    <row r="77" spans="1:41" x14ac:dyDescent="0.25">
      <c r="G77" s="48"/>
    </row>
  </sheetData>
  <mergeCells count="14">
    <mergeCell ref="A35:A38"/>
    <mergeCell ref="A1:AS1"/>
    <mergeCell ref="AQ3:AS3"/>
    <mergeCell ref="J2:Y2"/>
    <mergeCell ref="A2:H2"/>
    <mergeCell ref="AQ2:AS2"/>
    <mergeCell ref="AA2:AO2"/>
    <mergeCell ref="A8:A12"/>
    <mergeCell ref="A14:A17"/>
    <mergeCell ref="A18:A21"/>
    <mergeCell ref="A25:A29"/>
    <mergeCell ref="A31:A34"/>
    <mergeCell ref="A6:A7"/>
    <mergeCell ref="A23:A24"/>
  </mergeCells>
  <phoneticPr fontId="21" type="noConversion"/>
  <conditionalFormatting sqref="F53:F54">
    <cfRule type="containsText" dxfId="22" priority="7" operator="containsText" text="ERROR">
      <formula>NOT(ISERROR(SEARCH("ERROR",F53)))</formula>
    </cfRule>
  </conditionalFormatting>
  <conditionalFormatting sqref="H5:H21 H23:H41">
    <cfRule type="cellIs" dxfId="21" priority="4" operator="lessThan">
      <formula>0</formula>
    </cfRule>
    <cfRule type="cellIs" dxfId="20" priority="5" operator="greaterThan">
      <formula>0</formula>
    </cfRule>
    <cfRule type="cellIs" dxfId="19" priority="6" operator="equal">
      <formula>0</formula>
    </cfRule>
  </conditionalFormatting>
  <pageMargins left="0.7" right="0.7" top="0.75" bottom="0.75" header="0.3" footer="0.3"/>
  <pageSetup orientation="portrait" verticalDpi="597"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E7E38-E57D-414B-B1CE-371362C35D48}">
  <dimension ref="A1:AV70"/>
  <sheetViews>
    <sheetView showGridLines="0" topLeftCell="C1" zoomScaleNormal="100" workbookViewId="0">
      <pane ySplit="4" topLeftCell="A53" activePane="bottomLeft" state="frozen"/>
      <selection activeCell="G19" sqref="G19"/>
      <selection pane="bottomLeft" activeCell="T31" sqref="T31"/>
    </sheetView>
  </sheetViews>
  <sheetFormatPr defaultColWidth="9.140625" defaultRowHeight="15" x14ac:dyDescent="0.25"/>
  <cols>
    <col min="1" max="1" width="41.28515625" style="9" bestFit="1" customWidth="1"/>
    <col min="2" max="2" width="4" style="9" bestFit="1" customWidth="1"/>
    <col min="3" max="3" width="36.42578125" style="9" bestFit="1" customWidth="1"/>
    <col min="4" max="4" width="16.7109375" style="9" customWidth="1"/>
    <col min="5" max="5" width="17.7109375" style="9" customWidth="1"/>
    <col min="6" max="8" width="16.7109375" style="47" customWidth="1"/>
    <col min="9" max="9" width="1.7109375" style="48" customWidth="1"/>
    <col min="10" max="10" width="14.7109375" style="47" customWidth="1"/>
    <col min="11" max="20" width="14.7109375" style="49" customWidth="1"/>
    <col min="21" max="21" width="23.7109375" style="12" customWidth="1"/>
    <col min="22" max="23" width="23.7109375" style="49" customWidth="1"/>
    <col min="24" max="24" width="1.7109375" style="9" customWidth="1"/>
    <col min="25" max="33" width="14.7109375" style="9" customWidth="1"/>
    <col min="34" max="36" width="23.7109375" style="9" customWidth="1"/>
    <col min="37" max="37" width="36.7109375" style="9" customWidth="1"/>
    <col min="38" max="38" width="12.7109375" style="11" customWidth="1"/>
    <col min="39" max="39" width="24.7109375" style="11" customWidth="1"/>
    <col min="40" max="40" width="1.7109375" style="9" customWidth="1"/>
    <col min="41" max="43" width="16.7109375" style="9" customWidth="1"/>
    <col min="44" max="16384" width="9.140625" style="9"/>
  </cols>
  <sheetData>
    <row r="1" spans="1:48" s="15" customFormat="1" ht="34.5" thickBot="1" x14ac:dyDescent="0.55000000000000004">
      <c r="A1" s="696" t="s">
        <v>130</v>
      </c>
      <c r="B1" s="697"/>
      <c r="C1" s="698"/>
      <c r="D1" s="698"/>
      <c r="E1" s="698"/>
      <c r="F1" s="698"/>
      <c r="G1" s="698"/>
      <c r="H1" s="698"/>
      <c r="I1" s="698"/>
      <c r="J1" s="698"/>
      <c r="K1" s="698"/>
      <c r="L1" s="698"/>
      <c r="M1" s="698"/>
      <c r="N1" s="698"/>
      <c r="O1" s="698"/>
      <c r="P1" s="698"/>
      <c r="Q1" s="698"/>
      <c r="R1" s="698"/>
      <c r="S1" s="698"/>
      <c r="T1" s="698"/>
      <c r="U1" s="698"/>
      <c r="V1" s="698"/>
      <c r="W1" s="698"/>
      <c r="X1" s="698"/>
      <c r="Y1" s="698"/>
      <c r="Z1" s="698"/>
      <c r="AA1" s="698"/>
      <c r="AB1" s="698"/>
      <c r="AC1" s="698"/>
      <c r="AD1" s="698"/>
      <c r="AE1" s="698"/>
      <c r="AF1" s="698"/>
      <c r="AG1" s="698"/>
      <c r="AH1" s="698"/>
      <c r="AI1" s="698"/>
      <c r="AJ1" s="698"/>
      <c r="AK1" s="698"/>
      <c r="AL1" s="698"/>
      <c r="AM1" s="698"/>
      <c r="AN1" s="698"/>
      <c r="AO1" s="698"/>
      <c r="AP1" s="698"/>
      <c r="AQ1" s="699"/>
    </row>
    <row r="2" spans="1:48" ht="15.75" thickBot="1" x14ac:dyDescent="0.3">
      <c r="A2" s="706" t="s">
        <v>131</v>
      </c>
      <c r="B2" s="707"/>
      <c r="C2" s="707"/>
      <c r="D2" s="707"/>
      <c r="E2" s="707"/>
      <c r="F2" s="707"/>
      <c r="G2" s="707"/>
      <c r="H2" s="708"/>
      <c r="I2" s="32"/>
      <c r="J2" s="703" t="s">
        <v>84</v>
      </c>
      <c r="K2" s="704"/>
      <c r="L2" s="704"/>
      <c r="M2" s="704"/>
      <c r="N2" s="704"/>
      <c r="O2" s="704"/>
      <c r="P2" s="704"/>
      <c r="Q2" s="704"/>
      <c r="R2" s="704"/>
      <c r="S2" s="704"/>
      <c r="T2" s="704"/>
      <c r="U2" s="704"/>
      <c r="V2" s="704"/>
      <c r="W2" s="705"/>
      <c r="Y2" s="709" t="s">
        <v>85</v>
      </c>
      <c r="Z2" s="710"/>
      <c r="AA2" s="710"/>
      <c r="AB2" s="710"/>
      <c r="AC2" s="710"/>
      <c r="AD2" s="710"/>
      <c r="AE2" s="710"/>
      <c r="AF2" s="710"/>
      <c r="AG2" s="710"/>
      <c r="AH2" s="710"/>
      <c r="AI2" s="710"/>
      <c r="AJ2" s="710"/>
      <c r="AK2" s="710"/>
      <c r="AL2" s="710"/>
      <c r="AM2" s="711"/>
      <c r="AO2" s="706" t="s">
        <v>86</v>
      </c>
      <c r="AP2" s="707"/>
      <c r="AQ2" s="708"/>
    </row>
    <row r="3" spans="1:48" s="234" customFormat="1" ht="45.95" customHeight="1" thickBot="1" x14ac:dyDescent="0.3">
      <c r="A3" s="163" t="s">
        <v>35</v>
      </c>
      <c r="B3" s="209" t="s">
        <v>36</v>
      </c>
      <c r="C3" s="223" t="s">
        <v>37</v>
      </c>
      <c r="D3" s="223" t="s">
        <v>87</v>
      </c>
      <c r="E3" s="223" t="s">
        <v>47</v>
      </c>
      <c r="F3" s="224" t="s">
        <v>88</v>
      </c>
      <c r="G3" s="224" t="s">
        <v>89</v>
      </c>
      <c r="H3" s="225" t="s">
        <v>90</v>
      </c>
      <c r="I3" s="226"/>
      <c r="J3" s="227" t="s">
        <v>91</v>
      </c>
      <c r="K3" s="229" t="s">
        <v>94</v>
      </c>
      <c r="L3" s="229" t="s">
        <v>172</v>
      </c>
      <c r="M3" s="229" t="s">
        <v>95</v>
      </c>
      <c r="N3" s="230" t="s">
        <v>96</v>
      </c>
      <c r="O3" s="230" t="s">
        <v>193</v>
      </c>
      <c r="P3" s="230" t="s">
        <v>97</v>
      </c>
      <c r="Q3" s="230" t="s">
        <v>98</v>
      </c>
      <c r="R3" s="230" t="s">
        <v>99</v>
      </c>
      <c r="S3" s="230" t="s">
        <v>100</v>
      </c>
      <c r="T3" s="230" t="s">
        <v>101</v>
      </c>
      <c r="U3" s="231" t="s">
        <v>102</v>
      </c>
      <c r="V3" s="232" t="s">
        <v>103</v>
      </c>
      <c r="W3" s="233" t="s">
        <v>104</v>
      </c>
      <c r="Y3" s="227" t="s">
        <v>105</v>
      </c>
      <c r="Z3" s="229" t="s">
        <v>106</v>
      </c>
      <c r="AA3" s="229" t="s">
        <v>107</v>
      </c>
      <c r="AB3" s="229" t="s">
        <v>108</v>
      </c>
      <c r="AC3" s="229" t="s">
        <v>109</v>
      </c>
      <c r="AD3" s="229" t="s">
        <v>110</v>
      </c>
      <c r="AE3" s="232" t="s">
        <v>99</v>
      </c>
      <c r="AF3" s="229" t="s">
        <v>111</v>
      </c>
      <c r="AG3" s="229" t="s">
        <v>112</v>
      </c>
      <c r="AH3" s="229" t="s">
        <v>102</v>
      </c>
      <c r="AI3" s="229" t="s">
        <v>103</v>
      </c>
      <c r="AJ3" s="229" t="s">
        <v>104</v>
      </c>
      <c r="AK3" s="235" t="s">
        <v>113</v>
      </c>
      <c r="AL3" s="235" t="s">
        <v>114</v>
      </c>
      <c r="AM3" s="236" t="s">
        <v>115</v>
      </c>
      <c r="AO3" s="700" t="s">
        <v>116</v>
      </c>
      <c r="AP3" s="701"/>
      <c r="AQ3" s="702"/>
    </row>
    <row r="4" spans="1:48" ht="31.5" customHeight="1" thickBot="1" x14ac:dyDescent="0.35">
      <c r="A4" s="410" t="s">
        <v>117</v>
      </c>
      <c r="B4" s="411"/>
      <c r="C4" s="237"/>
      <c r="D4" s="237"/>
      <c r="E4" s="237"/>
      <c r="F4" s="412"/>
      <c r="G4" s="412"/>
      <c r="H4" s="413"/>
      <c r="I4" s="33"/>
      <c r="J4" s="133"/>
      <c r="K4" s="164"/>
      <c r="L4" s="135"/>
      <c r="M4" s="135"/>
      <c r="N4" s="135"/>
      <c r="O4" s="135"/>
      <c r="P4" s="135"/>
      <c r="Q4" s="135"/>
      <c r="R4" s="136"/>
      <c r="S4" s="135"/>
      <c r="T4" s="136"/>
      <c r="U4" s="136"/>
      <c r="V4" s="150"/>
      <c r="W4" s="151"/>
      <c r="Y4" s="133"/>
      <c r="Z4" s="134"/>
      <c r="AA4" s="134"/>
      <c r="AB4" s="135"/>
      <c r="AC4" s="135"/>
      <c r="AD4" s="135"/>
      <c r="AE4" s="136"/>
      <c r="AF4" s="135"/>
      <c r="AG4" s="134"/>
      <c r="AH4" s="134"/>
      <c r="AI4" s="134"/>
      <c r="AJ4" s="134"/>
      <c r="AK4" s="187"/>
      <c r="AL4" s="187"/>
      <c r="AM4" s="188"/>
      <c r="AN4" s="34"/>
      <c r="AO4" s="152" t="s">
        <v>99</v>
      </c>
      <c r="AP4" s="153" t="s">
        <v>100</v>
      </c>
      <c r="AQ4" s="154" t="s">
        <v>118</v>
      </c>
    </row>
    <row r="5" spans="1:48" ht="15.75" thickBot="1" x14ac:dyDescent="0.3">
      <c r="A5" s="222" t="s">
        <v>42</v>
      </c>
      <c r="B5" s="415">
        <f>'Total - Detail'!B6</f>
        <v>1</v>
      </c>
      <c r="C5" s="210" t="str">
        <f>'Total - Detail'!C6</f>
        <v>Project Management Specialist</v>
      </c>
      <c r="D5" s="257" t="s">
        <v>291</v>
      </c>
      <c r="E5" s="257" t="s">
        <v>55</v>
      </c>
      <c r="F5" s="211">
        <v>19114.698266026175</v>
      </c>
      <c r="G5" s="211">
        <f>SUM(J5,Y5)</f>
        <v>0</v>
      </c>
      <c r="H5" s="212">
        <f>F5-G5</f>
        <v>19114.698266026175</v>
      </c>
      <c r="I5" s="43"/>
      <c r="J5" s="214"/>
      <c r="K5" s="216">
        <f>'Ordering Period 1'!M5+('Ordering Period 1'!M5*Escalation!$D$2)</f>
        <v>0</v>
      </c>
      <c r="L5" s="366"/>
      <c r="M5" s="249">
        <f>(K5*$M$4)</f>
        <v>0</v>
      </c>
      <c r="N5" s="249">
        <f>(M5+K5)*$N$4</f>
        <v>0</v>
      </c>
      <c r="O5" s="249">
        <f>(K5+M5)*$O$4</f>
        <v>0</v>
      </c>
      <c r="P5" s="249">
        <f>(M5+K5+N5+O5)*$P$4</f>
        <v>0</v>
      </c>
      <c r="Q5" s="249">
        <f>(K5+M5+N5+O5+P5)*$Q$4</f>
        <v>0</v>
      </c>
      <c r="R5" s="216">
        <f>SUM(K5:Q5)</f>
        <v>0</v>
      </c>
      <c r="S5" s="216">
        <f>(R5-Q5)*$S$4</f>
        <v>0</v>
      </c>
      <c r="T5" s="216">
        <f>SUM(R5:S5)</f>
        <v>0</v>
      </c>
      <c r="U5" s="253">
        <f>R5*J5</f>
        <v>0</v>
      </c>
      <c r="V5" s="216">
        <f>S5*J5</f>
        <v>0</v>
      </c>
      <c r="W5" s="217">
        <f>T5*J5</f>
        <v>0</v>
      </c>
      <c r="Y5" s="214"/>
      <c r="Z5" s="249">
        <f>'Ordering Period 1'!AC5+('Ordering Period 1'!AC5*Escalation!$D$2)</f>
        <v>0</v>
      </c>
      <c r="AA5" s="216">
        <f>IF($Y5&gt;0,$Z5,0)</f>
        <v>0</v>
      </c>
      <c r="AB5" s="249">
        <f>(AA5*$AB$4)</f>
        <v>0</v>
      </c>
      <c r="AC5" s="249">
        <f>(AA5+AB5)*$AC$4</f>
        <v>0</v>
      </c>
      <c r="AD5" s="249"/>
      <c r="AE5" s="216">
        <f>SUM(AA5:AD5)</f>
        <v>0</v>
      </c>
      <c r="AF5" s="216">
        <f>$AF$4*(AC5+AA5+AB5)</f>
        <v>0</v>
      </c>
      <c r="AG5" s="216">
        <f>SUM(AE5:AF5)</f>
        <v>0</v>
      </c>
      <c r="AH5" s="216">
        <f>AE5*Y5</f>
        <v>0</v>
      </c>
      <c r="AI5" s="216">
        <f>AF5*Y5</f>
        <v>0</v>
      </c>
      <c r="AJ5" s="216">
        <f>AG5*Y5</f>
        <v>0</v>
      </c>
      <c r="AK5" s="433"/>
      <c r="AL5" s="433"/>
      <c r="AM5" s="250"/>
      <c r="AO5" s="252" t="str">
        <f t="shared" ref="AO5" si="0">IFERROR(SUM(U5,AH5)/G5,"")</f>
        <v/>
      </c>
      <c r="AP5" s="253" t="str">
        <f t="shared" ref="AP5" si="1">IFERROR(SUM(V5,AI5)/G5,"")</f>
        <v/>
      </c>
      <c r="AQ5" s="217">
        <f>SUM(AO5:AP5)</f>
        <v>0</v>
      </c>
      <c r="AR5" s="9">
        <f>F5/$F$41</f>
        <v>4.7567558689558503E-2</v>
      </c>
      <c r="AS5" s="9">
        <f>AR5*$AV$5</f>
        <v>19114.698266026171</v>
      </c>
      <c r="AV5" s="9">
        <v>401843.16354713438</v>
      </c>
    </row>
    <row r="6" spans="1:48" ht="15.75" thickBot="1" x14ac:dyDescent="0.3">
      <c r="A6" s="694" t="s">
        <v>43</v>
      </c>
      <c r="B6" s="415">
        <f>'Total - Detail'!B7</f>
        <v>2</v>
      </c>
      <c r="C6" s="210" t="str">
        <f>'Total - Detail'!C7</f>
        <v>Field Service Representative</v>
      </c>
      <c r="D6" s="210" t="s">
        <v>289</v>
      </c>
      <c r="E6" s="210" t="s">
        <v>55</v>
      </c>
      <c r="F6" s="211">
        <v>39357.391429727235</v>
      </c>
      <c r="G6" s="211">
        <f t="shared" ref="G6:G21" si="2">SUM(J6,Y6)</f>
        <v>0</v>
      </c>
      <c r="H6" s="212">
        <f>F6-G6</f>
        <v>39357.391429727235</v>
      </c>
      <c r="I6" s="43"/>
      <c r="J6" s="214"/>
      <c r="K6" s="216">
        <f>'Ordering Period 1'!M6+('Ordering Period 1'!M6*Escalation!$D$2)</f>
        <v>0</v>
      </c>
      <c r="L6" s="366"/>
      <c r="M6" s="249">
        <f t="shared" ref="M6:M19" si="3">(K6*$M$4)</f>
        <v>0</v>
      </c>
      <c r="N6" s="249">
        <f t="shared" ref="N6:N19" si="4">(M6+K6)*$N$4</f>
        <v>0</v>
      </c>
      <c r="O6" s="249">
        <f t="shared" ref="O6:O19" si="5">(K6+M6)*$O$4</f>
        <v>0</v>
      </c>
      <c r="P6" s="249">
        <f t="shared" ref="P6:P19" si="6">(M6+K6+N6+O6)*$P$4</f>
        <v>0</v>
      </c>
      <c r="Q6" s="249">
        <f t="shared" ref="Q6:Q19" si="7">(K6+M6+N6+O6+P6)*$Q$4</f>
        <v>0</v>
      </c>
      <c r="R6" s="216">
        <f t="shared" ref="R6:R21" si="8">SUM(K6:Q6)</f>
        <v>0</v>
      </c>
      <c r="S6" s="216">
        <f t="shared" ref="S6:S21" si="9">(R6-Q6)*$S$4</f>
        <v>0</v>
      </c>
      <c r="T6" s="216">
        <f t="shared" ref="T6:T21" si="10">SUM(R6:S6)</f>
        <v>0</v>
      </c>
      <c r="U6" s="253">
        <f t="shared" ref="U6:U21" si="11">R6*J6</f>
        <v>0</v>
      </c>
      <c r="V6" s="216">
        <f t="shared" ref="V6:V21" si="12">S6*J6</f>
        <v>0</v>
      </c>
      <c r="W6" s="217">
        <f t="shared" ref="W6:W21" si="13">T6*J6</f>
        <v>0</v>
      </c>
      <c r="Y6" s="214"/>
      <c r="Z6" s="249">
        <f>'Ordering Period 1'!AC6+('Ordering Period 1'!AC6*Escalation!$D$2)</f>
        <v>0</v>
      </c>
      <c r="AA6" s="216">
        <f t="shared" ref="AA6:AA21" si="14">IF($Y6&gt;0,$Z6,0)</f>
        <v>0</v>
      </c>
      <c r="AB6" s="249">
        <f t="shared" ref="AB6:AB21" si="15">(AA6*$AB$4)</f>
        <v>0</v>
      </c>
      <c r="AC6" s="249">
        <f t="shared" ref="AC6:AC21" si="16">(AA6+AB6)*$AC$4</f>
        <v>0</v>
      </c>
      <c r="AD6" s="249"/>
      <c r="AE6" s="216">
        <f t="shared" ref="AE6:AE21" si="17">SUM(AA6:AD6)</f>
        <v>0</v>
      </c>
      <c r="AF6" s="216">
        <f t="shared" ref="AF6:AF21" si="18">$AF$4*(AC6+AA6+AB6)</f>
        <v>0</v>
      </c>
      <c r="AG6" s="216">
        <f t="shared" ref="AG6:AG21" si="19">SUM(AE6:AF6)</f>
        <v>0</v>
      </c>
      <c r="AH6" s="216">
        <f t="shared" ref="AH6:AH21" si="20">AE6*Y6</f>
        <v>0</v>
      </c>
      <c r="AI6" s="216">
        <f t="shared" ref="AI6:AI21" si="21">AF6*Y6</f>
        <v>0</v>
      </c>
      <c r="AJ6" s="216">
        <f t="shared" ref="AJ6:AJ21" si="22">AG6*Y6</f>
        <v>0</v>
      </c>
      <c r="AK6" s="433"/>
      <c r="AL6" s="433"/>
      <c r="AM6" s="250"/>
      <c r="AO6" s="252" t="str">
        <f t="shared" ref="AO6:AO21" si="23">IFERROR(SUM(U6,AH6)/G6,"")</f>
        <v/>
      </c>
      <c r="AP6" s="253" t="str">
        <f t="shared" ref="AP6:AP21" si="24">IFERROR(SUM(V6,AI6)/G6,"")</f>
        <v/>
      </c>
      <c r="AQ6" s="217">
        <f t="shared" ref="AQ6:AQ21" si="25">SUM(AO6:AP6)</f>
        <v>0</v>
      </c>
      <c r="AR6" s="9">
        <f t="shared" ref="AR6:AR21" si="26">F6/$F$41</f>
        <v>9.7942169980728772E-2</v>
      </c>
      <c r="AS6" s="9">
        <f t="shared" ref="AS6:AS21" si="27">AR6*$AV$5</f>
        <v>39357.391429727228</v>
      </c>
    </row>
    <row r="7" spans="1:48" ht="15.75" thickBot="1" x14ac:dyDescent="0.3">
      <c r="A7" s="695"/>
      <c r="B7" s="415">
        <f>'Total - Detail'!B8</f>
        <v>3</v>
      </c>
      <c r="C7" s="210" t="str">
        <f>'Total - Detail'!C8</f>
        <v>Field Service Mechanic</v>
      </c>
      <c r="D7" s="210" t="s">
        <v>240</v>
      </c>
      <c r="E7" s="210" t="s">
        <v>55</v>
      </c>
      <c r="F7" s="258">
        <v>73092.298369493452</v>
      </c>
      <c r="G7" s="258"/>
      <c r="H7" s="212">
        <f>F7-G7</f>
        <v>73092.298369493452</v>
      </c>
      <c r="I7" s="43"/>
      <c r="J7" s="218"/>
      <c r="K7" s="219"/>
      <c r="L7" s="626"/>
      <c r="M7" s="249">
        <f t="shared" ref="M7" si="28">(K7*$M$4)</f>
        <v>0</v>
      </c>
      <c r="N7" s="249">
        <f t="shared" ref="N7" si="29">(M7+K7)*$N$4</f>
        <v>0</v>
      </c>
      <c r="O7" s="249">
        <f t="shared" ref="O7" si="30">(K7+M7)*$O$4</f>
        <v>0</v>
      </c>
      <c r="P7" s="249">
        <f t="shared" ref="P7" si="31">(M7+K7+N7+O7)*$P$4</f>
        <v>0</v>
      </c>
      <c r="Q7" s="249">
        <f t="shared" ref="Q7" si="32">(K7+M7+N7+O7+P7)*$Q$4</f>
        <v>0</v>
      </c>
      <c r="R7" s="216">
        <f t="shared" ref="R7" si="33">SUM(K7:Q7)</f>
        <v>0</v>
      </c>
      <c r="S7" s="216">
        <f t="shared" ref="S7" si="34">(R7-Q7)*$S$4</f>
        <v>0</v>
      </c>
      <c r="T7" s="216">
        <f t="shared" ref="T7" si="35">SUM(R7:S7)</f>
        <v>0</v>
      </c>
      <c r="U7" s="253">
        <f t="shared" ref="U7" si="36">R7*J7</f>
        <v>0</v>
      </c>
      <c r="V7" s="216">
        <f t="shared" ref="V7" si="37">S7*J7</f>
        <v>0</v>
      </c>
      <c r="W7" s="217">
        <f t="shared" ref="W7" si="38">T7*J7</f>
        <v>0</v>
      </c>
      <c r="Y7" s="214"/>
      <c r="Z7" s="249">
        <f>'Ordering Period 1'!AC7+('Ordering Period 1'!AC7*Escalation!$D$2)</f>
        <v>0</v>
      </c>
      <c r="AA7" s="216">
        <f t="shared" si="14"/>
        <v>0</v>
      </c>
      <c r="AB7" s="249">
        <f t="shared" ref="AB7" si="39">(AA7*$AB$4)</f>
        <v>0</v>
      </c>
      <c r="AC7" s="249">
        <f t="shared" ref="AC7" si="40">(AA7+AB7)*$AC$4</f>
        <v>0</v>
      </c>
      <c r="AD7" s="249"/>
      <c r="AE7" s="216">
        <f t="shared" ref="AE7" si="41">SUM(AA7:AD7)</f>
        <v>0</v>
      </c>
      <c r="AF7" s="216">
        <f t="shared" ref="AF7" si="42">$AF$4*(AC7+AA7+AB7)</f>
        <v>0</v>
      </c>
      <c r="AG7" s="216">
        <f t="shared" ref="AG7" si="43">SUM(AE7:AF7)</f>
        <v>0</v>
      </c>
      <c r="AH7" s="216">
        <f t="shared" ref="AH7" si="44">AE7*Y7</f>
        <v>0</v>
      </c>
      <c r="AI7" s="216">
        <f t="shared" ref="AI7" si="45">AF7*Y7</f>
        <v>0</v>
      </c>
      <c r="AJ7" s="216">
        <f t="shared" ref="AJ7" si="46">AG7*Y7</f>
        <v>0</v>
      </c>
      <c r="AK7" s="433"/>
      <c r="AL7" s="433"/>
      <c r="AM7" s="250"/>
      <c r="AO7" s="252" t="str">
        <f t="shared" ref="AO7" si="47">IFERROR(SUM(U7,AH7)/G7,"")</f>
        <v/>
      </c>
      <c r="AP7" s="253" t="str">
        <f t="shared" ref="AP7" si="48">IFERROR(SUM(V7,AI7)/G7,"")</f>
        <v/>
      </c>
      <c r="AQ7" s="217">
        <f t="shared" ref="AQ7" si="49">SUM(AO7:AP7)</f>
        <v>0</v>
      </c>
      <c r="AR7" s="9">
        <f t="shared" ref="AR7" si="50">F7/$F$41</f>
        <v>0.18189260139278204</v>
      </c>
      <c r="AS7" s="9">
        <f t="shared" ref="AS7" si="51">AR7*$AV$5</f>
        <v>73092.298369493437</v>
      </c>
    </row>
    <row r="8" spans="1:48" x14ac:dyDescent="0.25">
      <c r="A8" s="679" t="s">
        <v>205</v>
      </c>
      <c r="B8" s="241">
        <f>'Total - Detail'!B9</f>
        <v>4</v>
      </c>
      <c r="C8" s="101" t="str">
        <f>'Total - Detail'!C9</f>
        <v>Heavy Equipment Mechanic</v>
      </c>
      <c r="D8" s="101" t="s">
        <v>236</v>
      </c>
      <c r="E8" s="101" t="s">
        <v>55</v>
      </c>
      <c r="F8" s="35">
        <v>96564.591240224079</v>
      </c>
      <c r="G8" s="35">
        <f t="shared" si="2"/>
        <v>0</v>
      </c>
      <c r="H8" s="36">
        <f t="shared" ref="H8:H21" si="52">F8-G8</f>
        <v>96564.591240224079</v>
      </c>
      <c r="I8" s="43"/>
      <c r="J8" s="109"/>
      <c r="K8" s="110">
        <f>'Ordering Period 1'!M8+('Ordering Period 1'!M8*Escalation!$D$2)</f>
        <v>0</v>
      </c>
      <c r="L8" s="367"/>
      <c r="M8" s="111">
        <f t="shared" si="3"/>
        <v>0</v>
      </c>
      <c r="N8" s="111">
        <f t="shared" si="4"/>
        <v>0</v>
      </c>
      <c r="O8" s="111">
        <f t="shared" si="5"/>
        <v>0</v>
      </c>
      <c r="P8" s="111">
        <f t="shared" si="6"/>
        <v>0</v>
      </c>
      <c r="Q8" s="111">
        <f t="shared" si="7"/>
        <v>0</v>
      </c>
      <c r="R8" s="110">
        <f t="shared" si="8"/>
        <v>0</v>
      </c>
      <c r="S8" s="110">
        <f t="shared" si="9"/>
        <v>0</v>
      </c>
      <c r="T8" s="110">
        <f t="shared" si="10"/>
        <v>0</v>
      </c>
      <c r="U8" s="113">
        <f t="shared" si="11"/>
        <v>0</v>
      </c>
      <c r="V8" s="110">
        <f t="shared" si="12"/>
        <v>0</v>
      </c>
      <c r="W8" s="112">
        <f t="shared" si="13"/>
        <v>0</v>
      </c>
      <c r="Y8" s="109"/>
      <c r="Z8" s="111">
        <f>'Ordering Period 1'!AC8+('Ordering Period 1'!AC8*Escalation!$D$2)</f>
        <v>0</v>
      </c>
      <c r="AA8" s="110">
        <f t="shared" si="14"/>
        <v>0</v>
      </c>
      <c r="AB8" s="111">
        <f t="shared" si="15"/>
        <v>0</v>
      </c>
      <c r="AC8" s="111">
        <f t="shared" si="16"/>
        <v>0</v>
      </c>
      <c r="AD8" s="111"/>
      <c r="AE8" s="110">
        <f t="shared" si="17"/>
        <v>0</v>
      </c>
      <c r="AF8" s="110">
        <f t="shared" si="18"/>
        <v>0</v>
      </c>
      <c r="AG8" s="110">
        <f t="shared" si="19"/>
        <v>0</v>
      </c>
      <c r="AH8" s="110">
        <f t="shared" si="20"/>
        <v>0</v>
      </c>
      <c r="AI8" s="110">
        <f t="shared" si="21"/>
        <v>0</v>
      </c>
      <c r="AJ8" s="110">
        <f t="shared" si="22"/>
        <v>0</v>
      </c>
      <c r="AK8" s="259"/>
      <c r="AL8" s="259"/>
      <c r="AM8" s="114"/>
      <c r="AO8" s="124" t="str">
        <f t="shared" si="23"/>
        <v/>
      </c>
      <c r="AP8" s="113" t="str">
        <f t="shared" si="24"/>
        <v/>
      </c>
      <c r="AQ8" s="112">
        <f t="shared" si="25"/>
        <v>0</v>
      </c>
      <c r="AR8" s="9">
        <f t="shared" si="26"/>
        <v>0.24030417834618076</v>
      </c>
      <c r="AS8" s="9">
        <f t="shared" si="27"/>
        <v>96564.591240224065</v>
      </c>
    </row>
    <row r="9" spans="1:48" x14ac:dyDescent="0.25">
      <c r="A9" s="680"/>
      <c r="B9" s="240">
        <f>'Total - Detail'!B10</f>
        <v>5</v>
      </c>
      <c r="C9" s="100" t="str">
        <f>'Total - Detail'!C10</f>
        <v>Material Handling Specialist</v>
      </c>
      <c r="D9" s="100" t="s">
        <v>238</v>
      </c>
      <c r="E9" s="100" t="s">
        <v>55</v>
      </c>
      <c r="F9" s="39">
        <v>6328.2994259336247</v>
      </c>
      <c r="G9" s="39">
        <f t="shared" si="2"/>
        <v>0</v>
      </c>
      <c r="H9" s="40">
        <f t="shared" si="52"/>
        <v>6328.2994259336247</v>
      </c>
      <c r="I9" s="43"/>
      <c r="J9" s="137"/>
      <c r="K9" s="41">
        <f>'Ordering Period 1'!M9+('Ordering Period 1'!M9*Escalation!$D$2)</f>
        <v>0</v>
      </c>
      <c r="L9" s="368"/>
      <c r="M9" s="5">
        <f t="shared" si="3"/>
        <v>0</v>
      </c>
      <c r="N9" s="5">
        <f t="shared" si="4"/>
        <v>0</v>
      </c>
      <c r="O9" s="5">
        <f t="shared" si="5"/>
        <v>0</v>
      </c>
      <c r="P9" s="5">
        <f t="shared" si="6"/>
        <v>0</v>
      </c>
      <c r="Q9" s="5">
        <f t="shared" si="7"/>
        <v>0</v>
      </c>
      <c r="R9" s="41">
        <f t="shared" si="8"/>
        <v>0</v>
      </c>
      <c r="S9" s="41">
        <f t="shared" si="9"/>
        <v>0</v>
      </c>
      <c r="T9" s="41">
        <f t="shared" si="10"/>
        <v>0</v>
      </c>
      <c r="U9" s="42">
        <f t="shared" si="11"/>
        <v>0</v>
      </c>
      <c r="V9" s="41">
        <f t="shared" si="12"/>
        <v>0</v>
      </c>
      <c r="W9" s="115">
        <f t="shared" si="13"/>
        <v>0</v>
      </c>
      <c r="Y9" s="137"/>
      <c r="Z9" s="5">
        <f>'Ordering Period 1'!AC9+('Ordering Period 1'!AC9*Escalation!$D$2)</f>
        <v>0</v>
      </c>
      <c r="AA9" s="41">
        <f t="shared" si="14"/>
        <v>0</v>
      </c>
      <c r="AB9" s="5">
        <f t="shared" si="15"/>
        <v>0</v>
      </c>
      <c r="AC9" s="5">
        <f t="shared" si="16"/>
        <v>0</v>
      </c>
      <c r="AD9" s="5"/>
      <c r="AE9" s="41">
        <f t="shared" si="17"/>
        <v>0</v>
      </c>
      <c r="AF9" s="41">
        <f t="shared" si="18"/>
        <v>0</v>
      </c>
      <c r="AG9" s="41">
        <f t="shared" si="19"/>
        <v>0</v>
      </c>
      <c r="AH9" s="41">
        <f t="shared" si="20"/>
        <v>0</v>
      </c>
      <c r="AI9" s="41">
        <f t="shared" si="21"/>
        <v>0</v>
      </c>
      <c r="AJ9" s="41">
        <f t="shared" si="22"/>
        <v>0</v>
      </c>
      <c r="AK9" s="10"/>
      <c r="AL9" s="10"/>
      <c r="AM9" s="7"/>
      <c r="AO9" s="138" t="str">
        <f t="shared" si="23"/>
        <v/>
      </c>
      <c r="AP9" s="42" t="str">
        <f t="shared" si="24"/>
        <v/>
      </c>
      <c r="AQ9" s="115">
        <f t="shared" si="25"/>
        <v>0</v>
      </c>
      <c r="AR9" s="9">
        <f t="shared" si="26"/>
        <v>1.5748182375613175E-2</v>
      </c>
      <c r="AS9" s="9">
        <f t="shared" si="27"/>
        <v>6328.2994259336247</v>
      </c>
    </row>
    <row r="10" spans="1:48" x14ac:dyDescent="0.25">
      <c r="A10" s="680"/>
      <c r="B10" s="240">
        <f>'Total - Detail'!B11</f>
        <v>6</v>
      </c>
      <c r="C10" s="100" t="str">
        <f>'Total - Detail'!C11</f>
        <v>Inspector</v>
      </c>
      <c r="D10" s="100" t="s">
        <v>235</v>
      </c>
      <c r="E10" s="100" t="s">
        <v>55</v>
      </c>
      <c r="F10" s="39">
        <v>1981.0998202861908</v>
      </c>
      <c r="G10" s="39">
        <f t="shared" si="2"/>
        <v>0</v>
      </c>
      <c r="H10" s="40">
        <f t="shared" si="52"/>
        <v>1981.0998202861908</v>
      </c>
      <c r="I10" s="43"/>
      <c r="J10" s="137"/>
      <c r="K10" s="41">
        <f>'Ordering Period 1'!M10+('Ordering Period 1'!M10*Escalation!$D$2)</f>
        <v>0</v>
      </c>
      <c r="L10" s="368"/>
      <c r="M10" s="5">
        <f t="shared" si="3"/>
        <v>0</v>
      </c>
      <c r="N10" s="5">
        <f t="shared" si="4"/>
        <v>0</v>
      </c>
      <c r="O10" s="5">
        <f t="shared" si="5"/>
        <v>0</v>
      </c>
      <c r="P10" s="5">
        <f t="shared" si="6"/>
        <v>0</v>
      </c>
      <c r="Q10" s="5">
        <f t="shared" si="7"/>
        <v>0</v>
      </c>
      <c r="R10" s="41">
        <f t="shared" si="8"/>
        <v>0</v>
      </c>
      <c r="S10" s="41">
        <f t="shared" si="9"/>
        <v>0</v>
      </c>
      <c r="T10" s="41">
        <f t="shared" si="10"/>
        <v>0</v>
      </c>
      <c r="U10" s="42">
        <f t="shared" si="11"/>
        <v>0</v>
      </c>
      <c r="V10" s="41">
        <f t="shared" si="12"/>
        <v>0</v>
      </c>
      <c r="W10" s="115">
        <f t="shared" si="13"/>
        <v>0</v>
      </c>
      <c r="Y10" s="137"/>
      <c r="Z10" s="5">
        <f>'Ordering Period 1'!AC10+('Ordering Period 1'!AC10*Escalation!$D$2)</f>
        <v>0</v>
      </c>
      <c r="AA10" s="41">
        <f t="shared" si="14"/>
        <v>0</v>
      </c>
      <c r="AB10" s="5">
        <f t="shared" si="15"/>
        <v>0</v>
      </c>
      <c r="AC10" s="5">
        <f t="shared" si="16"/>
        <v>0</v>
      </c>
      <c r="AD10" s="5"/>
      <c r="AE10" s="41">
        <f t="shared" si="17"/>
        <v>0</v>
      </c>
      <c r="AF10" s="41">
        <f t="shared" si="18"/>
        <v>0</v>
      </c>
      <c r="AG10" s="41">
        <f t="shared" si="19"/>
        <v>0</v>
      </c>
      <c r="AH10" s="41">
        <f t="shared" si="20"/>
        <v>0</v>
      </c>
      <c r="AI10" s="41">
        <f t="shared" si="21"/>
        <v>0</v>
      </c>
      <c r="AJ10" s="41">
        <f t="shared" si="22"/>
        <v>0</v>
      </c>
      <c r="AK10" s="10"/>
      <c r="AL10" s="10"/>
      <c r="AM10" s="7"/>
      <c r="AO10" s="138" t="str">
        <f t="shared" si="23"/>
        <v/>
      </c>
      <c r="AP10" s="42" t="str">
        <f t="shared" si="24"/>
        <v/>
      </c>
      <c r="AQ10" s="115">
        <f t="shared" si="25"/>
        <v>0</v>
      </c>
      <c r="AR10" s="9">
        <f t="shared" si="26"/>
        <v>4.9300324106517157E-3</v>
      </c>
      <c r="AS10" s="9">
        <f t="shared" si="27"/>
        <v>1981.0998202861906</v>
      </c>
    </row>
    <row r="11" spans="1:48" x14ac:dyDescent="0.25">
      <c r="A11" s="680"/>
      <c r="B11" s="240">
        <f>'Total - Detail'!B12</f>
        <v>7</v>
      </c>
      <c r="C11" s="100" t="str">
        <f>'Total - Detail'!C12</f>
        <v>Supply/Procurement Specialist</v>
      </c>
      <c r="D11" s="100" t="s">
        <v>233</v>
      </c>
      <c r="E11" s="100" t="s">
        <v>55</v>
      </c>
      <c r="F11" s="39">
        <v>3163.5997130167048</v>
      </c>
      <c r="G11" s="39">
        <f t="shared" si="2"/>
        <v>0</v>
      </c>
      <c r="H11" s="40">
        <f t="shared" si="52"/>
        <v>3163.5997130167048</v>
      </c>
      <c r="I11" s="43"/>
      <c r="J11" s="137"/>
      <c r="K11" s="41">
        <f>'Ordering Period 1'!M11+('Ordering Period 1'!M11*Escalation!$D$2)</f>
        <v>0</v>
      </c>
      <c r="L11" s="368"/>
      <c r="M11" s="5">
        <f t="shared" si="3"/>
        <v>0</v>
      </c>
      <c r="N11" s="5">
        <f t="shared" si="4"/>
        <v>0</v>
      </c>
      <c r="O11" s="5">
        <f t="shared" si="5"/>
        <v>0</v>
      </c>
      <c r="P11" s="5">
        <f t="shared" si="6"/>
        <v>0</v>
      </c>
      <c r="Q11" s="5">
        <f t="shared" si="7"/>
        <v>0</v>
      </c>
      <c r="R11" s="41">
        <f t="shared" si="8"/>
        <v>0</v>
      </c>
      <c r="S11" s="41">
        <f t="shared" si="9"/>
        <v>0</v>
      </c>
      <c r="T11" s="41">
        <f t="shared" si="10"/>
        <v>0</v>
      </c>
      <c r="U11" s="42">
        <f t="shared" si="11"/>
        <v>0</v>
      </c>
      <c r="V11" s="41">
        <f t="shared" si="12"/>
        <v>0</v>
      </c>
      <c r="W11" s="115">
        <f t="shared" si="13"/>
        <v>0</v>
      </c>
      <c r="Y11" s="137"/>
      <c r="Z11" s="5">
        <f>'Ordering Period 1'!AC11+('Ordering Period 1'!AC11*Escalation!$D$2)</f>
        <v>0</v>
      </c>
      <c r="AA11" s="41">
        <f t="shared" si="14"/>
        <v>0</v>
      </c>
      <c r="AB11" s="5">
        <f t="shared" si="15"/>
        <v>0</v>
      </c>
      <c r="AC11" s="5">
        <f t="shared" si="16"/>
        <v>0</v>
      </c>
      <c r="AD11" s="5"/>
      <c r="AE11" s="41">
        <f t="shared" si="17"/>
        <v>0</v>
      </c>
      <c r="AF11" s="41">
        <f t="shared" si="18"/>
        <v>0</v>
      </c>
      <c r="AG11" s="41">
        <f t="shared" si="19"/>
        <v>0</v>
      </c>
      <c r="AH11" s="41">
        <f t="shared" si="20"/>
        <v>0</v>
      </c>
      <c r="AI11" s="41">
        <f t="shared" si="21"/>
        <v>0</v>
      </c>
      <c r="AJ11" s="41">
        <f t="shared" si="22"/>
        <v>0</v>
      </c>
      <c r="AK11" s="10"/>
      <c r="AL11" s="10"/>
      <c r="AM11" s="7"/>
      <c r="AO11" s="138" t="str">
        <f t="shared" si="23"/>
        <v/>
      </c>
      <c r="AP11" s="42" t="str">
        <f t="shared" si="24"/>
        <v/>
      </c>
      <c r="AQ11" s="115">
        <f t="shared" si="25"/>
        <v>0</v>
      </c>
      <c r="AR11" s="9">
        <f t="shared" si="26"/>
        <v>7.8727224947442182E-3</v>
      </c>
      <c r="AS11" s="9">
        <f t="shared" si="27"/>
        <v>3163.5997130167048</v>
      </c>
    </row>
    <row r="12" spans="1:48" ht="15.75" thickBot="1" x14ac:dyDescent="0.3">
      <c r="A12" s="681"/>
      <c r="B12" s="242">
        <f>'Total - Detail'!B13</f>
        <v>8</v>
      </c>
      <c r="C12" s="127" t="str">
        <f>'Total - Detail'!C13</f>
        <v>Welder</v>
      </c>
      <c r="D12" s="418" t="s">
        <v>239</v>
      </c>
      <c r="E12" s="127" t="s">
        <v>55</v>
      </c>
      <c r="F12" s="128">
        <v>3406.6996909640943</v>
      </c>
      <c r="G12" s="128">
        <f t="shared" si="2"/>
        <v>0</v>
      </c>
      <c r="H12" s="129">
        <f t="shared" si="52"/>
        <v>3406.6996909640943</v>
      </c>
      <c r="I12" s="43"/>
      <c r="J12" s="146"/>
      <c r="K12" s="143">
        <f>'Ordering Period 1'!M12+('Ordering Period 1'!M12*Escalation!$D$2)</f>
        <v>0</v>
      </c>
      <c r="L12" s="369"/>
      <c r="M12" s="144">
        <f t="shared" si="3"/>
        <v>0</v>
      </c>
      <c r="N12" s="144">
        <f t="shared" si="4"/>
        <v>0</v>
      </c>
      <c r="O12" s="144">
        <f t="shared" si="5"/>
        <v>0</v>
      </c>
      <c r="P12" s="144">
        <f t="shared" si="6"/>
        <v>0</v>
      </c>
      <c r="Q12" s="144">
        <f t="shared" si="7"/>
        <v>0</v>
      </c>
      <c r="R12" s="143">
        <f t="shared" si="8"/>
        <v>0</v>
      </c>
      <c r="S12" s="143">
        <f t="shared" si="9"/>
        <v>0</v>
      </c>
      <c r="T12" s="143">
        <f t="shared" si="10"/>
        <v>0</v>
      </c>
      <c r="U12" s="149">
        <f t="shared" si="11"/>
        <v>0</v>
      </c>
      <c r="V12" s="143">
        <f t="shared" si="12"/>
        <v>0</v>
      </c>
      <c r="W12" s="145">
        <f t="shared" si="13"/>
        <v>0</v>
      </c>
      <c r="Y12" s="146"/>
      <c r="Z12" s="144">
        <f>'Ordering Period 1'!AC12+('Ordering Period 1'!AC12*Escalation!$D$2)</f>
        <v>0</v>
      </c>
      <c r="AA12" s="143">
        <f t="shared" si="14"/>
        <v>0</v>
      </c>
      <c r="AB12" s="144">
        <f t="shared" si="15"/>
        <v>0</v>
      </c>
      <c r="AC12" s="144">
        <f t="shared" si="16"/>
        <v>0</v>
      </c>
      <c r="AD12" s="144"/>
      <c r="AE12" s="143">
        <f t="shared" si="17"/>
        <v>0</v>
      </c>
      <c r="AF12" s="143">
        <f t="shared" si="18"/>
        <v>0</v>
      </c>
      <c r="AG12" s="143">
        <f t="shared" si="19"/>
        <v>0</v>
      </c>
      <c r="AH12" s="143">
        <f t="shared" si="20"/>
        <v>0</v>
      </c>
      <c r="AI12" s="143">
        <f t="shared" si="21"/>
        <v>0</v>
      </c>
      <c r="AJ12" s="143">
        <f t="shared" si="22"/>
        <v>0</v>
      </c>
      <c r="AK12" s="260"/>
      <c r="AL12" s="260"/>
      <c r="AM12" s="147"/>
      <c r="AO12" s="148" t="str">
        <f t="shared" si="23"/>
        <v/>
      </c>
      <c r="AP12" s="149" t="str">
        <f t="shared" si="24"/>
        <v/>
      </c>
      <c r="AQ12" s="145">
        <f t="shared" si="25"/>
        <v>0</v>
      </c>
      <c r="AR12" s="9">
        <f t="shared" si="26"/>
        <v>8.4776848283111411E-3</v>
      </c>
      <c r="AS12" s="9">
        <f t="shared" si="27"/>
        <v>3406.6996909640939</v>
      </c>
    </row>
    <row r="13" spans="1:48" ht="30.75" thickBot="1" x14ac:dyDescent="0.3">
      <c r="A13" s="504" t="s">
        <v>231</v>
      </c>
      <c r="B13" s="242">
        <f>'Total - Detail'!B14</f>
        <v>9</v>
      </c>
      <c r="C13" s="127" t="str">
        <f>'Total - Detail'!C14</f>
        <v xml:space="preserve">Instructor  </v>
      </c>
      <c r="D13" s="127" t="s">
        <v>237</v>
      </c>
      <c r="E13" s="127" t="s">
        <v>55</v>
      </c>
      <c r="F13" s="128">
        <v>47226.295715906184</v>
      </c>
      <c r="G13" s="128">
        <f t="shared" si="2"/>
        <v>0</v>
      </c>
      <c r="H13" s="129">
        <f t="shared" si="52"/>
        <v>47226.295715906184</v>
      </c>
      <c r="I13" s="43"/>
      <c r="J13" s="380"/>
      <c r="K13" s="378">
        <f>'Ordering Period 1'!M13+('Ordering Period 1'!M13*Escalation!$D$2)</f>
        <v>0</v>
      </c>
      <c r="L13" s="405"/>
      <c r="M13" s="379">
        <f t="shared" si="3"/>
        <v>0</v>
      </c>
      <c r="N13" s="379">
        <f t="shared" si="4"/>
        <v>0</v>
      </c>
      <c r="O13" s="379">
        <f t="shared" si="5"/>
        <v>0</v>
      </c>
      <c r="P13" s="379">
        <f t="shared" si="6"/>
        <v>0</v>
      </c>
      <c r="Q13" s="379">
        <f t="shared" si="7"/>
        <v>0</v>
      </c>
      <c r="R13" s="378">
        <f t="shared" si="8"/>
        <v>0</v>
      </c>
      <c r="S13" s="378">
        <f t="shared" si="9"/>
        <v>0</v>
      </c>
      <c r="T13" s="378">
        <f t="shared" si="10"/>
        <v>0</v>
      </c>
      <c r="U13" s="166">
        <f t="shared" si="11"/>
        <v>0</v>
      </c>
      <c r="V13" s="378">
        <f t="shared" si="12"/>
        <v>0</v>
      </c>
      <c r="W13" s="165">
        <f t="shared" si="13"/>
        <v>0</v>
      </c>
      <c r="Y13" s="146"/>
      <c r="Z13" s="144">
        <f>'Ordering Period 1'!AC13+('Ordering Period 1'!AC13*Escalation!$D$2)</f>
        <v>0</v>
      </c>
      <c r="AA13" s="143">
        <f t="shared" si="14"/>
        <v>0</v>
      </c>
      <c r="AB13" s="144">
        <f t="shared" si="15"/>
        <v>0</v>
      </c>
      <c r="AC13" s="144">
        <f t="shared" si="16"/>
        <v>0</v>
      </c>
      <c r="AD13" s="144"/>
      <c r="AE13" s="143">
        <f t="shared" si="17"/>
        <v>0</v>
      </c>
      <c r="AF13" s="143">
        <f t="shared" si="18"/>
        <v>0</v>
      </c>
      <c r="AG13" s="143">
        <f t="shared" si="19"/>
        <v>0</v>
      </c>
      <c r="AH13" s="143">
        <f t="shared" si="20"/>
        <v>0</v>
      </c>
      <c r="AI13" s="143">
        <f t="shared" si="21"/>
        <v>0</v>
      </c>
      <c r="AJ13" s="143">
        <f t="shared" si="22"/>
        <v>0</v>
      </c>
      <c r="AK13" s="260"/>
      <c r="AL13" s="260"/>
      <c r="AM13" s="147"/>
      <c r="AO13" s="148" t="str">
        <f t="shared" si="23"/>
        <v/>
      </c>
      <c r="AP13" s="149" t="str">
        <f t="shared" si="24"/>
        <v/>
      </c>
      <c r="AQ13" s="145">
        <f t="shared" si="25"/>
        <v>0</v>
      </c>
      <c r="AR13" s="9">
        <f t="shared" si="26"/>
        <v>0.11752419849334265</v>
      </c>
      <c r="AS13" s="9">
        <f t="shared" si="27"/>
        <v>47226.295715906177</v>
      </c>
    </row>
    <row r="14" spans="1:48" x14ac:dyDescent="0.25">
      <c r="A14" s="679" t="s">
        <v>207</v>
      </c>
      <c r="B14" s="241">
        <f>'Total - Detail'!B15</f>
        <v>4</v>
      </c>
      <c r="C14" s="101" t="str">
        <f>'Total - Detail'!C15</f>
        <v>Heavy Equipment Mechanic</v>
      </c>
      <c r="D14" s="101" t="s">
        <v>236</v>
      </c>
      <c r="E14" s="101" t="s">
        <v>55</v>
      </c>
      <c r="F14" s="35">
        <v>14445.198689615912</v>
      </c>
      <c r="G14" s="35">
        <f t="shared" si="2"/>
        <v>0</v>
      </c>
      <c r="H14" s="36">
        <f t="shared" si="52"/>
        <v>14445.198689615912</v>
      </c>
      <c r="I14" s="43"/>
      <c r="J14" s="109"/>
      <c r="K14" s="110">
        <f>'Ordering Period 1'!M14+('Ordering Period 1'!M14*Escalation!$D$2)</f>
        <v>0</v>
      </c>
      <c r="L14" s="367"/>
      <c r="M14" s="110">
        <f>M8</f>
        <v>0</v>
      </c>
      <c r="N14" s="110">
        <f t="shared" ref="N14:Q14" si="53">N8</f>
        <v>0</v>
      </c>
      <c r="O14" s="110">
        <f>O8</f>
        <v>0</v>
      </c>
      <c r="P14" s="110">
        <f t="shared" si="53"/>
        <v>0</v>
      </c>
      <c r="Q14" s="110">
        <f t="shared" si="53"/>
        <v>0</v>
      </c>
      <c r="R14" s="110">
        <f t="shared" si="8"/>
        <v>0</v>
      </c>
      <c r="S14" s="110">
        <f t="shared" si="9"/>
        <v>0</v>
      </c>
      <c r="T14" s="110">
        <f t="shared" si="10"/>
        <v>0</v>
      </c>
      <c r="U14" s="113">
        <f t="shared" si="11"/>
        <v>0</v>
      </c>
      <c r="V14" s="110">
        <f t="shared" si="12"/>
        <v>0</v>
      </c>
      <c r="W14" s="112">
        <f t="shared" si="13"/>
        <v>0</v>
      </c>
      <c r="Y14" s="109"/>
      <c r="Z14" s="111">
        <f>'Ordering Period 1'!AC14+('Ordering Period 1'!AC14*Escalation!$D$2)</f>
        <v>0</v>
      </c>
      <c r="AA14" s="110">
        <f t="shared" si="14"/>
        <v>0</v>
      </c>
      <c r="AB14" s="111">
        <f t="shared" si="15"/>
        <v>0</v>
      </c>
      <c r="AC14" s="111">
        <f t="shared" si="16"/>
        <v>0</v>
      </c>
      <c r="AD14" s="111"/>
      <c r="AE14" s="110">
        <f t="shared" si="17"/>
        <v>0</v>
      </c>
      <c r="AF14" s="110">
        <f t="shared" si="18"/>
        <v>0</v>
      </c>
      <c r="AG14" s="110">
        <f t="shared" si="19"/>
        <v>0</v>
      </c>
      <c r="AH14" s="110">
        <f t="shared" si="20"/>
        <v>0</v>
      </c>
      <c r="AI14" s="110">
        <f t="shared" si="21"/>
        <v>0</v>
      </c>
      <c r="AJ14" s="110">
        <f t="shared" si="22"/>
        <v>0</v>
      </c>
      <c r="AK14" s="259"/>
      <c r="AL14" s="259"/>
      <c r="AM14" s="114"/>
      <c r="AO14" s="124" t="str">
        <f t="shared" si="23"/>
        <v/>
      </c>
      <c r="AP14" s="113" t="str">
        <f t="shared" si="24"/>
        <v/>
      </c>
      <c r="AQ14" s="112">
        <f t="shared" si="25"/>
        <v>0</v>
      </c>
      <c r="AR14" s="9">
        <f t="shared" si="26"/>
        <v>3.5947354590049045E-2</v>
      </c>
      <c r="AS14" s="9">
        <f t="shared" si="27"/>
        <v>14445.198689615911</v>
      </c>
    </row>
    <row r="15" spans="1:48" ht="15" customHeight="1" x14ac:dyDescent="0.25">
      <c r="A15" s="680"/>
      <c r="B15" s="240">
        <f>'Total - Detail'!B16</f>
        <v>5</v>
      </c>
      <c r="C15" s="100" t="str">
        <f>'Total - Detail'!C16</f>
        <v>Material Handling Specialist</v>
      </c>
      <c r="D15" s="100" t="s">
        <v>238</v>
      </c>
      <c r="E15" s="100" t="s">
        <v>55</v>
      </c>
      <c r="F15" s="39">
        <v>6328.2994259336247</v>
      </c>
      <c r="G15" s="39">
        <f t="shared" si="2"/>
        <v>0</v>
      </c>
      <c r="H15" s="40">
        <f t="shared" si="52"/>
        <v>6328.2994259336247</v>
      </c>
      <c r="I15" s="43"/>
      <c r="J15" s="137"/>
      <c r="K15" s="41">
        <f>'Ordering Period 1'!M15+('Ordering Period 1'!M15*Escalation!$D$2)</f>
        <v>0</v>
      </c>
      <c r="L15" s="368"/>
      <c r="M15" s="41">
        <f>M9</f>
        <v>0</v>
      </c>
      <c r="N15" s="41">
        <f t="shared" ref="N15:Q15" si="54">N9</f>
        <v>0</v>
      </c>
      <c r="O15" s="41">
        <f t="shared" si="54"/>
        <v>0</v>
      </c>
      <c r="P15" s="41">
        <f t="shared" si="54"/>
        <v>0</v>
      </c>
      <c r="Q15" s="41">
        <f t="shared" si="54"/>
        <v>0</v>
      </c>
      <c r="R15" s="41">
        <f t="shared" si="8"/>
        <v>0</v>
      </c>
      <c r="S15" s="41">
        <f t="shared" si="9"/>
        <v>0</v>
      </c>
      <c r="T15" s="41">
        <f t="shared" si="10"/>
        <v>0</v>
      </c>
      <c r="U15" s="42">
        <f t="shared" si="11"/>
        <v>0</v>
      </c>
      <c r="V15" s="41">
        <f t="shared" si="12"/>
        <v>0</v>
      </c>
      <c r="W15" s="115">
        <f t="shared" si="13"/>
        <v>0</v>
      </c>
      <c r="Y15" s="137"/>
      <c r="Z15" s="5">
        <f>'Ordering Period 1'!AC15+('Ordering Period 1'!AC15*Escalation!$D$2)</f>
        <v>0</v>
      </c>
      <c r="AA15" s="41">
        <f t="shared" si="14"/>
        <v>0</v>
      </c>
      <c r="AB15" s="5">
        <f t="shared" si="15"/>
        <v>0</v>
      </c>
      <c r="AC15" s="5">
        <f t="shared" si="16"/>
        <v>0</v>
      </c>
      <c r="AD15" s="5"/>
      <c r="AE15" s="41">
        <f t="shared" si="17"/>
        <v>0</v>
      </c>
      <c r="AF15" s="41">
        <f t="shared" si="18"/>
        <v>0</v>
      </c>
      <c r="AG15" s="41">
        <f t="shared" si="19"/>
        <v>0</v>
      </c>
      <c r="AH15" s="41">
        <f t="shared" si="20"/>
        <v>0</v>
      </c>
      <c r="AI15" s="41">
        <f t="shared" si="21"/>
        <v>0</v>
      </c>
      <c r="AJ15" s="41">
        <f t="shared" si="22"/>
        <v>0</v>
      </c>
      <c r="AK15" s="10"/>
      <c r="AL15" s="10"/>
      <c r="AM15" s="7"/>
      <c r="AO15" s="138" t="str">
        <f t="shared" si="23"/>
        <v/>
      </c>
      <c r="AP15" s="42" t="str">
        <f t="shared" si="24"/>
        <v/>
      </c>
      <c r="AQ15" s="115">
        <f t="shared" si="25"/>
        <v>0</v>
      </c>
      <c r="AR15" s="9">
        <f t="shared" si="26"/>
        <v>1.5748182375613175E-2</v>
      </c>
      <c r="AS15" s="9">
        <f t="shared" si="27"/>
        <v>6328.2994259336247</v>
      </c>
    </row>
    <row r="16" spans="1:48" ht="15.75" thickBot="1" x14ac:dyDescent="0.3">
      <c r="A16" s="680"/>
      <c r="B16" s="240">
        <f>'Total - Detail'!B17</f>
        <v>6</v>
      </c>
      <c r="C16" s="100" t="str">
        <f>'Total - Detail'!C17</f>
        <v>Inspector</v>
      </c>
      <c r="D16" s="100" t="s">
        <v>235</v>
      </c>
      <c r="E16" s="100" t="s">
        <v>55</v>
      </c>
      <c r="F16" s="39">
        <v>1981.0998202861908</v>
      </c>
      <c r="G16" s="39">
        <f t="shared" si="2"/>
        <v>0</v>
      </c>
      <c r="H16" s="40">
        <f t="shared" si="52"/>
        <v>1981.0998202861908</v>
      </c>
      <c r="I16" s="43"/>
      <c r="J16" s="137"/>
      <c r="K16" s="41">
        <v>0</v>
      </c>
      <c r="L16" s="368"/>
      <c r="M16" s="41">
        <f>M10</f>
        <v>0</v>
      </c>
      <c r="N16" s="41">
        <f t="shared" ref="N16:Q16" si="55">N10</f>
        <v>0</v>
      </c>
      <c r="O16" s="41">
        <f t="shared" si="55"/>
        <v>0</v>
      </c>
      <c r="P16" s="41">
        <f t="shared" si="55"/>
        <v>0</v>
      </c>
      <c r="Q16" s="41">
        <f t="shared" si="55"/>
        <v>0</v>
      </c>
      <c r="R16" s="41">
        <f t="shared" si="8"/>
        <v>0</v>
      </c>
      <c r="S16" s="41">
        <f t="shared" si="9"/>
        <v>0</v>
      </c>
      <c r="T16" s="41">
        <f t="shared" si="10"/>
        <v>0</v>
      </c>
      <c r="U16" s="42">
        <f t="shared" si="11"/>
        <v>0</v>
      </c>
      <c r="V16" s="41">
        <f t="shared" si="12"/>
        <v>0</v>
      </c>
      <c r="W16" s="115">
        <f t="shared" si="13"/>
        <v>0</v>
      </c>
      <c r="Y16" s="137"/>
      <c r="Z16" s="5">
        <f>'Ordering Period 1'!AC16+('Ordering Period 1'!AC16*Escalation!$D$2)</f>
        <v>0</v>
      </c>
      <c r="AA16" s="41">
        <f t="shared" si="14"/>
        <v>0</v>
      </c>
      <c r="AB16" s="5">
        <f t="shared" si="15"/>
        <v>0</v>
      </c>
      <c r="AC16" s="5">
        <f t="shared" si="16"/>
        <v>0</v>
      </c>
      <c r="AD16" s="5"/>
      <c r="AE16" s="41">
        <f t="shared" si="17"/>
        <v>0</v>
      </c>
      <c r="AF16" s="41">
        <f t="shared" si="18"/>
        <v>0</v>
      </c>
      <c r="AG16" s="41">
        <f t="shared" si="19"/>
        <v>0</v>
      </c>
      <c r="AH16" s="41">
        <f t="shared" si="20"/>
        <v>0</v>
      </c>
      <c r="AI16" s="41">
        <f t="shared" si="21"/>
        <v>0</v>
      </c>
      <c r="AJ16" s="41">
        <f t="shared" si="22"/>
        <v>0</v>
      </c>
      <c r="AK16" s="10"/>
      <c r="AL16" s="10"/>
      <c r="AM16" s="7"/>
      <c r="AO16" s="138" t="str">
        <f t="shared" si="23"/>
        <v/>
      </c>
      <c r="AP16" s="42" t="str">
        <f t="shared" si="24"/>
        <v/>
      </c>
      <c r="AQ16" s="115">
        <f t="shared" si="25"/>
        <v>0</v>
      </c>
      <c r="AR16" s="9">
        <f t="shared" si="26"/>
        <v>4.9300324106517157E-3</v>
      </c>
      <c r="AS16" s="9">
        <f t="shared" si="27"/>
        <v>1981.0998202861906</v>
      </c>
    </row>
    <row r="17" spans="1:47" ht="15.75" thickBot="1" x14ac:dyDescent="0.3">
      <c r="A17" s="681"/>
      <c r="B17" s="242">
        <f>'Total - Detail'!B18</f>
        <v>2</v>
      </c>
      <c r="C17" s="127" t="str">
        <f>'Total - Detail'!C18</f>
        <v>Field Service Representative</v>
      </c>
      <c r="D17" s="210" t="s">
        <v>289</v>
      </c>
      <c r="E17" s="127" t="s">
        <v>55</v>
      </c>
      <c r="F17" s="128">
        <v>3163.5997130167048</v>
      </c>
      <c r="G17" s="128">
        <f t="shared" si="2"/>
        <v>0</v>
      </c>
      <c r="H17" s="129">
        <f t="shared" si="52"/>
        <v>3163.5997130167048</v>
      </c>
      <c r="I17" s="43"/>
      <c r="J17" s="146"/>
      <c r="K17" s="143">
        <f>'Ordering Period 1'!M17+('Ordering Period 1'!M17*Escalation!$D$2)</f>
        <v>0</v>
      </c>
      <c r="L17" s="369"/>
      <c r="M17" s="143">
        <f>M6</f>
        <v>0</v>
      </c>
      <c r="N17" s="143">
        <f>N6</f>
        <v>0</v>
      </c>
      <c r="O17" s="143">
        <f>O6</f>
        <v>0</v>
      </c>
      <c r="P17" s="143">
        <f>P6</f>
        <v>0</v>
      </c>
      <c r="Q17" s="143">
        <f>Q6</f>
        <v>0</v>
      </c>
      <c r="R17" s="143">
        <f t="shared" si="8"/>
        <v>0</v>
      </c>
      <c r="S17" s="143">
        <f t="shared" si="9"/>
        <v>0</v>
      </c>
      <c r="T17" s="143">
        <f t="shared" si="10"/>
        <v>0</v>
      </c>
      <c r="U17" s="149">
        <f t="shared" si="11"/>
        <v>0</v>
      </c>
      <c r="V17" s="143">
        <f t="shared" si="12"/>
        <v>0</v>
      </c>
      <c r="W17" s="145">
        <f t="shared" si="13"/>
        <v>0</v>
      </c>
      <c r="Y17" s="146"/>
      <c r="Z17" s="144">
        <f>'Ordering Period 1'!AC17+('Ordering Period 1'!AC17*Escalation!$D$2)</f>
        <v>0</v>
      </c>
      <c r="AA17" s="143">
        <f t="shared" si="14"/>
        <v>0</v>
      </c>
      <c r="AB17" s="144">
        <f t="shared" si="15"/>
        <v>0</v>
      </c>
      <c r="AC17" s="144">
        <f t="shared" si="16"/>
        <v>0</v>
      </c>
      <c r="AD17" s="144"/>
      <c r="AE17" s="143">
        <f t="shared" si="17"/>
        <v>0</v>
      </c>
      <c r="AF17" s="143">
        <f t="shared" si="18"/>
        <v>0</v>
      </c>
      <c r="AG17" s="143">
        <f t="shared" si="19"/>
        <v>0</v>
      </c>
      <c r="AH17" s="143">
        <f t="shared" si="20"/>
        <v>0</v>
      </c>
      <c r="AI17" s="143">
        <f t="shared" si="21"/>
        <v>0</v>
      </c>
      <c r="AJ17" s="143">
        <f t="shared" si="22"/>
        <v>0</v>
      </c>
      <c r="AK17" s="260"/>
      <c r="AL17" s="260"/>
      <c r="AM17" s="147"/>
      <c r="AO17" s="148" t="str">
        <f t="shared" si="23"/>
        <v/>
      </c>
      <c r="AP17" s="149" t="str">
        <f t="shared" si="24"/>
        <v/>
      </c>
      <c r="AQ17" s="145">
        <f t="shared" si="25"/>
        <v>0</v>
      </c>
      <c r="AR17" s="9">
        <f t="shared" si="26"/>
        <v>7.8727224947442182E-3</v>
      </c>
      <c r="AS17" s="9">
        <f t="shared" si="27"/>
        <v>3163.5997130167048</v>
      </c>
    </row>
    <row r="18" spans="1:47" x14ac:dyDescent="0.25">
      <c r="A18" s="679" t="s">
        <v>208</v>
      </c>
      <c r="B18" s="241">
        <f>'Total - Detail'!B19</f>
        <v>2</v>
      </c>
      <c r="C18" s="101" t="str">
        <f>'Total - Detail'!C19</f>
        <v>Field Service Representative</v>
      </c>
      <c r="D18" s="101" t="s">
        <v>289</v>
      </c>
      <c r="E18" s="101" t="s">
        <v>55</v>
      </c>
      <c r="F18" s="35">
        <v>1814.9998353538119</v>
      </c>
      <c r="G18" s="35">
        <f t="shared" si="2"/>
        <v>0</v>
      </c>
      <c r="H18" s="36">
        <f t="shared" si="52"/>
        <v>1814.9998353538119</v>
      </c>
      <c r="I18" s="43"/>
      <c r="J18" s="109"/>
      <c r="K18" s="110">
        <f>'Ordering Period 1'!M18+('Ordering Period 1'!M18*Escalation!$D$2)</f>
        <v>0</v>
      </c>
      <c r="L18" s="367"/>
      <c r="M18" s="110">
        <f>M6</f>
        <v>0</v>
      </c>
      <c r="N18" s="110">
        <f>N6</f>
        <v>0</v>
      </c>
      <c r="O18" s="110">
        <f>O6</f>
        <v>0</v>
      </c>
      <c r="P18" s="110">
        <f>P6</f>
        <v>0</v>
      </c>
      <c r="Q18" s="110">
        <f>Q6</f>
        <v>0</v>
      </c>
      <c r="R18" s="110">
        <f t="shared" si="8"/>
        <v>0</v>
      </c>
      <c r="S18" s="110">
        <f t="shared" si="9"/>
        <v>0</v>
      </c>
      <c r="T18" s="110">
        <f t="shared" si="10"/>
        <v>0</v>
      </c>
      <c r="U18" s="113">
        <f t="shared" si="11"/>
        <v>0</v>
      </c>
      <c r="V18" s="110">
        <f t="shared" si="12"/>
        <v>0</v>
      </c>
      <c r="W18" s="112">
        <f t="shared" si="13"/>
        <v>0</v>
      </c>
      <c r="Y18" s="109"/>
      <c r="Z18" s="111">
        <f>'Ordering Period 1'!AC18+('Ordering Period 1'!AC18*Escalation!$D$2)</f>
        <v>0</v>
      </c>
      <c r="AA18" s="110">
        <f t="shared" si="14"/>
        <v>0</v>
      </c>
      <c r="AB18" s="111">
        <f t="shared" si="15"/>
        <v>0</v>
      </c>
      <c r="AC18" s="111">
        <f t="shared" si="16"/>
        <v>0</v>
      </c>
      <c r="AD18" s="111"/>
      <c r="AE18" s="110">
        <f t="shared" si="17"/>
        <v>0</v>
      </c>
      <c r="AF18" s="110">
        <f t="shared" si="18"/>
        <v>0</v>
      </c>
      <c r="AG18" s="110">
        <f t="shared" si="19"/>
        <v>0</v>
      </c>
      <c r="AH18" s="110">
        <f t="shared" si="20"/>
        <v>0</v>
      </c>
      <c r="AI18" s="110">
        <f t="shared" si="21"/>
        <v>0</v>
      </c>
      <c r="AJ18" s="110">
        <f t="shared" si="22"/>
        <v>0</v>
      </c>
      <c r="AK18" s="259"/>
      <c r="AL18" s="259"/>
      <c r="AM18" s="114"/>
      <c r="AO18" s="124" t="str">
        <f t="shared" si="23"/>
        <v/>
      </c>
      <c r="AP18" s="113" t="str">
        <f t="shared" si="24"/>
        <v/>
      </c>
      <c r="AQ18" s="112">
        <f t="shared" si="25"/>
        <v>0</v>
      </c>
      <c r="AR18" s="9">
        <f t="shared" si="26"/>
        <v>4.5166871058163974E-3</v>
      </c>
      <c r="AS18" s="9">
        <f t="shared" si="27"/>
        <v>1814.9998353538117</v>
      </c>
    </row>
    <row r="19" spans="1:47" x14ac:dyDescent="0.25">
      <c r="A19" s="680"/>
      <c r="B19" s="240">
        <f>'Total - Detail'!B20</f>
        <v>10</v>
      </c>
      <c r="C19" s="100" t="str">
        <f>'Total - Detail'!C20</f>
        <v>MWO Installer</v>
      </c>
      <c r="D19" s="100" t="s">
        <v>288</v>
      </c>
      <c r="E19" s="100" t="s">
        <v>55</v>
      </c>
      <c r="F19" s="39">
        <v>23634.597856007273</v>
      </c>
      <c r="G19" s="39">
        <f t="shared" si="2"/>
        <v>0</v>
      </c>
      <c r="H19" s="40">
        <f t="shared" si="52"/>
        <v>23634.597856007273</v>
      </c>
      <c r="I19" s="43"/>
      <c r="J19" s="137"/>
      <c r="K19" s="41">
        <f>'Ordering Period 1'!M19+('Ordering Period 1'!M19*Escalation!$D$2)</f>
        <v>0</v>
      </c>
      <c r="L19" s="368"/>
      <c r="M19" s="5">
        <f t="shared" si="3"/>
        <v>0</v>
      </c>
      <c r="N19" s="5">
        <f t="shared" si="4"/>
        <v>0</v>
      </c>
      <c r="O19" s="5">
        <f t="shared" si="5"/>
        <v>0</v>
      </c>
      <c r="P19" s="5">
        <f t="shared" si="6"/>
        <v>0</v>
      </c>
      <c r="Q19" s="5">
        <f t="shared" si="7"/>
        <v>0</v>
      </c>
      <c r="R19" s="41">
        <f t="shared" si="8"/>
        <v>0</v>
      </c>
      <c r="S19" s="41">
        <f t="shared" si="9"/>
        <v>0</v>
      </c>
      <c r="T19" s="41">
        <f t="shared" si="10"/>
        <v>0</v>
      </c>
      <c r="U19" s="42">
        <f t="shared" si="11"/>
        <v>0</v>
      </c>
      <c r="V19" s="41">
        <f t="shared" si="12"/>
        <v>0</v>
      </c>
      <c r="W19" s="115">
        <f t="shared" si="13"/>
        <v>0</v>
      </c>
      <c r="Y19" s="137"/>
      <c r="Z19" s="5">
        <f>'Ordering Period 1'!AC19+('Ordering Period 1'!AC19*Escalation!$D$2)</f>
        <v>0</v>
      </c>
      <c r="AA19" s="41">
        <f t="shared" si="14"/>
        <v>0</v>
      </c>
      <c r="AB19" s="5">
        <f t="shared" si="15"/>
        <v>0</v>
      </c>
      <c r="AC19" s="5">
        <f t="shared" si="16"/>
        <v>0</v>
      </c>
      <c r="AD19" s="5"/>
      <c r="AE19" s="41">
        <f t="shared" si="17"/>
        <v>0</v>
      </c>
      <c r="AF19" s="41">
        <f t="shared" si="18"/>
        <v>0</v>
      </c>
      <c r="AG19" s="41">
        <f t="shared" si="19"/>
        <v>0</v>
      </c>
      <c r="AH19" s="41">
        <f t="shared" si="20"/>
        <v>0</v>
      </c>
      <c r="AI19" s="41">
        <f t="shared" si="21"/>
        <v>0</v>
      </c>
      <c r="AJ19" s="41">
        <f t="shared" si="22"/>
        <v>0</v>
      </c>
      <c r="AK19" s="10"/>
      <c r="AL19" s="10"/>
      <c r="AM19" s="7"/>
      <c r="AO19" s="138" t="str">
        <f t="shared" si="23"/>
        <v/>
      </c>
      <c r="AP19" s="42" t="str">
        <f t="shared" si="24"/>
        <v/>
      </c>
      <c r="AQ19" s="115">
        <f t="shared" si="25"/>
        <v>0</v>
      </c>
      <c r="AR19" s="9">
        <f t="shared" si="26"/>
        <v>5.88154782761037E-2</v>
      </c>
      <c r="AS19" s="9">
        <f t="shared" si="27"/>
        <v>23634.597856007269</v>
      </c>
    </row>
    <row r="20" spans="1:47" x14ac:dyDescent="0.25">
      <c r="A20" s="680"/>
      <c r="B20" s="240">
        <f>'Total - Detail'!B21</f>
        <v>6</v>
      </c>
      <c r="C20" s="100" t="str">
        <f>'Total - Detail'!C21</f>
        <v>Inspector</v>
      </c>
      <c r="D20" s="100" t="s">
        <v>240</v>
      </c>
      <c r="E20" s="100" t="s">
        <v>55</v>
      </c>
      <c r="F20" s="39">
        <v>6135.7994433960985</v>
      </c>
      <c r="G20" s="39">
        <f t="shared" si="2"/>
        <v>0</v>
      </c>
      <c r="H20" s="40">
        <f t="shared" si="52"/>
        <v>6135.7994433960985</v>
      </c>
      <c r="I20" s="43"/>
      <c r="J20" s="137"/>
      <c r="K20" s="41">
        <f>'Ordering Period 1'!M20+('Ordering Period 1'!M20*Escalation!$D$2)</f>
        <v>0</v>
      </c>
      <c r="L20" s="368"/>
      <c r="M20" s="41">
        <f>M10</f>
        <v>0</v>
      </c>
      <c r="N20" s="41">
        <f t="shared" ref="N20:Q20" si="56">N10</f>
        <v>0</v>
      </c>
      <c r="O20" s="41">
        <f t="shared" si="56"/>
        <v>0</v>
      </c>
      <c r="P20" s="41">
        <f t="shared" si="56"/>
        <v>0</v>
      </c>
      <c r="Q20" s="41">
        <f t="shared" si="56"/>
        <v>0</v>
      </c>
      <c r="R20" s="41">
        <f t="shared" si="8"/>
        <v>0</v>
      </c>
      <c r="S20" s="41">
        <f t="shared" si="9"/>
        <v>0</v>
      </c>
      <c r="T20" s="41">
        <f t="shared" si="10"/>
        <v>0</v>
      </c>
      <c r="U20" s="42">
        <f t="shared" si="11"/>
        <v>0</v>
      </c>
      <c r="V20" s="41">
        <f t="shared" si="12"/>
        <v>0</v>
      </c>
      <c r="W20" s="115">
        <f t="shared" si="13"/>
        <v>0</v>
      </c>
      <c r="Y20" s="137"/>
      <c r="Z20" s="5">
        <f>'Ordering Period 1'!AC20+('Ordering Period 1'!AC20*Escalation!$D$2)</f>
        <v>0</v>
      </c>
      <c r="AA20" s="41">
        <f t="shared" si="14"/>
        <v>0</v>
      </c>
      <c r="AB20" s="5">
        <f t="shared" si="15"/>
        <v>0</v>
      </c>
      <c r="AC20" s="5">
        <f t="shared" si="16"/>
        <v>0</v>
      </c>
      <c r="AD20" s="5"/>
      <c r="AE20" s="41">
        <f t="shared" si="17"/>
        <v>0</v>
      </c>
      <c r="AF20" s="41">
        <f t="shared" si="18"/>
        <v>0</v>
      </c>
      <c r="AG20" s="41">
        <f t="shared" si="19"/>
        <v>0</v>
      </c>
      <c r="AH20" s="41">
        <f t="shared" si="20"/>
        <v>0</v>
      </c>
      <c r="AI20" s="41">
        <f t="shared" si="21"/>
        <v>0</v>
      </c>
      <c r="AJ20" s="41">
        <f t="shared" si="22"/>
        <v>0</v>
      </c>
      <c r="AK20" s="10"/>
      <c r="AL20" s="10"/>
      <c r="AM20" s="7"/>
      <c r="AO20" s="138" t="str">
        <f t="shared" si="23"/>
        <v/>
      </c>
      <c r="AP20" s="42" t="str">
        <f t="shared" si="24"/>
        <v/>
      </c>
      <c r="AQ20" s="115">
        <f t="shared" si="25"/>
        <v>0</v>
      </c>
      <c r="AR20" s="9">
        <f t="shared" si="26"/>
        <v>1.526913980378416E-2</v>
      </c>
      <c r="AS20" s="9">
        <f t="shared" si="27"/>
        <v>6135.7994433960976</v>
      </c>
    </row>
    <row r="21" spans="1:47" ht="15.75" thickBot="1" x14ac:dyDescent="0.3">
      <c r="A21" s="681"/>
      <c r="B21" s="242">
        <f>'Total - Detail'!B22</f>
        <v>8</v>
      </c>
      <c r="C21" s="127" t="str">
        <f>'Total - Detail'!C22</f>
        <v>Welder</v>
      </c>
      <c r="D21" s="127" t="s">
        <v>239</v>
      </c>
      <c r="E21" s="127" t="s">
        <v>55</v>
      </c>
      <c r="F21" s="128">
        <v>4718.9995719199114</v>
      </c>
      <c r="G21" s="128">
        <f t="shared" si="2"/>
        <v>0</v>
      </c>
      <c r="H21" s="129">
        <f t="shared" si="52"/>
        <v>4718.9995719199114</v>
      </c>
      <c r="I21" s="43"/>
      <c r="J21" s="146"/>
      <c r="K21" s="143">
        <f>'Ordering Period 1'!M21+('Ordering Period 1'!M21*Escalation!$D$2)</f>
        <v>0</v>
      </c>
      <c r="L21" s="369"/>
      <c r="M21" s="143">
        <f>M12</f>
        <v>0</v>
      </c>
      <c r="N21" s="143">
        <f t="shared" ref="N21:Q21" si="57">N12</f>
        <v>0</v>
      </c>
      <c r="O21" s="143">
        <f t="shared" si="57"/>
        <v>0</v>
      </c>
      <c r="P21" s="143">
        <f t="shared" si="57"/>
        <v>0</v>
      </c>
      <c r="Q21" s="143">
        <f t="shared" si="57"/>
        <v>0</v>
      </c>
      <c r="R21" s="143">
        <f t="shared" si="8"/>
        <v>0</v>
      </c>
      <c r="S21" s="143">
        <f t="shared" si="9"/>
        <v>0</v>
      </c>
      <c r="T21" s="143">
        <f t="shared" si="10"/>
        <v>0</v>
      </c>
      <c r="U21" s="149">
        <f t="shared" si="11"/>
        <v>0</v>
      </c>
      <c r="V21" s="143">
        <f t="shared" si="12"/>
        <v>0</v>
      </c>
      <c r="W21" s="145">
        <f t="shared" si="13"/>
        <v>0</v>
      </c>
      <c r="Y21" s="146"/>
      <c r="Z21" s="144">
        <f>'Ordering Period 1'!AC21+('Ordering Period 1'!AC21*Escalation!$D$2)</f>
        <v>0</v>
      </c>
      <c r="AA21" s="143">
        <f t="shared" si="14"/>
        <v>0</v>
      </c>
      <c r="AB21" s="144">
        <f t="shared" si="15"/>
        <v>0</v>
      </c>
      <c r="AC21" s="144">
        <f t="shared" si="16"/>
        <v>0</v>
      </c>
      <c r="AD21" s="144"/>
      <c r="AE21" s="143">
        <f t="shared" si="17"/>
        <v>0</v>
      </c>
      <c r="AF21" s="143">
        <f t="shared" si="18"/>
        <v>0</v>
      </c>
      <c r="AG21" s="143">
        <f t="shared" si="19"/>
        <v>0</v>
      </c>
      <c r="AH21" s="143">
        <f t="shared" si="20"/>
        <v>0</v>
      </c>
      <c r="AI21" s="143">
        <f t="shared" si="21"/>
        <v>0</v>
      </c>
      <c r="AJ21" s="143">
        <f t="shared" si="22"/>
        <v>0</v>
      </c>
      <c r="AK21" s="260"/>
      <c r="AL21" s="260"/>
      <c r="AM21" s="147"/>
      <c r="AO21" s="148" t="str">
        <f t="shared" si="23"/>
        <v/>
      </c>
      <c r="AP21" s="149" t="str">
        <f t="shared" si="24"/>
        <v/>
      </c>
      <c r="AQ21" s="145">
        <f t="shared" si="25"/>
        <v>0</v>
      </c>
      <c r="AR21" s="9">
        <f t="shared" si="26"/>
        <v>1.1743386475122635E-2</v>
      </c>
      <c r="AS21" s="9">
        <f t="shared" si="27"/>
        <v>4718.9995719199114</v>
      </c>
    </row>
    <row r="22" spans="1:47" ht="18" thickBot="1" x14ac:dyDescent="0.35">
      <c r="A22" s="419" t="s">
        <v>77</v>
      </c>
      <c r="B22" s="58"/>
      <c r="C22" s="11"/>
      <c r="D22" s="17"/>
      <c r="E22" s="11"/>
      <c r="F22" s="424"/>
      <c r="G22" s="424"/>
      <c r="H22" s="425"/>
      <c r="I22" s="99"/>
      <c r="J22" s="406"/>
      <c r="K22" s="426"/>
      <c r="L22" s="407"/>
      <c r="M22" s="407"/>
      <c r="N22" s="407"/>
      <c r="O22" s="407"/>
      <c r="P22" s="407"/>
      <c r="Q22" s="407"/>
      <c r="R22" s="407"/>
      <c r="S22" s="407"/>
      <c r="T22" s="407"/>
      <c r="U22" s="407"/>
      <c r="V22" s="407"/>
      <c r="W22" s="427"/>
      <c r="Y22" s="406"/>
      <c r="Z22" s="407"/>
      <c r="AA22" s="407"/>
      <c r="AB22" s="407"/>
      <c r="AC22" s="407"/>
      <c r="AD22" s="407"/>
      <c r="AE22" s="407"/>
      <c r="AF22" s="407"/>
      <c r="AG22" s="407"/>
      <c r="AH22" s="407"/>
      <c r="AI22" s="407"/>
      <c r="AJ22" s="407"/>
      <c r="AK22" s="408"/>
      <c r="AL22" s="408"/>
      <c r="AM22" s="409"/>
      <c r="AO22" s="428"/>
      <c r="AP22" s="429"/>
      <c r="AQ22" s="427"/>
    </row>
    <row r="23" spans="1:47" ht="15.75" thickBot="1" x14ac:dyDescent="0.3">
      <c r="A23" s="694" t="s">
        <v>43</v>
      </c>
      <c r="B23" s="415">
        <f>'Total - Detail'!B24</f>
        <v>11</v>
      </c>
      <c r="C23" s="210" t="str">
        <f>'Total - Detail'!C24</f>
        <v xml:space="preserve">Field Service Representative </v>
      </c>
      <c r="D23" s="210" t="s">
        <v>289</v>
      </c>
      <c r="E23" s="210" t="s">
        <v>77</v>
      </c>
      <c r="F23" s="211">
        <v>6177.7094395942677</v>
      </c>
      <c r="G23" s="211">
        <f t="shared" ref="G23:G38" si="58">SUM(J23,Y23)</f>
        <v>0</v>
      </c>
      <c r="H23" s="212">
        <f t="shared" ref="H23:H38" si="59">F23-G23</f>
        <v>6177.7094395942677</v>
      </c>
      <c r="I23" s="43"/>
      <c r="J23" s="214"/>
      <c r="K23" s="216">
        <f>'Ordering Period 1'!M23+('Ordering Period 1'!M23*Escalation!$D$2)</f>
        <v>0</v>
      </c>
      <c r="L23" s="249">
        <f t="shared" ref="L23:L36" si="60">(K23*$L$4)</f>
        <v>0</v>
      </c>
      <c r="M23" s="249">
        <f t="shared" ref="M23:M36" si="61">(K23+L23)*$M$4</f>
        <v>0</v>
      </c>
      <c r="N23" s="249">
        <f t="shared" ref="N23:N36" si="62">(M23+L23+K23)*$N$4</f>
        <v>0</v>
      </c>
      <c r="O23" s="249">
        <f t="shared" ref="O23:O36" si="63">(K23+L23+M23)*$O$4</f>
        <v>0</v>
      </c>
      <c r="P23" s="249">
        <f t="shared" ref="P23:P36" si="64">(K23+L23+M23+N23+O23)*$P$4</f>
        <v>0</v>
      </c>
      <c r="Q23" s="249">
        <f t="shared" ref="Q23:Q36" si="65">(K23+M23+N23+O23+P23)*$Q$4</f>
        <v>0</v>
      </c>
      <c r="R23" s="216">
        <f t="shared" ref="R23:R38" si="66">SUM(K23:Q23)</f>
        <v>0</v>
      </c>
      <c r="S23" s="216">
        <f t="shared" ref="S23:S38" si="67">(R23-Q23)*$S$4</f>
        <v>0</v>
      </c>
      <c r="T23" s="216">
        <f t="shared" ref="T23:T38" si="68">SUM(R23:S23)</f>
        <v>0</v>
      </c>
      <c r="U23" s="216">
        <f t="shared" ref="U23:U38" si="69">R23*J23</f>
        <v>0</v>
      </c>
      <c r="V23" s="216">
        <f>S23*J23</f>
        <v>0</v>
      </c>
      <c r="W23" s="217">
        <f t="shared" ref="W23:W38" si="70">T23*J23</f>
        <v>0</v>
      </c>
      <c r="Y23" s="214"/>
      <c r="Z23" s="249">
        <f>'Ordering Period 1'!AC23+('Ordering Period 1'!AC23*Escalation!$D$2)</f>
        <v>0</v>
      </c>
      <c r="AA23" s="216">
        <f t="shared" ref="AA23:AA38" si="71">IF($Y23&gt;0,$Z23,0)</f>
        <v>0</v>
      </c>
      <c r="AB23" s="249">
        <f t="shared" ref="AB23:AB38" si="72">(AA23*$AB$4)</f>
        <v>0</v>
      </c>
      <c r="AC23" s="249">
        <f t="shared" ref="AC23:AC38" si="73">(AA23+AB23)*$AC$4</f>
        <v>0</v>
      </c>
      <c r="AD23" s="249"/>
      <c r="AE23" s="216">
        <f t="shared" ref="AE23:AE38" si="74">SUM(AA23:AD23)</f>
        <v>0</v>
      </c>
      <c r="AF23" s="216">
        <f t="shared" ref="AF23:AF38" si="75">$AF$4*(AC23+AA23+AB23)</f>
        <v>0</v>
      </c>
      <c r="AG23" s="216">
        <f t="shared" ref="AG23:AG38" si="76">SUM(AE23:AF23)</f>
        <v>0</v>
      </c>
      <c r="AH23" s="216">
        <f t="shared" ref="AH23:AH38" si="77">AE23*Y23</f>
        <v>0</v>
      </c>
      <c r="AI23" s="216">
        <f t="shared" ref="AI23:AI38" si="78">AF23*Y23</f>
        <v>0</v>
      </c>
      <c r="AJ23" s="216">
        <f t="shared" ref="AJ23:AJ38" si="79">AG23*Y23</f>
        <v>0</v>
      </c>
      <c r="AK23" s="433"/>
      <c r="AL23" s="433"/>
      <c r="AM23" s="250"/>
      <c r="AO23" s="252" t="str">
        <f t="shared" ref="AO23:AO38" si="80">IFERROR(SUM(U23,AH23)/G23,"")</f>
        <v/>
      </c>
      <c r="AP23" s="253" t="str">
        <f t="shared" ref="AP23:AP38" si="81">IFERROR(SUM(V23,AI23)/G23,"")</f>
        <v/>
      </c>
      <c r="AQ23" s="217">
        <f t="shared" ref="AQ23:AQ38" si="82">SUM(AO23:AP23)</f>
        <v>0</v>
      </c>
      <c r="AR23" s="9">
        <f t="shared" ref="AR23:AR38" si="83">F23/$F$41</f>
        <v>1.5373434215136646E-2</v>
      </c>
      <c r="AS23" s="9">
        <f t="shared" ref="AS23:AS38" si="84">AR23*$AV$5</f>
        <v>6177.7094395942668</v>
      </c>
    </row>
    <row r="24" spans="1:47" ht="15.75" thickBot="1" x14ac:dyDescent="0.3">
      <c r="A24" s="695"/>
      <c r="B24" s="416">
        <f>'Total - Detail'!B25</f>
        <v>12</v>
      </c>
      <c r="C24" s="257" t="s">
        <v>290</v>
      </c>
      <c r="D24" s="257" t="s">
        <v>240</v>
      </c>
      <c r="E24" s="257" t="s">
        <v>77</v>
      </c>
      <c r="F24" s="258">
        <v>11472.888959246498</v>
      </c>
      <c r="G24" s="258"/>
      <c r="H24" s="212">
        <f t="shared" si="59"/>
        <v>11472.888959246498</v>
      </c>
      <c r="I24" s="43"/>
      <c r="J24" s="218"/>
      <c r="K24" s="219"/>
      <c r="L24" s="254"/>
      <c r="M24" s="249">
        <f t="shared" ref="M24" si="85">(K24*$M$4)</f>
        <v>0</v>
      </c>
      <c r="N24" s="249">
        <f t="shared" ref="N24" si="86">(M24+K24)*$N$4</f>
        <v>0</v>
      </c>
      <c r="O24" s="249">
        <f t="shared" ref="O24" si="87">(K24+M24)*$O$4</f>
        <v>0</v>
      </c>
      <c r="P24" s="249">
        <f t="shared" ref="P24" si="88">(M24+K24+N24+O24)*$P$4</f>
        <v>0</v>
      </c>
      <c r="Q24" s="249">
        <f t="shared" si="65"/>
        <v>0</v>
      </c>
      <c r="R24" s="216">
        <f t="shared" si="66"/>
        <v>0</v>
      </c>
      <c r="S24" s="216">
        <f t="shared" si="67"/>
        <v>0</v>
      </c>
      <c r="T24" s="216">
        <f t="shared" si="68"/>
        <v>0</v>
      </c>
      <c r="U24" s="253">
        <f t="shared" si="69"/>
        <v>0</v>
      </c>
      <c r="V24" s="216">
        <f t="shared" ref="V24" si="89">S24*J24</f>
        <v>0</v>
      </c>
      <c r="W24" s="217">
        <f t="shared" si="70"/>
        <v>0</v>
      </c>
      <c r="Y24" s="214"/>
      <c r="Z24" s="249">
        <f>'Ordering Period 1'!AC24+('Ordering Period 1'!AC24*Escalation!$D$2)</f>
        <v>0</v>
      </c>
      <c r="AA24" s="216">
        <f t="shared" si="71"/>
        <v>0</v>
      </c>
      <c r="AB24" s="249">
        <f t="shared" si="72"/>
        <v>0</v>
      </c>
      <c r="AC24" s="249">
        <f t="shared" si="73"/>
        <v>0</v>
      </c>
      <c r="AD24" s="249"/>
      <c r="AE24" s="216">
        <f t="shared" si="74"/>
        <v>0</v>
      </c>
      <c r="AF24" s="216">
        <f t="shared" si="75"/>
        <v>0</v>
      </c>
      <c r="AG24" s="216">
        <f t="shared" si="76"/>
        <v>0</v>
      </c>
      <c r="AH24" s="216">
        <f t="shared" si="77"/>
        <v>0</v>
      </c>
      <c r="AI24" s="216">
        <f t="shared" si="78"/>
        <v>0</v>
      </c>
      <c r="AJ24" s="216">
        <f t="shared" si="79"/>
        <v>0</v>
      </c>
      <c r="AK24" s="433"/>
      <c r="AL24" s="433"/>
      <c r="AM24" s="250"/>
      <c r="AO24" s="252" t="str">
        <f t="shared" si="80"/>
        <v/>
      </c>
      <c r="AP24" s="253" t="str">
        <f t="shared" si="81"/>
        <v/>
      </c>
      <c r="AQ24" s="217">
        <f t="shared" si="82"/>
        <v>0</v>
      </c>
      <c r="AR24" s="9">
        <f t="shared" si="83"/>
        <v>2.8550663542396632E-2</v>
      </c>
      <c r="AS24" s="9">
        <f t="shared" si="84"/>
        <v>11472.888959246497</v>
      </c>
    </row>
    <row r="25" spans="1:47" s="11" customFormat="1" x14ac:dyDescent="0.25">
      <c r="A25" s="679" t="s">
        <v>205</v>
      </c>
      <c r="B25" s="241">
        <f>'Total - Detail'!B26</f>
        <v>13</v>
      </c>
      <c r="C25" s="101" t="str">
        <f>'Total - Detail'!C26</f>
        <v>Heavy Equipment Mechanic</v>
      </c>
      <c r="D25" s="101" t="s">
        <v>236</v>
      </c>
      <c r="E25" s="101" t="s">
        <v>77</v>
      </c>
      <c r="F25" s="35">
        <v>668.79993933037429</v>
      </c>
      <c r="G25" s="35">
        <f t="shared" si="58"/>
        <v>0</v>
      </c>
      <c r="H25" s="36">
        <f t="shared" si="59"/>
        <v>668.79993933037429</v>
      </c>
      <c r="I25" s="43"/>
      <c r="J25" s="109"/>
      <c r="K25" s="110">
        <f>'Ordering Period 1'!M25+('Ordering Period 1'!M25*Escalation!$D$2)</f>
        <v>0</v>
      </c>
      <c r="L25" s="111">
        <f t="shared" si="60"/>
        <v>0</v>
      </c>
      <c r="M25" s="111">
        <f t="shared" si="61"/>
        <v>0</v>
      </c>
      <c r="N25" s="111">
        <f t="shared" si="62"/>
        <v>0</v>
      </c>
      <c r="O25" s="111">
        <f t="shared" si="63"/>
        <v>0</v>
      </c>
      <c r="P25" s="111">
        <f t="shared" si="64"/>
        <v>0</v>
      </c>
      <c r="Q25" s="111">
        <f t="shared" si="65"/>
        <v>0</v>
      </c>
      <c r="R25" s="110">
        <f t="shared" si="66"/>
        <v>0</v>
      </c>
      <c r="S25" s="110">
        <f t="shared" si="67"/>
        <v>0</v>
      </c>
      <c r="T25" s="110">
        <f t="shared" si="68"/>
        <v>0</v>
      </c>
      <c r="U25" s="110">
        <f t="shared" si="69"/>
        <v>0</v>
      </c>
      <c r="V25" s="110">
        <f t="shared" ref="V25:V38" si="90">S25*J25</f>
        <v>0</v>
      </c>
      <c r="W25" s="112">
        <f t="shared" si="70"/>
        <v>0</v>
      </c>
      <c r="X25" s="9"/>
      <c r="Y25" s="109"/>
      <c r="Z25" s="111">
        <f>'Ordering Period 1'!AC25+('Ordering Period 1'!AC25*Escalation!$D$2)</f>
        <v>0</v>
      </c>
      <c r="AA25" s="110">
        <f t="shared" si="71"/>
        <v>0</v>
      </c>
      <c r="AB25" s="111">
        <f t="shared" si="72"/>
        <v>0</v>
      </c>
      <c r="AC25" s="111">
        <f t="shared" si="73"/>
        <v>0</v>
      </c>
      <c r="AD25" s="111"/>
      <c r="AE25" s="110">
        <f t="shared" si="74"/>
        <v>0</v>
      </c>
      <c r="AF25" s="110">
        <f t="shared" si="75"/>
        <v>0</v>
      </c>
      <c r="AG25" s="110">
        <f t="shared" si="76"/>
        <v>0</v>
      </c>
      <c r="AH25" s="110">
        <f t="shared" si="77"/>
        <v>0</v>
      </c>
      <c r="AI25" s="110">
        <f t="shared" si="78"/>
        <v>0</v>
      </c>
      <c r="AJ25" s="110">
        <f t="shared" si="79"/>
        <v>0</v>
      </c>
      <c r="AK25" s="259"/>
      <c r="AL25" s="259"/>
      <c r="AM25" s="114"/>
      <c r="AN25" s="9"/>
      <c r="AO25" s="124" t="str">
        <f t="shared" si="80"/>
        <v/>
      </c>
      <c r="AP25" s="113" t="str">
        <f t="shared" si="81"/>
        <v/>
      </c>
      <c r="AQ25" s="112">
        <f t="shared" si="82"/>
        <v>0</v>
      </c>
      <c r="AR25" s="9">
        <f t="shared" si="83"/>
        <v>1.664330763840224E-3</v>
      </c>
      <c r="AS25" s="9">
        <f t="shared" si="84"/>
        <v>668.79993933037417</v>
      </c>
      <c r="AU25" s="322"/>
    </row>
    <row r="26" spans="1:47" s="11" customFormat="1" x14ac:dyDescent="0.25">
      <c r="A26" s="680"/>
      <c r="B26" s="240">
        <f>'Total - Detail'!B27</f>
        <v>14</v>
      </c>
      <c r="C26" s="100" t="str">
        <f>'Total - Detail'!C27</f>
        <v>Material Handling Specialist</v>
      </c>
      <c r="D26" s="100" t="s">
        <v>238</v>
      </c>
      <c r="E26" s="100" t="s">
        <v>77</v>
      </c>
      <c r="F26" s="39">
        <v>2899.5997369652414</v>
      </c>
      <c r="G26" s="39">
        <f t="shared" si="58"/>
        <v>0</v>
      </c>
      <c r="H26" s="40">
        <f t="shared" si="59"/>
        <v>2899.5997369652414</v>
      </c>
      <c r="I26" s="43"/>
      <c r="J26" s="137"/>
      <c r="K26" s="41">
        <f>'Ordering Period 1'!M26+('Ordering Period 1'!M26*Escalation!$D$2)</f>
        <v>0</v>
      </c>
      <c r="L26" s="5">
        <f t="shared" si="60"/>
        <v>0</v>
      </c>
      <c r="M26" s="5">
        <f t="shared" si="61"/>
        <v>0</v>
      </c>
      <c r="N26" s="5">
        <f t="shared" si="62"/>
        <v>0</v>
      </c>
      <c r="O26" s="5">
        <f t="shared" si="63"/>
        <v>0</v>
      </c>
      <c r="P26" s="5">
        <f t="shared" si="64"/>
        <v>0</v>
      </c>
      <c r="Q26" s="5">
        <f t="shared" si="65"/>
        <v>0</v>
      </c>
      <c r="R26" s="41">
        <f t="shared" si="66"/>
        <v>0</v>
      </c>
      <c r="S26" s="41">
        <f t="shared" si="67"/>
        <v>0</v>
      </c>
      <c r="T26" s="41">
        <f t="shared" si="68"/>
        <v>0</v>
      </c>
      <c r="U26" s="41">
        <f t="shared" si="69"/>
        <v>0</v>
      </c>
      <c r="V26" s="41">
        <f t="shared" si="90"/>
        <v>0</v>
      </c>
      <c r="W26" s="115">
        <f t="shared" si="70"/>
        <v>0</v>
      </c>
      <c r="X26" s="9"/>
      <c r="Y26" s="137"/>
      <c r="Z26" s="5">
        <f>'Ordering Period 1'!AC26+('Ordering Period 1'!AC26*Escalation!$D$2)</f>
        <v>0</v>
      </c>
      <c r="AA26" s="41">
        <f t="shared" si="71"/>
        <v>0</v>
      </c>
      <c r="AB26" s="5">
        <f t="shared" si="72"/>
        <v>0</v>
      </c>
      <c r="AC26" s="5">
        <f t="shared" si="73"/>
        <v>0</v>
      </c>
      <c r="AD26" s="5"/>
      <c r="AE26" s="41">
        <f t="shared" si="74"/>
        <v>0</v>
      </c>
      <c r="AF26" s="41">
        <f t="shared" si="75"/>
        <v>0</v>
      </c>
      <c r="AG26" s="41">
        <f t="shared" si="76"/>
        <v>0</v>
      </c>
      <c r="AH26" s="41">
        <f t="shared" si="77"/>
        <v>0</v>
      </c>
      <c r="AI26" s="41">
        <f t="shared" si="78"/>
        <v>0</v>
      </c>
      <c r="AJ26" s="41">
        <f t="shared" si="79"/>
        <v>0</v>
      </c>
      <c r="AK26" s="10"/>
      <c r="AL26" s="10"/>
      <c r="AM26" s="7"/>
      <c r="AN26" s="9"/>
      <c r="AO26" s="138" t="str">
        <f t="shared" si="80"/>
        <v/>
      </c>
      <c r="AP26" s="42" t="str">
        <f t="shared" si="81"/>
        <v/>
      </c>
      <c r="AQ26" s="115">
        <f t="shared" si="82"/>
        <v>0</v>
      </c>
      <c r="AR26" s="9">
        <f t="shared" si="83"/>
        <v>7.2157498248072872E-3</v>
      </c>
      <c r="AS26" s="9">
        <f t="shared" si="84"/>
        <v>2899.5997369652409</v>
      </c>
      <c r="AU26" s="322"/>
    </row>
    <row r="27" spans="1:47" s="11" customFormat="1" x14ac:dyDescent="0.25">
      <c r="A27" s="680"/>
      <c r="B27" s="240">
        <f>'Total - Detail'!B28</f>
        <v>15</v>
      </c>
      <c r="C27" s="100" t="str">
        <f>'Total - Detail'!C28</f>
        <v>Inspector</v>
      </c>
      <c r="D27" s="100" t="s">
        <v>235</v>
      </c>
      <c r="E27" s="100" t="s">
        <v>77</v>
      </c>
      <c r="F27" s="39">
        <v>656.69994042801557</v>
      </c>
      <c r="G27" s="39">
        <f t="shared" si="58"/>
        <v>0</v>
      </c>
      <c r="H27" s="40">
        <f t="shared" si="59"/>
        <v>656.69994042801557</v>
      </c>
      <c r="I27" s="43"/>
      <c r="J27" s="137"/>
      <c r="K27" s="41">
        <f>'Ordering Period 1'!M27+('Ordering Period 1'!M27*Escalation!$D$2)</f>
        <v>0</v>
      </c>
      <c r="L27" s="5">
        <f t="shared" si="60"/>
        <v>0</v>
      </c>
      <c r="M27" s="5">
        <f t="shared" si="61"/>
        <v>0</v>
      </c>
      <c r="N27" s="5">
        <f t="shared" si="62"/>
        <v>0</v>
      </c>
      <c r="O27" s="5">
        <f t="shared" si="63"/>
        <v>0</v>
      </c>
      <c r="P27" s="5">
        <f t="shared" si="64"/>
        <v>0</v>
      </c>
      <c r="Q27" s="5">
        <f t="shared" si="65"/>
        <v>0</v>
      </c>
      <c r="R27" s="41">
        <f t="shared" si="66"/>
        <v>0</v>
      </c>
      <c r="S27" s="41">
        <f t="shared" si="67"/>
        <v>0</v>
      </c>
      <c r="T27" s="41">
        <f t="shared" si="68"/>
        <v>0</v>
      </c>
      <c r="U27" s="41">
        <f t="shared" si="69"/>
        <v>0</v>
      </c>
      <c r="V27" s="41">
        <f t="shared" si="90"/>
        <v>0</v>
      </c>
      <c r="W27" s="115">
        <f t="shared" si="70"/>
        <v>0</v>
      </c>
      <c r="X27" s="9"/>
      <c r="Y27" s="137"/>
      <c r="Z27" s="5">
        <f>'Ordering Period 1'!AC27+('Ordering Period 1'!AC27*Escalation!$D$2)</f>
        <v>0</v>
      </c>
      <c r="AA27" s="41">
        <f t="shared" si="71"/>
        <v>0</v>
      </c>
      <c r="AB27" s="5">
        <f t="shared" si="72"/>
        <v>0</v>
      </c>
      <c r="AC27" s="5">
        <f t="shared" si="73"/>
        <v>0</v>
      </c>
      <c r="AD27" s="5"/>
      <c r="AE27" s="41">
        <f t="shared" si="74"/>
        <v>0</v>
      </c>
      <c r="AF27" s="41">
        <f t="shared" si="75"/>
        <v>0</v>
      </c>
      <c r="AG27" s="41">
        <f t="shared" si="76"/>
        <v>0</v>
      </c>
      <c r="AH27" s="41">
        <f t="shared" si="77"/>
        <v>0</v>
      </c>
      <c r="AI27" s="41">
        <f t="shared" si="78"/>
        <v>0</v>
      </c>
      <c r="AJ27" s="41">
        <f t="shared" si="79"/>
        <v>0</v>
      </c>
      <c r="AK27" s="10"/>
      <c r="AL27" s="10"/>
      <c r="AM27" s="7"/>
      <c r="AN27" s="9"/>
      <c r="AO27" s="138" t="str">
        <f t="shared" si="80"/>
        <v/>
      </c>
      <c r="AP27" s="42" t="str">
        <f t="shared" si="81"/>
        <v/>
      </c>
      <c r="AQ27" s="115">
        <f t="shared" si="82"/>
        <v>0</v>
      </c>
      <c r="AR27" s="9">
        <f t="shared" si="83"/>
        <v>1.6342195164681147E-3</v>
      </c>
      <c r="AS27" s="9">
        <f t="shared" si="84"/>
        <v>656.69994042801545</v>
      </c>
      <c r="AU27" s="322"/>
    </row>
    <row r="28" spans="1:47" s="11" customFormat="1" x14ac:dyDescent="0.25">
      <c r="A28" s="680"/>
      <c r="B28" s="240">
        <f>'Total - Detail'!B29</f>
        <v>16</v>
      </c>
      <c r="C28" s="100" t="str">
        <f>'Total - Detail'!C29</f>
        <v>Supply/Procurement Specialist</v>
      </c>
      <c r="D28" s="100" t="s">
        <v>233</v>
      </c>
      <c r="E28" s="100" t="s">
        <v>77</v>
      </c>
      <c r="F28" s="39">
        <v>1449.7998684826207</v>
      </c>
      <c r="G28" s="39">
        <f t="shared" si="58"/>
        <v>0</v>
      </c>
      <c r="H28" s="40">
        <f t="shared" si="59"/>
        <v>1449.7998684826207</v>
      </c>
      <c r="I28" s="43"/>
      <c r="J28" s="137"/>
      <c r="K28" s="41">
        <f>'Ordering Period 1'!M28+('Ordering Period 1'!M28*Escalation!$D$2)</f>
        <v>0</v>
      </c>
      <c r="L28" s="5">
        <f t="shared" si="60"/>
        <v>0</v>
      </c>
      <c r="M28" s="5">
        <f t="shared" si="61"/>
        <v>0</v>
      </c>
      <c r="N28" s="5">
        <f t="shared" si="62"/>
        <v>0</v>
      </c>
      <c r="O28" s="5">
        <f t="shared" si="63"/>
        <v>0</v>
      </c>
      <c r="P28" s="5">
        <f t="shared" si="64"/>
        <v>0</v>
      </c>
      <c r="Q28" s="5">
        <f t="shared" si="65"/>
        <v>0</v>
      </c>
      <c r="R28" s="41">
        <f t="shared" si="66"/>
        <v>0</v>
      </c>
      <c r="S28" s="41">
        <f t="shared" si="67"/>
        <v>0</v>
      </c>
      <c r="T28" s="41">
        <f t="shared" si="68"/>
        <v>0</v>
      </c>
      <c r="U28" s="41">
        <f t="shared" si="69"/>
        <v>0</v>
      </c>
      <c r="V28" s="41">
        <f t="shared" si="90"/>
        <v>0</v>
      </c>
      <c r="W28" s="115">
        <f t="shared" si="70"/>
        <v>0</v>
      </c>
      <c r="X28" s="9"/>
      <c r="Y28" s="137"/>
      <c r="Z28" s="5">
        <f>'Ordering Period 1'!AC28+('Ordering Period 1'!AC28*Escalation!$D$2)</f>
        <v>0</v>
      </c>
      <c r="AA28" s="41">
        <f t="shared" si="71"/>
        <v>0</v>
      </c>
      <c r="AB28" s="5">
        <f t="shared" si="72"/>
        <v>0</v>
      </c>
      <c r="AC28" s="5">
        <f t="shared" si="73"/>
        <v>0</v>
      </c>
      <c r="AD28" s="5"/>
      <c r="AE28" s="41">
        <f t="shared" si="74"/>
        <v>0</v>
      </c>
      <c r="AF28" s="41">
        <f t="shared" si="75"/>
        <v>0</v>
      </c>
      <c r="AG28" s="41">
        <f t="shared" si="76"/>
        <v>0</v>
      </c>
      <c r="AH28" s="41">
        <f t="shared" si="77"/>
        <v>0</v>
      </c>
      <c r="AI28" s="41">
        <f t="shared" si="78"/>
        <v>0</v>
      </c>
      <c r="AJ28" s="41">
        <f t="shared" si="79"/>
        <v>0</v>
      </c>
      <c r="AK28" s="10"/>
      <c r="AL28" s="10"/>
      <c r="AM28" s="7"/>
      <c r="AN28" s="9"/>
      <c r="AO28" s="138" t="str">
        <f t="shared" si="80"/>
        <v/>
      </c>
      <c r="AP28" s="42" t="str">
        <f t="shared" si="81"/>
        <v/>
      </c>
      <c r="AQ28" s="115">
        <f t="shared" si="82"/>
        <v>0</v>
      </c>
      <c r="AR28" s="9">
        <f t="shared" si="83"/>
        <v>3.6078749124036436E-3</v>
      </c>
      <c r="AS28" s="9">
        <f t="shared" si="84"/>
        <v>1449.7998684826205</v>
      </c>
      <c r="AU28" s="322"/>
    </row>
    <row r="29" spans="1:47" s="11" customFormat="1" ht="15.75" thickBot="1" x14ac:dyDescent="0.3">
      <c r="A29" s="681"/>
      <c r="B29" s="242">
        <f>'Total - Detail'!B30</f>
        <v>17</v>
      </c>
      <c r="C29" s="127" t="str">
        <f>'Total - Detail'!C30</f>
        <v>Welder</v>
      </c>
      <c r="D29" s="127" t="s">
        <v>239</v>
      </c>
      <c r="E29" s="127" t="s">
        <v>77</v>
      </c>
      <c r="F29" s="128">
        <v>1129.6998975202212</v>
      </c>
      <c r="G29" s="128">
        <f t="shared" si="58"/>
        <v>0</v>
      </c>
      <c r="H29" s="129">
        <f t="shared" si="59"/>
        <v>1129.6998975202212</v>
      </c>
      <c r="I29" s="43"/>
      <c r="J29" s="146"/>
      <c r="K29" s="143">
        <f>'Ordering Period 1'!M29+('Ordering Period 1'!M29*Escalation!$D$2)</f>
        <v>0</v>
      </c>
      <c r="L29" s="144">
        <f t="shared" si="60"/>
        <v>0</v>
      </c>
      <c r="M29" s="144">
        <f t="shared" si="61"/>
        <v>0</v>
      </c>
      <c r="N29" s="144">
        <f t="shared" si="62"/>
        <v>0</v>
      </c>
      <c r="O29" s="144">
        <f t="shared" si="63"/>
        <v>0</v>
      </c>
      <c r="P29" s="144">
        <f t="shared" si="64"/>
        <v>0</v>
      </c>
      <c r="Q29" s="144">
        <f t="shared" si="65"/>
        <v>0</v>
      </c>
      <c r="R29" s="143">
        <f t="shared" si="66"/>
        <v>0</v>
      </c>
      <c r="S29" s="143">
        <f t="shared" si="67"/>
        <v>0</v>
      </c>
      <c r="T29" s="143">
        <f t="shared" si="68"/>
        <v>0</v>
      </c>
      <c r="U29" s="143">
        <f t="shared" si="69"/>
        <v>0</v>
      </c>
      <c r="V29" s="143">
        <f t="shared" si="90"/>
        <v>0</v>
      </c>
      <c r="W29" s="145">
        <f t="shared" si="70"/>
        <v>0</v>
      </c>
      <c r="X29" s="9"/>
      <c r="Y29" s="146"/>
      <c r="Z29" s="144">
        <f>'Ordering Period 1'!AC29+('Ordering Period 1'!AC29*Escalation!$D$2)</f>
        <v>0</v>
      </c>
      <c r="AA29" s="143">
        <f t="shared" si="71"/>
        <v>0</v>
      </c>
      <c r="AB29" s="144">
        <f t="shared" si="72"/>
        <v>0</v>
      </c>
      <c r="AC29" s="144">
        <f t="shared" si="73"/>
        <v>0</v>
      </c>
      <c r="AD29" s="144"/>
      <c r="AE29" s="143">
        <f t="shared" si="74"/>
        <v>0</v>
      </c>
      <c r="AF29" s="143">
        <f t="shared" si="75"/>
        <v>0</v>
      </c>
      <c r="AG29" s="143">
        <f t="shared" si="76"/>
        <v>0</v>
      </c>
      <c r="AH29" s="143">
        <f t="shared" si="77"/>
        <v>0</v>
      </c>
      <c r="AI29" s="143">
        <f t="shared" si="78"/>
        <v>0</v>
      </c>
      <c r="AJ29" s="143">
        <f t="shared" si="79"/>
        <v>0</v>
      </c>
      <c r="AK29" s="260"/>
      <c r="AL29" s="260"/>
      <c r="AM29" s="147"/>
      <c r="AN29" s="9"/>
      <c r="AO29" s="148" t="str">
        <f t="shared" si="80"/>
        <v/>
      </c>
      <c r="AP29" s="149" t="str">
        <f t="shared" si="81"/>
        <v/>
      </c>
      <c r="AQ29" s="145">
        <f t="shared" si="82"/>
        <v>0</v>
      </c>
      <c r="AR29" s="9">
        <f t="shared" si="83"/>
        <v>2.8112955501051152E-3</v>
      </c>
      <c r="AS29" s="9">
        <f t="shared" si="84"/>
        <v>1129.6998975202209</v>
      </c>
      <c r="AU29" s="322"/>
    </row>
    <row r="30" spans="1:47" ht="30.75" thickBot="1" x14ac:dyDescent="0.3">
      <c r="A30" s="504" t="s">
        <v>231</v>
      </c>
      <c r="B30" s="242">
        <f>'Total - Detail'!B31</f>
        <v>18</v>
      </c>
      <c r="C30" s="127" t="str">
        <f>'Total - Detail'!C31</f>
        <v xml:space="preserve">Instructor </v>
      </c>
      <c r="D30" s="127" t="s">
        <v>237</v>
      </c>
      <c r="E30" s="127" t="s">
        <v>77</v>
      </c>
      <c r="F30" s="128">
        <v>3764.1996585337838</v>
      </c>
      <c r="G30" s="128">
        <f t="shared" si="58"/>
        <v>0</v>
      </c>
      <c r="H30" s="129">
        <f t="shared" si="59"/>
        <v>3764.1996585337838</v>
      </c>
      <c r="I30" s="43"/>
      <c r="J30" s="146"/>
      <c r="K30" s="143">
        <f>'Ordering Period 1'!M30+('Ordering Period 1'!M30*Escalation!$D$2)</f>
        <v>0</v>
      </c>
      <c r="L30" s="144">
        <f t="shared" si="60"/>
        <v>0</v>
      </c>
      <c r="M30" s="144">
        <f t="shared" si="61"/>
        <v>0</v>
      </c>
      <c r="N30" s="144">
        <f t="shared" si="62"/>
        <v>0</v>
      </c>
      <c r="O30" s="144">
        <f t="shared" si="63"/>
        <v>0</v>
      </c>
      <c r="P30" s="144">
        <f t="shared" si="64"/>
        <v>0</v>
      </c>
      <c r="Q30" s="144">
        <f t="shared" si="65"/>
        <v>0</v>
      </c>
      <c r="R30" s="143">
        <f t="shared" si="66"/>
        <v>0</v>
      </c>
      <c r="S30" s="143">
        <f t="shared" si="67"/>
        <v>0</v>
      </c>
      <c r="T30" s="143">
        <f t="shared" si="68"/>
        <v>0</v>
      </c>
      <c r="U30" s="143">
        <f t="shared" si="69"/>
        <v>0</v>
      </c>
      <c r="V30" s="143">
        <f t="shared" si="90"/>
        <v>0</v>
      </c>
      <c r="W30" s="145">
        <f t="shared" si="70"/>
        <v>0</v>
      </c>
      <c r="Y30" s="146"/>
      <c r="Z30" s="144">
        <f>'Ordering Period 1'!AC30+('Ordering Period 1'!AC30*Escalation!$D$2)</f>
        <v>0</v>
      </c>
      <c r="AA30" s="143">
        <f t="shared" si="71"/>
        <v>0</v>
      </c>
      <c r="AB30" s="144">
        <f t="shared" si="72"/>
        <v>0</v>
      </c>
      <c r="AC30" s="144">
        <f t="shared" si="73"/>
        <v>0</v>
      </c>
      <c r="AD30" s="144"/>
      <c r="AE30" s="143">
        <f t="shared" si="74"/>
        <v>0</v>
      </c>
      <c r="AF30" s="143">
        <f t="shared" si="75"/>
        <v>0</v>
      </c>
      <c r="AG30" s="143">
        <f t="shared" si="76"/>
        <v>0</v>
      </c>
      <c r="AH30" s="143">
        <f t="shared" si="77"/>
        <v>0</v>
      </c>
      <c r="AI30" s="143">
        <f t="shared" si="78"/>
        <v>0</v>
      </c>
      <c r="AJ30" s="143">
        <f t="shared" si="79"/>
        <v>0</v>
      </c>
      <c r="AK30" s="260"/>
      <c r="AL30" s="260"/>
      <c r="AM30" s="147"/>
      <c r="AO30" s="148" t="str">
        <f t="shared" si="80"/>
        <v/>
      </c>
      <c r="AP30" s="149" t="str">
        <f t="shared" si="81"/>
        <v/>
      </c>
      <c r="AQ30" s="145">
        <f t="shared" si="82"/>
        <v>0</v>
      </c>
      <c r="AR30" s="9">
        <f t="shared" si="83"/>
        <v>9.3673353188507332E-3</v>
      </c>
      <c r="AS30" s="9">
        <f t="shared" si="84"/>
        <v>3764.1996585337833</v>
      </c>
    </row>
    <row r="31" spans="1:47" x14ac:dyDescent="0.25">
      <c r="A31" s="679" t="s">
        <v>207</v>
      </c>
      <c r="B31" s="241">
        <f>'Total - Detail'!B32</f>
        <v>13</v>
      </c>
      <c r="C31" s="101" t="str">
        <f>'Total - Detail'!C32</f>
        <v>Heavy Equipment Mechanic</v>
      </c>
      <c r="D31" s="101" t="s">
        <v>236</v>
      </c>
      <c r="E31" s="101" t="s">
        <v>77</v>
      </c>
      <c r="F31" s="35">
        <v>668.79993933037429</v>
      </c>
      <c r="G31" s="35">
        <f t="shared" si="58"/>
        <v>0</v>
      </c>
      <c r="H31" s="36">
        <f t="shared" si="59"/>
        <v>668.79993933037429</v>
      </c>
      <c r="I31" s="43"/>
      <c r="J31" s="109"/>
      <c r="K31" s="110">
        <f>'Ordering Period 1'!M31+('Ordering Period 1'!M31*Escalation!$D$2)</f>
        <v>0</v>
      </c>
      <c r="L31" s="110">
        <f>L25</f>
        <v>0</v>
      </c>
      <c r="M31" s="110">
        <f t="shared" ref="M31:Q31" si="91">M25</f>
        <v>0</v>
      </c>
      <c r="N31" s="110">
        <f t="shared" si="91"/>
        <v>0</v>
      </c>
      <c r="O31" s="110">
        <f t="shared" si="91"/>
        <v>0</v>
      </c>
      <c r="P31" s="110">
        <f t="shared" si="91"/>
        <v>0</v>
      </c>
      <c r="Q31" s="110">
        <f t="shared" si="91"/>
        <v>0</v>
      </c>
      <c r="R31" s="110">
        <f t="shared" si="66"/>
        <v>0</v>
      </c>
      <c r="S31" s="110">
        <f t="shared" si="67"/>
        <v>0</v>
      </c>
      <c r="T31" s="110">
        <f t="shared" si="68"/>
        <v>0</v>
      </c>
      <c r="U31" s="110">
        <f t="shared" si="69"/>
        <v>0</v>
      </c>
      <c r="V31" s="110">
        <f t="shared" si="90"/>
        <v>0</v>
      </c>
      <c r="W31" s="112">
        <f t="shared" si="70"/>
        <v>0</v>
      </c>
      <c r="Y31" s="109"/>
      <c r="Z31" s="111">
        <f>'Ordering Period 1'!AC31+('Ordering Period 1'!AC31*Escalation!$D$2)</f>
        <v>0</v>
      </c>
      <c r="AA31" s="110">
        <f t="shared" si="71"/>
        <v>0</v>
      </c>
      <c r="AB31" s="111">
        <f t="shared" si="72"/>
        <v>0</v>
      </c>
      <c r="AC31" s="111">
        <f t="shared" si="73"/>
        <v>0</v>
      </c>
      <c r="AD31" s="111"/>
      <c r="AE31" s="110">
        <f t="shared" si="74"/>
        <v>0</v>
      </c>
      <c r="AF31" s="110">
        <f t="shared" si="75"/>
        <v>0</v>
      </c>
      <c r="AG31" s="110">
        <f t="shared" si="76"/>
        <v>0</v>
      </c>
      <c r="AH31" s="110">
        <f t="shared" si="77"/>
        <v>0</v>
      </c>
      <c r="AI31" s="110">
        <f t="shared" si="78"/>
        <v>0</v>
      </c>
      <c r="AJ31" s="110">
        <f t="shared" si="79"/>
        <v>0</v>
      </c>
      <c r="AK31" s="259"/>
      <c r="AL31" s="259"/>
      <c r="AM31" s="114"/>
      <c r="AO31" s="124" t="str">
        <f t="shared" si="80"/>
        <v/>
      </c>
      <c r="AP31" s="113" t="str">
        <f t="shared" si="81"/>
        <v/>
      </c>
      <c r="AQ31" s="112">
        <f t="shared" si="82"/>
        <v>0</v>
      </c>
      <c r="AR31" s="9">
        <f t="shared" si="83"/>
        <v>1.664330763840224E-3</v>
      </c>
      <c r="AS31" s="9">
        <f t="shared" si="84"/>
        <v>668.79993933037417</v>
      </c>
    </row>
    <row r="32" spans="1:47" x14ac:dyDescent="0.25">
      <c r="A32" s="680"/>
      <c r="B32" s="240">
        <f>'Total - Detail'!B33</f>
        <v>14</v>
      </c>
      <c r="C32" s="100" t="str">
        <f>'Total - Detail'!C33</f>
        <v>Material Handling Specialist</v>
      </c>
      <c r="D32" s="100" t="s">
        <v>238</v>
      </c>
      <c r="E32" s="100" t="s">
        <v>77</v>
      </c>
      <c r="F32" s="39">
        <v>2899.5997369652414</v>
      </c>
      <c r="G32" s="39">
        <f t="shared" si="58"/>
        <v>0</v>
      </c>
      <c r="H32" s="40">
        <f t="shared" si="59"/>
        <v>2899.5997369652414</v>
      </c>
      <c r="I32" s="43"/>
      <c r="J32" s="137"/>
      <c r="K32" s="41">
        <f>'Ordering Period 1'!M32+('Ordering Period 1'!M32*Escalation!$D$2)</f>
        <v>0</v>
      </c>
      <c r="L32" s="41">
        <f>L26</f>
        <v>0</v>
      </c>
      <c r="M32" s="41">
        <f t="shared" ref="M32:Q32" si="92">M26</f>
        <v>0</v>
      </c>
      <c r="N32" s="41">
        <f t="shared" si="92"/>
        <v>0</v>
      </c>
      <c r="O32" s="41">
        <f t="shared" si="92"/>
        <v>0</v>
      </c>
      <c r="P32" s="41">
        <f t="shared" si="92"/>
        <v>0</v>
      </c>
      <c r="Q32" s="41">
        <f t="shared" si="92"/>
        <v>0</v>
      </c>
      <c r="R32" s="41">
        <f t="shared" si="66"/>
        <v>0</v>
      </c>
      <c r="S32" s="41">
        <f t="shared" si="67"/>
        <v>0</v>
      </c>
      <c r="T32" s="41">
        <f t="shared" si="68"/>
        <v>0</v>
      </c>
      <c r="U32" s="41">
        <f t="shared" si="69"/>
        <v>0</v>
      </c>
      <c r="V32" s="41">
        <f t="shared" si="90"/>
        <v>0</v>
      </c>
      <c r="W32" s="115">
        <f t="shared" si="70"/>
        <v>0</v>
      </c>
      <c r="Y32" s="137"/>
      <c r="Z32" s="5">
        <f>'Ordering Period 1'!AC32+('Ordering Period 1'!AC32*Escalation!$D$2)</f>
        <v>0</v>
      </c>
      <c r="AA32" s="41">
        <f t="shared" si="71"/>
        <v>0</v>
      </c>
      <c r="AB32" s="5">
        <f t="shared" si="72"/>
        <v>0</v>
      </c>
      <c r="AC32" s="5">
        <f t="shared" si="73"/>
        <v>0</v>
      </c>
      <c r="AD32" s="5"/>
      <c r="AE32" s="41">
        <f t="shared" si="74"/>
        <v>0</v>
      </c>
      <c r="AF32" s="41">
        <f t="shared" si="75"/>
        <v>0</v>
      </c>
      <c r="AG32" s="41">
        <f t="shared" si="76"/>
        <v>0</v>
      </c>
      <c r="AH32" s="41">
        <f t="shared" si="77"/>
        <v>0</v>
      </c>
      <c r="AI32" s="41">
        <f t="shared" si="78"/>
        <v>0</v>
      </c>
      <c r="AJ32" s="41">
        <f t="shared" si="79"/>
        <v>0</v>
      </c>
      <c r="AK32" s="10"/>
      <c r="AL32" s="10"/>
      <c r="AM32" s="7"/>
      <c r="AO32" s="138" t="str">
        <f t="shared" si="80"/>
        <v/>
      </c>
      <c r="AP32" s="42" t="str">
        <f t="shared" si="81"/>
        <v/>
      </c>
      <c r="AQ32" s="115">
        <f t="shared" si="82"/>
        <v>0</v>
      </c>
      <c r="AR32" s="9">
        <f t="shared" si="83"/>
        <v>7.2157498248072872E-3</v>
      </c>
      <c r="AS32" s="9">
        <f t="shared" si="84"/>
        <v>2899.5997369652409</v>
      </c>
    </row>
    <row r="33" spans="1:45" x14ac:dyDescent="0.25">
      <c r="A33" s="680"/>
      <c r="B33" s="240">
        <f>'Total - Detail'!B34</f>
        <v>15</v>
      </c>
      <c r="C33" s="100" t="str">
        <f>'Total - Detail'!C34</f>
        <v>Inspector</v>
      </c>
      <c r="D33" s="100" t="s">
        <v>235</v>
      </c>
      <c r="E33" s="100" t="s">
        <v>77</v>
      </c>
      <c r="F33" s="39">
        <v>656.69994042801557</v>
      </c>
      <c r="G33" s="39">
        <f t="shared" si="58"/>
        <v>0</v>
      </c>
      <c r="H33" s="40">
        <f t="shared" si="59"/>
        <v>656.69994042801557</v>
      </c>
      <c r="I33" s="43"/>
      <c r="J33" s="137"/>
      <c r="K33" s="41">
        <f>'Ordering Period 1'!M33+('Ordering Period 1'!M33*Escalation!$D$2)</f>
        <v>0</v>
      </c>
      <c r="L33" s="41">
        <f>L27</f>
        <v>0</v>
      </c>
      <c r="M33" s="41">
        <f t="shared" ref="M33:Q33" si="93">M27</f>
        <v>0</v>
      </c>
      <c r="N33" s="41">
        <f t="shared" si="93"/>
        <v>0</v>
      </c>
      <c r="O33" s="41">
        <f t="shared" si="93"/>
        <v>0</v>
      </c>
      <c r="P33" s="41">
        <f t="shared" si="93"/>
        <v>0</v>
      </c>
      <c r="Q33" s="41">
        <f t="shared" si="93"/>
        <v>0</v>
      </c>
      <c r="R33" s="41">
        <f t="shared" si="66"/>
        <v>0</v>
      </c>
      <c r="S33" s="41">
        <f t="shared" si="67"/>
        <v>0</v>
      </c>
      <c r="T33" s="41">
        <f t="shared" si="68"/>
        <v>0</v>
      </c>
      <c r="U33" s="41">
        <f t="shared" si="69"/>
        <v>0</v>
      </c>
      <c r="V33" s="41">
        <f t="shared" si="90"/>
        <v>0</v>
      </c>
      <c r="W33" s="115">
        <f t="shared" si="70"/>
        <v>0</v>
      </c>
      <c r="Y33" s="137"/>
      <c r="Z33" s="5">
        <f>'Ordering Period 1'!AC33+('Ordering Period 1'!AC33*Escalation!$D$2)</f>
        <v>0</v>
      </c>
      <c r="AA33" s="41">
        <f t="shared" si="71"/>
        <v>0</v>
      </c>
      <c r="AB33" s="5">
        <f t="shared" si="72"/>
        <v>0</v>
      </c>
      <c r="AC33" s="5">
        <f t="shared" si="73"/>
        <v>0</v>
      </c>
      <c r="AD33" s="5"/>
      <c r="AE33" s="41">
        <f t="shared" si="74"/>
        <v>0</v>
      </c>
      <c r="AF33" s="41">
        <f t="shared" si="75"/>
        <v>0</v>
      </c>
      <c r="AG33" s="41">
        <f t="shared" si="76"/>
        <v>0</v>
      </c>
      <c r="AH33" s="41">
        <f t="shared" si="77"/>
        <v>0</v>
      </c>
      <c r="AI33" s="41">
        <f t="shared" si="78"/>
        <v>0</v>
      </c>
      <c r="AJ33" s="41">
        <f t="shared" si="79"/>
        <v>0</v>
      </c>
      <c r="AK33" s="10"/>
      <c r="AL33" s="10"/>
      <c r="AM33" s="7"/>
      <c r="AO33" s="138" t="str">
        <f t="shared" si="80"/>
        <v/>
      </c>
      <c r="AP33" s="42" t="str">
        <f t="shared" si="81"/>
        <v/>
      </c>
      <c r="AQ33" s="115">
        <f t="shared" si="82"/>
        <v>0</v>
      </c>
      <c r="AR33" s="9">
        <f t="shared" si="83"/>
        <v>1.6342195164681147E-3</v>
      </c>
      <c r="AS33" s="9">
        <f t="shared" si="84"/>
        <v>656.69994042801545</v>
      </c>
    </row>
    <row r="34" spans="1:45" ht="15.75" thickBot="1" x14ac:dyDescent="0.3">
      <c r="A34" s="681"/>
      <c r="B34" s="242">
        <f>'Total - Detail'!B35</f>
        <v>11</v>
      </c>
      <c r="C34" s="127" t="str">
        <f>'Total - Detail'!C35</f>
        <v>Field Service Representative</v>
      </c>
      <c r="D34" s="127" t="s">
        <v>289</v>
      </c>
      <c r="E34" s="127" t="s">
        <v>77</v>
      </c>
      <c r="F34" s="128">
        <v>1449.7998684826207</v>
      </c>
      <c r="G34" s="128">
        <f t="shared" si="58"/>
        <v>0</v>
      </c>
      <c r="H34" s="129">
        <f t="shared" si="59"/>
        <v>1449.7998684826207</v>
      </c>
      <c r="I34" s="43"/>
      <c r="J34" s="146"/>
      <c r="K34" s="143">
        <f>'Ordering Period 1'!M34+('Ordering Period 1'!M34*Escalation!$D$2)</f>
        <v>0</v>
      </c>
      <c r="L34" s="143">
        <f>L23</f>
        <v>0</v>
      </c>
      <c r="M34" s="143">
        <f t="shared" ref="M34:Q34" si="94">M23</f>
        <v>0</v>
      </c>
      <c r="N34" s="143">
        <f t="shared" si="94"/>
        <v>0</v>
      </c>
      <c r="O34" s="143">
        <f t="shared" si="94"/>
        <v>0</v>
      </c>
      <c r="P34" s="143">
        <f t="shared" si="94"/>
        <v>0</v>
      </c>
      <c r="Q34" s="143">
        <f t="shared" si="94"/>
        <v>0</v>
      </c>
      <c r="R34" s="143">
        <f t="shared" si="66"/>
        <v>0</v>
      </c>
      <c r="S34" s="143">
        <f t="shared" si="67"/>
        <v>0</v>
      </c>
      <c r="T34" s="143">
        <f t="shared" si="68"/>
        <v>0</v>
      </c>
      <c r="U34" s="143">
        <f t="shared" si="69"/>
        <v>0</v>
      </c>
      <c r="V34" s="143">
        <f t="shared" si="90"/>
        <v>0</v>
      </c>
      <c r="W34" s="145">
        <f t="shared" si="70"/>
        <v>0</v>
      </c>
      <c r="Y34" s="146"/>
      <c r="Z34" s="144">
        <f>'Ordering Period 1'!AC34+('Ordering Period 1'!AC34*Escalation!$D$2)</f>
        <v>0</v>
      </c>
      <c r="AA34" s="143">
        <f t="shared" si="71"/>
        <v>0</v>
      </c>
      <c r="AB34" s="144">
        <f t="shared" si="72"/>
        <v>0</v>
      </c>
      <c r="AC34" s="144">
        <f t="shared" si="73"/>
        <v>0</v>
      </c>
      <c r="AD34" s="144"/>
      <c r="AE34" s="143">
        <f t="shared" si="74"/>
        <v>0</v>
      </c>
      <c r="AF34" s="143">
        <f t="shared" si="75"/>
        <v>0</v>
      </c>
      <c r="AG34" s="143">
        <f t="shared" si="76"/>
        <v>0</v>
      </c>
      <c r="AH34" s="143">
        <f t="shared" si="77"/>
        <v>0</v>
      </c>
      <c r="AI34" s="143">
        <f t="shared" si="78"/>
        <v>0</v>
      </c>
      <c r="AJ34" s="143">
        <f t="shared" si="79"/>
        <v>0</v>
      </c>
      <c r="AK34" s="260"/>
      <c r="AL34" s="260"/>
      <c r="AM34" s="147"/>
      <c r="AO34" s="148" t="str">
        <f t="shared" si="80"/>
        <v/>
      </c>
      <c r="AP34" s="149" t="str">
        <f t="shared" si="81"/>
        <v/>
      </c>
      <c r="AQ34" s="145">
        <f t="shared" si="82"/>
        <v>0</v>
      </c>
      <c r="AR34" s="9">
        <f t="shared" si="83"/>
        <v>3.6078749124036436E-3</v>
      </c>
      <c r="AS34" s="9">
        <f t="shared" si="84"/>
        <v>1449.7998684826205</v>
      </c>
    </row>
    <row r="35" spans="1:45" ht="15" customHeight="1" x14ac:dyDescent="0.25">
      <c r="A35" s="679" t="s">
        <v>208</v>
      </c>
      <c r="B35" s="241">
        <f>'Total - Detail'!B36</f>
        <v>11</v>
      </c>
      <c r="C35" s="101" t="str">
        <f>'Total - Detail'!C36</f>
        <v>Field Service Representative</v>
      </c>
      <c r="D35" s="101" t="s">
        <v>289</v>
      </c>
      <c r="E35" s="101" t="s">
        <v>77</v>
      </c>
      <c r="F35" s="35">
        <v>774.39992975095981</v>
      </c>
      <c r="G35" s="35">
        <f t="shared" si="58"/>
        <v>0</v>
      </c>
      <c r="H35" s="36">
        <f t="shared" si="59"/>
        <v>774.39992975095981</v>
      </c>
      <c r="I35" s="43"/>
      <c r="J35" s="109"/>
      <c r="K35" s="110">
        <f>'Ordering Period 1'!M35+('Ordering Period 1'!M35*Escalation!$D$2)</f>
        <v>0</v>
      </c>
      <c r="L35" s="110">
        <f>L23</f>
        <v>0</v>
      </c>
      <c r="M35" s="110">
        <f t="shared" ref="M35:Q35" si="95">M23</f>
        <v>0</v>
      </c>
      <c r="N35" s="110">
        <f t="shared" si="95"/>
        <v>0</v>
      </c>
      <c r="O35" s="110">
        <f t="shared" si="95"/>
        <v>0</v>
      </c>
      <c r="P35" s="110">
        <f t="shared" si="95"/>
        <v>0</v>
      </c>
      <c r="Q35" s="110">
        <f t="shared" si="95"/>
        <v>0</v>
      </c>
      <c r="R35" s="110">
        <f t="shared" si="66"/>
        <v>0</v>
      </c>
      <c r="S35" s="110">
        <f t="shared" si="67"/>
        <v>0</v>
      </c>
      <c r="T35" s="110">
        <f t="shared" si="68"/>
        <v>0</v>
      </c>
      <c r="U35" s="110">
        <f t="shared" si="69"/>
        <v>0</v>
      </c>
      <c r="V35" s="110">
        <f t="shared" si="90"/>
        <v>0</v>
      </c>
      <c r="W35" s="112">
        <f t="shared" si="70"/>
        <v>0</v>
      </c>
      <c r="Y35" s="109"/>
      <c r="Z35" s="111">
        <f>'Ordering Period 1'!AC35+('Ordering Period 1'!AC35*Escalation!$D$2)</f>
        <v>0</v>
      </c>
      <c r="AA35" s="110">
        <f t="shared" si="71"/>
        <v>0</v>
      </c>
      <c r="AB35" s="111">
        <f t="shared" si="72"/>
        <v>0</v>
      </c>
      <c r="AC35" s="111">
        <f t="shared" si="73"/>
        <v>0</v>
      </c>
      <c r="AD35" s="111"/>
      <c r="AE35" s="110">
        <f t="shared" si="74"/>
        <v>0</v>
      </c>
      <c r="AF35" s="110">
        <f t="shared" si="75"/>
        <v>0</v>
      </c>
      <c r="AG35" s="110">
        <f t="shared" si="76"/>
        <v>0</v>
      </c>
      <c r="AH35" s="110">
        <f t="shared" si="77"/>
        <v>0</v>
      </c>
      <c r="AI35" s="110">
        <f t="shared" si="78"/>
        <v>0</v>
      </c>
      <c r="AJ35" s="110">
        <f t="shared" si="79"/>
        <v>0</v>
      </c>
      <c r="AK35" s="259"/>
      <c r="AL35" s="259"/>
      <c r="AM35" s="114"/>
      <c r="AO35" s="124" t="str">
        <f t="shared" si="80"/>
        <v/>
      </c>
      <c r="AP35" s="113" t="str">
        <f t="shared" si="81"/>
        <v/>
      </c>
      <c r="AQ35" s="112">
        <f t="shared" si="82"/>
        <v>0</v>
      </c>
      <c r="AR35" s="9">
        <f t="shared" si="83"/>
        <v>1.9271198318149964E-3</v>
      </c>
      <c r="AS35" s="9">
        <f t="shared" si="84"/>
        <v>774.3999297509597</v>
      </c>
    </row>
    <row r="36" spans="1:45" x14ac:dyDescent="0.25">
      <c r="A36" s="680"/>
      <c r="B36" s="240">
        <f>'Total - Detail'!B37</f>
        <v>19</v>
      </c>
      <c r="C36" s="100" t="str">
        <f>'Total - Detail'!C37</f>
        <v>MWO Installer</v>
      </c>
      <c r="D36" s="100" t="s">
        <v>288</v>
      </c>
      <c r="E36" s="100" t="s">
        <v>77</v>
      </c>
      <c r="F36" s="39">
        <v>10084.799085165909</v>
      </c>
      <c r="G36" s="39">
        <f t="shared" si="58"/>
        <v>0</v>
      </c>
      <c r="H36" s="40">
        <f t="shared" si="59"/>
        <v>10084.799085165909</v>
      </c>
      <c r="I36" s="43"/>
      <c r="J36" s="137"/>
      <c r="K36" s="41">
        <f>'Ordering Period 1'!M36+('Ordering Period 1'!M36*Escalation!$D$2)</f>
        <v>0</v>
      </c>
      <c r="L36" s="5">
        <f t="shared" si="60"/>
        <v>0</v>
      </c>
      <c r="M36" s="5">
        <f t="shared" si="61"/>
        <v>0</v>
      </c>
      <c r="N36" s="5">
        <f t="shared" si="62"/>
        <v>0</v>
      </c>
      <c r="O36" s="5">
        <f t="shared" si="63"/>
        <v>0</v>
      </c>
      <c r="P36" s="5">
        <f t="shared" si="64"/>
        <v>0</v>
      </c>
      <c r="Q36" s="5">
        <f t="shared" si="65"/>
        <v>0</v>
      </c>
      <c r="R36" s="41">
        <f t="shared" si="66"/>
        <v>0</v>
      </c>
      <c r="S36" s="41">
        <f t="shared" si="67"/>
        <v>0</v>
      </c>
      <c r="T36" s="41">
        <f t="shared" si="68"/>
        <v>0</v>
      </c>
      <c r="U36" s="41">
        <f t="shared" si="69"/>
        <v>0</v>
      </c>
      <c r="V36" s="41">
        <f t="shared" si="90"/>
        <v>0</v>
      </c>
      <c r="W36" s="115">
        <f t="shared" si="70"/>
        <v>0</v>
      </c>
      <c r="Y36" s="137"/>
      <c r="Z36" s="5">
        <f>'Ordering Period 1'!AC36+('Ordering Period 1'!AC36*Escalation!$D$2)</f>
        <v>0</v>
      </c>
      <c r="AA36" s="41">
        <f t="shared" si="71"/>
        <v>0</v>
      </c>
      <c r="AB36" s="5">
        <f t="shared" si="72"/>
        <v>0</v>
      </c>
      <c r="AC36" s="5">
        <f t="shared" si="73"/>
        <v>0</v>
      </c>
      <c r="AD36" s="5"/>
      <c r="AE36" s="41">
        <f t="shared" si="74"/>
        <v>0</v>
      </c>
      <c r="AF36" s="41">
        <f t="shared" si="75"/>
        <v>0</v>
      </c>
      <c r="AG36" s="41">
        <f t="shared" si="76"/>
        <v>0</v>
      </c>
      <c r="AH36" s="41">
        <f t="shared" si="77"/>
        <v>0</v>
      </c>
      <c r="AI36" s="41">
        <f t="shared" si="78"/>
        <v>0</v>
      </c>
      <c r="AJ36" s="41">
        <f t="shared" si="79"/>
        <v>0</v>
      </c>
      <c r="AK36" s="10"/>
      <c r="AL36" s="10"/>
      <c r="AM36" s="7"/>
      <c r="AO36" s="138" t="str">
        <f t="shared" si="80"/>
        <v/>
      </c>
      <c r="AP36" s="42" t="str">
        <f t="shared" si="81"/>
        <v/>
      </c>
      <c r="AQ36" s="115">
        <f t="shared" si="82"/>
        <v>0</v>
      </c>
      <c r="AR36" s="9">
        <f t="shared" si="83"/>
        <v>2.5096355991590751E-2</v>
      </c>
      <c r="AS36" s="9">
        <f t="shared" si="84"/>
        <v>10084.799085165909</v>
      </c>
    </row>
    <row r="37" spans="1:45" x14ac:dyDescent="0.25">
      <c r="A37" s="680"/>
      <c r="B37" s="240">
        <f>'Total - Detail'!B38</f>
        <v>15</v>
      </c>
      <c r="C37" s="100" t="str">
        <f>'Total - Detail'!C38</f>
        <v>Inspector</v>
      </c>
      <c r="D37" s="100" t="s">
        <v>235</v>
      </c>
      <c r="E37" s="100" t="s">
        <v>77</v>
      </c>
      <c r="F37" s="39">
        <v>2617.999762510347</v>
      </c>
      <c r="G37" s="39">
        <f t="shared" si="58"/>
        <v>0</v>
      </c>
      <c r="H37" s="40">
        <f t="shared" si="59"/>
        <v>2617.999762510347</v>
      </c>
      <c r="I37" s="43"/>
      <c r="J37" s="137"/>
      <c r="K37" s="41">
        <f>'Ordering Period 1'!M37+('Ordering Period 1'!M37*Escalation!$D$2)</f>
        <v>0</v>
      </c>
      <c r="L37" s="41">
        <f>L27</f>
        <v>0</v>
      </c>
      <c r="M37" s="41">
        <f t="shared" ref="M37:Q37" si="96">M27</f>
        <v>0</v>
      </c>
      <c r="N37" s="41">
        <f t="shared" si="96"/>
        <v>0</v>
      </c>
      <c r="O37" s="41">
        <f t="shared" si="96"/>
        <v>0</v>
      </c>
      <c r="P37" s="41">
        <f t="shared" si="96"/>
        <v>0</v>
      </c>
      <c r="Q37" s="41">
        <f t="shared" si="96"/>
        <v>0</v>
      </c>
      <c r="R37" s="41">
        <f t="shared" si="66"/>
        <v>0</v>
      </c>
      <c r="S37" s="41">
        <f t="shared" si="67"/>
        <v>0</v>
      </c>
      <c r="T37" s="41">
        <f t="shared" si="68"/>
        <v>0</v>
      </c>
      <c r="U37" s="41">
        <f t="shared" si="69"/>
        <v>0</v>
      </c>
      <c r="V37" s="41">
        <f t="shared" si="90"/>
        <v>0</v>
      </c>
      <c r="W37" s="115">
        <f t="shared" si="70"/>
        <v>0</v>
      </c>
      <c r="Y37" s="137"/>
      <c r="Z37" s="5">
        <f>'Ordering Period 1'!AC37+('Ordering Period 1'!AC37*Escalation!$D$2)</f>
        <v>0</v>
      </c>
      <c r="AA37" s="41">
        <f t="shared" si="71"/>
        <v>0</v>
      </c>
      <c r="AB37" s="5">
        <f t="shared" si="72"/>
        <v>0</v>
      </c>
      <c r="AC37" s="5">
        <f t="shared" si="73"/>
        <v>0</v>
      </c>
      <c r="AD37" s="5"/>
      <c r="AE37" s="41">
        <f t="shared" si="74"/>
        <v>0</v>
      </c>
      <c r="AF37" s="41">
        <f t="shared" si="75"/>
        <v>0</v>
      </c>
      <c r="AG37" s="41">
        <f t="shared" si="76"/>
        <v>0</v>
      </c>
      <c r="AH37" s="41">
        <f t="shared" si="77"/>
        <v>0</v>
      </c>
      <c r="AI37" s="41">
        <f t="shared" si="78"/>
        <v>0</v>
      </c>
      <c r="AJ37" s="41">
        <f t="shared" si="79"/>
        <v>0</v>
      </c>
      <c r="AK37" s="10"/>
      <c r="AL37" s="10"/>
      <c r="AM37" s="7"/>
      <c r="AO37" s="138" t="str">
        <f t="shared" si="80"/>
        <v/>
      </c>
      <c r="AP37" s="42" t="str">
        <f t="shared" si="81"/>
        <v/>
      </c>
      <c r="AQ37" s="115">
        <f t="shared" si="82"/>
        <v>0</v>
      </c>
      <c r="AR37" s="9">
        <f t="shared" si="83"/>
        <v>6.5149789768745615E-3</v>
      </c>
      <c r="AS37" s="9">
        <f t="shared" si="84"/>
        <v>2617.9997625103465</v>
      </c>
    </row>
    <row r="38" spans="1:45" ht="15.75" thickBot="1" x14ac:dyDescent="0.3">
      <c r="A38" s="681"/>
      <c r="B38" s="242">
        <f>'Total - Detail'!B39</f>
        <v>17</v>
      </c>
      <c r="C38" s="127" t="str">
        <f>'Total - Detail'!C39</f>
        <v>Welder</v>
      </c>
      <c r="D38" s="127" t="s">
        <v>239</v>
      </c>
      <c r="E38" s="127" t="s">
        <v>77</v>
      </c>
      <c r="F38" s="128">
        <v>2014.0998172926238</v>
      </c>
      <c r="G38" s="128">
        <f t="shared" si="58"/>
        <v>0</v>
      </c>
      <c r="H38" s="129">
        <f t="shared" si="59"/>
        <v>2014.0998172926238</v>
      </c>
      <c r="I38" s="43"/>
      <c r="J38" s="146"/>
      <c r="K38" s="143">
        <f>'Ordering Period 1'!M38+('Ordering Period 1'!M38*Escalation!$D$2)</f>
        <v>0</v>
      </c>
      <c r="L38" s="143">
        <f>L29</f>
        <v>0</v>
      </c>
      <c r="M38" s="143">
        <f t="shared" ref="M38:Q38" si="97">M29</f>
        <v>0</v>
      </c>
      <c r="N38" s="143">
        <f t="shared" si="97"/>
        <v>0</v>
      </c>
      <c r="O38" s="143">
        <f t="shared" si="97"/>
        <v>0</v>
      </c>
      <c r="P38" s="143">
        <f t="shared" si="97"/>
        <v>0</v>
      </c>
      <c r="Q38" s="143">
        <f t="shared" si="97"/>
        <v>0</v>
      </c>
      <c r="R38" s="143">
        <f t="shared" si="66"/>
        <v>0</v>
      </c>
      <c r="S38" s="143">
        <f t="shared" si="67"/>
        <v>0</v>
      </c>
      <c r="T38" s="143">
        <f t="shared" si="68"/>
        <v>0</v>
      </c>
      <c r="U38" s="143">
        <f t="shared" si="69"/>
        <v>0</v>
      </c>
      <c r="V38" s="143">
        <f t="shared" si="90"/>
        <v>0</v>
      </c>
      <c r="W38" s="145">
        <f t="shared" si="70"/>
        <v>0</v>
      </c>
      <c r="Y38" s="146"/>
      <c r="Z38" s="144">
        <f>'Ordering Period 1'!AC38+('Ordering Period 1'!AC38*Escalation!$D$2)</f>
        <v>0</v>
      </c>
      <c r="AA38" s="143">
        <f t="shared" si="71"/>
        <v>0</v>
      </c>
      <c r="AB38" s="144">
        <f t="shared" si="72"/>
        <v>0</v>
      </c>
      <c r="AC38" s="144">
        <f t="shared" si="73"/>
        <v>0</v>
      </c>
      <c r="AD38" s="144"/>
      <c r="AE38" s="143">
        <f t="shared" si="74"/>
        <v>0</v>
      </c>
      <c r="AF38" s="143">
        <f t="shared" si="75"/>
        <v>0</v>
      </c>
      <c r="AG38" s="143">
        <f t="shared" si="76"/>
        <v>0</v>
      </c>
      <c r="AH38" s="143">
        <f t="shared" si="77"/>
        <v>0</v>
      </c>
      <c r="AI38" s="143">
        <f t="shared" si="78"/>
        <v>0</v>
      </c>
      <c r="AJ38" s="143">
        <f t="shared" si="79"/>
        <v>0</v>
      </c>
      <c r="AK38" s="260"/>
      <c r="AL38" s="260"/>
      <c r="AM38" s="147"/>
      <c r="AO38" s="148" t="str">
        <f t="shared" si="80"/>
        <v/>
      </c>
      <c r="AP38" s="149" t="str">
        <f t="shared" si="81"/>
        <v/>
      </c>
      <c r="AQ38" s="145">
        <f t="shared" si="82"/>
        <v>0</v>
      </c>
      <c r="AR38" s="9">
        <f t="shared" si="83"/>
        <v>5.0121539943938321E-3</v>
      </c>
      <c r="AS38" s="9">
        <f t="shared" si="84"/>
        <v>2014.0998172926236</v>
      </c>
    </row>
    <row r="39" spans="1:45" s="15" customFormat="1" ht="15.75" x14ac:dyDescent="0.25">
      <c r="A39" s="20"/>
      <c r="B39" s="20"/>
      <c r="C39" s="44"/>
      <c r="D39" s="44"/>
      <c r="E39" s="179" t="s">
        <v>119</v>
      </c>
      <c r="F39" s="180">
        <f>SUM(F5:F21)</f>
        <v>352457.56802710734</v>
      </c>
      <c r="G39" s="180">
        <f>SUM(G5:G21)</f>
        <v>0</v>
      </c>
      <c r="H39" s="181">
        <f>F39-G39</f>
        <v>352457.56802710734</v>
      </c>
      <c r="I39" s="43"/>
      <c r="J39" s="43"/>
      <c r="K39" s="45"/>
      <c r="L39" s="45"/>
      <c r="M39" s="45"/>
      <c r="N39" s="45"/>
      <c r="O39" s="45"/>
      <c r="P39" s="45"/>
      <c r="Q39" s="45"/>
      <c r="U39" s="490"/>
      <c r="V39" s="490"/>
      <c r="W39" s="45"/>
      <c r="Y39" s="43"/>
      <c r="Z39" s="45"/>
      <c r="AA39" s="45"/>
      <c r="AB39" s="45"/>
      <c r="AC39" s="45"/>
      <c r="AD39" s="45"/>
      <c r="AE39" s="45"/>
      <c r="AF39" s="45"/>
      <c r="AG39" s="45"/>
      <c r="AH39" s="46"/>
      <c r="AI39" s="46"/>
      <c r="AJ39" s="46"/>
      <c r="AK39" s="17"/>
      <c r="AL39" s="17"/>
      <c r="AM39" s="17"/>
      <c r="AO39" s="45" t="str">
        <f>IFERROR(SUM(#REF!,AH39)/G39,"")</f>
        <v/>
      </c>
      <c r="AP39" s="46"/>
      <c r="AQ39" s="45"/>
    </row>
    <row r="40" spans="1:45" s="15" customFormat="1" ht="16.5" thickBot="1" x14ac:dyDescent="0.3">
      <c r="A40" s="20"/>
      <c r="B40" s="20"/>
      <c r="C40" s="44"/>
      <c r="D40" s="44"/>
      <c r="E40" s="243" t="s">
        <v>120</v>
      </c>
      <c r="F40" s="244">
        <f>SUM(F23:F38)</f>
        <v>49385.595520027113</v>
      </c>
      <c r="G40" s="244">
        <f>SUM(G23:G38)</f>
        <v>0</v>
      </c>
      <c r="H40" s="245">
        <f>F40-G40</f>
        <v>49385.595520027113</v>
      </c>
      <c r="I40" s="43"/>
      <c r="J40" s="43"/>
      <c r="K40" s="45"/>
      <c r="L40" s="45"/>
      <c r="M40" s="45"/>
      <c r="N40" s="45"/>
      <c r="O40" s="45"/>
      <c r="P40" s="45"/>
      <c r="Q40" s="45"/>
      <c r="U40" s="490"/>
      <c r="V40" s="490"/>
      <c r="W40" s="45"/>
      <c r="Y40" s="43"/>
      <c r="Z40" s="45"/>
      <c r="AA40" s="45"/>
      <c r="AB40" s="45"/>
      <c r="AC40" s="45"/>
      <c r="AD40" s="45"/>
      <c r="AE40" s="45"/>
      <c r="AF40" s="45"/>
      <c r="AG40" s="45"/>
      <c r="AH40" s="46"/>
      <c r="AI40" s="46"/>
      <c r="AJ40" s="46"/>
      <c r="AK40" s="17"/>
      <c r="AL40" s="17"/>
      <c r="AM40" s="17"/>
      <c r="AO40" s="45"/>
      <c r="AP40" s="46"/>
      <c r="AQ40" s="45"/>
    </row>
    <row r="41" spans="1:45" s="15" customFormat="1" ht="16.5" thickBot="1" x14ac:dyDescent="0.3">
      <c r="A41" s="20"/>
      <c r="B41" s="20"/>
      <c r="C41" s="44"/>
      <c r="D41" s="44"/>
      <c r="E41" s="246" t="s">
        <v>121</v>
      </c>
      <c r="F41" s="247">
        <f>F39+F40</f>
        <v>401843.16354713443</v>
      </c>
      <c r="G41" s="247">
        <f>G39+G40</f>
        <v>0</v>
      </c>
      <c r="H41" s="248">
        <f>F41-G41</f>
        <v>401843.16354713443</v>
      </c>
      <c r="I41" s="43"/>
      <c r="J41" s="43"/>
      <c r="K41" s="45"/>
      <c r="L41" s="45"/>
      <c r="M41" s="45"/>
      <c r="N41" s="45"/>
      <c r="O41" s="45"/>
      <c r="P41" s="45"/>
      <c r="Q41" s="45"/>
      <c r="W41" s="45"/>
      <c r="Y41" s="43"/>
      <c r="Z41" s="45"/>
      <c r="AA41" s="45"/>
      <c r="AB41" s="45"/>
      <c r="AC41" s="45"/>
      <c r="AD41" s="45"/>
      <c r="AE41" s="45"/>
      <c r="AF41" s="45"/>
      <c r="AG41" s="45"/>
      <c r="AH41" s="46"/>
      <c r="AI41" s="46"/>
      <c r="AJ41" s="46"/>
      <c r="AK41" s="17"/>
      <c r="AL41" s="17"/>
      <c r="AM41" s="17"/>
      <c r="AO41" s="45"/>
      <c r="AP41" s="46"/>
      <c r="AQ41" s="45"/>
    </row>
    <row r="42" spans="1:45" x14ac:dyDescent="0.25">
      <c r="F42" s="9"/>
      <c r="G42" s="9"/>
      <c r="H42" s="9"/>
      <c r="T42" s="130"/>
      <c r="U42" s="131"/>
      <c r="V42" s="131"/>
      <c r="AH42" s="130"/>
      <c r="AI42" s="131"/>
      <c r="AJ42" s="131"/>
    </row>
    <row r="43" spans="1:45" ht="15.75" thickBot="1" x14ac:dyDescent="0.3">
      <c r="K43" s="157"/>
      <c r="T43" s="130"/>
      <c r="W43" s="64"/>
      <c r="AH43" s="130"/>
      <c r="AI43" s="132"/>
      <c r="AJ43" s="130"/>
    </row>
    <row r="44" spans="1:45" x14ac:dyDescent="0.25">
      <c r="C44" s="50" t="s">
        <v>132</v>
      </c>
      <c r="D44" s="237"/>
      <c r="E44" s="382" t="s">
        <v>133</v>
      </c>
      <c r="F44" s="385" t="s">
        <v>134</v>
      </c>
      <c r="H44" s="48"/>
      <c r="J44" s="49"/>
      <c r="K44" s="155"/>
      <c r="N44" s="45"/>
      <c r="O44" s="45"/>
      <c r="P44" s="45"/>
      <c r="Q44" s="45"/>
      <c r="V44" s="9"/>
      <c r="W44" s="64"/>
      <c r="AK44" s="51"/>
    </row>
    <row r="45" spans="1:45" x14ac:dyDescent="0.25">
      <c r="C45" s="52" t="s">
        <v>125</v>
      </c>
      <c r="D45" s="11"/>
      <c r="E45" s="53"/>
      <c r="F45" s="75"/>
      <c r="G45" s="156"/>
      <c r="H45" s="48"/>
      <c r="J45" s="49"/>
      <c r="K45" s="158"/>
      <c r="N45" s="45"/>
      <c r="O45" s="45"/>
      <c r="P45" s="45"/>
      <c r="Q45" s="45"/>
      <c r="V45" s="64"/>
      <c r="W45" s="64"/>
      <c r="AK45" s="11"/>
      <c r="AM45" s="9"/>
    </row>
    <row r="46" spans="1:45" x14ac:dyDescent="0.25">
      <c r="C46" s="54" t="s">
        <v>126</v>
      </c>
      <c r="D46" s="11"/>
      <c r="E46" s="53">
        <f>SUM(J5:J38)</f>
        <v>0</v>
      </c>
      <c r="F46" s="76">
        <f>SUM(W5:W38)</f>
        <v>0</v>
      </c>
      <c r="G46" s="156"/>
      <c r="H46" s="49"/>
      <c r="J46" s="623"/>
      <c r="K46" s="158"/>
      <c r="V46" s="9"/>
      <c r="W46" s="64"/>
      <c r="AK46" s="11"/>
      <c r="AM46" s="9"/>
    </row>
    <row r="47" spans="1:45" x14ac:dyDescent="0.25">
      <c r="C47" s="52" t="s">
        <v>127</v>
      </c>
      <c r="D47" s="11"/>
      <c r="E47" s="53"/>
      <c r="F47" s="75"/>
      <c r="G47" s="156"/>
      <c r="J47" s="176"/>
      <c r="V47" s="9"/>
      <c r="W47" s="64"/>
      <c r="AK47" s="11"/>
      <c r="AM47" s="9"/>
    </row>
    <row r="48" spans="1:45" x14ac:dyDescent="0.25">
      <c r="C48" s="54" t="s">
        <v>126</v>
      </c>
      <c r="D48" s="11"/>
      <c r="E48" s="53">
        <f>SUM(Y5:Y38)</f>
        <v>0</v>
      </c>
      <c r="F48" s="76">
        <f>SUM(AJ5:AJ38)</f>
        <v>0</v>
      </c>
      <c r="J48" s="48"/>
      <c r="V48" s="9"/>
      <c r="W48" s="64"/>
      <c r="AK48" s="11"/>
      <c r="AM48" s="9"/>
    </row>
    <row r="49" spans="2:40" x14ac:dyDescent="0.25">
      <c r="C49" s="54"/>
      <c r="D49" s="11"/>
      <c r="E49" s="53"/>
      <c r="F49" s="76"/>
      <c r="H49" s="48"/>
      <c r="J49" s="48"/>
      <c r="V49" s="9"/>
      <c r="W49" s="64"/>
      <c r="AK49" s="11"/>
      <c r="AM49" s="9"/>
    </row>
    <row r="50" spans="2:40" ht="15.75" thickBot="1" x14ac:dyDescent="0.3">
      <c r="C50" s="55" t="s">
        <v>128</v>
      </c>
      <c r="D50" s="238"/>
      <c r="E50" s="56">
        <f>SUM(E46:E49)</f>
        <v>0</v>
      </c>
      <c r="F50" s="78">
        <f>SUM(F46:F49)</f>
        <v>0</v>
      </c>
      <c r="H50" s="48"/>
      <c r="J50" s="48"/>
      <c r="T50" s="12"/>
      <c r="V50" s="9"/>
      <c r="W50" s="64"/>
      <c r="AK50" s="11"/>
      <c r="AM50" s="9"/>
    </row>
    <row r="51" spans="2:40" ht="15.75" thickBot="1" x14ac:dyDescent="0.3">
      <c r="C51" s="47"/>
      <c r="D51" s="80"/>
      <c r="H51" s="48"/>
      <c r="J51" s="49"/>
      <c r="T51" s="12"/>
      <c r="V51" s="9"/>
      <c r="W51" s="64"/>
      <c r="AK51" s="11"/>
      <c r="AM51" s="9"/>
    </row>
    <row r="52" spans="2:40" x14ac:dyDescent="0.25">
      <c r="C52" s="50" t="s">
        <v>242</v>
      </c>
      <c r="D52" s="384" t="s">
        <v>171</v>
      </c>
      <c r="E52" s="382" t="s">
        <v>169</v>
      </c>
      <c r="F52" s="383" t="s">
        <v>99</v>
      </c>
      <c r="G52" s="205"/>
      <c r="H52" s="48"/>
      <c r="J52" s="12"/>
      <c r="T52" s="12"/>
      <c r="V52" s="9"/>
      <c r="W52" s="64"/>
      <c r="AK52" s="11"/>
      <c r="AM52" s="9"/>
    </row>
    <row r="53" spans="2:40" x14ac:dyDescent="0.25">
      <c r="C53" s="54" t="s">
        <v>167</v>
      </c>
      <c r="D53" s="301">
        <v>3250412.8006196138</v>
      </c>
      <c r="E53" s="506"/>
      <c r="F53" s="302">
        <f>IF(E53&lt;0,"ERROR",D53-(D53*E53))</f>
        <v>3250412.8006196138</v>
      </c>
      <c r="G53" s="12"/>
      <c r="H53" s="446"/>
      <c r="J53" s="49"/>
      <c r="T53" s="12"/>
      <c r="V53" s="9"/>
      <c r="W53" s="64"/>
      <c r="AK53" s="11"/>
      <c r="AM53" s="9"/>
    </row>
    <row r="54" spans="2:40" x14ac:dyDescent="0.25">
      <c r="C54" s="54" t="s">
        <v>168</v>
      </c>
      <c r="D54" s="301">
        <v>1902680.6637773348</v>
      </c>
      <c r="E54" s="506"/>
      <c r="F54" s="302">
        <f>IF(E54&lt;0,"ERROR",D54-(D54*E54))</f>
        <v>1902680.6637773348</v>
      </c>
      <c r="H54" s="447"/>
      <c r="J54" s="49"/>
      <c r="T54" s="12"/>
      <c r="V54" s="9"/>
      <c r="W54" s="64"/>
      <c r="AK54" s="11"/>
      <c r="AM54" s="9"/>
    </row>
    <row r="55" spans="2:40" ht="17.25" x14ac:dyDescent="0.4">
      <c r="C55" s="300" t="s">
        <v>243</v>
      </c>
      <c r="D55" s="305">
        <v>2774742.6346752802</v>
      </c>
      <c r="E55" s="57"/>
      <c r="F55" s="303">
        <f>D55</f>
        <v>2774742.6346752802</v>
      </c>
      <c r="H55" s="48"/>
      <c r="J55" s="49"/>
      <c r="T55" s="12"/>
      <c r="V55" s="9"/>
      <c r="W55" s="9"/>
      <c r="AK55" s="11"/>
      <c r="AM55" s="9"/>
    </row>
    <row r="56" spans="2:40" x14ac:dyDescent="0.25">
      <c r="C56" s="300" t="s">
        <v>244</v>
      </c>
      <c r="D56" s="51">
        <f>SUM(D53:D55)</f>
        <v>7927836.0990722291</v>
      </c>
      <c r="E56" s="57"/>
      <c r="F56" s="304">
        <f>ROUND(SUM(F53:F55),2)</f>
        <v>7927836.0999999996</v>
      </c>
      <c r="G56" s="156"/>
      <c r="H56" s="48"/>
      <c r="J56" s="49"/>
      <c r="T56" s="12"/>
      <c r="V56" s="9"/>
      <c r="W56" s="9"/>
      <c r="AK56" s="11"/>
      <c r="AM56" s="9"/>
    </row>
    <row r="57" spans="2:40" x14ac:dyDescent="0.25">
      <c r="C57" s="300"/>
      <c r="D57" s="51"/>
      <c r="E57" s="386" t="s">
        <v>170</v>
      </c>
      <c r="F57" s="304"/>
      <c r="G57" s="156"/>
      <c r="H57" s="48"/>
      <c r="J57" s="49"/>
      <c r="T57" s="12"/>
      <c r="V57" s="9"/>
      <c r="W57" s="9"/>
      <c r="AK57" s="11"/>
      <c r="AM57" s="9"/>
    </row>
    <row r="58" spans="2:40" ht="17.25" x14ac:dyDescent="0.4">
      <c r="C58" s="300" t="s">
        <v>246</v>
      </c>
      <c r="D58" s="51"/>
      <c r="E58" s="506"/>
      <c r="F58" s="303">
        <f>F56*E58</f>
        <v>0</v>
      </c>
      <c r="H58" s="48"/>
      <c r="J58" s="49"/>
      <c r="T58" s="12"/>
      <c r="V58" s="9"/>
      <c r="W58" s="9"/>
      <c r="AK58" s="11"/>
      <c r="AM58" s="9"/>
    </row>
    <row r="59" spans="2:40" x14ac:dyDescent="0.25">
      <c r="C59" s="300"/>
      <c r="D59" s="51"/>
      <c r="E59" s="57"/>
      <c r="F59" s="304"/>
      <c r="H59" s="48"/>
      <c r="J59" s="49"/>
      <c r="T59" s="12"/>
      <c r="V59" s="9"/>
      <c r="W59" s="9"/>
      <c r="AK59" s="11"/>
      <c r="AM59" s="9"/>
    </row>
    <row r="60" spans="2:40" ht="15.75" thickBot="1" x14ac:dyDescent="0.3">
      <c r="C60" s="55" t="s">
        <v>263</v>
      </c>
      <c r="D60" s="567"/>
      <c r="E60" s="568"/>
      <c r="F60" s="569">
        <f>F56+F58</f>
        <v>7927836.0999999996</v>
      </c>
      <c r="H60" s="48"/>
      <c r="J60" s="49"/>
      <c r="T60" s="12"/>
      <c r="V60" s="9"/>
      <c r="W60" s="9"/>
      <c r="AK60" s="11"/>
      <c r="AM60" s="9"/>
    </row>
    <row r="61" spans="2:40" ht="15.75" thickBot="1" x14ac:dyDescent="0.3">
      <c r="C61" s="47"/>
      <c r="D61" s="80"/>
      <c r="H61" s="48"/>
      <c r="J61" s="49"/>
      <c r="T61" s="12"/>
      <c r="V61" s="9"/>
      <c r="W61" s="9"/>
      <c r="AK61" s="11"/>
      <c r="AM61" s="9"/>
    </row>
    <row r="62" spans="2:40" x14ac:dyDescent="0.25">
      <c r="B62" s="234"/>
      <c r="C62" s="50" t="s">
        <v>245</v>
      </c>
      <c r="D62" s="237"/>
      <c r="E62" s="565"/>
      <c r="F62" s="570"/>
      <c r="G62" s="278"/>
      <c r="J62" s="48"/>
      <c r="U62" s="49"/>
      <c r="W62" s="12"/>
      <c r="X62" s="49"/>
      <c r="Y62" s="49"/>
      <c r="AL62" s="9"/>
      <c r="AM62" s="9"/>
    </row>
    <row r="63" spans="2:40" x14ac:dyDescent="0.25">
      <c r="C63" s="300" t="s">
        <v>245</v>
      </c>
      <c r="D63" s="51">
        <v>1906762.9907349111</v>
      </c>
      <c r="E63" s="11"/>
      <c r="F63" s="306">
        <f>D63</f>
        <v>1906762.9907349111</v>
      </c>
      <c r="K63" s="47"/>
      <c r="L63" s="47"/>
      <c r="M63" s="47"/>
      <c r="U63" s="49"/>
      <c r="W63" s="12"/>
      <c r="X63" s="49"/>
      <c r="Y63" s="49"/>
      <c r="AL63" s="9"/>
      <c r="AM63" s="9"/>
      <c r="AN63" s="11"/>
    </row>
    <row r="64" spans="2:40" x14ac:dyDescent="0.25">
      <c r="C64" s="54"/>
      <c r="D64" s="11"/>
      <c r="E64" s="386" t="s">
        <v>170</v>
      </c>
      <c r="F64" s="77"/>
      <c r="H64" s="48"/>
      <c r="J64" s="49"/>
      <c r="U64" s="49"/>
      <c r="V64" s="12"/>
      <c r="W64" s="12"/>
      <c r="AL64" s="9"/>
      <c r="AN64" s="11"/>
    </row>
    <row r="65" spans="3:39" ht="17.25" x14ac:dyDescent="0.4">
      <c r="C65" s="54" t="s">
        <v>248</v>
      </c>
      <c r="D65" s="11"/>
      <c r="E65" s="506"/>
      <c r="F65" s="571">
        <f>F63*E65</f>
        <v>0</v>
      </c>
      <c r="H65" s="48"/>
      <c r="J65" s="49"/>
      <c r="T65" s="12"/>
      <c r="V65" s="9"/>
      <c r="W65" s="9"/>
      <c r="AK65" s="11"/>
      <c r="AM65" s="9"/>
    </row>
    <row r="66" spans="3:39" x14ac:dyDescent="0.25">
      <c r="C66" s="54"/>
      <c r="D66" s="11"/>
      <c r="E66" s="57"/>
      <c r="F66" s="76"/>
      <c r="H66" s="48"/>
      <c r="J66" s="49"/>
      <c r="T66" s="12"/>
      <c r="V66" s="9"/>
      <c r="W66" s="9"/>
      <c r="AK66" s="11"/>
      <c r="AM66" s="9"/>
    </row>
    <row r="67" spans="3:39" ht="15.75" thickBot="1" x14ac:dyDescent="0.3">
      <c r="C67" s="55" t="s">
        <v>264</v>
      </c>
      <c r="D67" s="238"/>
      <c r="E67" s="56"/>
      <c r="F67" s="78">
        <f>F63+F65</f>
        <v>1906762.9907349111</v>
      </c>
      <c r="G67" s="48"/>
    </row>
    <row r="68" spans="3:39" x14ac:dyDescent="0.25">
      <c r="G68" s="48"/>
    </row>
    <row r="69" spans="3:39" ht="15.75" thickBot="1" x14ac:dyDescent="0.3">
      <c r="G69" s="48"/>
    </row>
    <row r="70" spans="3:39" ht="15.75" thickBot="1" x14ac:dyDescent="0.3">
      <c r="C70" s="59" t="s">
        <v>129</v>
      </c>
      <c r="D70" s="162"/>
      <c r="E70" s="162"/>
      <c r="F70" s="81">
        <f>F50+F60+F67</f>
        <v>9834599.0907349102</v>
      </c>
    </row>
  </sheetData>
  <mergeCells count="14">
    <mergeCell ref="A35:A38"/>
    <mergeCell ref="AO3:AQ3"/>
    <mergeCell ref="A1:AQ1"/>
    <mergeCell ref="A2:H2"/>
    <mergeCell ref="J2:W2"/>
    <mergeCell ref="Y2:AM2"/>
    <mergeCell ref="AO2:AQ2"/>
    <mergeCell ref="A8:A12"/>
    <mergeCell ref="A14:A17"/>
    <mergeCell ref="A18:A21"/>
    <mergeCell ref="A25:A29"/>
    <mergeCell ref="A31:A34"/>
    <mergeCell ref="A6:A7"/>
    <mergeCell ref="A23:A24"/>
  </mergeCells>
  <conditionalFormatting sqref="F53:F54">
    <cfRule type="containsText" dxfId="18" priority="1" operator="containsText" text="ERROR">
      <formula>NOT(ISERROR(SEARCH("ERROR",F53)))</formula>
    </cfRule>
  </conditionalFormatting>
  <conditionalFormatting sqref="H5:H21 H23:H41">
    <cfRule type="cellIs" dxfId="17" priority="5" operator="lessThan">
      <formula>0</formula>
    </cfRule>
    <cfRule type="cellIs" dxfId="16" priority="6" operator="greaterThan">
      <formula>0</formula>
    </cfRule>
    <cfRule type="cellIs" dxfId="15" priority="7" operator="equal">
      <formula>0</formula>
    </cfRule>
  </conditionalFormatting>
  <pageMargins left="0.7" right="0.7" top="0.75" bottom="0.75" header="0.3" footer="0.3"/>
  <pageSetup orientation="portrait" verticalDpi="597"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C59F6-80C3-480A-B21D-FDBD8E4461BD}">
  <dimension ref="A1:AV70"/>
  <sheetViews>
    <sheetView showGridLines="0" zoomScaleNormal="100" workbookViewId="0">
      <pane ySplit="4" topLeftCell="A5" activePane="bottomLeft" state="frozen"/>
      <selection activeCell="D23" sqref="D23"/>
      <selection pane="bottomLeft" activeCell="J11" sqref="J11"/>
    </sheetView>
  </sheetViews>
  <sheetFormatPr defaultColWidth="9.140625" defaultRowHeight="15" x14ac:dyDescent="0.25"/>
  <cols>
    <col min="1" max="1" width="41.28515625" style="9" bestFit="1" customWidth="1"/>
    <col min="2" max="2" width="4" style="9" bestFit="1" customWidth="1"/>
    <col min="3" max="3" width="36.42578125" style="9" bestFit="1" customWidth="1"/>
    <col min="4" max="4" width="16.7109375" style="9" customWidth="1"/>
    <col min="5" max="5" width="17.7109375" style="9" customWidth="1"/>
    <col min="6" max="8" width="16.7109375" style="47" customWidth="1"/>
    <col min="9" max="9" width="1.7109375" style="48" customWidth="1"/>
    <col min="10" max="10" width="14.7109375" style="47" customWidth="1"/>
    <col min="11" max="20" width="14.7109375" style="49" customWidth="1"/>
    <col min="21" max="21" width="23.7109375" style="12" customWidth="1"/>
    <col min="22" max="23" width="23.7109375" style="49" customWidth="1"/>
    <col min="24" max="24" width="1.7109375" style="9" customWidth="1"/>
    <col min="25" max="33" width="14.7109375" style="9" customWidth="1"/>
    <col min="34" max="36" width="23.7109375" style="9" customWidth="1"/>
    <col min="37" max="37" width="36.7109375" style="9" customWidth="1"/>
    <col min="38" max="38" width="12.7109375" style="11" customWidth="1"/>
    <col min="39" max="39" width="24.7109375" style="11" customWidth="1"/>
    <col min="40" max="40" width="1.7109375" style="9" customWidth="1"/>
    <col min="41" max="43" width="16.7109375" style="9" customWidth="1"/>
    <col min="44" max="16384" width="9.140625" style="9"/>
  </cols>
  <sheetData>
    <row r="1" spans="1:48" s="15" customFormat="1" ht="34.5" thickBot="1" x14ac:dyDescent="0.55000000000000004">
      <c r="A1" s="696" t="s">
        <v>135</v>
      </c>
      <c r="B1" s="697"/>
      <c r="C1" s="698"/>
      <c r="D1" s="698"/>
      <c r="E1" s="698"/>
      <c r="F1" s="698"/>
      <c r="G1" s="698"/>
      <c r="H1" s="698"/>
      <c r="I1" s="698"/>
      <c r="J1" s="698"/>
      <c r="K1" s="698"/>
      <c r="L1" s="698"/>
      <c r="M1" s="698"/>
      <c r="N1" s="698"/>
      <c r="O1" s="698"/>
      <c r="P1" s="698"/>
      <c r="Q1" s="698"/>
      <c r="R1" s="698"/>
      <c r="S1" s="698"/>
      <c r="T1" s="698"/>
      <c r="U1" s="698"/>
      <c r="V1" s="698"/>
      <c r="W1" s="698"/>
      <c r="X1" s="698"/>
      <c r="Y1" s="698"/>
      <c r="Z1" s="698"/>
      <c r="AA1" s="698"/>
      <c r="AB1" s="698"/>
      <c r="AC1" s="698"/>
      <c r="AD1" s="698"/>
      <c r="AE1" s="698"/>
      <c r="AF1" s="698"/>
      <c r="AG1" s="698"/>
      <c r="AH1" s="698"/>
      <c r="AI1" s="698"/>
      <c r="AJ1" s="698"/>
      <c r="AK1" s="698"/>
      <c r="AL1" s="698"/>
      <c r="AM1" s="698"/>
      <c r="AN1" s="698"/>
      <c r="AO1" s="698"/>
      <c r="AP1" s="698"/>
      <c r="AQ1" s="699"/>
    </row>
    <row r="2" spans="1:48" ht="15.75" thickBot="1" x14ac:dyDescent="0.3">
      <c r="A2" s="706" t="s">
        <v>136</v>
      </c>
      <c r="B2" s="707"/>
      <c r="C2" s="707"/>
      <c r="D2" s="707"/>
      <c r="E2" s="707"/>
      <c r="F2" s="707"/>
      <c r="G2" s="707"/>
      <c r="H2" s="708"/>
      <c r="I2" s="32"/>
      <c r="J2" s="703" t="s">
        <v>84</v>
      </c>
      <c r="K2" s="704"/>
      <c r="L2" s="704"/>
      <c r="M2" s="704"/>
      <c r="N2" s="704"/>
      <c r="O2" s="704"/>
      <c r="P2" s="704"/>
      <c r="Q2" s="704"/>
      <c r="R2" s="704"/>
      <c r="S2" s="704"/>
      <c r="T2" s="704"/>
      <c r="U2" s="704"/>
      <c r="V2" s="704"/>
      <c r="W2" s="705"/>
      <c r="Y2" s="709" t="s">
        <v>85</v>
      </c>
      <c r="Z2" s="710"/>
      <c r="AA2" s="710"/>
      <c r="AB2" s="710"/>
      <c r="AC2" s="710"/>
      <c r="AD2" s="710"/>
      <c r="AE2" s="710"/>
      <c r="AF2" s="710"/>
      <c r="AG2" s="710"/>
      <c r="AH2" s="710"/>
      <c r="AI2" s="710"/>
      <c r="AJ2" s="710"/>
      <c r="AK2" s="710"/>
      <c r="AL2" s="710"/>
      <c r="AM2" s="711"/>
      <c r="AO2" s="706" t="s">
        <v>86</v>
      </c>
      <c r="AP2" s="707"/>
      <c r="AQ2" s="708"/>
    </row>
    <row r="3" spans="1:48" s="234" customFormat="1" ht="45.95" customHeight="1" thickBot="1" x14ac:dyDescent="0.3">
      <c r="A3" s="163" t="s">
        <v>35</v>
      </c>
      <c r="B3" s="209" t="s">
        <v>36</v>
      </c>
      <c r="C3" s="223" t="s">
        <v>37</v>
      </c>
      <c r="D3" s="223" t="s">
        <v>87</v>
      </c>
      <c r="E3" s="223" t="s">
        <v>47</v>
      </c>
      <c r="F3" s="224" t="s">
        <v>88</v>
      </c>
      <c r="G3" s="224" t="s">
        <v>89</v>
      </c>
      <c r="H3" s="225" t="s">
        <v>90</v>
      </c>
      <c r="I3" s="226"/>
      <c r="J3" s="227" t="s">
        <v>91</v>
      </c>
      <c r="K3" s="229" t="s">
        <v>94</v>
      </c>
      <c r="L3" s="229" t="s">
        <v>172</v>
      </c>
      <c r="M3" s="229" t="s">
        <v>95</v>
      </c>
      <c r="N3" s="230" t="s">
        <v>96</v>
      </c>
      <c r="O3" s="230" t="s">
        <v>193</v>
      </c>
      <c r="P3" s="230" t="s">
        <v>97</v>
      </c>
      <c r="Q3" s="230" t="s">
        <v>98</v>
      </c>
      <c r="R3" s="230" t="s">
        <v>99</v>
      </c>
      <c r="S3" s="230" t="s">
        <v>100</v>
      </c>
      <c r="T3" s="230" t="s">
        <v>101</v>
      </c>
      <c r="U3" s="231" t="s">
        <v>102</v>
      </c>
      <c r="V3" s="232" t="s">
        <v>103</v>
      </c>
      <c r="W3" s="233" t="s">
        <v>104</v>
      </c>
      <c r="Y3" s="227" t="s">
        <v>105</v>
      </c>
      <c r="Z3" s="229" t="s">
        <v>106</v>
      </c>
      <c r="AA3" s="229" t="s">
        <v>107</v>
      </c>
      <c r="AB3" s="229" t="s">
        <v>108</v>
      </c>
      <c r="AC3" s="229" t="s">
        <v>109</v>
      </c>
      <c r="AD3" s="229" t="s">
        <v>110</v>
      </c>
      <c r="AE3" s="232" t="s">
        <v>99</v>
      </c>
      <c r="AF3" s="229" t="s">
        <v>111</v>
      </c>
      <c r="AG3" s="229" t="s">
        <v>112</v>
      </c>
      <c r="AH3" s="229" t="s">
        <v>102</v>
      </c>
      <c r="AI3" s="229" t="s">
        <v>103</v>
      </c>
      <c r="AJ3" s="229" t="s">
        <v>104</v>
      </c>
      <c r="AK3" s="235" t="s">
        <v>113</v>
      </c>
      <c r="AL3" s="235" t="s">
        <v>114</v>
      </c>
      <c r="AM3" s="236" t="s">
        <v>115</v>
      </c>
      <c r="AO3" s="700" t="s">
        <v>116</v>
      </c>
      <c r="AP3" s="701"/>
      <c r="AQ3" s="702"/>
    </row>
    <row r="4" spans="1:48" ht="31.5" customHeight="1" thickBot="1" x14ac:dyDescent="0.35">
      <c r="A4" s="410" t="s">
        <v>117</v>
      </c>
      <c r="B4" s="411"/>
      <c r="C4" s="237"/>
      <c r="D4" s="237"/>
      <c r="E4" s="237"/>
      <c r="F4" s="412"/>
      <c r="G4" s="412"/>
      <c r="H4" s="413"/>
      <c r="I4" s="33"/>
      <c r="J4" s="133"/>
      <c r="K4" s="164"/>
      <c r="L4" s="135"/>
      <c r="M4" s="135"/>
      <c r="N4" s="135"/>
      <c r="O4" s="135"/>
      <c r="P4" s="135"/>
      <c r="Q4" s="135"/>
      <c r="R4" s="136"/>
      <c r="S4" s="135"/>
      <c r="T4" s="136"/>
      <c r="U4" s="136"/>
      <c r="V4" s="150"/>
      <c r="W4" s="151"/>
      <c r="Y4" s="133"/>
      <c r="Z4" s="134"/>
      <c r="AA4" s="134"/>
      <c r="AB4" s="135"/>
      <c r="AC4" s="135"/>
      <c r="AD4" s="135"/>
      <c r="AE4" s="136"/>
      <c r="AF4" s="135"/>
      <c r="AG4" s="134"/>
      <c r="AH4" s="134"/>
      <c r="AI4" s="134"/>
      <c r="AJ4" s="134"/>
      <c r="AK4" s="187"/>
      <c r="AL4" s="187"/>
      <c r="AM4" s="188"/>
      <c r="AN4" s="34"/>
      <c r="AO4" s="152" t="s">
        <v>99</v>
      </c>
      <c r="AP4" s="153" t="s">
        <v>100</v>
      </c>
      <c r="AQ4" s="154" t="s">
        <v>118</v>
      </c>
    </row>
    <row r="5" spans="1:48" ht="15.75" thickBot="1" x14ac:dyDescent="0.3">
      <c r="A5" s="222" t="s">
        <v>42</v>
      </c>
      <c r="B5" s="415">
        <f>'Total - Detail'!B6</f>
        <v>1</v>
      </c>
      <c r="C5" s="210" t="str">
        <f>'Total - Detail'!C6</f>
        <v>Project Management Specialist</v>
      </c>
      <c r="D5" s="257" t="s">
        <v>291</v>
      </c>
      <c r="E5" s="257" t="s">
        <v>55</v>
      </c>
      <c r="F5" s="211">
        <v>19114.698266026175</v>
      </c>
      <c r="G5" s="211">
        <f>SUM(J5,Y5)</f>
        <v>0</v>
      </c>
      <c r="H5" s="212">
        <f>F5-G5</f>
        <v>19114.698266026175</v>
      </c>
      <c r="I5" s="43"/>
      <c r="J5" s="214"/>
      <c r="K5" s="216">
        <f>'Ordering Period 2'!K5+('Ordering Period 2'!K5*Escalation!$D$3)</f>
        <v>0</v>
      </c>
      <c r="L5" s="366"/>
      <c r="M5" s="249">
        <f>(K5*$M$4)</f>
        <v>0</v>
      </c>
      <c r="N5" s="249">
        <f>(M5+K5)*$N$4</f>
        <v>0</v>
      </c>
      <c r="O5" s="249">
        <f>(K5+M5)*$O$4</f>
        <v>0</v>
      </c>
      <c r="P5" s="249">
        <f>(M5+K5+N5+O5)*$P$4</f>
        <v>0</v>
      </c>
      <c r="Q5" s="249">
        <f>(K5+M5+N5+O5+P5)*$Q$4</f>
        <v>0</v>
      </c>
      <c r="R5" s="216">
        <f>SUM(K5:Q5)</f>
        <v>0</v>
      </c>
      <c r="S5" s="216">
        <f>(R5-Q5)*$S$4</f>
        <v>0</v>
      </c>
      <c r="T5" s="216">
        <f>SUM(R5:S5)</f>
        <v>0</v>
      </c>
      <c r="U5" s="253">
        <f>R5*J5</f>
        <v>0</v>
      </c>
      <c r="V5" s="216">
        <f>S5*J5</f>
        <v>0</v>
      </c>
      <c r="W5" s="217">
        <f>T5*J5</f>
        <v>0</v>
      </c>
      <c r="Y5" s="214"/>
      <c r="Z5" s="249">
        <f>'Ordering Period 2'!Z5+('Ordering Period 2'!Z5*Escalation!$D$3)</f>
        <v>0</v>
      </c>
      <c r="AA5" s="216">
        <f>IF($Y5&gt;0,$Z5,0)</f>
        <v>0</v>
      </c>
      <c r="AB5" s="249">
        <f>(AA5*$AB$4)</f>
        <v>0</v>
      </c>
      <c r="AC5" s="249">
        <f>(AA5+AB5)*$AC$4</f>
        <v>0</v>
      </c>
      <c r="AD5" s="249"/>
      <c r="AE5" s="216">
        <f>SUM(AA5:AD5)</f>
        <v>0</v>
      </c>
      <c r="AF5" s="216">
        <f>$AF$4*(AC5+AA5+AB5)</f>
        <v>0</v>
      </c>
      <c r="AG5" s="216">
        <f>SUM(AE5:AF5)</f>
        <v>0</v>
      </c>
      <c r="AH5" s="216">
        <f>AE5*Y5</f>
        <v>0</v>
      </c>
      <c r="AI5" s="216">
        <f>AF5*Y5</f>
        <v>0</v>
      </c>
      <c r="AJ5" s="216">
        <f>AG5*Y5</f>
        <v>0</v>
      </c>
      <c r="AK5" s="433"/>
      <c r="AL5" s="433"/>
      <c r="AM5" s="250"/>
      <c r="AO5" s="252" t="str">
        <f t="shared" ref="AO5" si="0">IFERROR(SUM(U5,AH5)/G5,"")</f>
        <v/>
      </c>
      <c r="AP5" s="253" t="str">
        <f t="shared" ref="AP5" si="1">IFERROR(SUM(V5,AI5)/G5,"")</f>
        <v/>
      </c>
      <c r="AQ5" s="217">
        <f>SUM(AO5:AP5)</f>
        <v>0</v>
      </c>
      <c r="AR5" s="9">
        <f>F5/$F$41</f>
        <v>4.7567558689558503E-2</v>
      </c>
      <c r="AS5" s="9">
        <f>AR5*$AV$5</f>
        <v>19114.698266026171</v>
      </c>
      <c r="AV5" s="9">
        <v>401843.16354713438</v>
      </c>
    </row>
    <row r="6" spans="1:48" ht="15.75" thickBot="1" x14ac:dyDescent="0.3">
      <c r="A6" s="694" t="s">
        <v>43</v>
      </c>
      <c r="B6" s="415">
        <f>'Total - Detail'!B7</f>
        <v>2</v>
      </c>
      <c r="C6" s="210" t="str">
        <f>'Total - Detail'!C7</f>
        <v>Field Service Representative</v>
      </c>
      <c r="D6" s="210" t="s">
        <v>289</v>
      </c>
      <c r="E6" s="210" t="s">
        <v>55</v>
      </c>
      <c r="F6" s="211">
        <v>39357.391429727235</v>
      </c>
      <c r="G6" s="211">
        <f t="shared" ref="G6:G21" si="2">SUM(J6,Y6)</f>
        <v>0</v>
      </c>
      <c r="H6" s="212">
        <f t="shared" ref="H6:H21" si="3">F6-G6</f>
        <v>39357.391429727235</v>
      </c>
      <c r="I6" s="43"/>
      <c r="J6" s="214"/>
      <c r="K6" s="216">
        <f>'Ordering Period 2'!K6+('Ordering Period 2'!K6*Escalation!$D$3)</f>
        <v>0</v>
      </c>
      <c r="L6" s="366"/>
      <c r="M6" s="249">
        <f t="shared" ref="M6:M19" si="4">(K6*$M$4)</f>
        <v>0</v>
      </c>
      <c r="N6" s="249">
        <f t="shared" ref="N6:N19" si="5">(M6+K6)*$N$4</f>
        <v>0</v>
      </c>
      <c r="O6" s="249">
        <f t="shared" ref="O6:O19" si="6">(K6+M6)*$O$4</f>
        <v>0</v>
      </c>
      <c r="P6" s="249">
        <f t="shared" ref="P6:P19" si="7">(M6+K6+N6+O6)*$P$4</f>
        <v>0</v>
      </c>
      <c r="Q6" s="249">
        <f t="shared" ref="Q6:Q19" si="8">(K6+M6+N6+O6+P6)*$Q$4</f>
        <v>0</v>
      </c>
      <c r="R6" s="216">
        <f t="shared" ref="R6:R21" si="9">SUM(K6:Q6)</f>
        <v>0</v>
      </c>
      <c r="S6" s="216">
        <f t="shared" ref="S6:S21" si="10">(R6-Q6)*$S$4</f>
        <v>0</v>
      </c>
      <c r="T6" s="216">
        <f t="shared" ref="T6:T21" si="11">SUM(R6:S6)</f>
        <v>0</v>
      </c>
      <c r="U6" s="253">
        <f t="shared" ref="U6:U21" si="12">R6*J6</f>
        <v>0</v>
      </c>
      <c r="V6" s="216">
        <f t="shared" ref="V6:V21" si="13">S6*J6</f>
        <v>0</v>
      </c>
      <c r="W6" s="217">
        <f t="shared" ref="W6:W21" si="14">T6*J6</f>
        <v>0</v>
      </c>
      <c r="Y6" s="214"/>
      <c r="Z6" s="249">
        <f>'Ordering Period 2'!Z6+('Ordering Period 2'!Z6*Escalation!$D$3)</f>
        <v>0</v>
      </c>
      <c r="AA6" s="216">
        <f t="shared" ref="AA6:AA21" si="15">IF($Y6&gt;0,$Z6,0)</f>
        <v>0</v>
      </c>
      <c r="AB6" s="249">
        <f t="shared" ref="AB6:AB21" si="16">(AA6*$AB$4)</f>
        <v>0</v>
      </c>
      <c r="AC6" s="249">
        <f t="shared" ref="AC6:AC21" si="17">(AA6+AB6)*$AC$4</f>
        <v>0</v>
      </c>
      <c r="AD6" s="249"/>
      <c r="AE6" s="216">
        <f t="shared" ref="AE6:AE21" si="18">SUM(AA6:AD6)</f>
        <v>0</v>
      </c>
      <c r="AF6" s="216">
        <f t="shared" ref="AF6:AF21" si="19">$AF$4*(AC6+AA6+AB6)</f>
        <v>0</v>
      </c>
      <c r="AG6" s="216">
        <f t="shared" ref="AG6:AG21" si="20">SUM(AE6:AF6)</f>
        <v>0</v>
      </c>
      <c r="AH6" s="216">
        <f t="shared" ref="AH6:AH21" si="21">AE6*Y6</f>
        <v>0</v>
      </c>
      <c r="AI6" s="216">
        <f t="shared" ref="AI6:AI21" si="22">AF6*Y6</f>
        <v>0</v>
      </c>
      <c r="AJ6" s="216">
        <f t="shared" ref="AJ6:AJ21" si="23">AG6*Y6</f>
        <v>0</v>
      </c>
      <c r="AK6" s="433"/>
      <c r="AL6" s="433"/>
      <c r="AM6" s="250"/>
      <c r="AO6" s="252" t="str">
        <f t="shared" ref="AO6:AO21" si="24">IFERROR(SUM(U6,AH6)/G6,"")</f>
        <v/>
      </c>
      <c r="AP6" s="253" t="str">
        <f t="shared" ref="AP6:AP21" si="25">IFERROR(SUM(V6,AI6)/G6,"")</f>
        <v/>
      </c>
      <c r="AQ6" s="217">
        <f t="shared" ref="AQ6:AQ21" si="26">SUM(AO6:AP6)</f>
        <v>0</v>
      </c>
      <c r="AR6" s="9">
        <f t="shared" ref="AR6:AR21" si="27">F6/$F$41</f>
        <v>9.7942169980728772E-2</v>
      </c>
      <c r="AS6" s="9">
        <f t="shared" ref="AS6:AS21" si="28">AR6*$AV$5</f>
        <v>39357.391429727228</v>
      </c>
    </row>
    <row r="7" spans="1:48" ht="15.75" thickBot="1" x14ac:dyDescent="0.3">
      <c r="A7" s="712"/>
      <c r="B7" s="415">
        <f>'Total - Detail'!B8</f>
        <v>3</v>
      </c>
      <c r="C7" s="210" t="str">
        <f>'Total - Detail'!C8</f>
        <v>Field Service Mechanic</v>
      </c>
      <c r="D7" s="210" t="s">
        <v>240</v>
      </c>
      <c r="E7" s="210" t="s">
        <v>55</v>
      </c>
      <c r="F7" s="629">
        <v>73092.298369493452</v>
      </c>
      <c r="G7" s="629"/>
      <c r="H7" s="212">
        <f t="shared" si="3"/>
        <v>73092.298369493452</v>
      </c>
      <c r="I7" s="43"/>
      <c r="J7" s="630"/>
      <c r="K7" s="631"/>
      <c r="L7" s="632"/>
      <c r="M7" s="249">
        <f t="shared" ref="M7" si="29">(K7*$M$4)</f>
        <v>0</v>
      </c>
      <c r="N7" s="249">
        <f t="shared" ref="N7" si="30">(M7+K7)*$N$4</f>
        <v>0</v>
      </c>
      <c r="O7" s="249">
        <f t="shared" ref="O7" si="31">(K7+M7)*$O$4</f>
        <v>0</v>
      </c>
      <c r="P7" s="249">
        <f t="shared" ref="P7" si="32">(M7+K7+N7+O7)*$P$4</f>
        <v>0</v>
      </c>
      <c r="Q7" s="249">
        <f t="shared" ref="Q7" si="33">(K7+M7+N7+O7+P7)*$Q$4</f>
        <v>0</v>
      </c>
      <c r="R7" s="216">
        <f t="shared" ref="R7" si="34">SUM(K7:Q7)</f>
        <v>0</v>
      </c>
      <c r="S7" s="216">
        <f t="shared" ref="S7" si="35">(R7-Q7)*$S$4</f>
        <v>0</v>
      </c>
      <c r="T7" s="216">
        <f t="shared" ref="T7" si="36">SUM(R7:S7)</f>
        <v>0</v>
      </c>
      <c r="U7" s="253">
        <f t="shared" ref="U7" si="37">R7*J7</f>
        <v>0</v>
      </c>
      <c r="V7" s="216">
        <f t="shared" ref="V7" si="38">S7*J7</f>
        <v>0</v>
      </c>
      <c r="W7" s="217">
        <f t="shared" ref="W7" si="39">T7*J7</f>
        <v>0</v>
      </c>
      <c r="Y7" s="214"/>
      <c r="Z7" s="249">
        <f>'Ordering Period 2'!Z7+('Ordering Period 2'!Z7*Escalation!$D$3)</f>
        <v>0</v>
      </c>
      <c r="AA7" s="216">
        <f t="shared" si="15"/>
        <v>0</v>
      </c>
      <c r="AB7" s="249">
        <f t="shared" ref="AB7" si="40">(AA7*$AB$4)</f>
        <v>0</v>
      </c>
      <c r="AC7" s="249">
        <f t="shared" ref="AC7" si="41">(AA7+AB7)*$AC$4</f>
        <v>0</v>
      </c>
      <c r="AD7" s="249"/>
      <c r="AE7" s="216">
        <f t="shared" ref="AE7" si="42">SUM(AA7:AD7)</f>
        <v>0</v>
      </c>
      <c r="AF7" s="216">
        <f t="shared" ref="AF7" si="43">$AF$4*(AC7+AA7+AB7)</f>
        <v>0</v>
      </c>
      <c r="AG7" s="216">
        <f t="shared" ref="AG7" si="44">SUM(AE7:AF7)</f>
        <v>0</v>
      </c>
      <c r="AH7" s="216">
        <f t="shared" ref="AH7" si="45">AE7*Y7</f>
        <v>0</v>
      </c>
      <c r="AI7" s="216">
        <f t="shared" ref="AI7" si="46">AF7*Y7</f>
        <v>0</v>
      </c>
      <c r="AJ7" s="216">
        <f t="shared" ref="AJ7" si="47">AG7*Y7</f>
        <v>0</v>
      </c>
      <c r="AK7" s="433"/>
      <c r="AL7" s="433"/>
      <c r="AM7" s="250"/>
      <c r="AO7" s="252" t="str">
        <f t="shared" ref="AO7" si="48">IFERROR(SUM(U7,AH7)/G7,"")</f>
        <v/>
      </c>
      <c r="AP7" s="253" t="str">
        <f t="shared" ref="AP7" si="49">IFERROR(SUM(V7,AI7)/G7,"")</f>
        <v/>
      </c>
      <c r="AQ7" s="217">
        <f t="shared" ref="AQ7" si="50">SUM(AO7:AP7)</f>
        <v>0</v>
      </c>
      <c r="AR7" s="9">
        <f t="shared" ref="AR7" si="51">F7/$F$41</f>
        <v>0.18189260139278204</v>
      </c>
      <c r="AS7" s="9">
        <f t="shared" ref="AS7" si="52">AR7*$AV$5</f>
        <v>73092.298369493437</v>
      </c>
    </row>
    <row r="8" spans="1:48" x14ac:dyDescent="0.25">
      <c r="A8" s="680" t="s">
        <v>205</v>
      </c>
      <c r="B8" s="414">
        <f>'Total - Detail'!B9</f>
        <v>4</v>
      </c>
      <c r="C8" s="159" t="str">
        <f>'Total - Detail'!C9</f>
        <v>Heavy Equipment Mechanic</v>
      </c>
      <c r="D8" s="101" t="s">
        <v>236</v>
      </c>
      <c r="E8" s="101" t="s">
        <v>55</v>
      </c>
      <c r="F8" s="160">
        <v>96564.591240224079</v>
      </c>
      <c r="G8" s="160">
        <f t="shared" si="2"/>
        <v>0</v>
      </c>
      <c r="H8" s="161">
        <f t="shared" si="3"/>
        <v>96564.591240224079</v>
      </c>
      <c r="I8" s="43"/>
      <c r="J8" s="3"/>
      <c r="K8" s="37">
        <f>'Ordering Period 2'!K8+('Ordering Period 2'!K8*Escalation!$D$3)</f>
        <v>0</v>
      </c>
      <c r="L8" s="430"/>
      <c r="M8" s="4">
        <f t="shared" si="4"/>
        <v>0</v>
      </c>
      <c r="N8" s="4">
        <f t="shared" si="5"/>
        <v>0</v>
      </c>
      <c r="O8" s="4">
        <f t="shared" si="6"/>
        <v>0</v>
      </c>
      <c r="P8" s="4">
        <f t="shared" si="7"/>
        <v>0</v>
      </c>
      <c r="Q8" s="4">
        <f t="shared" si="8"/>
        <v>0</v>
      </c>
      <c r="R8" s="37">
        <f t="shared" si="9"/>
        <v>0</v>
      </c>
      <c r="S8" s="37">
        <f t="shared" si="10"/>
        <v>0</v>
      </c>
      <c r="T8" s="37">
        <f t="shared" si="11"/>
        <v>0</v>
      </c>
      <c r="U8" s="168">
        <f t="shared" si="12"/>
        <v>0</v>
      </c>
      <c r="V8" s="37">
        <f t="shared" si="13"/>
        <v>0</v>
      </c>
      <c r="W8" s="38">
        <f t="shared" si="14"/>
        <v>0</v>
      </c>
      <c r="Y8" s="109"/>
      <c r="Z8" s="111">
        <f>'Ordering Period 2'!Z8+('Ordering Period 2'!Z8*Escalation!$D$3)</f>
        <v>0</v>
      </c>
      <c r="AA8" s="110">
        <f t="shared" si="15"/>
        <v>0</v>
      </c>
      <c r="AB8" s="111">
        <f t="shared" si="16"/>
        <v>0</v>
      </c>
      <c r="AC8" s="111">
        <f t="shared" si="17"/>
        <v>0</v>
      </c>
      <c r="AD8" s="111"/>
      <c r="AE8" s="110">
        <f t="shared" si="18"/>
        <v>0</v>
      </c>
      <c r="AF8" s="110">
        <f t="shared" si="19"/>
        <v>0</v>
      </c>
      <c r="AG8" s="110">
        <f t="shared" si="20"/>
        <v>0</v>
      </c>
      <c r="AH8" s="110">
        <f t="shared" si="21"/>
        <v>0</v>
      </c>
      <c r="AI8" s="110">
        <f t="shared" si="22"/>
        <v>0</v>
      </c>
      <c r="AJ8" s="110">
        <f t="shared" si="23"/>
        <v>0</v>
      </c>
      <c r="AK8" s="259"/>
      <c r="AL8" s="259"/>
      <c r="AM8" s="114"/>
      <c r="AO8" s="167" t="str">
        <f t="shared" si="24"/>
        <v/>
      </c>
      <c r="AP8" s="168" t="str">
        <f t="shared" si="25"/>
        <v/>
      </c>
      <c r="AQ8" s="38">
        <f t="shared" si="26"/>
        <v>0</v>
      </c>
      <c r="AR8" s="9">
        <f t="shared" si="27"/>
        <v>0.24030417834618076</v>
      </c>
      <c r="AS8" s="9">
        <f t="shared" si="28"/>
        <v>96564.591240224065</v>
      </c>
    </row>
    <row r="9" spans="1:48" x14ac:dyDescent="0.25">
      <c r="A9" s="680"/>
      <c r="B9" s="240">
        <f>'Total - Detail'!B10</f>
        <v>5</v>
      </c>
      <c r="C9" s="100" t="str">
        <f>'Total - Detail'!C10</f>
        <v>Material Handling Specialist</v>
      </c>
      <c r="D9" s="100" t="s">
        <v>238</v>
      </c>
      <c r="E9" s="100" t="s">
        <v>55</v>
      </c>
      <c r="F9" s="39">
        <v>6328.2994259336247</v>
      </c>
      <c r="G9" s="39">
        <f t="shared" si="2"/>
        <v>0</v>
      </c>
      <c r="H9" s="40">
        <f t="shared" si="3"/>
        <v>6328.2994259336247</v>
      </c>
      <c r="I9" s="43"/>
      <c r="J9" s="137"/>
      <c r="K9" s="41">
        <f>'Ordering Period 2'!K9+('Ordering Period 2'!K9*Escalation!$D$3)</f>
        <v>0</v>
      </c>
      <c r="L9" s="368"/>
      <c r="M9" s="5">
        <f t="shared" si="4"/>
        <v>0</v>
      </c>
      <c r="N9" s="5">
        <f t="shared" si="5"/>
        <v>0</v>
      </c>
      <c r="O9" s="5">
        <f t="shared" si="6"/>
        <v>0</v>
      </c>
      <c r="P9" s="5">
        <f t="shared" si="7"/>
        <v>0</v>
      </c>
      <c r="Q9" s="5">
        <f t="shared" si="8"/>
        <v>0</v>
      </c>
      <c r="R9" s="41">
        <f t="shared" si="9"/>
        <v>0</v>
      </c>
      <c r="S9" s="41">
        <f t="shared" si="10"/>
        <v>0</v>
      </c>
      <c r="T9" s="41">
        <f t="shared" si="11"/>
        <v>0</v>
      </c>
      <c r="U9" s="42">
        <f t="shared" si="12"/>
        <v>0</v>
      </c>
      <c r="V9" s="41">
        <f t="shared" si="13"/>
        <v>0</v>
      </c>
      <c r="W9" s="115">
        <f t="shared" si="14"/>
        <v>0</v>
      </c>
      <c r="Y9" s="137"/>
      <c r="Z9" s="5">
        <f>'Ordering Period 2'!Z9+('Ordering Period 2'!Z9*Escalation!$D$3)</f>
        <v>0</v>
      </c>
      <c r="AA9" s="41">
        <f t="shared" si="15"/>
        <v>0</v>
      </c>
      <c r="AB9" s="5">
        <f t="shared" si="16"/>
        <v>0</v>
      </c>
      <c r="AC9" s="5">
        <f t="shared" si="17"/>
        <v>0</v>
      </c>
      <c r="AD9" s="5"/>
      <c r="AE9" s="41">
        <f t="shared" si="18"/>
        <v>0</v>
      </c>
      <c r="AF9" s="41">
        <f t="shared" si="19"/>
        <v>0</v>
      </c>
      <c r="AG9" s="41">
        <f t="shared" si="20"/>
        <v>0</v>
      </c>
      <c r="AH9" s="41">
        <f t="shared" si="21"/>
        <v>0</v>
      </c>
      <c r="AI9" s="41">
        <f t="shared" si="22"/>
        <v>0</v>
      </c>
      <c r="AJ9" s="41">
        <f t="shared" si="23"/>
        <v>0</v>
      </c>
      <c r="AK9" s="10"/>
      <c r="AL9" s="10"/>
      <c r="AM9" s="7"/>
      <c r="AO9" s="138" t="str">
        <f t="shared" si="24"/>
        <v/>
      </c>
      <c r="AP9" s="42" t="str">
        <f t="shared" si="25"/>
        <v/>
      </c>
      <c r="AQ9" s="115">
        <f t="shared" si="26"/>
        <v>0</v>
      </c>
      <c r="AR9" s="9">
        <f t="shared" si="27"/>
        <v>1.5748182375613175E-2</v>
      </c>
      <c r="AS9" s="9">
        <f t="shared" si="28"/>
        <v>6328.2994259336247</v>
      </c>
    </row>
    <row r="10" spans="1:48" x14ac:dyDescent="0.25">
      <c r="A10" s="680"/>
      <c r="B10" s="240">
        <f>'Total - Detail'!B11</f>
        <v>6</v>
      </c>
      <c r="C10" s="100" t="str">
        <f>'Total - Detail'!C11</f>
        <v>Inspector</v>
      </c>
      <c r="D10" s="100" t="s">
        <v>235</v>
      </c>
      <c r="E10" s="100" t="s">
        <v>55</v>
      </c>
      <c r="F10" s="39">
        <v>1981.0998202861908</v>
      </c>
      <c r="G10" s="39">
        <f t="shared" si="2"/>
        <v>0</v>
      </c>
      <c r="H10" s="40">
        <f t="shared" si="3"/>
        <v>1981.0998202861908</v>
      </c>
      <c r="I10" s="43"/>
      <c r="J10" s="137"/>
      <c r="K10" s="41">
        <f>'Ordering Period 2'!K10+('Ordering Period 2'!K10*Escalation!$D$3)</f>
        <v>0</v>
      </c>
      <c r="L10" s="368"/>
      <c r="M10" s="5">
        <f t="shared" si="4"/>
        <v>0</v>
      </c>
      <c r="N10" s="5">
        <f t="shared" si="5"/>
        <v>0</v>
      </c>
      <c r="O10" s="5">
        <f t="shared" si="6"/>
        <v>0</v>
      </c>
      <c r="P10" s="5">
        <f t="shared" si="7"/>
        <v>0</v>
      </c>
      <c r="Q10" s="5">
        <f t="shared" si="8"/>
        <v>0</v>
      </c>
      <c r="R10" s="41">
        <f t="shared" si="9"/>
        <v>0</v>
      </c>
      <c r="S10" s="41">
        <f t="shared" si="10"/>
        <v>0</v>
      </c>
      <c r="T10" s="41">
        <f t="shared" si="11"/>
        <v>0</v>
      </c>
      <c r="U10" s="42">
        <f t="shared" si="12"/>
        <v>0</v>
      </c>
      <c r="V10" s="41">
        <f t="shared" si="13"/>
        <v>0</v>
      </c>
      <c r="W10" s="115">
        <f t="shared" si="14"/>
        <v>0</v>
      </c>
      <c r="Y10" s="137"/>
      <c r="Z10" s="5">
        <f>'Ordering Period 2'!Z10+('Ordering Period 2'!Z10*Escalation!$D$3)</f>
        <v>0</v>
      </c>
      <c r="AA10" s="41">
        <f t="shared" si="15"/>
        <v>0</v>
      </c>
      <c r="AB10" s="5">
        <f t="shared" si="16"/>
        <v>0</v>
      </c>
      <c r="AC10" s="5">
        <f t="shared" si="17"/>
        <v>0</v>
      </c>
      <c r="AD10" s="5"/>
      <c r="AE10" s="41">
        <f t="shared" si="18"/>
        <v>0</v>
      </c>
      <c r="AF10" s="41">
        <f t="shared" si="19"/>
        <v>0</v>
      </c>
      <c r="AG10" s="41">
        <f t="shared" si="20"/>
        <v>0</v>
      </c>
      <c r="AH10" s="41">
        <f t="shared" si="21"/>
        <v>0</v>
      </c>
      <c r="AI10" s="41">
        <f t="shared" si="22"/>
        <v>0</v>
      </c>
      <c r="AJ10" s="41">
        <f t="shared" si="23"/>
        <v>0</v>
      </c>
      <c r="AK10" s="10"/>
      <c r="AL10" s="10"/>
      <c r="AM10" s="7"/>
      <c r="AO10" s="138" t="str">
        <f t="shared" si="24"/>
        <v/>
      </c>
      <c r="AP10" s="42" t="str">
        <f t="shared" si="25"/>
        <v/>
      </c>
      <c r="AQ10" s="115">
        <f t="shared" si="26"/>
        <v>0</v>
      </c>
      <c r="AR10" s="9">
        <f t="shared" si="27"/>
        <v>4.9300324106517157E-3</v>
      </c>
      <c r="AS10" s="9">
        <f t="shared" si="28"/>
        <v>1981.0998202861906</v>
      </c>
    </row>
    <row r="11" spans="1:48" x14ac:dyDescent="0.25">
      <c r="A11" s="680"/>
      <c r="B11" s="240">
        <f>'Total - Detail'!B12</f>
        <v>7</v>
      </c>
      <c r="C11" s="100" t="str">
        <f>'Total - Detail'!C12</f>
        <v>Supply/Procurement Specialist</v>
      </c>
      <c r="D11" s="100" t="s">
        <v>233</v>
      </c>
      <c r="E11" s="100" t="s">
        <v>55</v>
      </c>
      <c r="F11" s="39">
        <v>3163.5997130167048</v>
      </c>
      <c r="G11" s="39">
        <f t="shared" si="2"/>
        <v>0</v>
      </c>
      <c r="H11" s="40">
        <f t="shared" si="3"/>
        <v>3163.5997130167048</v>
      </c>
      <c r="I11" s="43"/>
      <c r="J11" s="137"/>
      <c r="K11" s="41">
        <f>'Ordering Period 2'!K11+('Ordering Period 2'!K11*Escalation!$D$3)</f>
        <v>0</v>
      </c>
      <c r="L11" s="368"/>
      <c r="M11" s="5">
        <f t="shared" si="4"/>
        <v>0</v>
      </c>
      <c r="N11" s="5">
        <f t="shared" si="5"/>
        <v>0</v>
      </c>
      <c r="O11" s="5">
        <f t="shared" si="6"/>
        <v>0</v>
      </c>
      <c r="P11" s="5">
        <f t="shared" si="7"/>
        <v>0</v>
      </c>
      <c r="Q11" s="5">
        <f t="shared" si="8"/>
        <v>0</v>
      </c>
      <c r="R11" s="41">
        <f t="shared" si="9"/>
        <v>0</v>
      </c>
      <c r="S11" s="41">
        <f t="shared" si="10"/>
        <v>0</v>
      </c>
      <c r="T11" s="41">
        <f t="shared" si="11"/>
        <v>0</v>
      </c>
      <c r="U11" s="42">
        <f t="shared" si="12"/>
        <v>0</v>
      </c>
      <c r="V11" s="41">
        <f t="shared" si="13"/>
        <v>0</v>
      </c>
      <c r="W11" s="115">
        <f t="shared" si="14"/>
        <v>0</v>
      </c>
      <c r="Y11" s="137"/>
      <c r="Z11" s="5">
        <f>'Ordering Period 2'!Z11+('Ordering Period 2'!Z11*Escalation!$D$3)</f>
        <v>0</v>
      </c>
      <c r="AA11" s="41">
        <f t="shared" si="15"/>
        <v>0</v>
      </c>
      <c r="AB11" s="5">
        <f t="shared" si="16"/>
        <v>0</v>
      </c>
      <c r="AC11" s="5">
        <f t="shared" si="17"/>
        <v>0</v>
      </c>
      <c r="AD11" s="5"/>
      <c r="AE11" s="41">
        <f t="shared" si="18"/>
        <v>0</v>
      </c>
      <c r="AF11" s="41">
        <f t="shared" si="19"/>
        <v>0</v>
      </c>
      <c r="AG11" s="41">
        <f t="shared" si="20"/>
        <v>0</v>
      </c>
      <c r="AH11" s="41">
        <f t="shared" si="21"/>
        <v>0</v>
      </c>
      <c r="AI11" s="41">
        <f t="shared" si="22"/>
        <v>0</v>
      </c>
      <c r="AJ11" s="41">
        <f t="shared" si="23"/>
        <v>0</v>
      </c>
      <c r="AK11" s="10"/>
      <c r="AL11" s="10"/>
      <c r="AM11" s="7"/>
      <c r="AO11" s="138" t="str">
        <f t="shared" si="24"/>
        <v/>
      </c>
      <c r="AP11" s="42" t="str">
        <f t="shared" si="25"/>
        <v/>
      </c>
      <c r="AQ11" s="115">
        <f t="shared" si="26"/>
        <v>0</v>
      </c>
      <c r="AR11" s="9">
        <f t="shared" si="27"/>
        <v>7.8727224947442182E-3</v>
      </c>
      <c r="AS11" s="9">
        <f t="shared" si="28"/>
        <v>3163.5997130167048</v>
      </c>
    </row>
    <row r="12" spans="1:48" ht="15.75" thickBot="1" x14ac:dyDescent="0.3">
      <c r="A12" s="681"/>
      <c r="B12" s="242">
        <f>'Total - Detail'!B13</f>
        <v>8</v>
      </c>
      <c r="C12" s="127" t="str">
        <f>'Total - Detail'!C13</f>
        <v>Welder</v>
      </c>
      <c r="D12" s="418" t="s">
        <v>239</v>
      </c>
      <c r="E12" s="127" t="s">
        <v>55</v>
      </c>
      <c r="F12" s="128">
        <v>3406.6996909640943</v>
      </c>
      <c r="G12" s="128">
        <f t="shared" si="2"/>
        <v>0</v>
      </c>
      <c r="H12" s="129">
        <f t="shared" si="3"/>
        <v>3406.6996909640943</v>
      </c>
      <c r="I12" s="43"/>
      <c r="J12" s="146"/>
      <c r="K12" s="143">
        <f>'Ordering Period 2'!K12+('Ordering Period 2'!K12*Escalation!$D$3)</f>
        <v>0</v>
      </c>
      <c r="L12" s="369"/>
      <c r="M12" s="144">
        <f t="shared" si="4"/>
        <v>0</v>
      </c>
      <c r="N12" s="144">
        <f t="shared" si="5"/>
        <v>0</v>
      </c>
      <c r="O12" s="144">
        <f t="shared" si="6"/>
        <v>0</v>
      </c>
      <c r="P12" s="144">
        <f t="shared" si="7"/>
        <v>0</v>
      </c>
      <c r="Q12" s="144">
        <f t="shared" si="8"/>
        <v>0</v>
      </c>
      <c r="R12" s="143">
        <f t="shared" si="9"/>
        <v>0</v>
      </c>
      <c r="S12" s="143">
        <f t="shared" si="10"/>
        <v>0</v>
      </c>
      <c r="T12" s="143">
        <f t="shared" si="11"/>
        <v>0</v>
      </c>
      <c r="U12" s="149">
        <f t="shared" si="12"/>
        <v>0</v>
      </c>
      <c r="V12" s="143">
        <f t="shared" si="13"/>
        <v>0</v>
      </c>
      <c r="W12" s="145">
        <f t="shared" si="14"/>
        <v>0</v>
      </c>
      <c r="Y12" s="146"/>
      <c r="Z12" s="144">
        <f>'Ordering Period 2'!Z12+('Ordering Period 2'!Z12*Escalation!$D$3)</f>
        <v>0</v>
      </c>
      <c r="AA12" s="143">
        <f t="shared" si="15"/>
        <v>0</v>
      </c>
      <c r="AB12" s="144">
        <f t="shared" si="16"/>
        <v>0</v>
      </c>
      <c r="AC12" s="144">
        <f t="shared" si="17"/>
        <v>0</v>
      </c>
      <c r="AD12" s="144"/>
      <c r="AE12" s="143">
        <f t="shared" si="18"/>
        <v>0</v>
      </c>
      <c r="AF12" s="143">
        <f t="shared" si="19"/>
        <v>0</v>
      </c>
      <c r="AG12" s="143">
        <f t="shared" si="20"/>
        <v>0</v>
      </c>
      <c r="AH12" s="143">
        <f t="shared" si="21"/>
        <v>0</v>
      </c>
      <c r="AI12" s="143">
        <f t="shared" si="22"/>
        <v>0</v>
      </c>
      <c r="AJ12" s="143">
        <f t="shared" si="23"/>
        <v>0</v>
      </c>
      <c r="AK12" s="260"/>
      <c r="AL12" s="260"/>
      <c r="AM12" s="147"/>
      <c r="AO12" s="148" t="str">
        <f t="shared" si="24"/>
        <v/>
      </c>
      <c r="AP12" s="149" t="str">
        <f t="shared" si="25"/>
        <v/>
      </c>
      <c r="AQ12" s="145">
        <f t="shared" si="26"/>
        <v>0</v>
      </c>
      <c r="AR12" s="9">
        <f t="shared" si="27"/>
        <v>8.4776848283111411E-3</v>
      </c>
      <c r="AS12" s="9">
        <f t="shared" si="28"/>
        <v>3406.6996909640939</v>
      </c>
    </row>
    <row r="13" spans="1:48" ht="30.75" thickBot="1" x14ac:dyDescent="0.3">
      <c r="A13" s="504" t="s">
        <v>231</v>
      </c>
      <c r="B13" s="242">
        <f>'Total - Detail'!B14</f>
        <v>9</v>
      </c>
      <c r="C13" s="127" t="str">
        <f>'Total - Detail'!C14</f>
        <v xml:space="preserve">Instructor  </v>
      </c>
      <c r="D13" s="127" t="s">
        <v>237</v>
      </c>
      <c r="E13" s="127" t="s">
        <v>55</v>
      </c>
      <c r="F13" s="128">
        <v>47226.295715906184</v>
      </c>
      <c r="G13" s="128">
        <f t="shared" si="2"/>
        <v>0</v>
      </c>
      <c r="H13" s="129">
        <f t="shared" si="3"/>
        <v>47226.295715906184</v>
      </c>
      <c r="I13" s="43"/>
      <c r="J13" s="146"/>
      <c r="K13" s="143">
        <f>'Ordering Period 2'!K13+('Ordering Period 2'!K13*Escalation!$D$3)</f>
        <v>0</v>
      </c>
      <c r="L13" s="369"/>
      <c r="M13" s="144">
        <f t="shared" si="4"/>
        <v>0</v>
      </c>
      <c r="N13" s="144">
        <f t="shared" si="5"/>
        <v>0</v>
      </c>
      <c r="O13" s="144">
        <f t="shared" si="6"/>
        <v>0</v>
      </c>
      <c r="P13" s="144">
        <f t="shared" si="7"/>
        <v>0</v>
      </c>
      <c r="Q13" s="144">
        <f t="shared" si="8"/>
        <v>0</v>
      </c>
      <c r="R13" s="143">
        <f t="shared" si="9"/>
        <v>0</v>
      </c>
      <c r="S13" s="143">
        <f t="shared" si="10"/>
        <v>0</v>
      </c>
      <c r="T13" s="143">
        <f t="shared" si="11"/>
        <v>0</v>
      </c>
      <c r="U13" s="149">
        <f t="shared" si="12"/>
        <v>0</v>
      </c>
      <c r="V13" s="143">
        <f t="shared" si="13"/>
        <v>0</v>
      </c>
      <c r="W13" s="145">
        <f t="shared" si="14"/>
        <v>0</v>
      </c>
      <c r="Y13" s="380"/>
      <c r="Z13" s="379">
        <f>'Ordering Period 2'!Z13+('Ordering Period 2'!Z13*Escalation!$D$3)</f>
        <v>0</v>
      </c>
      <c r="AA13" s="378">
        <f t="shared" si="15"/>
        <v>0</v>
      </c>
      <c r="AB13" s="379">
        <f t="shared" si="16"/>
        <v>0</v>
      </c>
      <c r="AC13" s="379">
        <f t="shared" si="17"/>
        <v>0</v>
      </c>
      <c r="AD13" s="379"/>
      <c r="AE13" s="378">
        <f t="shared" si="18"/>
        <v>0</v>
      </c>
      <c r="AF13" s="378">
        <f t="shared" si="19"/>
        <v>0</v>
      </c>
      <c r="AG13" s="378">
        <f t="shared" si="20"/>
        <v>0</v>
      </c>
      <c r="AH13" s="378">
        <f t="shared" si="21"/>
        <v>0</v>
      </c>
      <c r="AI13" s="378">
        <f t="shared" si="22"/>
        <v>0</v>
      </c>
      <c r="AJ13" s="378">
        <f t="shared" si="23"/>
        <v>0</v>
      </c>
      <c r="AK13" s="390"/>
      <c r="AL13" s="390"/>
      <c r="AM13" s="381"/>
      <c r="AO13" s="148" t="str">
        <f t="shared" si="24"/>
        <v/>
      </c>
      <c r="AP13" s="149" t="str">
        <f t="shared" si="25"/>
        <v/>
      </c>
      <c r="AQ13" s="145">
        <f t="shared" si="26"/>
        <v>0</v>
      </c>
      <c r="AR13" s="9">
        <f t="shared" si="27"/>
        <v>0.11752419849334265</v>
      </c>
      <c r="AS13" s="9">
        <f t="shared" si="28"/>
        <v>47226.295715906177</v>
      </c>
    </row>
    <row r="14" spans="1:48" x14ac:dyDescent="0.25">
      <c r="A14" s="679" t="s">
        <v>207</v>
      </c>
      <c r="B14" s="241">
        <f>'Total - Detail'!B15</f>
        <v>4</v>
      </c>
      <c r="C14" s="101" t="str">
        <f>'Total - Detail'!C15</f>
        <v>Heavy Equipment Mechanic</v>
      </c>
      <c r="D14" s="101" t="s">
        <v>236</v>
      </c>
      <c r="E14" s="101" t="s">
        <v>55</v>
      </c>
      <c r="F14" s="35">
        <v>14445.198689615912</v>
      </c>
      <c r="G14" s="35">
        <f t="shared" si="2"/>
        <v>0</v>
      </c>
      <c r="H14" s="36">
        <f t="shared" si="3"/>
        <v>14445.198689615912</v>
      </c>
      <c r="I14" s="43"/>
      <c r="J14" s="109"/>
      <c r="K14" s="110">
        <f>'Ordering Period 2'!K14+('Ordering Period 2'!K14*Escalation!$D$3)</f>
        <v>0</v>
      </c>
      <c r="L14" s="367"/>
      <c r="M14" s="110">
        <f>M8</f>
        <v>0</v>
      </c>
      <c r="N14" s="110">
        <f t="shared" ref="N14:Q14" si="53">N8</f>
        <v>0</v>
      </c>
      <c r="O14" s="110">
        <f t="shared" si="53"/>
        <v>0</v>
      </c>
      <c r="P14" s="110">
        <f t="shared" si="53"/>
        <v>0</v>
      </c>
      <c r="Q14" s="110">
        <f t="shared" si="53"/>
        <v>0</v>
      </c>
      <c r="R14" s="110">
        <f t="shared" si="9"/>
        <v>0</v>
      </c>
      <c r="S14" s="110">
        <f t="shared" si="10"/>
        <v>0</v>
      </c>
      <c r="T14" s="110">
        <f t="shared" si="11"/>
        <v>0</v>
      </c>
      <c r="U14" s="113">
        <f t="shared" si="12"/>
        <v>0</v>
      </c>
      <c r="V14" s="110">
        <f t="shared" si="13"/>
        <v>0</v>
      </c>
      <c r="W14" s="112">
        <f t="shared" si="14"/>
        <v>0</v>
      </c>
      <c r="Y14" s="109"/>
      <c r="Z14" s="111">
        <f>'Ordering Period 2'!Z14+('Ordering Period 2'!Z14*Escalation!$D$3)</f>
        <v>0</v>
      </c>
      <c r="AA14" s="110">
        <f t="shared" si="15"/>
        <v>0</v>
      </c>
      <c r="AB14" s="111">
        <f t="shared" si="16"/>
        <v>0</v>
      </c>
      <c r="AC14" s="111">
        <f t="shared" si="17"/>
        <v>0</v>
      </c>
      <c r="AD14" s="111"/>
      <c r="AE14" s="110">
        <f t="shared" si="18"/>
        <v>0</v>
      </c>
      <c r="AF14" s="110">
        <f t="shared" si="19"/>
        <v>0</v>
      </c>
      <c r="AG14" s="110">
        <f t="shared" si="20"/>
        <v>0</v>
      </c>
      <c r="AH14" s="110">
        <f t="shared" si="21"/>
        <v>0</v>
      </c>
      <c r="AI14" s="110">
        <f t="shared" si="22"/>
        <v>0</v>
      </c>
      <c r="AJ14" s="110">
        <f t="shared" si="23"/>
        <v>0</v>
      </c>
      <c r="AK14" s="259"/>
      <c r="AL14" s="259"/>
      <c r="AM14" s="114"/>
      <c r="AO14" s="124" t="str">
        <f t="shared" si="24"/>
        <v/>
      </c>
      <c r="AP14" s="113" t="str">
        <f t="shared" si="25"/>
        <v/>
      </c>
      <c r="AQ14" s="112">
        <f t="shared" si="26"/>
        <v>0</v>
      </c>
      <c r="AR14" s="9">
        <f t="shared" si="27"/>
        <v>3.5947354590049045E-2</v>
      </c>
      <c r="AS14" s="9">
        <f t="shared" si="28"/>
        <v>14445.198689615911</v>
      </c>
    </row>
    <row r="15" spans="1:48" ht="15" customHeight="1" x14ac:dyDescent="0.25">
      <c r="A15" s="680"/>
      <c r="B15" s="240">
        <f>'Total - Detail'!B16</f>
        <v>5</v>
      </c>
      <c r="C15" s="100" t="str">
        <f>'Total - Detail'!C16</f>
        <v>Material Handling Specialist</v>
      </c>
      <c r="D15" s="100" t="s">
        <v>238</v>
      </c>
      <c r="E15" s="100" t="s">
        <v>55</v>
      </c>
      <c r="F15" s="39">
        <v>6328.2994259336247</v>
      </c>
      <c r="G15" s="39">
        <f t="shared" si="2"/>
        <v>0</v>
      </c>
      <c r="H15" s="40">
        <f t="shared" si="3"/>
        <v>6328.2994259336247</v>
      </c>
      <c r="I15" s="43"/>
      <c r="J15" s="137"/>
      <c r="K15" s="41">
        <f>'Ordering Period 2'!K15+('Ordering Period 2'!K15*Escalation!$D$3)</f>
        <v>0</v>
      </c>
      <c r="L15" s="368"/>
      <c r="M15" s="41">
        <f>M9</f>
        <v>0</v>
      </c>
      <c r="N15" s="41">
        <f t="shared" ref="N15:Q15" si="54">N9</f>
        <v>0</v>
      </c>
      <c r="O15" s="41">
        <f t="shared" si="54"/>
        <v>0</v>
      </c>
      <c r="P15" s="41">
        <f t="shared" si="54"/>
        <v>0</v>
      </c>
      <c r="Q15" s="41">
        <f t="shared" si="54"/>
        <v>0</v>
      </c>
      <c r="R15" s="41">
        <f t="shared" si="9"/>
        <v>0</v>
      </c>
      <c r="S15" s="41">
        <f t="shared" si="10"/>
        <v>0</v>
      </c>
      <c r="T15" s="41">
        <f t="shared" si="11"/>
        <v>0</v>
      </c>
      <c r="U15" s="42">
        <f t="shared" si="12"/>
        <v>0</v>
      </c>
      <c r="V15" s="41">
        <f t="shared" si="13"/>
        <v>0</v>
      </c>
      <c r="W15" s="115">
        <f t="shared" si="14"/>
        <v>0</v>
      </c>
      <c r="Y15" s="137"/>
      <c r="Z15" s="5">
        <f>'Ordering Period 2'!Z15+('Ordering Period 2'!Z15*Escalation!$D$3)</f>
        <v>0</v>
      </c>
      <c r="AA15" s="41">
        <f t="shared" si="15"/>
        <v>0</v>
      </c>
      <c r="AB15" s="5">
        <f t="shared" si="16"/>
        <v>0</v>
      </c>
      <c r="AC15" s="5">
        <f t="shared" si="17"/>
        <v>0</v>
      </c>
      <c r="AD15" s="5"/>
      <c r="AE15" s="41">
        <f t="shared" si="18"/>
        <v>0</v>
      </c>
      <c r="AF15" s="41">
        <f t="shared" si="19"/>
        <v>0</v>
      </c>
      <c r="AG15" s="41">
        <f t="shared" si="20"/>
        <v>0</v>
      </c>
      <c r="AH15" s="41">
        <f t="shared" si="21"/>
        <v>0</v>
      </c>
      <c r="AI15" s="41">
        <f t="shared" si="22"/>
        <v>0</v>
      </c>
      <c r="AJ15" s="41">
        <f t="shared" si="23"/>
        <v>0</v>
      </c>
      <c r="AK15" s="10"/>
      <c r="AL15" s="10"/>
      <c r="AM15" s="7"/>
      <c r="AO15" s="138" t="str">
        <f t="shared" si="24"/>
        <v/>
      </c>
      <c r="AP15" s="42" t="str">
        <f t="shared" si="25"/>
        <v/>
      </c>
      <c r="AQ15" s="115">
        <f t="shared" si="26"/>
        <v>0</v>
      </c>
      <c r="AR15" s="9">
        <f t="shared" si="27"/>
        <v>1.5748182375613175E-2</v>
      </c>
      <c r="AS15" s="9">
        <f t="shared" si="28"/>
        <v>6328.2994259336247</v>
      </c>
    </row>
    <row r="16" spans="1:48" ht="15.75" thickBot="1" x14ac:dyDescent="0.3">
      <c r="A16" s="680"/>
      <c r="B16" s="240">
        <f>'Total - Detail'!B17</f>
        <v>6</v>
      </c>
      <c r="C16" s="100" t="str">
        <f>'Total - Detail'!C17</f>
        <v>Inspector</v>
      </c>
      <c r="D16" s="100" t="s">
        <v>235</v>
      </c>
      <c r="E16" s="100" t="s">
        <v>55</v>
      </c>
      <c r="F16" s="39">
        <v>1981.0998202861908</v>
      </c>
      <c r="G16" s="39">
        <f t="shared" si="2"/>
        <v>0</v>
      </c>
      <c r="H16" s="40">
        <f t="shared" si="3"/>
        <v>1981.0998202861908</v>
      </c>
      <c r="I16" s="43"/>
      <c r="J16" s="137"/>
      <c r="K16" s="41">
        <v>0</v>
      </c>
      <c r="L16" s="368"/>
      <c r="M16" s="41">
        <f>M10</f>
        <v>0</v>
      </c>
      <c r="N16" s="41">
        <f t="shared" ref="N16:Q16" si="55">N10</f>
        <v>0</v>
      </c>
      <c r="O16" s="41">
        <f t="shared" si="55"/>
        <v>0</v>
      </c>
      <c r="P16" s="41">
        <f t="shared" si="55"/>
        <v>0</v>
      </c>
      <c r="Q16" s="41">
        <f t="shared" si="55"/>
        <v>0</v>
      </c>
      <c r="R16" s="41">
        <f t="shared" si="9"/>
        <v>0</v>
      </c>
      <c r="S16" s="41">
        <f t="shared" si="10"/>
        <v>0</v>
      </c>
      <c r="T16" s="41">
        <f t="shared" si="11"/>
        <v>0</v>
      </c>
      <c r="U16" s="42">
        <f t="shared" si="12"/>
        <v>0</v>
      </c>
      <c r="V16" s="41">
        <f t="shared" si="13"/>
        <v>0</v>
      </c>
      <c r="W16" s="115">
        <f t="shared" si="14"/>
        <v>0</v>
      </c>
      <c r="Y16" s="137"/>
      <c r="Z16" s="5">
        <f>'Ordering Period 2'!Z16+('Ordering Period 2'!Z16*Escalation!$D$3)</f>
        <v>0</v>
      </c>
      <c r="AA16" s="41">
        <f t="shared" si="15"/>
        <v>0</v>
      </c>
      <c r="AB16" s="5">
        <f t="shared" si="16"/>
        <v>0</v>
      </c>
      <c r="AC16" s="5">
        <f t="shared" si="17"/>
        <v>0</v>
      </c>
      <c r="AD16" s="5"/>
      <c r="AE16" s="41">
        <f t="shared" si="18"/>
        <v>0</v>
      </c>
      <c r="AF16" s="41">
        <f t="shared" si="19"/>
        <v>0</v>
      </c>
      <c r="AG16" s="41">
        <f t="shared" si="20"/>
        <v>0</v>
      </c>
      <c r="AH16" s="41">
        <f t="shared" si="21"/>
        <v>0</v>
      </c>
      <c r="AI16" s="41">
        <f t="shared" si="22"/>
        <v>0</v>
      </c>
      <c r="AJ16" s="41">
        <f t="shared" si="23"/>
        <v>0</v>
      </c>
      <c r="AK16" s="10"/>
      <c r="AL16" s="10"/>
      <c r="AM16" s="7"/>
      <c r="AO16" s="138" t="str">
        <f t="shared" si="24"/>
        <v/>
      </c>
      <c r="AP16" s="42" t="str">
        <f t="shared" si="25"/>
        <v/>
      </c>
      <c r="AQ16" s="115">
        <f t="shared" si="26"/>
        <v>0</v>
      </c>
      <c r="AR16" s="9">
        <f t="shared" si="27"/>
        <v>4.9300324106517157E-3</v>
      </c>
      <c r="AS16" s="9">
        <f t="shared" si="28"/>
        <v>1981.0998202861906</v>
      </c>
    </row>
    <row r="17" spans="1:47" ht="15.75" thickBot="1" x14ac:dyDescent="0.3">
      <c r="A17" s="681"/>
      <c r="B17" s="242">
        <f>'Total - Detail'!B18</f>
        <v>2</v>
      </c>
      <c r="C17" s="127" t="str">
        <f>'Total - Detail'!C18</f>
        <v>Field Service Representative</v>
      </c>
      <c r="D17" s="210" t="s">
        <v>289</v>
      </c>
      <c r="E17" s="127" t="s">
        <v>55</v>
      </c>
      <c r="F17" s="128">
        <v>3163.5997130167048</v>
      </c>
      <c r="G17" s="128">
        <f t="shared" si="2"/>
        <v>0</v>
      </c>
      <c r="H17" s="129">
        <f t="shared" si="3"/>
        <v>3163.5997130167048</v>
      </c>
      <c r="I17" s="43"/>
      <c r="J17" s="146"/>
      <c r="K17" s="143">
        <f>'Ordering Period 2'!K17+('Ordering Period 2'!K17*Escalation!$D$3)</f>
        <v>0</v>
      </c>
      <c r="L17" s="369"/>
      <c r="M17" s="143">
        <f>M6</f>
        <v>0</v>
      </c>
      <c r="N17" s="143">
        <f>N6</f>
        <v>0</v>
      </c>
      <c r="O17" s="143">
        <f>O6</f>
        <v>0</v>
      </c>
      <c r="P17" s="143">
        <f>P6</f>
        <v>0</v>
      </c>
      <c r="Q17" s="143">
        <f>Q6</f>
        <v>0</v>
      </c>
      <c r="R17" s="143">
        <f t="shared" si="9"/>
        <v>0</v>
      </c>
      <c r="S17" s="143">
        <f t="shared" si="10"/>
        <v>0</v>
      </c>
      <c r="T17" s="143">
        <f t="shared" si="11"/>
        <v>0</v>
      </c>
      <c r="U17" s="149">
        <f t="shared" si="12"/>
        <v>0</v>
      </c>
      <c r="V17" s="143">
        <f t="shared" si="13"/>
        <v>0</v>
      </c>
      <c r="W17" s="145">
        <f t="shared" si="14"/>
        <v>0</v>
      </c>
      <c r="Y17" s="146"/>
      <c r="Z17" s="144">
        <f>'Ordering Period 2'!Z17+('Ordering Period 2'!Z17*Escalation!$D$3)</f>
        <v>0</v>
      </c>
      <c r="AA17" s="143">
        <f t="shared" si="15"/>
        <v>0</v>
      </c>
      <c r="AB17" s="144">
        <f t="shared" si="16"/>
        <v>0</v>
      </c>
      <c r="AC17" s="144">
        <f t="shared" si="17"/>
        <v>0</v>
      </c>
      <c r="AD17" s="144"/>
      <c r="AE17" s="143">
        <f t="shared" si="18"/>
        <v>0</v>
      </c>
      <c r="AF17" s="143">
        <f t="shared" si="19"/>
        <v>0</v>
      </c>
      <c r="AG17" s="143">
        <f t="shared" si="20"/>
        <v>0</v>
      </c>
      <c r="AH17" s="143">
        <f t="shared" si="21"/>
        <v>0</v>
      </c>
      <c r="AI17" s="143">
        <f t="shared" si="22"/>
        <v>0</v>
      </c>
      <c r="AJ17" s="143">
        <f t="shared" si="23"/>
        <v>0</v>
      </c>
      <c r="AK17" s="260"/>
      <c r="AL17" s="260"/>
      <c r="AM17" s="147"/>
      <c r="AO17" s="148" t="str">
        <f t="shared" si="24"/>
        <v/>
      </c>
      <c r="AP17" s="149" t="str">
        <f t="shared" si="25"/>
        <v/>
      </c>
      <c r="AQ17" s="145">
        <f t="shared" si="26"/>
        <v>0</v>
      </c>
      <c r="AR17" s="9">
        <f t="shared" si="27"/>
        <v>7.8727224947442182E-3</v>
      </c>
      <c r="AS17" s="9">
        <f t="shared" si="28"/>
        <v>3163.5997130167048</v>
      </c>
    </row>
    <row r="18" spans="1:47" ht="15" customHeight="1" x14ac:dyDescent="0.25">
      <c r="A18" s="679" t="s">
        <v>208</v>
      </c>
      <c r="B18" s="241">
        <f>'Total - Detail'!B19</f>
        <v>2</v>
      </c>
      <c r="C18" s="101" t="str">
        <f>'Total - Detail'!C19</f>
        <v>Field Service Representative</v>
      </c>
      <c r="D18" s="101" t="s">
        <v>289</v>
      </c>
      <c r="E18" s="101" t="s">
        <v>55</v>
      </c>
      <c r="F18" s="35">
        <v>1814.9998353538119</v>
      </c>
      <c r="G18" s="35">
        <f t="shared" si="2"/>
        <v>0</v>
      </c>
      <c r="H18" s="36">
        <f t="shared" si="3"/>
        <v>1814.9998353538119</v>
      </c>
      <c r="I18" s="43"/>
      <c r="J18" s="109"/>
      <c r="K18" s="110">
        <f>'Ordering Period 2'!K18+('Ordering Period 2'!K18*Escalation!$D$3)</f>
        <v>0</v>
      </c>
      <c r="L18" s="367"/>
      <c r="M18" s="110">
        <f>M6</f>
        <v>0</v>
      </c>
      <c r="N18" s="110">
        <f>N6</f>
        <v>0</v>
      </c>
      <c r="O18" s="110">
        <f>O6</f>
        <v>0</v>
      </c>
      <c r="P18" s="110">
        <f>P6</f>
        <v>0</v>
      </c>
      <c r="Q18" s="110">
        <f>Q6</f>
        <v>0</v>
      </c>
      <c r="R18" s="110">
        <f t="shared" si="9"/>
        <v>0</v>
      </c>
      <c r="S18" s="110">
        <f t="shared" si="10"/>
        <v>0</v>
      </c>
      <c r="T18" s="110">
        <f t="shared" si="11"/>
        <v>0</v>
      </c>
      <c r="U18" s="113">
        <f t="shared" si="12"/>
        <v>0</v>
      </c>
      <c r="V18" s="110">
        <f t="shared" si="13"/>
        <v>0</v>
      </c>
      <c r="W18" s="112">
        <f t="shared" si="14"/>
        <v>0</v>
      </c>
      <c r="Y18" s="109"/>
      <c r="Z18" s="111">
        <f>'Ordering Period 2'!Z18+('Ordering Period 2'!Z18*Escalation!$D$3)</f>
        <v>0</v>
      </c>
      <c r="AA18" s="110">
        <f t="shared" si="15"/>
        <v>0</v>
      </c>
      <c r="AB18" s="111">
        <f t="shared" si="16"/>
        <v>0</v>
      </c>
      <c r="AC18" s="111">
        <f t="shared" si="17"/>
        <v>0</v>
      </c>
      <c r="AD18" s="111"/>
      <c r="AE18" s="110">
        <f t="shared" si="18"/>
        <v>0</v>
      </c>
      <c r="AF18" s="110">
        <f t="shared" si="19"/>
        <v>0</v>
      </c>
      <c r="AG18" s="110">
        <f t="shared" si="20"/>
        <v>0</v>
      </c>
      <c r="AH18" s="110">
        <f t="shared" si="21"/>
        <v>0</v>
      </c>
      <c r="AI18" s="110">
        <f t="shared" si="22"/>
        <v>0</v>
      </c>
      <c r="AJ18" s="110">
        <f t="shared" si="23"/>
        <v>0</v>
      </c>
      <c r="AK18" s="259"/>
      <c r="AL18" s="259"/>
      <c r="AM18" s="114"/>
      <c r="AO18" s="124" t="str">
        <f t="shared" si="24"/>
        <v/>
      </c>
      <c r="AP18" s="113" t="str">
        <f t="shared" si="25"/>
        <v/>
      </c>
      <c r="AQ18" s="112">
        <f t="shared" si="26"/>
        <v>0</v>
      </c>
      <c r="AR18" s="9">
        <f t="shared" si="27"/>
        <v>4.5166871058163974E-3</v>
      </c>
      <c r="AS18" s="9">
        <f t="shared" si="28"/>
        <v>1814.9998353538117</v>
      </c>
    </row>
    <row r="19" spans="1:47" x14ac:dyDescent="0.25">
      <c r="A19" s="680"/>
      <c r="B19" s="240">
        <f>'Total - Detail'!B20</f>
        <v>10</v>
      </c>
      <c r="C19" s="100" t="str">
        <f>'Total - Detail'!C20</f>
        <v>MWO Installer</v>
      </c>
      <c r="D19" s="100" t="s">
        <v>288</v>
      </c>
      <c r="E19" s="100" t="s">
        <v>55</v>
      </c>
      <c r="F19" s="39">
        <v>23634.597856007273</v>
      </c>
      <c r="G19" s="39">
        <f t="shared" si="2"/>
        <v>0</v>
      </c>
      <c r="H19" s="40">
        <f t="shared" si="3"/>
        <v>23634.597856007273</v>
      </c>
      <c r="I19" s="43"/>
      <c r="J19" s="137"/>
      <c r="K19" s="41">
        <f>'Ordering Period 2'!K19+('Ordering Period 2'!K19*Escalation!$D$3)</f>
        <v>0</v>
      </c>
      <c r="L19" s="368"/>
      <c r="M19" s="5">
        <f t="shared" si="4"/>
        <v>0</v>
      </c>
      <c r="N19" s="5">
        <f t="shared" si="5"/>
        <v>0</v>
      </c>
      <c r="O19" s="5">
        <f t="shared" si="6"/>
        <v>0</v>
      </c>
      <c r="P19" s="5">
        <f t="shared" si="7"/>
        <v>0</v>
      </c>
      <c r="Q19" s="5">
        <f t="shared" si="8"/>
        <v>0</v>
      </c>
      <c r="R19" s="41">
        <f t="shared" si="9"/>
        <v>0</v>
      </c>
      <c r="S19" s="41">
        <f t="shared" si="10"/>
        <v>0</v>
      </c>
      <c r="T19" s="41">
        <f t="shared" si="11"/>
        <v>0</v>
      </c>
      <c r="U19" s="42">
        <f t="shared" si="12"/>
        <v>0</v>
      </c>
      <c r="V19" s="41">
        <f t="shared" si="13"/>
        <v>0</v>
      </c>
      <c r="W19" s="115">
        <f t="shared" si="14"/>
        <v>0</v>
      </c>
      <c r="Y19" s="137"/>
      <c r="Z19" s="5">
        <f>'Ordering Period 2'!Z19+('Ordering Period 2'!Z19*Escalation!$D$3)</f>
        <v>0</v>
      </c>
      <c r="AA19" s="41">
        <f t="shared" si="15"/>
        <v>0</v>
      </c>
      <c r="AB19" s="5">
        <f t="shared" si="16"/>
        <v>0</v>
      </c>
      <c r="AC19" s="5">
        <f t="shared" si="17"/>
        <v>0</v>
      </c>
      <c r="AD19" s="5"/>
      <c r="AE19" s="41">
        <f t="shared" si="18"/>
        <v>0</v>
      </c>
      <c r="AF19" s="41">
        <f t="shared" si="19"/>
        <v>0</v>
      </c>
      <c r="AG19" s="41">
        <f t="shared" si="20"/>
        <v>0</v>
      </c>
      <c r="AH19" s="41">
        <f t="shared" si="21"/>
        <v>0</v>
      </c>
      <c r="AI19" s="41">
        <f t="shared" si="22"/>
        <v>0</v>
      </c>
      <c r="AJ19" s="41">
        <f t="shared" si="23"/>
        <v>0</v>
      </c>
      <c r="AK19" s="10"/>
      <c r="AL19" s="10"/>
      <c r="AM19" s="7"/>
      <c r="AO19" s="138" t="str">
        <f t="shared" si="24"/>
        <v/>
      </c>
      <c r="AP19" s="42" t="str">
        <f t="shared" si="25"/>
        <v/>
      </c>
      <c r="AQ19" s="115">
        <f t="shared" si="26"/>
        <v>0</v>
      </c>
      <c r="AR19" s="9">
        <f t="shared" si="27"/>
        <v>5.88154782761037E-2</v>
      </c>
      <c r="AS19" s="9">
        <f t="shared" si="28"/>
        <v>23634.597856007269</v>
      </c>
    </row>
    <row r="20" spans="1:47" x14ac:dyDescent="0.25">
      <c r="A20" s="680"/>
      <c r="B20" s="240">
        <f>'Total - Detail'!B21</f>
        <v>6</v>
      </c>
      <c r="C20" s="100" t="str">
        <f>'Total - Detail'!C21</f>
        <v>Inspector</v>
      </c>
      <c r="D20" s="100" t="s">
        <v>240</v>
      </c>
      <c r="E20" s="100" t="s">
        <v>55</v>
      </c>
      <c r="F20" s="39">
        <v>6135.7994433960985</v>
      </c>
      <c r="G20" s="39">
        <f t="shared" si="2"/>
        <v>0</v>
      </c>
      <c r="H20" s="40">
        <f t="shared" si="3"/>
        <v>6135.7994433960985</v>
      </c>
      <c r="I20" s="43"/>
      <c r="J20" s="137"/>
      <c r="K20" s="41">
        <f>'Ordering Period 2'!K20+('Ordering Period 2'!K20*Escalation!$D$3)</f>
        <v>0</v>
      </c>
      <c r="L20" s="368"/>
      <c r="M20" s="41">
        <f>M10</f>
        <v>0</v>
      </c>
      <c r="N20" s="41">
        <f t="shared" ref="N20:Q20" si="56">N10</f>
        <v>0</v>
      </c>
      <c r="O20" s="41">
        <f t="shared" si="56"/>
        <v>0</v>
      </c>
      <c r="P20" s="41">
        <f t="shared" si="56"/>
        <v>0</v>
      </c>
      <c r="Q20" s="41">
        <f t="shared" si="56"/>
        <v>0</v>
      </c>
      <c r="R20" s="41">
        <f t="shared" si="9"/>
        <v>0</v>
      </c>
      <c r="S20" s="41">
        <f t="shared" si="10"/>
        <v>0</v>
      </c>
      <c r="T20" s="41">
        <f t="shared" si="11"/>
        <v>0</v>
      </c>
      <c r="U20" s="42">
        <f t="shared" si="12"/>
        <v>0</v>
      </c>
      <c r="V20" s="41">
        <f t="shared" si="13"/>
        <v>0</v>
      </c>
      <c r="W20" s="115">
        <f t="shared" si="14"/>
        <v>0</v>
      </c>
      <c r="Y20" s="137"/>
      <c r="Z20" s="5">
        <f>'Ordering Period 2'!Z20+('Ordering Period 2'!Z20*Escalation!$D$3)</f>
        <v>0</v>
      </c>
      <c r="AA20" s="41">
        <f t="shared" si="15"/>
        <v>0</v>
      </c>
      <c r="AB20" s="5">
        <f t="shared" si="16"/>
        <v>0</v>
      </c>
      <c r="AC20" s="5">
        <f t="shared" si="17"/>
        <v>0</v>
      </c>
      <c r="AD20" s="5"/>
      <c r="AE20" s="41">
        <f t="shared" si="18"/>
        <v>0</v>
      </c>
      <c r="AF20" s="41">
        <f t="shared" si="19"/>
        <v>0</v>
      </c>
      <c r="AG20" s="41">
        <f t="shared" si="20"/>
        <v>0</v>
      </c>
      <c r="AH20" s="41">
        <f t="shared" si="21"/>
        <v>0</v>
      </c>
      <c r="AI20" s="41">
        <f t="shared" si="22"/>
        <v>0</v>
      </c>
      <c r="AJ20" s="41">
        <f t="shared" si="23"/>
        <v>0</v>
      </c>
      <c r="AK20" s="10"/>
      <c r="AL20" s="10"/>
      <c r="AM20" s="7"/>
      <c r="AO20" s="138" t="str">
        <f t="shared" si="24"/>
        <v/>
      </c>
      <c r="AP20" s="42" t="str">
        <f t="shared" si="25"/>
        <v/>
      </c>
      <c r="AQ20" s="115">
        <f t="shared" si="26"/>
        <v>0</v>
      </c>
      <c r="AR20" s="9">
        <f t="shared" si="27"/>
        <v>1.526913980378416E-2</v>
      </c>
      <c r="AS20" s="9">
        <f t="shared" si="28"/>
        <v>6135.7994433960976</v>
      </c>
    </row>
    <row r="21" spans="1:47" ht="15.75" thickBot="1" x14ac:dyDescent="0.3">
      <c r="A21" s="681"/>
      <c r="B21" s="242">
        <f>'Total - Detail'!B22</f>
        <v>8</v>
      </c>
      <c r="C21" s="127" t="str">
        <f>'Total - Detail'!C22</f>
        <v>Welder</v>
      </c>
      <c r="D21" s="127" t="s">
        <v>239</v>
      </c>
      <c r="E21" s="127" t="s">
        <v>55</v>
      </c>
      <c r="F21" s="128">
        <v>4718.9995719199114</v>
      </c>
      <c r="G21" s="128">
        <f t="shared" si="2"/>
        <v>0</v>
      </c>
      <c r="H21" s="129">
        <f t="shared" si="3"/>
        <v>4718.9995719199114</v>
      </c>
      <c r="I21" s="43"/>
      <c r="J21" s="146"/>
      <c r="K21" s="143">
        <f>'Ordering Period 2'!K21+('Ordering Period 2'!K21*Escalation!$D$3)</f>
        <v>0</v>
      </c>
      <c r="L21" s="369"/>
      <c r="M21" s="143">
        <f>M12</f>
        <v>0</v>
      </c>
      <c r="N21" s="143">
        <f t="shared" ref="N21:Q21" si="57">N12</f>
        <v>0</v>
      </c>
      <c r="O21" s="143">
        <f t="shared" si="57"/>
        <v>0</v>
      </c>
      <c r="P21" s="143">
        <f t="shared" si="57"/>
        <v>0</v>
      </c>
      <c r="Q21" s="143">
        <f t="shared" si="57"/>
        <v>0</v>
      </c>
      <c r="R21" s="143">
        <f t="shared" si="9"/>
        <v>0</v>
      </c>
      <c r="S21" s="143">
        <f t="shared" si="10"/>
        <v>0</v>
      </c>
      <c r="T21" s="143">
        <f t="shared" si="11"/>
        <v>0</v>
      </c>
      <c r="U21" s="149">
        <f t="shared" si="12"/>
        <v>0</v>
      </c>
      <c r="V21" s="143">
        <f t="shared" si="13"/>
        <v>0</v>
      </c>
      <c r="W21" s="145">
        <f t="shared" si="14"/>
        <v>0</v>
      </c>
      <c r="Y21" s="146"/>
      <c r="Z21" s="144">
        <f>'Ordering Period 2'!Z21+('Ordering Period 2'!Z21*Escalation!$D$3)</f>
        <v>0</v>
      </c>
      <c r="AA21" s="143">
        <f t="shared" si="15"/>
        <v>0</v>
      </c>
      <c r="AB21" s="144">
        <f t="shared" si="16"/>
        <v>0</v>
      </c>
      <c r="AC21" s="144">
        <f t="shared" si="17"/>
        <v>0</v>
      </c>
      <c r="AD21" s="144"/>
      <c r="AE21" s="143">
        <f t="shared" si="18"/>
        <v>0</v>
      </c>
      <c r="AF21" s="143">
        <f t="shared" si="19"/>
        <v>0</v>
      </c>
      <c r="AG21" s="143">
        <f t="shared" si="20"/>
        <v>0</v>
      </c>
      <c r="AH21" s="143">
        <f t="shared" si="21"/>
        <v>0</v>
      </c>
      <c r="AI21" s="143">
        <f t="shared" si="22"/>
        <v>0</v>
      </c>
      <c r="AJ21" s="143">
        <f t="shared" si="23"/>
        <v>0</v>
      </c>
      <c r="AK21" s="260"/>
      <c r="AL21" s="260"/>
      <c r="AM21" s="147"/>
      <c r="AO21" s="148" t="str">
        <f t="shared" si="24"/>
        <v/>
      </c>
      <c r="AP21" s="149" t="str">
        <f t="shared" si="25"/>
        <v/>
      </c>
      <c r="AQ21" s="145">
        <f t="shared" si="26"/>
        <v>0</v>
      </c>
      <c r="AR21" s="9">
        <f t="shared" si="27"/>
        <v>1.1743386475122635E-2</v>
      </c>
      <c r="AS21" s="9">
        <f t="shared" si="28"/>
        <v>4718.9995719199114</v>
      </c>
    </row>
    <row r="22" spans="1:47" ht="18" thickBot="1" x14ac:dyDescent="0.35">
      <c r="A22" s="419" t="s">
        <v>77</v>
      </c>
      <c r="B22" s="58"/>
      <c r="C22" s="11"/>
      <c r="D22" s="17"/>
      <c r="E22" s="11"/>
      <c r="F22" s="424"/>
      <c r="G22" s="424"/>
      <c r="H22" s="425"/>
      <c r="I22" s="99"/>
      <c r="J22" s="406"/>
      <c r="K22" s="426"/>
      <c r="L22" s="407"/>
      <c r="M22" s="407"/>
      <c r="N22" s="407"/>
      <c r="O22" s="407"/>
      <c r="P22" s="407"/>
      <c r="Q22" s="407"/>
      <c r="R22" s="407"/>
      <c r="S22" s="407"/>
      <c r="T22" s="407"/>
      <c r="U22" s="407"/>
      <c r="V22" s="407"/>
      <c r="W22" s="427"/>
      <c r="Y22" s="406"/>
      <c r="Z22" s="407"/>
      <c r="AA22" s="407"/>
      <c r="AB22" s="407"/>
      <c r="AC22" s="407"/>
      <c r="AD22" s="407"/>
      <c r="AE22" s="407"/>
      <c r="AF22" s="407"/>
      <c r="AG22" s="407"/>
      <c r="AH22" s="407"/>
      <c r="AI22" s="407"/>
      <c r="AJ22" s="407"/>
      <c r="AK22" s="408"/>
      <c r="AL22" s="408"/>
      <c r="AM22" s="409"/>
      <c r="AO22" s="428"/>
      <c r="AP22" s="429"/>
      <c r="AQ22" s="427"/>
    </row>
    <row r="23" spans="1:47" ht="15.75" thickBot="1" x14ac:dyDescent="0.3">
      <c r="A23" s="694" t="s">
        <v>43</v>
      </c>
      <c r="B23" s="415">
        <f>'Total - Detail'!B24</f>
        <v>11</v>
      </c>
      <c r="C23" s="210" t="str">
        <f>'Total - Detail'!C24</f>
        <v xml:space="preserve">Field Service Representative </v>
      </c>
      <c r="D23" s="210" t="s">
        <v>289</v>
      </c>
      <c r="E23" s="210" t="s">
        <v>77</v>
      </c>
      <c r="F23" s="211">
        <v>6177.7094395942677</v>
      </c>
      <c r="G23" s="211">
        <f t="shared" ref="G23:G38" si="58">SUM(J23,Y23)</f>
        <v>0</v>
      </c>
      <c r="H23" s="212">
        <f t="shared" ref="H23:H38" si="59">F23-G23</f>
        <v>6177.7094395942677</v>
      </c>
      <c r="I23" s="43"/>
      <c r="J23" s="214"/>
      <c r="K23" s="216">
        <f>'Ordering Period 2'!K23+('Ordering Period 2'!K23*Escalation!$D$3)</f>
        <v>0</v>
      </c>
      <c r="L23" s="249">
        <f t="shared" ref="L23:L36" si="60">(K23*$L$4)</f>
        <v>0</v>
      </c>
      <c r="M23" s="249">
        <f t="shared" ref="M23:M36" si="61">(K23+L23)*$M$4</f>
        <v>0</v>
      </c>
      <c r="N23" s="249">
        <f t="shared" ref="N23:N36" si="62">(M23+L23+K23)*$N$4</f>
        <v>0</v>
      </c>
      <c r="O23" s="249">
        <f t="shared" ref="O23:O36" si="63">(K23+L23+M23)*$O$4</f>
        <v>0</v>
      </c>
      <c r="P23" s="249">
        <f t="shared" ref="P23:P36" si="64">(K23+L23+M23+N23+O23)*$P$4</f>
        <v>0</v>
      </c>
      <c r="Q23" s="249">
        <f t="shared" ref="Q23:Q36" si="65">(K23+M23+N23+O23+P23)*$Q$4</f>
        <v>0</v>
      </c>
      <c r="R23" s="216">
        <f t="shared" ref="R23:R38" si="66">SUM(K23:Q23)</f>
        <v>0</v>
      </c>
      <c r="S23" s="216">
        <f t="shared" ref="S23:S38" si="67">(R23-Q23)*$S$4</f>
        <v>0</v>
      </c>
      <c r="T23" s="216">
        <f t="shared" ref="T23:T38" si="68">SUM(R23:S23)</f>
        <v>0</v>
      </c>
      <c r="U23" s="216">
        <f t="shared" ref="U23:U38" si="69">R23*J23</f>
        <v>0</v>
      </c>
      <c r="V23" s="216">
        <f t="shared" ref="V23:V38" si="70">S23*J23</f>
        <v>0</v>
      </c>
      <c r="W23" s="217">
        <f t="shared" ref="W23:W38" si="71">T23*J23</f>
        <v>0</v>
      </c>
      <c r="Y23" s="214"/>
      <c r="Z23" s="249">
        <f>'Ordering Period 2'!Z23+('Ordering Period 2'!Z23*Escalation!$D$3)</f>
        <v>0</v>
      </c>
      <c r="AA23" s="216">
        <f t="shared" ref="AA23:AA38" si="72">IF($Y23&gt;0,$Z23,0)</f>
        <v>0</v>
      </c>
      <c r="AB23" s="249">
        <f t="shared" ref="AB23:AB38" si="73">(AA23*$AB$4)</f>
        <v>0</v>
      </c>
      <c r="AC23" s="249">
        <f t="shared" ref="AC23:AC38" si="74">(AA23+AB23)*$AC$4</f>
        <v>0</v>
      </c>
      <c r="AD23" s="249"/>
      <c r="AE23" s="216">
        <f t="shared" ref="AE23:AE38" si="75">SUM(AA23:AD23)</f>
        <v>0</v>
      </c>
      <c r="AF23" s="216">
        <f t="shared" ref="AF23:AF38" si="76">$AF$4*(AC23+AA23+AB23)</f>
        <v>0</v>
      </c>
      <c r="AG23" s="216">
        <f t="shared" ref="AG23:AG38" si="77">SUM(AE23:AF23)</f>
        <v>0</v>
      </c>
      <c r="AH23" s="216">
        <f t="shared" ref="AH23:AH38" si="78">AE23*Y23</f>
        <v>0</v>
      </c>
      <c r="AI23" s="216">
        <f t="shared" ref="AI23:AI38" si="79">AF23*Y23</f>
        <v>0</v>
      </c>
      <c r="AJ23" s="216">
        <f t="shared" ref="AJ23:AJ38" si="80">AG23*Y23</f>
        <v>0</v>
      </c>
      <c r="AK23" s="433"/>
      <c r="AL23" s="433"/>
      <c r="AM23" s="250"/>
      <c r="AO23" s="252" t="str">
        <f t="shared" ref="AO23:AO38" si="81">IFERROR(SUM(U23,AH23)/G23,"")</f>
        <v/>
      </c>
      <c r="AP23" s="253" t="str">
        <f t="shared" ref="AP23:AP38" si="82">IFERROR(SUM(V23,AI23)/G23,"")</f>
        <v/>
      </c>
      <c r="AQ23" s="217">
        <f t="shared" ref="AQ23:AQ38" si="83">SUM(AO23:AP23)</f>
        <v>0</v>
      </c>
      <c r="AR23" s="9">
        <f t="shared" ref="AR23:AR38" si="84">F23/$F$41</f>
        <v>1.5373434215136646E-2</v>
      </c>
      <c r="AS23" s="9">
        <f t="shared" ref="AS23:AS38" si="85">AR23*$AV$5</f>
        <v>6177.7094395942668</v>
      </c>
    </row>
    <row r="24" spans="1:47" ht="15.75" thickBot="1" x14ac:dyDescent="0.3">
      <c r="A24" s="712"/>
      <c r="B24" s="627">
        <f>'Total - Detail'!B25</f>
        <v>12</v>
      </c>
      <c r="C24" s="628" t="s">
        <v>290</v>
      </c>
      <c r="D24" s="257" t="s">
        <v>240</v>
      </c>
      <c r="E24" s="257" t="s">
        <v>77</v>
      </c>
      <c r="F24" s="629">
        <v>11472.888959246498</v>
      </c>
      <c r="G24" s="629"/>
      <c r="H24" s="212">
        <f t="shared" si="59"/>
        <v>11472.888959246498</v>
      </c>
      <c r="I24" s="43"/>
      <c r="J24" s="218"/>
      <c r="K24" s="219"/>
      <c r="L24" s="254"/>
      <c r="M24" s="249">
        <f t="shared" ref="M24" si="86">(K24*$M$4)</f>
        <v>0</v>
      </c>
      <c r="N24" s="249">
        <f t="shared" ref="N24" si="87">(M24+K24)*$N$4</f>
        <v>0</v>
      </c>
      <c r="O24" s="249">
        <f t="shared" ref="O24" si="88">(K24+M24)*$O$4</f>
        <v>0</v>
      </c>
      <c r="P24" s="249">
        <f t="shared" ref="P24" si="89">(M24+K24+N24+O24)*$P$4</f>
        <v>0</v>
      </c>
      <c r="Q24" s="249">
        <f t="shared" si="65"/>
        <v>0</v>
      </c>
      <c r="R24" s="216">
        <f t="shared" si="66"/>
        <v>0</v>
      </c>
      <c r="S24" s="216">
        <f t="shared" si="67"/>
        <v>0</v>
      </c>
      <c r="T24" s="216">
        <f t="shared" si="68"/>
        <v>0</v>
      </c>
      <c r="U24" s="253">
        <f t="shared" si="69"/>
        <v>0</v>
      </c>
      <c r="V24" s="216">
        <f t="shared" si="70"/>
        <v>0</v>
      </c>
      <c r="W24" s="217">
        <f t="shared" si="71"/>
        <v>0</v>
      </c>
      <c r="Y24" s="214"/>
      <c r="Z24" s="249">
        <f>'Ordering Period 2'!Z24+('Ordering Period 2'!Z24*Escalation!$D$3)</f>
        <v>0</v>
      </c>
      <c r="AA24" s="216">
        <f t="shared" si="72"/>
        <v>0</v>
      </c>
      <c r="AB24" s="249">
        <f t="shared" si="73"/>
        <v>0</v>
      </c>
      <c r="AC24" s="249">
        <f t="shared" si="74"/>
        <v>0</v>
      </c>
      <c r="AD24" s="249"/>
      <c r="AE24" s="216">
        <f t="shared" si="75"/>
        <v>0</v>
      </c>
      <c r="AF24" s="216">
        <f t="shared" si="76"/>
        <v>0</v>
      </c>
      <c r="AG24" s="216">
        <f t="shared" si="77"/>
        <v>0</v>
      </c>
      <c r="AH24" s="216">
        <f t="shared" si="78"/>
        <v>0</v>
      </c>
      <c r="AI24" s="216">
        <f t="shared" si="79"/>
        <v>0</v>
      </c>
      <c r="AJ24" s="216">
        <f t="shared" si="80"/>
        <v>0</v>
      </c>
      <c r="AK24" s="433"/>
      <c r="AL24" s="433"/>
      <c r="AM24" s="250"/>
      <c r="AO24" s="252" t="str">
        <f t="shared" si="81"/>
        <v/>
      </c>
      <c r="AP24" s="253" t="str">
        <f t="shared" si="82"/>
        <v/>
      </c>
      <c r="AQ24" s="217">
        <f t="shared" si="83"/>
        <v>0</v>
      </c>
      <c r="AR24" s="9">
        <f t="shared" si="84"/>
        <v>2.8550663542396632E-2</v>
      </c>
      <c r="AS24" s="9">
        <f t="shared" si="85"/>
        <v>11472.888959246497</v>
      </c>
    </row>
    <row r="25" spans="1:47" s="11" customFormat="1" x14ac:dyDescent="0.25">
      <c r="A25" s="680" t="s">
        <v>205</v>
      </c>
      <c r="B25" s="414">
        <f>'Total - Detail'!B26</f>
        <v>13</v>
      </c>
      <c r="C25" s="159" t="str">
        <f>'Total - Detail'!C26</f>
        <v>Heavy Equipment Mechanic</v>
      </c>
      <c r="D25" s="101" t="s">
        <v>236</v>
      </c>
      <c r="E25" s="101" t="s">
        <v>77</v>
      </c>
      <c r="F25" s="160">
        <v>668.79993933037429</v>
      </c>
      <c r="G25" s="160">
        <f t="shared" si="58"/>
        <v>0</v>
      </c>
      <c r="H25" s="161">
        <f t="shared" si="59"/>
        <v>668.79993933037429</v>
      </c>
      <c r="I25" s="43"/>
      <c r="J25" s="109"/>
      <c r="K25" s="110">
        <f>'Ordering Period 2'!K25+('Ordering Period 2'!K25*Escalation!$D$3)</f>
        <v>0</v>
      </c>
      <c r="L25" s="111">
        <f t="shared" si="60"/>
        <v>0</v>
      </c>
      <c r="M25" s="111">
        <f t="shared" si="61"/>
        <v>0</v>
      </c>
      <c r="N25" s="111">
        <f t="shared" si="62"/>
        <v>0</v>
      </c>
      <c r="O25" s="111">
        <f t="shared" si="63"/>
        <v>0</v>
      </c>
      <c r="P25" s="111">
        <f t="shared" si="64"/>
        <v>0</v>
      </c>
      <c r="Q25" s="111">
        <f t="shared" si="65"/>
        <v>0</v>
      </c>
      <c r="R25" s="110">
        <f t="shared" si="66"/>
        <v>0</v>
      </c>
      <c r="S25" s="110">
        <f t="shared" si="67"/>
        <v>0</v>
      </c>
      <c r="T25" s="110">
        <f t="shared" si="68"/>
        <v>0</v>
      </c>
      <c r="U25" s="110">
        <f t="shared" si="69"/>
        <v>0</v>
      </c>
      <c r="V25" s="110">
        <f t="shared" si="70"/>
        <v>0</v>
      </c>
      <c r="W25" s="112">
        <f t="shared" si="71"/>
        <v>0</v>
      </c>
      <c r="X25" s="9"/>
      <c r="Y25" s="3"/>
      <c r="Z25" s="4">
        <f>'Ordering Period 2'!Z25+('Ordering Period 2'!Z25*Escalation!$D$3)</f>
        <v>0</v>
      </c>
      <c r="AA25" s="37">
        <f t="shared" si="72"/>
        <v>0</v>
      </c>
      <c r="AB25" s="4">
        <f t="shared" si="73"/>
        <v>0</v>
      </c>
      <c r="AC25" s="4">
        <f t="shared" si="74"/>
        <v>0</v>
      </c>
      <c r="AD25" s="4"/>
      <c r="AE25" s="37">
        <f t="shared" si="75"/>
        <v>0</v>
      </c>
      <c r="AF25" s="37">
        <f t="shared" si="76"/>
        <v>0</v>
      </c>
      <c r="AG25" s="37">
        <f t="shared" si="77"/>
        <v>0</v>
      </c>
      <c r="AH25" s="37">
        <f t="shared" si="78"/>
        <v>0</v>
      </c>
      <c r="AI25" s="37">
        <f t="shared" si="79"/>
        <v>0</v>
      </c>
      <c r="AJ25" s="37">
        <f t="shared" si="80"/>
        <v>0</v>
      </c>
      <c r="AK25" s="432"/>
      <c r="AL25" s="432"/>
      <c r="AM25" s="6"/>
      <c r="AN25" s="9"/>
      <c r="AO25" s="124" t="str">
        <f t="shared" si="81"/>
        <v/>
      </c>
      <c r="AP25" s="113" t="str">
        <f t="shared" si="82"/>
        <v/>
      </c>
      <c r="AQ25" s="112">
        <f t="shared" si="83"/>
        <v>0</v>
      </c>
      <c r="AR25" s="9">
        <f t="shared" si="84"/>
        <v>1.664330763840224E-3</v>
      </c>
      <c r="AS25" s="9">
        <f t="shared" si="85"/>
        <v>668.79993933037417</v>
      </c>
      <c r="AU25" s="322"/>
    </row>
    <row r="26" spans="1:47" s="11" customFormat="1" x14ac:dyDescent="0.25">
      <c r="A26" s="680"/>
      <c r="B26" s="240">
        <f>'Total - Detail'!B27</f>
        <v>14</v>
      </c>
      <c r="C26" s="100" t="str">
        <f>'Total - Detail'!C27</f>
        <v>Material Handling Specialist</v>
      </c>
      <c r="D26" s="100" t="s">
        <v>238</v>
      </c>
      <c r="E26" s="100" t="s">
        <v>77</v>
      </c>
      <c r="F26" s="39">
        <v>2899.5997369652414</v>
      </c>
      <c r="G26" s="39">
        <f t="shared" si="58"/>
        <v>0</v>
      </c>
      <c r="H26" s="40">
        <f t="shared" si="59"/>
        <v>2899.5997369652414</v>
      </c>
      <c r="I26" s="43"/>
      <c r="J26" s="137"/>
      <c r="K26" s="41">
        <f>'Ordering Period 2'!K26+('Ordering Period 2'!K26*Escalation!$D$3)</f>
        <v>0</v>
      </c>
      <c r="L26" s="5">
        <f t="shared" si="60"/>
        <v>0</v>
      </c>
      <c r="M26" s="5">
        <f t="shared" si="61"/>
        <v>0</v>
      </c>
      <c r="N26" s="5">
        <f t="shared" si="62"/>
        <v>0</v>
      </c>
      <c r="O26" s="5">
        <f t="shared" si="63"/>
        <v>0</v>
      </c>
      <c r="P26" s="5">
        <f t="shared" si="64"/>
        <v>0</v>
      </c>
      <c r="Q26" s="5">
        <f t="shared" si="65"/>
        <v>0</v>
      </c>
      <c r="R26" s="41">
        <f t="shared" si="66"/>
        <v>0</v>
      </c>
      <c r="S26" s="41">
        <f t="shared" si="67"/>
        <v>0</v>
      </c>
      <c r="T26" s="41">
        <f t="shared" si="68"/>
        <v>0</v>
      </c>
      <c r="U26" s="41">
        <f t="shared" si="69"/>
        <v>0</v>
      </c>
      <c r="V26" s="41">
        <f t="shared" si="70"/>
        <v>0</v>
      </c>
      <c r="W26" s="115">
        <f t="shared" si="71"/>
        <v>0</v>
      </c>
      <c r="X26" s="9"/>
      <c r="Y26" s="137"/>
      <c r="Z26" s="5">
        <f>'Ordering Period 2'!Z26+('Ordering Period 2'!Z26*Escalation!$D$3)</f>
        <v>0</v>
      </c>
      <c r="AA26" s="41">
        <f t="shared" si="72"/>
        <v>0</v>
      </c>
      <c r="AB26" s="5">
        <f t="shared" si="73"/>
        <v>0</v>
      </c>
      <c r="AC26" s="5">
        <f t="shared" si="74"/>
        <v>0</v>
      </c>
      <c r="AD26" s="5"/>
      <c r="AE26" s="41">
        <f t="shared" si="75"/>
        <v>0</v>
      </c>
      <c r="AF26" s="41">
        <f t="shared" si="76"/>
        <v>0</v>
      </c>
      <c r="AG26" s="41">
        <f t="shared" si="77"/>
        <v>0</v>
      </c>
      <c r="AH26" s="41">
        <f t="shared" si="78"/>
        <v>0</v>
      </c>
      <c r="AI26" s="41">
        <f t="shared" si="79"/>
        <v>0</v>
      </c>
      <c r="AJ26" s="41">
        <f t="shared" si="80"/>
        <v>0</v>
      </c>
      <c r="AK26" s="10"/>
      <c r="AL26" s="10"/>
      <c r="AM26" s="7"/>
      <c r="AN26" s="9"/>
      <c r="AO26" s="138" t="str">
        <f t="shared" si="81"/>
        <v/>
      </c>
      <c r="AP26" s="42" t="str">
        <f t="shared" si="82"/>
        <v/>
      </c>
      <c r="AQ26" s="115">
        <f t="shared" si="83"/>
        <v>0</v>
      </c>
      <c r="AR26" s="9">
        <f t="shared" si="84"/>
        <v>7.2157498248072872E-3</v>
      </c>
      <c r="AS26" s="9">
        <f t="shared" si="85"/>
        <v>2899.5997369652409</v>
      </c>
      <c r="AU26" s="322"/>
    </row>
    <row r="27" spans="1:47" s="11" customFormat="1" x14ac:dyDescent="0.25">
      <c r="A27" s="680"/>
      <c r="B27" s="240">
        <f>'Total - Detail'!B28</f>
        <v>15</v>
      </c>
      <c r="C27" s="100" t="str">
        <f>'Total - Detail'!C28</f>
        <v>Inspector</v>
      </c>
      <c r="D27" s="100" t="s">
        <v>235</v>
      </c>
      <c r="E27" s="100" t="s">
        <v>77</v>
      </c>
      <c r="F27" s="39">
        <v>656.69994042801557</v>
      </c>
      <c r="G27" s="39">
        <f t="shared" si="58"/>
        <v>0</v>
      </c>
      <c r="H27" s="40">
        <f t="shared" si="59"/>
        <v>656.69994042801557</v>
      </c>
      <c r="I27" s="43"/>
      <c r="J27" s="137"/>
      <c r="K27" s="41">
        <f>'Ordering Period 2'!K27+('Ordering Period 2'!K27*Escalation!$D$3)</f>
        <v>0</v>
      </c>
      <c r="L27" s="5">
        <f t="shared" si="60"/>
        <v>0</v>
      </c>
      <c r="M27" s="5">
        <f t="shared" si="61"/>
        <v>0</v>
      </c>
      <c r="N27" s="5">
        <f t="shared" si="62"/>
        <v>0</v>
      </c>
      <c r="O27" s="5">
        <f t="shared" si="63"/>
        <v>0</v>
      </c>
      <c r="P27" s="5">
        <f t="shared" si="64"/>
        <v>0</v>
      </c>
      <c r="Q27" s="5">
        <f t="shared" si="65"/>
        <v>0</v>
      </c>
      <c r="R27" s="41">
        <f t="shared" si="66"/>
        <v>0</v>
      </c>
      <c r="S27" s="41">
        <f t="shared" si="67"/>
        <v>0</v>
      </c>
      <c r="T27" s="41">
        <f t="shared" si="68"/>
        <v>0</v>
      </c>
      <c r="U27" s="41">
        <f t="shared" si="69"/>
        <v>0</v>
      </c>
      <c r="V27" s="41">
        <f t="shared" si="70"/>
        <v>0</v>
      </c>
      <c r="W27" s="115">
        <f t="shared" si="71"/>
        <v>0</v>
      </c>
      <c r="X27" s="9"/>
      <c r="Y27" s="137"/>
      <c r="Z27" s="5">
        <f>'Ordering Period 2'!Z27+('Ordering Period 2'!Z27*Escalation!$D$3)</f>
        <v>0</v>
      </c>
      <c r="AA27" s="41">
        <f t="shared" si="72"/>
        <v>0</v>
      </c>
      <c r="AB27" s="5">
        <f t="shared" si="73"/>
        <v>0</v>
      </c>
      <c r="AC27" s="5">
        <f t="shared" si="74"/>
        <v>0</v>
      </c>
      <c r="AD27" s="5"/>
      <c r="AE27" s="41">
        <f t="shared" si="75"/>
        <v>0</v>
      </c>
      <c r="AF27" s="41">
        <f t="shared" si="76"/>
        <v>0</v>
      </c>
      <c r="AG27" s="41">
        <f t="shared" si="77"/>
        <v>0</v>
      </c>
      <c r="AH27" s="41">
        <f t="shared" si="78"/>
        <v>0</v>
      </c>
      <c r="AI27" s="41">
        <f t="shared" si="79"/>
        <v>0</v>
      </c>
      <c r="AJ27" s="41">
        <f t="shared" si="80"/>
        <v>0</v>
      </c>
      <c r="AK27" s="10"/>
      <c r="AL27" s="10"/>
      <c r="AM27" s="7"/>
      <c r="AN27" s="9"/>
      <c r="AO27" s="138" t="str">
        <f t="shared" si="81"/>
        <v/>
      </c>
      <c r="AP27" s="42" t="str">
        <f t="shared" si="82"/>
        <v/>
      </c>
      <c r="AQ27" s="115">
        <f t="shared" si="83"/>
        <v>0</v>
      </c>
      <c r="AR27" s="9">
        <f t="shared" si="84"/>
        <v>1.6342195164681147E-3</v>
      </c>
      <c r="AS27" s="9">
        <f t="shared" si="85"/>
        <v>656.69994042801545</v>
      </c>
      <c r="AU27" s="322"/>
    </row>
    <row r="28" spans="1:47" s="11" customFormat="1" x14ac:dyDescent="0.25">
      <c r="A28" s="680"/>
      <c r="B28" s="240">
        <f>'Total - Detail'!B29</f>
        <v>16</v>
      </c>
      <c r="C28" s="100" t="str">
        <f>'Total - Detail'!C29</f>
        <v>Supply/Procurement Specialist</v>
      </c>
      <c r="D28" s="100" t="s">
        <v>233</v>
      </c>
      <c r="E28" s="100" t="s">
        <v>77</v>
      </c>
      <c r="F28" s="39">
        <v>1449.7998684826207</v>
      </c>
      <c r="G28" s="39">
        <f t="shared" si="58"/>
        <v>0</v>
      </c>
      <c r="H28" s="40">
        <f t="shared" si="59"/>
        <v>1449.7998684826207</v>
      </c>
      <c r="I28" s="43"/>
      <c r="J28" s="137"/>
      <c r="K28" s="41">
        <f>'Ordering Period 2'!K28+('Ordering Period 2'!K28*Escalation!$D$3)</f>
        <v>0</v>
      </c>
      <c r="L28" s="5">
        <f t="shared" si="60"/>
        <v>0</v>
      </c>
      <c r="M28" s="5">
        <f t="shared" si="61"/>
        <v>0</v>
      </c>
      <c r="N28" s="5">
        <f t="shared" si="62"/>
        <v>0</v>
      </c>
      <c r="O28" s="5">
        <f t="shared" si="63"/>
        <v>0</v>
      </c>
      <c r="P28" s="5">
        <f t="shared" si="64"/>
        <v>0</v>
      </c>
      <c r="Q28" s="5">
        <f t="shared" si="65"/>
        <v>0</v>
      </c>
      <c r="R28" s="41">
        <f t="shared" si="66"/>
        <v>0</v>
      </c>
      <c r="S28" s="41">
        <f t="shared" si="67"/>
        <v>0</v>
      </c>
      <c r="T28" s="41">
        <f t="shared" si="68"/>
        <v>0</v>
      </c>
      <c r="U28" s="41">
        <f t="shared" si="69"/>
        <v>0</v>
      </c>
      <c r="V28" s="41">
        <f t="shared" si="70"/>
        <v>0</v>
      </c>
      <c r="W28" s="115">
        <f t="shared" si="71"/>
        <v>0</v>
      </c>
      <c r="X28" s="9"/>
      <c r="Y28" s="137"/>
      <c r="Z28" s="5">
        <f>'Ordering Period 2'!Z28+('Ordering Period 2'!Z28*Escalation!$D$3)</f>
        <v>0</v>
      </c>
      <c r="AA28" s="41">
        <f t="shared" si="72"/>
        <v>0</v>
      </c>
      <c r="AB28" s="5">
        <f t="shared" si="73"/>
        <v>0</v>
      </c>
      <c r="AC28" s="5">
        <f t="shared" si="74"/>
        <v>0</v>
      </c>
      <c r="AD28" s="5"/>
      <c r="AE28" s="41">
        <f t="shared" si="75"/>
        <v>0</v>
      </c>
      <c r="AF28" s="41">
        <f t="shared" si="76"/>
        <v>0</v>
      </c>
      <c r="AG28" s="41">
        <f t="shared" si="77"/>
        <v>0</v>
      </c>
      <c r="AH28" s="41">
        <f t="shared" si="78"/>
        <v>0</v>
      </c>
      <c r="AI28" s="41">
        <f t="shared" si="79"/>
        <v>0</v>
      </c>
      <c r="AJ28" s="41">
        <f t="shared" si="80"/>
        <v>0</v>
      </c>
      <c r="AK28" s="10"/>
      <c r="AL28" s="10"/>
      <c r="AM28" s="7"/>
      <c r="AN28" s="9"/>
      <c r="AO28" s="138" t="str">
        <f t="shared" si="81"/>
        <v/>
      </c>
      <c r="AP28" s="42" t="str">
        <f t="shared" si="82"/>
        <v/>
      </c>
      <c r="AQ28" s="115">
        <f t="shared" si="83"/>
        <v>0</v>
      </c>
      <c r="AR28" s="9">
        <f t="shared" si="84"/>
        <v>3.6078749124036436E-3</v>
      </c>
      <c r="AS28" s="9">
        <f t="shared" si="85"/>
        <v>1449.7998684826205</v>
      </c>
      <c r="AU28" s="322"/>
    </row>
    <row r="29" spans="1:47" s="11" customFormat="1" ht="15.75" thickBot="1" x14ac:dyDescent="0.3">
      <c r="A29" s="681"/>
      <c r="B29" s="242">
        <f>'Total - Detail'!B30</f>
        <v>17</v>
      </c>
      <c r="C29" s="127" t="str">
        <f>'Total - Detail'!C30</f>
        <v>Welder</v>
      </c>
      <c r="D29" s="127" t="s">
        <v>239</v>
      </c>
      <c r="E29" s="127" t="s">
        <v>77</v>
      </c>
      <c r="F29" s="128">
        <v>1129.6998975202212</v>
      </c>
      <c r="G29" s="128">
        <f t="shared" si="58"/>
        <v>0</v>
      </c>
      <c r="H29" s="129">
        <f t="shared" si="59"/>
        <v>1129.6998975202212</v>
      </c>
      <c r="I29" s="43"/>
      <c r="J29" s="146"/>
      <c r="K29" s="143">
        <f>'Ordering Period 2'!K29+('Ordering Period 2'!K29*Escalation!$D$3)</f>
        <v>0</v>
      </c>
      <c r="L29" s="144">
        <f t="shared" si="60"/>
        <v>0</v>
      </c>
      <c r="M29" s="144">
        <f t="shared" si="61"/>
        <v>0</v>
      </c>
      <c r="N29" s="144">
        <f t="shared" si="62"/>
        <v>0</v>
      </c>
      <c r="O29" s="144">
        <f t="shared" si="63"/>
        <v>0</v>
      </c>
      <c r="P29" s="144">
        <f t="shared" si="64"/>
        <v>0</v>
      </c>
      <c r="Q29" s="144">
        <f t="shared" si="65"/>
        <v>0</v>
      </c>
      <c r="R29" s="143">
        <f t="shared" si="66"/>
        <v>0</v>
      </c>
      <c r="S29" s="143">
        <f t="shared" si="67"/>
        <v>0</v>
      </c>
      <c r="T29" s="143">
        <f t="shared" si="68"/>
        <v>0</v>
      </c>
      <c r="U29" s="143">
        <f t="shared" si="69"/>
        <v>0</v>
      </c>
      <c r="V29" s="143">
        <f t="shared" si="70"/>
        <v>0</v>
      </c>
      <c r="W29" s="145">
        <f t="shared" si="71"/>
        <v>0</v>
      </c>
      <c r="X29" s="9"/>
      <c r="Y29" s="146"/>
      <c r="Z29" s="144">
        <f>'Ordering Period 2'!Z29+('Ordering Period 2'!Z29*Escalation!$D$3)</f>
        <v>0</v>
      </c>
      <c r="AA29" s="143">
        <f t="shared" si="72"/>
        <v>0</v>
      </c>
      <c r="AB29" s="144">
        <f t="shared" si="73"/>
        <v>0</v>
      </c>
      <c r="AC29" s="144">
        <f t="shared" si="74"/>
        <v>0</v>
      </c>
      <c r="AD29" s="144"/>
      <c r="AE29" s="143">
        <f t="shared" si="75"/>
        <v>0</v>
      </c>
      <c r="AF29" s="143">
        <f t="shared" si="76"/>
        <v>0</v>
      </c>
      <c r="AG29" s="143">
        <f t="shared" si="77"/>
        <v>0</v>
      </c>
      <c r="AH29" s="143">
        <f t="shared" si="78"/>
        <v>0</v>
      </c>
      <c r="AI29" s="143">
        <f t="shared" si="79"/>
        <v>0</v>
      </c>
      <c r="AJ29" s="143">
        <f t="shared" si="80"/>
        <v>0</v>
      </c>
      <c r="AK29" s="260"/>
      <c r="AL29" s="260"/>
      <c r="AM29" s="147"/>
      <c r="AN29" s="9"/>
      <c r="AO29" s="148" t="str">
        <f t="shared" si="81"/>
        <v/>
      </c>
      <c r="AP29" s="149" t="str">
        <f t="shared" si="82"/>
        <v/>
      </c>
      <c r="AQ29" s="145">
        <f t="shared" si="83"/>
        <v>0</v>
      </c>
      <c r="AR29" s="9">
        <f t="shared" si="84"/>
        <v>2.8112955501051152E-3</v>
      </c>
      <c r="AS29" s="9">
        <f t="shared" si="85"/>
        <v>1129.6998975202209</v>
      </c>
      <c r="AU29" s="322"/>
    </row>
    <row r="30" spans="1:47" ht="30.75" thickBot="1" x14ac:dyDescent="0.3">
      <c r="A30" s="504" t="s">
        <v>231</v>
      </c>
      <c r="B30" s="242">
        <f>'Total - Detail'!B31</f>
        <v>18</v>
      </c>
      <c r="C30" s="127" t="str">
        <f>'Total - Detail'!C31</f>
        <v xml:space="preserve">Instructor </v>
      </c>
      <c r="D30" s="127" t="s">
        <v>237</v>
      </c>
      <c r="E30" s="127" t="s">
        <v>77</v>
      </c>
      <c r="F30" s="128">
        <v>3764.1996585337838</v>
      </c>
      <c r="G30" s="128">
        <f t="shared" si="58"/>
        <v>0</v>
      </c>
      <c r="H30" s="129">
        <f t="shared" si="59"/>
        <v>3764.1996585337838</v>
      </c>
      <c r="I30" s="43"/>
      <c r="J30" s="146"/>
      <c r="K30" s="143">
        <f>'Ordering Period 2'!K30+('Ordering Period 2'!K30*Escalation!$D$3)</f>
        <v>0</v>
      </c>
      <c r="L30" s="144">
        <f t="shared" si="60"/>
        <v>0</v>
      </c>
      <c r="M30" s="144">
        <f t="shared" si="61"/>
        <v>0</v>
      </c>
      <c r="N30" s="144">
        <f t="shared" si="62"/>
        <v>0</v>
      </c>
      <c r="O30" s="144">
        <f t="shared" si="63"/>
        <v>0</v>
      </c>
      <c r="P30" s="144">
        <f t="shared" si="64"/>
        <v>0</v>
      </c>
      <c r="Q30" s="144">
        <f t="shared" si="65"/>
        <v>0</v>
      </c>
      <c r="R30" s="143">
        <f t="shared" si="66"/>
        <v>0</v>
      </c>
      <c r="S30" s="143">
        <f t="shared" si="67"/>
        <v>0</v>
      </c>
      <c r="T30" s="143">
        <f t="shared" si="68"/>
        <v>0</v>
      </c>
      <c r="U30" s="143">
        <f t="shared" si="69"/>
        <v>0</v>
      </c>
      <c r="V30" s="143">
        <f t="shared" si="70"/>
        <v>0</v>
      </c>
      <c r="W30" s="145">
        <f t="shared" si="71"/>
        <v>0</v>
      </c>
      <c r="Y30" s="146"/>
      <c r="Z30" s="144">
        <f>'Ordering Period 2'!Z30+('Ordering Period 2'!Z30*Escalation!$D$3)</f>
        <v>0</v>
      </c>
      <c r="AA30" s="143">
        <f t="shared" si="72"/>
        <v>0</v>
      </c>
      <c r="AB30" s="144">
        <f t="shared" si="73"/>
        <v>0</v>
      </c>
      <c r="AC30" s="144">
        <f t="shared" si="74"/>
        <v>0</v>
      </c>
      <c r="AD30" s="144"/>
      <c r="AE30" s="143">
        <f t="shared" si="75"/>
        <v>0</v>
      </c>
      <c r="AF30" s="143">
        <f t="shared" si="76"/>
        <v>0</v>
      </c>
      <c r="AG30" s="143">
        <f t="shared" si="77"/>
        <v>0</v>
      </c>
      <c r="AH30" s="143">
        <f t="shared" si="78"/>
        <v>0</v>
      </c>
      <c r="AI30" s="143">
        <f t="shared" si="79"/>
        <v>0</v>
      </c>
      <c r="AJ30" s="143">
        <f t="shared" si="80"/>
        <v>0</v>
      </c>
      <c r="AK30" s="260"/>
      <c r="AL30" s="260"/>
      <c r="AM30" s="147"/>
      <c r="AO30" s="148" t="str">
        <f t="shared" si="81"/>
        <v/>
      </c>
      <c r="AP30" s="149" t="str">
        <f t="shared" si="82"/>
        <v/>
      </c>
      <c r="AQ30" s="145">
        <f t="shared" si="83"/>
        <v>0</v>
      </c>
      <c r="AR30" s="9">
        <f t="shared" si="84"/>
        <v>9.3673353188507332E-3</v>
      </c>
      <c r="AS30" s="9">
        <f t="shared" si="85"/>
        <v>3764.1996585337833</v>
      </c>
    </row>
    <row r="31" spans="1:47" ht="15" customHeight="1" x14ac:dyDescent="0.25">
      <c r="A31" s="679" t="s">
        <v>207</v>
      </c>
      <c r="B31" s="241">
        <f>'Total - Detail'!B32</f>
        <v>13</v>
      </c>
      <c r="C31" s="101" t="str">
        <f>'Total - Detail'!C32</f>
        <v>Heavy Equipment Mechanic</v>
      </c>
      <c r="D31" s="101" t="s">
        <v>236</v>
      </c>
      <c r="E31" s="101" t="s">
        <v>77</v>
      </c>
      <c r="F31" s="35">
        <v>668.79993933037429</v>
      </c>
      <c r="G31" s="35">
        <f t="shared" si="58"/>
        <v>0</v>
      </c>
      <c r="H31" s="36">
        <f t="shared" si="59"/>
        <v>668.79993933037429</v>
      </c>
      <c r="I31" s="43"/>
      <c r="J31" s="109"/>
      <c r="K31" s="110">
        <f>'Ordering Period 2'!K31+('Ordering Period 2'!K31*Escalation!$D$3)</f>
        <v>0</v>
      </c>
      <c r="L31" s="110">
        <f>L25</f>
        <v>0</v>
      </c>
      <c r="M31" s="110">
        <f t="shared" ref="M31:Q31" si="90">M25</f>
        <v>0</v>
      </c>
      <c r="N31" s="110">
        <f t="shared" si="90"/>
        <v>0</v>
      </c>
      <c r="O31" s="110">
        <f t="shared" si="90"/>
        <v>0</v>
      </c>
      <c r="P31" s="110">
        <f t="shared" si="90"/>
        <v>0</v>
      </c>
      <c r="Q31" s="110">
        <f t="shared" si="90"/>
        <v>0</v>
      </c>
      <c r="R31" s="110">
        <f t="shared" si="66"/>
        <v>0</v>
      </c>
      <c r="S31" s="110">
        <f t="shared" si="67"/>
        <v>0</v>
      </c>
      <c r="T31" s="110">
        <f t="shared" si="68"/>
        <v>0</v>
      </c>
      <c r="U31" s="110">
        <f t="shared" si="69"/>
        <v>0</v>
      </c>
      <c r="V31" s="110">
        <f t="shared" si="70"/>
        <v>0</v>
      </c>
      <c r="W31" s="112">
        <f t="shared" si="71"/>
        <v>0</v>
      </c>
      <c r="Y31" s="109"/>
      <c r="Z31" s="111">
        <f>'Ordering Period 2'!Z31+('Ordering Period 2'!Z31*Escalation!$D$3)</f>
        <v>0</v>
      </c>
      <c r="AA31" s="110">
        <f t="shared" si="72"/>
        <v>0</v>
      </c>
      <c r="AB31" s="111">
        <f t="shared" si="73"/>
        <v>0</v>
      </c>
      <c r="AC31" s="111">
        <f t="shared" si="74"/>
        <v>0</v>
      </c>
      <c r="AD31" s="111"/>
      <c r="AE31" s="110">
        <f t="shared" si="75"/>
        <v>0</v>
      </c>
      <c r="AF31" s="110">
        <f t="shared" si="76"/>
        <v>0</v>
      </c>
      <c r="AG31" s="110">
        <f t="shared" si="77"/>
        <v>0</v>
      </c>
      <c r="AH31" s="110">
        <f t="shared" si="78"/>
        <v>0</v>
      </c>
      <c r="AI31" s="110">
        <f t="shared" si="79"/>
        <v>0</v>
      </c>
      <c r="AJ31" s="110">
        <f t="shared" si="80"/>
        <v>0</v>
      </c>
      <c r="AK31" s="259"/>
      <c r="AL31" s="259"/>
      <c r="AM31" s="114"/>
      <c r="AO31" s="124" t="str">
        <f t="shared" si="81"/>
        <v/>
      </c>
      <c r="AP31" s="113" t="str">
        <f t="shared" si="82"/>
        <v/>
      </c>
      <c r="AQ31" s="112">
        <f t="shared" si="83"/>
        <v>0</v>
      </c>
      <c r="AR31" s="9">
        <f t="shared" si="84"/>
        <v>1.664330763840224E-3</v>
      </c>
      <c r="AS31" s="9">
        <f t="shared" si="85"/>
        <v>668.79993933037417</v>
      </c>
    </row>
    <row r="32" spans="1:47" x14ac:dyDescent="0.25">
      <c r="A32" s="680"/>
      <c r="B32" s="240">
        <f>'Total - Detail'!B33</f>
        <v>14</v>
      </c>
      <c r="C32" s="100" t="str">
        <f>'Total - Detail'!C33</f>
        <v>Material Handling Specialist</v>
      </c>
      <c r="D32" s="100" t="s">
        <v>238</v>
      </c>
      <c r="E32" s="100" t="s">
        <v>77</v>
      </c>
      <c r="F32" s="39">
        <v>2899.5997369652414</v>
      </c>
      <c r="G32" s="39">
        <f t="shared" si="58"/>
        <v>0</v>
      </c>
      <c r="H32" s="40">
        <f t="shared" si="59"/>
        <v>2899.5997369652414</v>
      </c>
      <c r="I32" s="43"/>
      <c r="J32" s="137"/>
      <c r="K32" s="41">
        <f>'Ordering Period 2'!K32+('Ordering Period 2'!K32*Escalation!$D$3)</f>
        <v>0</v>
      </c>
      <c r="L32" s="41">
        <f>L26</f>
        <v>0</v>
      </c>
      <c r="M32" s="41">
        <f t="shared" ref="M32:Q32" si="91">M26</f>
        <v>0</v>
      </c>
      <c r="N32" s="41">
        <f t="shared" si="91"/>
        <v>0</v>
      </c>
      <c r="O32" s="41">
        <f t="shared" si="91"/>
        <v>0</v>
      </c>
      <c r="P32" s="41">
        <f t="shared" si="91"/>
        <v>0</v>
      </c>
      <c r="Q32" s="41">
        <f t="shared" si="91"/>
        <v>0</v>
      </c>
      <c r="R32" s="41">
        <f t="shared" si="66"/>
        <v>0</v>
      </c>
      <c r="S32" s="41">
        <f t="shared" si="67"/>
        <v>0</v>
      </c>
      <c r="T32" s="41">
        <f t="shared" si="68"/>
        <v>0</v>
      </c>
      <c r="U32" s="41">
        <f t="shared" si="69"/>
        <v>0</v>
      </c>
      <c r="V32" s="41">
        <f t="shared" si="70"/>
        <v>0</v>
      </c>
      <c r="W32" s="115">
        <f t="shared" si="71"/>
        <v>0</v>
      </c>
      <c r="Y32" s="137"/>
      <c r="Z32" s="5">
        <f>'Ordering Period 2'!Z32+('Ordering Period 2'!Z32*Escalation!$D$3)</f>
        <v>0</v>
      </c>
      <c r="AA32" s="41">
        <f t="shared" si="72"/>
        <v>0</v>
      </c>
      <c r="AB32" s="5">
        <f t="shared" si="73"/>
        <v>0</v>
      </c>
      <c r="AC32" s="5">
        <f t="shared" si="74"/>
        <v>0</v>
      </c>
      <c r="AD32" s="5"/>
      <c r="AE32" s="41">
        <f t="shared" si="75"/>
        <v>0</v>
      </c>
      <c r="AF32" s="41">
        <f t="shared" si="76"/>
        <v>0</v>
      </c>
      <c r="AG32" s="41">
        <f t="shared" si="77"/>
        <v>0</v>
      </c>
      <c r="AH32" s="41">
        <f t="shared" si="78"/>
        <v>0</v>
      </c>
      <c r="AI32" s="41">
        <f t="shared" si="79"/>
        <v>0</v>
      </c>
      <c r="AJ32" s="41">
        <f t="shared" si="80"/>
        <v>0</v>
      </c>
      <c r="AK32" s="10"/>
      <c r="AL32" s="10"/>
      <c r="AM32" s="7"/>
      <c r="AO32" s="138" t="str">
        <f t="shared" si="81"/>
        <v/>
      </c>
      <c r="AP32" s="42" t="str">
        <f t="shared" si="82"/>
        <v/>
      </c>
      <c r="AQ32" s="115">
        <f t="shared" si="83"/>
        <v>0</v>
      </c>
      <c r="AR32" s="9">
        <f t="shared" si="84"/>
        <v>7.2157498248072872E-3</v>
      </c>
      <c r="AS32" s="9">
        <f t="shared" si="85"/>
        <v>2899.5997369652409</v>
      </c>
    </row>
    <row r="33" spans="1:45" x14ac:dyDescent="0.25">
      <c r="A33" s="680"/>
      <c r="B33" s="240">
        <f>'Total - Detail'!B34</f>
        <v>15</v>
      </c>
      <c r="C33" s="100" t="str">
        <f>'Total - Detail'!C34</f>
        <v>Inspector</v>
      </c>
      <c r="D33" s="100" t="s">
        <v>235</v>
      </c>
      <c r="E33" s="100" t="s">
        <v>77</v>
      </c>
      <c r="F33" s="39">
        <v>656.69994042801557</v>
      </c>
      <c r="G33" s="39">
        <f t="shared" si="58"/>
        <v>0</v>
      </c>
      <c r="H33" s="40">
        <f t="shared" si="59"/>
        <v>656.69994042801557</v>
      </c>
      <c r="I33" s="43"/>
      <c r="J33" s="137"/>
      <c r="K33" s="41">
        <f>'Ordering Period 2'!K33+('Ordering Period 2'!K33*Escalation!$D$3)</f>
        <v>0</v>
      </c>
      <c r="L33" s="41">
        <f>L27</f>
        <v>0</v>
      </c>
      <c r="M33" s="41">
        <f t="shared" ref="M33:Q33" si="92">M27</f>
        <v>0</v>
      </c>
      <c r="N33" s="41">
        <f t="shared" si="92"/>
        <v>0</v>
      </c>
      <c r="O33" s="41">
        <f t="shared" si="92"/>
        <v>0</v>
      </c>
      <c r="P33" s="41">
        <f t="shared" si="92"/>
        <v>0</v>
      </c>
      <c r="Q33" s="41">
        <f t="shared" si="92"/>
        <v>0</v>
      </c>
      <c r="R33" s="41">
        <f t="shared" si="66"/>
        <v>0</v>
      </c>
      <c r="S33" s="41">
        <f t="shared" si="67"/>
        <v>0</v>
      </c>
      <c r="T33" s="41">
        <f t="shared" si="68"/>
        <v>0</v>
      </c>
      <c r="U33" s="41">
        <f t="shared" si="69"/>
        <v>0</v>
      </c>
      <c r="V33" s="41">
        <f t="shared" si="70"/>
        <v>0</v>
      </c>
      <c r="W33" s="115">
        <f t="shared" si="71"/>
        <v>0</v>
      </c>
      <c r="Y33" s="137"/>
      <c r="Z33" s="5">
        <f>'Ordering Period 2'!Z33+('Ordering Period 2'!Z33*Escalation!$D$3)</f>
        <v>0</v>
      </c>
      <c r="AA33" s="41">
        <f t="shared" si="72"/>
        <v>0</v>
      </c>
      <c r="AB33" s="5">
        <f t="shared" si="73"/>
        <v>0</v>
      </c>
      <c r="AC33" s="5">
        <f t="shared" si="74"/>
        <v>0</v>
      </c>
      <c r="AD33" s="5"/>
      <c r="AE33" s="41">
        <f t="shared" si="75"/>
        <v>0</v>
      </c>
      <c r="AF33" s="41">
        <f t="shared" si="76"/>
        <v>0</v>
      </c>
      <c r="AG33" s="41">
        <f t="shared" si="77"/>
        <v>0</v>
      </c>
      <c r="AH33" s="41">
        <f t="shared" si="78"/>
        <v>0</v>
      </c>
      <c r="AI33" s="41">
        <f t="shared" si="79"/>
        <v>0</v>
      </c>
      <c r="AJ33" s="41">
        <f t="shared" si="80"/>
        <v>0</v>
      </c>
      <c r="AK33" s="10"/>
      <c r="AL33" s="10"/>
      <c r="AM33" s="7"/>
      <c r="AO33" s="138" t="str">
        <f t="shared" si="81"/>
        <v/>
      </c>
      <c r="AP33" s="42" t="str">
        <f t="shared" si="82"/>
        <v/>
      </c>
      <c r="AQ33" s="115">
        <f t="shared" si="83"/>
        <v>0</v>
      </c>
      <c r="AR33" s="9">
        <f t="shared" si="84"/>
        <v>1.6342195164681147E-3</v>
      </c>
      <c r="AS33" s="9">
        <f t="shared" si="85"/>
        <v>656.69994042801545</v>
      </c>
    </row>
    <row r="34" spans="1:45" ht="15.75" thickBot="1" x14ac:dyDescent="0.3">
      <c r="A34" s="681"/>
      <c r="B34" s="242">
        <f>'Total - Detail'!B35</f>
        <v>11</v>
      </c>
      <c r="C34" s="127" t="str">
        <f>'Total - Detail'!C35</f>
        <v>Field Service Representative</v>
      </c>
      <c r="D34" s="127" t="s">
        <v>289</v>
      </c>
      <c r="E34" s="127" t="s">
        <v>77</v>
      </c>
      <c r="F34" s="128">
        <v>1449.7998684826207</v>
      </c>
      <c r="G34" s="128">
        <f t="shared" si="58"/>
        <v>0</v>
      </c>
      <c r="H34" s="129">
        <f t="shared" si="59"/>
        <v>1449.7998684826207</v>
      </c>
      <c r="I34" s="43"/>
      <c r="J34" s="146"/>
      <c r="K34" s="143">
        <f>'Ordering Period 2'!K34+('Ordering Period 2'!K34*Escalation!$D$3)</f>
        <v>0</v>
      </c>
      <c r="L34" s="143">
        <f>L23</f>
        <v>0</v>
      </c>
      <c r="M34" s="143">
        <f t="shared" ref="M34:Q34" si="93">M23</f>
        <v>0</v>
      </c>
      <c r="N34" s="143">
        <f t="shared" si="93"/>
        <v>0</v>
      </c>
      <c r="O34" s="143">
        <f t="shared" si="93"/>
        <v>0</v>
      </c>
      <c r="P34" s="143">
        <f t="shared" si="93"/>
        <v>0</v>
      </c>
      <c r="Q34" s="143">
        <f t="shared" si="93"/>
        <v>0</v>
      </c>
      <c r="R34" s="143">
        <f t="shared" si="66"/>
        <v>0</v>
      </c>
      <c r="S34" s="143">
        <f t="shared" si="67"/>
        <v>0</v>
      </c>
      <c r="T34" s="143">
        <f t="shared" si="68"/>
        <v>0</v>
      </c>
      <c r="U34" s="143">
        <f t="shared" si="69"/>
        <v>0</v>
      </c>
      <c r="V34" s="143">
        <f t="shared" si="70"/>
        <v>0</v>
      </c>
      <c r="W34" s="145">
        <f t="shared" si="71"/>
        <v>0</v>
      </c>
      <c r="Y34" s="146"/>
      <c r="Z34" s="144">
        <f>'Ordering Period 2'!Z34+('Ordering Period 2'!Z34*Escalation!$D$3)</f>
        <v>0</v>
      </c>
      <c r="AA34" s="143">
        <f t="shared" si="72"/>
        <v>0</v>
      </c>
      <c r="AB34" s="144">
        <f t="shared" si="73"/>
        <v>0</v>
      </c>
      <c r="AC34" s="144">
        <f t="shared" si="74"/>
        <v>0</v>
      </c>
      <c r="AD34" s="144"/>
      <c r="AE34" s="143">
        <f t="shared" si="75"/>
        <v>0</v>
      </c>
      <c r="AF34" s="143">
        <f t="shared" si="76"/>
        <v>0</v>
      </c>
      <c r="AG34" s="143">
        <f t="shared" si="77"/>
        <v>0</v>
      </c>
      <c r="AH34" s="143">
        <f t="shared" si="78"/>
        <v>0</v>
      </c>
      <c r="AI34" s="143">
        <f t="shared" si="79"/>
        <v>0</v>
      </c>
      <c r="AJ34" s="143">
        <f t="shared" si="80"/>
        <v>0</v>
      </c>
      <c r="AK34" s="260"/>
      <c r="AL34" s="260"/>
      <c r="AM34" s="147"/>
      <c r="AO34" s="148" t="str">
        <f t="shared" si="81"/>
        <v/>
      </c>
      <c r="AP34" s="149" t="str">
        <f t="shared" si="82"/>
        <v/>
      </c>
      <c r="AQ34" s="145">
        <f t="shared" si="83"/>
        <v>0</v>
      </c>
      <c r="AR34" s="9">
        <f t="shared" si="84"/>
        <v>3.6078749124036436E-3</v>
      </c>
      <c r="AS34" s="9">
        <f t="shared" si="85"/>
        <v>1449.7998684826205</v>
      </c>
    </row>
    <row r="35" spans="1:45" x14ac:dyDescent="0.25">
      <c r="A35" s="679" t="s">
        <v>208</v>
      </c>
      <c r="B35" s="241">
        <f>'Total - Detail'!B36</f>
        <v>11</v>
      </c>
      <c r="C35" s="101" t="str">
        <f>'Total - Detail'!C36</f>
        <v>Field Service Representative</v>
      </c>
      <c r="D35" s="101" t="s">
        <v>289</v>
      </c>
      <c r="E35" s="101" t="s">
        <v>77</v>
      </c>
      <c r="F35" s="35">
        <v>774.39992975095981</v>
      </c>
      <c r="G35" s="35">
        <f t="shared" si="58"/>
        <v>0</v>
      </c>
      <c r="H35" s="36">
        <f t="shared" si="59"/>
        <v>774.39992975095981</v>
      </c>
      <c r="I35" s="43"/>
      <c r="J35" s="109"/>
      <c r="K35" s="110">
        <f>'Ordering Period 2'!K35+('Ordering Period 2'!K35*Escalation!$D$3)</f>
        <v>0</v>
      </c>
      <c r="L35" s="110">
        <f>L23</f>
        <v>0</v>
      </c>
      <c r="M35" s="110">
        <f t="shared" ref="M35:Q35" si="94">M23</f>
        <v>0</v>
      </c>
      <c r="N35" s="110">
        <f t="shared" si="94"/>
        <v>0</v>
      </c>
      <c r="O35" s="110">
        <f t="shared" si="94"/>
        <v>0</v>
      </c>
      <c r="P35" s="110">
        <f t="shared" si="94"/>
        <v>0</v>
      </c>
      <c r="Q35" s="110">
        <f t="shared" si="94"/>
        <v>0</v>
      </c>
      <c r="R35" s="110">
        <f t="shared" si="66"/>
        <v>0</v>
      </c>
      <c r="S35" s="110">
        <f t="shared" si="67"/>
        <v>0</v>
      </c>
      <c r="T35" s="110">
        <f t="shared" si="68"/>
        <v>0</v>
      </c>
      <c r="U35" s="110">
        <f t="shared" si="69"/>
        <v>0</v>
      </c>
      <c r="V35" s="110">
        <f t="shared" si="70"/>
        <v>0</v>
      </c>
      <c r="W35" s="112">
        <f t="shared" si="71"/>
        <v>0</v>
      </c>
      <c r="Y35" s="109"/>
      <c r="Z35" s="111">
        <f>'Ordering Period 2'!Z35+('Ordering Period 2'!Z35*Escalation!$D$3)</f>
        <v>0</v>
      </c>
      <c r="AA35" s="110">
        <f t="shared" si="72"/>
        <v>0</v>
      </c>
      <c r="AB35" s="111">
        <f t="shared" si="73"/>
        <v>0</v>
      </c>
      <c r="AC35" s="111">
        <f t="shared" si="74"/>
        <v>0</v>
      </c>
      <c r="AD35" s="111"/>
      <c r="AE35" s="110">
        <f t="shared" si="75"/>
        <v>0</v>
      </c>
      <c r="AF35" s="110">
        <f t="shared" si="76"/>
        <v>0</v>
      </c>
      <c r="AG35" s="110">
        <f t="shared" si="77"/>
        <v>0</v>
      </c>
      <c r="AH35" s="110">
        <f t="shared" si="78"/>
        <v>0</v>
      </c>
      <c r="AI35" s="110">
        <f t="shared" si="79"/>
        <v>0</v>
      </c>
      <c r="AJ35" s="110">
        <f t="shared" si="80"/>
        <v>0</v>
      </c>
      <c r="AK35" s="259"/>
      <c r="AL35" s="259"/>
      <c r="AM35" s="114"/>
      <c r="AO35" s="124" t="str">
        <f t="shared" si="81"/>
        <v/>
      </c>
      <c r="AP35" s="113" t="str">
        <f t="shared" si="82"/>
        <v/>
      </c>
      <c r="AQ35" s="112">
        <f t="shared" si="83"/>
        <v>0</v>
      </c>
      <c r="AR35" s="9">
        <f t="shared" si="84"/>
        <v>1.9271198318149964E-3</v>
      </c>
      <c r="AS35" s="9">
        <f t="shared" si="85"/>
        <v>774.3999297509597</v>
      </c>
    </row>
    <row r="36" spans="1:45" x14ac:dyDescent="0.25">
      <c r="A36" s="680"/>
      <c r="B36" s="240">
        <f>'Total - Detail'!B37</f>
        <v>19</v>
      </c>
      <c r="C36" s="100" t="str">
        <f>'Total - Detail'!C37</f>
        <v>MWO Installer</v>
      </c>
      <c r="D36" s="100" t="s">
        <v>288</v>
      </c>
      <c r="E36" s="100" t="s">
        <v>77</v>
      </c>
      <c r="F36" s="39">
        <v>10084.799085165909</v>
      </c>
      <c r="G36" s="39">
        <f t="shared" si="58"/>
        <v>0</v>
      </c>
      <c r="H36" s="40">
        <f t="shared" si="59"/>
        <v>10084.799085165909</v>
      </c>
      <c r="I36" s="43"/>
      <c r="J36" s="137"/>
      <c r="K36" s="41">
        <f>'Ordering Period 2'!K36+('Ordering Period 2'!K36*Escalation!$D$3)</f>
        <v>0</v>
      </c>
      <c r="L36" s="5">
        <f t="shared" si="60"/>
        <v>0</v>
      </c>
      <c r="M36" s="5">
        <f t="shared" si="61"/>
        <v>0</v>
      </c>
      <c r="N36" s="5">
        <f t="shared" si="62"/>
        <v>0</v>
      </c>
      <c r="O36" s="5">
        <f t="shared" si="63"/>
        <v>0</v>
      </c>
      <c r="P36" s="5">
        <f t="shared" si="64"/>
        <v>0</v>
      </c>
      <c r="Q36" s="5">
        <f t="shared" si="65"/>
        <v>0</v>
      </c>
      <c r="R36" s="41">
        <f t="shared" si="66"/>
        <v>0</v>
      </c>
      <c r="S36" s="41">
        <f t="shared" si="67"/>
        <v>0</v>
      </c>
      <c r="T36" s="41">
        <f t="shared" si="68"/>
        <v>0</v>
      </c>
      <c r="U36" s="41">
        <f t="shared" si="69"/>
        <v>0</v>
      </c>
      <c r="V36" s="41">
        <f t="shared" si="70"/>
        <v>0</v>
      </c>
      <c r="W36" s="115">
        <f t="shared" si="71"/>
        <v>0</v>
      </c>
      <c r="Y36" s="137"/>
      <c r="Z36" s="5">
        <f>'Ordering Period 2'!Z36+('Ordering Period 2'!Z36*Escalation!$D$3)</f>
        <v>0</v>
      </c>
      <c r="AA36" s="41">
        <f t="shared" si="72"/>
        <v>0</v>
      </c>
      <c r="AB36" s="5">
        <f t="shared" si="73"/>
        <v>0</v>
      </c>
      <c r="AC36" s="5">
        <f t="shared" si="74"/>
        <v>0</v>
      </c>
      <c r="AD36" s="5"/>
      <c r="AE36" s="41">
        <f t="shared" si="75"/>
        <v>0</v>
      </c>
      <c r="AF36" s="41">
        <f t="shared" si="76"/>
        <v>0</v>
      </c>
      <c r="AG36" s="41">
        <f t="shared" si="77"/>
        <v>0</v>
      </c>
      <c r="AH36" s="41">
        <f t="shared" si="78"/>
        <v>0</v>
      </c>
      <c r="AI36" s="41">
        <f t="shared" si="79"/>
        <v>0</v>
      </c>
      <c r="AJ36" s="41">
        <f t="shared" si="80"/>
        <v>0</v>
      </c>
      <c r="AK36" s="10"/>
      <c r="AL36" s="10"/>
      <c r="AM36" s="7"/>
      <c r="AO36" s="138" t="str">
        <f t="shared" si="81"/>
        <v/>
      </c>
      <c r="AP36" s="42" t="str">
        <f t="shared" si="82"/>
        <v/>
      </c>
      <c r="AQ36" s="115">
        <f t="shared" si="83"/>
        <v>0</v>
      </c>
      <c r="AR36" s="9">
        <f t="shared" si="84"/>
        <v>2.5096355991590751E-2</v>
      </c>
      <c r="AS36" s="9">
        <f t="shared" si="85"/>
        <v>10084.799085165909</v>
      </c>
    </row>
    <row r="37" spans="1:45" x14ac:dyDescent="0.25">
      <c r="A37" s="680"/>
      <c r="B37" s="240">
        <f>'Total - Detail'!B38</f>
        <v>15</v>
      </c>
      <c r="C37" s="100" t="str">
        <f>'Total - Detail'!C38</f>
        <v>Inspector</v>
      </c>
      <c r="D37" s="100" t="s">
        <v>235</v>
      </c>
      <c r="E37" s="100" t="s">
        <v>77</v>
      </c>
      <c r="F37" s="39">
        <v>2617.999762510347</v>
      </c>
      <c r="G37" s="39">
        <f t="shared" si="58"/>
        <v>0</v>
      </c>
      <c r="H37" s="40">
        <f t="shared" si="59"/>
        <v>2617.999762510347</v>
      </c>
      <c r="I37" s="43"/>
      <c r="J37" s="137"/>
      <c r="K37" s="41">
        <f>'Ordering Period 2'!K37+('Ordering Period 2'!K37*Escalation!$D$3)</f>
        <v>0</v>
      </c>
      <c r="L37" s="41">
        <f>L27</f>
        <v>0</v>
      </c>
      <c r="M37" s="41">
        <f t="shared" ref="M37:P37" si="95">M27</f>
        <v>0</v>
      </c>
      <c r="N37" s="41">
        <f t="shared" si="95"/>
        <v>0</v>
      </c>
      <c r="O37" s="41">
        <f t="shared" si="95"/>
        <v>0</v>
      </c>
      <c r="P37" s="41">
        <f t="shared" si="95"/>
        <v>0</v>
      </c>
      <c r="Q37" s="41">
        <f>Q27</f>
        <v>0</v>
      </c>
      <c r="R37" s="41">
        <f t="shared" si="66"/>
        <v>0</v>
      </c>
      <c r="S37" s="41">
        <f t="shared" si="67"/>
        <v>0</v>
      </c>
      <c r="T37" s="41">
        <f t="shared" si="68"/>
        <v>0</v>
      </c>
      <c r="U37" s="41">
        <f t="shared" si="69"/>
        <v>0</v>
      </c>
      <c r="V37" s="41">
        <f t="shared" si="70"/>
        <v>0</v>
      </c>
      <c r="W37" s="115">
        <f t="shared" si="71"/>
        <v>0</v>
      </c>
      <c r="Y37" s="137"/>
      <c r="Z37" s="5">
        <f>'Ordering Period 2'!Z37+('Ordering Period 2'!Z37*Escalation!$D$3)</f>
        <v>0</v>
      </c>
      <c r="AA37" s="41">
        <f t="shared" si="72"/>
        <v>0</v>
      </c>
      <c r="AB37" s="5">
        <f t="shared" si="73"/>
        <v>0</v>
      </c>
      <c r="AC37" s="5">
        <f t="shared" si="74"/>
        <v>0</v>
      </c>
      <c r="AD37" s="5"/>
      <c r="AE37" s="41">
        <f t="shared" si="75"/>
        <v>0</v>
      </c>
      <c r="AF37" s="41">
        <f t="shared" si="76"/>
        <v>0</v>
      </c>
      <c r="AG37" s="41">
        <f t="shared" si="77"/>
        <v>0</v>
      </c>
      <c r="AH37" s="41">
        <f t="shared" si="78"/>
        <v>0</v>
      </c>
      <c r="AI37" s="41">
        <f t="shared" si="79"/>
        <v>0</v>
      </c>
      <c r="AJ37" s="41">
        <f t="shared" si="80"/>
        <v>0</v>
      </c>
      <c r="AK37" s="10"/>
      <c r="AL37" s="10"/>
      <c r="AM37" s="7"/>
      <c r="AO37" s="138" t="str">
        <f t="shared" si="81"/>
        <v/>
      </c>
      <c r="AP37" s="42" t="str">
        <f t="shared" si="82"/>
        <v/>
      </c>
      <c r="AQ37" s="115">
        <f t="shared" si="83"/>
        <v>0</v>
      </c>
      <c r="AR37" s="9">
        <f t="shared" si="84"/>
        <v>6.5149789768745615E-3</v>
      </c>
      <c r="AS37" s="9">
        <f t="shared" si="85"/>
        <v>2617.9997625103465</v>
      </c>
    </row>
    <row r="38" spans="1:45" ht="15.75" thickBot="1" x14ac:dyDescent="0.3">
      <c r="A38" s="681"/>
      <c r="B38" s="242">
        <f>'Total - Detail'!B39</f>
        <v>17</v>
      </c>
      <c r="C38" s="127" t="str">
        <f>'Total - Detail'!C39</f>
        <v>Welder</v>
      </c>
      <c r="D38" s="127" t="s">
        <v>239</v>
      </c>
      <c r="E38" s="127" t="s">
        <v>77</v>
      </c>
      <c r="F38" s="128">
        <v>2014.0998172926238</v>
      </c>
      <c r="G38" s="128">
        <f t="shared" si="58"/>
        <v>0</v>
      </c>
      <c r="H38" s="129">
        <f t="shared" si="59"/>
        <v>2014.0998172926238</v>
      </c>
      <c r="I38" s="43"/>
      <c r="J38" s="146"/>
      <c r="K38" s="143">
        <f>'Ordering Period 2'!K38+('Ordering Period 2'!K38*Escalation!$D$3)</f>
        <v>0</v>
      </c>
      <c r="L38" s="143">
        <f>L29</f>
        <v>0</v>
      </c>
      <c r="M38" s="143">
        <f t="shared" ref="M38:P38" si="96">M29</f>
        <v>0</v>
      </c>
      <c r="N38" s="143">
        <f t="shared" si="96"/>
        <v>0</v>
      </c>
      <c r="O38" s="143">
        <f t="shared" si="96"/>
        <v>0</v>
      </c>
      <c r="P38" s="143">
        <f t="shared" si="96"/>
        <v>0</v>
      </c>
      <c r="Q38" s="143">
        <f>Q29</f>
        <v>0</v>
      </c>
      <c r="R38" s="143">
        <f t="shared" si="66"/>
        <v>0</v>
      </c>
      <c r="S38" s="143">
        <f t="shared" si="67"/>
        <v>0</v>
      </c>
      <c r="T38" s="143">
        <f t="shared" si="68"/>
        <v>0</v>
      </c>
      <c r="U38" s="143">
        <f t="shared" si="69"/>
        <v>0</v>
      </c>
      <c r="V38" s="143">
        <f t="shared" si="70"/>
        <v>0</v>
      </c>
      <c r="W38" s="145">
        <f t="shared" si="71"/>
        <v>0</v>
      </c>
      <c r="Y38" s="146"/>
      <c r="Z38" s="144">
        <f>'Ordering Period 2'!Z38+('Ordering Period 2'!Z38*Escalation!$D$3)</f>
        <v>0</v>
      </c>
      <c r="AA38" s="143">
        <f t="shared" si="72"/>
        <v>0</v>
      </c>
      <c r="AB38" s="144">
        <f t="shared" si="73"/>
        <v>0</v>
      </c>
      <c r="AC38" s="144">
        <f t="shared" si="74"/>
        <v>0</v>
      </c>
      <c r="AD38" s="144"/>
      <c r="AE38" s="143">
        <f t="shared" si="75"/>
        <v>0</v>
      </c>
      <c r="AF38" s="143">
        <f t="shared" si="76"/>
        <v>0</v>
      </c>
      <c r="AG38" s="143">
        <f t="shared" si="77"/>
        <v>0</v>
      </c>
      <c r="AH38" s="143">
        <f t="shared" si="78"/>
        <v>0</v>
      </c>
      <c r="AI38" s="143">
        <f t="shared" si="79"/>
        <v>0</v>
      </c>
      <c r="AJ38" s="143">
        <f t="shared" si="80"/>
        <v>0</v>
      </c>
      <c r="AK38" s="260"/>
      <c r="AL38" s="260"/>
      <c r="AM38" s="147"/>
      <c r="AO38" s="148" t="str">
        <f t="shared" si="81"/>
        <v/>
      </c>
      <c r="AP38" s="149" t="str">
        <f t="shared" si="82"/>
        <v/>
      </c>
      <c r="AQ38" s="145">
        <f t="shared" si="83"/>
        <v>0</v>
      </c>
      <c r="AR38" s="9">
        <f t="shared" si="84"/>
        <v>5.0121539943938321E-3</v>
      </c>
      <c r="AS38" s="9">
        <f t="shared" si="85"/>
        <v>2014.0998172926236</v>
      </c>
    </row>
    <row r="39" spans="1:45" s="15" customFormat="1" ht="15.75" x14ac:dyDescent="0.25">
      <c r="A39" s="20"/>
      <c r="B39" s="20"/>
      <c r="C39" s="44"/>
      <c r="D39" s="44"/>
      <c r="E39" s="179" t="s">
        <v>119</v>
      </c>
      <c r="F39" s="180">
        <f>SUM(F5:F21)</f>
        <v>352457.56802710734</v>
      </c>
      <c r="G39" s="180">
        <f>SUM(G5:G21)</f>
        <v>0</v>
      </c>
      <c r="H39" s="181">
        <f>F39-G39</f>
        <v>352457.56802710734</v>
      </c>
      <c r="I39" s="43"/>
      <c r="J39" s="43"/>
      <c r="K39" s="45"/>
      <c r="L39" s="45"/>
      <c r="M39" s="45"/>
      <c r="N39" s="45"/>
      <c r="O39" s="45"/>
      <c r="P39" s="45"/>
      <c r="Q39" s="45"/>
      <c r="W39" s="45"/>
      <c r="Y39" s="43"/>
      <c r="Z39" s="45"/>
      <c r="AA39" s="45"/>
      <c r="AB39" s="45"/>
      <c r="AC39" s="45"/>
      <c r="AD39" s="45"/>
      <c r="AE39" s="45"/>
      <c r="AF39" s="45"/>
      <c r="AG39" s="45"/>
      <c r="AH39" s="46"/>
      <c r="AI39" s="46"/>
      <c r="AJ39" s="46"/>
      <c r="AK39" s="17"/>
      <c r="AL39" s="17"/>
      <c r="AM39" s="17"/>
      <c r="AO39" s="45"/>
      <c r="AP39" s="46"/>
      <c r="AQ39" s="45"/>
    </row>
    <row r="40" spans="1:45" s="15" customFormat="1" ht="16.5" thickBot="1" x14ac:dyDescent="0.3">
      <c r="A40" s="20"/>
      <c r="B40" s="20"/>
      <c r="C40" s="44"/>
      <c r="D40" s="44"/>
      <c r="E40" s="243" t="s">
        <v>120</v>
      </c>
      <c r="F40" s="244">
        <f>SUM(F23:F38)</f>
        <v>49385.595520027113</v>
      </c>
      <c r="G40" s="244">
        <f>SUM(G23:G38)</f>
        <v>0</v>
      </c>
      <c r="H40" s="245">
        <f>F40-G40</f>
        <v>49385.595520027113</v>
      </c>
      <c r="I40" s="43"/>
      <c r="J40" s="43"/>
      <c r="K40" s="45"/>
      <c r="L40" s="45"/>
      <c r="M40" s="45"/>
      <c r="N40" s="45"/>
      <c r="O40" s="45"/>
      <c r="P40" s="45"/>
      <c r="Q40" s="45"/>
      <c r="U40" s="204"/>
      <c r="V40" s="204"/>
      <c r="W40" s="45"/>
      <c r="Y40" s="43"/>
      <c r="Z40" s="45"/>
      <c r="AA40" s="45"/>
      <c r="AB40" s="45"/>
      <c r="AC40" s="45"/>
      <c r="AD40" s="45"/>
      <c r="AE40" s="45"/>
      <c r="AF40" s="45"/>
      <c r="AG40" s="45"/>
      <c r="AH40" s="46"/>
      <c r="AI40" s="46"/>
      <c r="AJ40" s="46"/>
      <c r="AK40" s="17"/>
      <c r="AL40" s="17"/>
      <c r="AM40" s="17"/>
      <c r="AO40" s="45"/>
      <c r="AP40" s="46"/>
      <c r="AQ40" s="45"/>
    </row>
    <row r="41" spans="1:45" s="15" customFormat="1" ht="16.5" thickBot="1" x14ac:dyDescent="0.3">
      <c r="A41" s="20"/>
      <c r="B41" s="20"/>
      <c r="C41" s="44"/>
      <c r="D41" s="44"/>
      <c r="E41" s="246" t="s">
        <v>121</v>
      </c>
      <c r="F41" s="247">
        <f>F39+F40</f>
        <v>401843.16354713443</v>
      </c>
      <c r="G41" s="247">
        <f>G39+G40</f>
        <v>0</v>
      </c>
      <c r="H41" s="248">
        <f>F41-G41</f>
        <v>401843.16354713443</v>
      </c>
      <c r="I41" s="43"/>
      <c r="J41" s="43"/>
      <c r="K41" s="45"/>
      <c r="L41" s="45"/>
      <c r="M41" s="45"/>
      <c r="N41" s="45"/>
      <c r="O41" s="45"/>
      <c r="P41" s="45"/>
      <c r="Q41" s="45"/>
      <c r="W41" s="45"/>
      <c r="Y41" s="43"/>
      <c r="Z41" s="45"/>
      <c r="AA41" s="45"/>
      <c r="AB41" s="45"/>
      <c r="AC41" s="45"/>
      <c r="AD41" s="45"/>
      <c r="AE41" s="45"/>
      <c r="AF41" s="45"/>
      <c r="AG41" s="45"/>
      <c r="AH41" s="46"/>
      <c r="AI41" s="46"/>
      <c r="AJ41" s="46"/>
      <c r="AK41" s="17"/>
      <c r="AL41" s="17"/>
      <c r="AM41" s="17"/>
      <c r="AO41" s="45"/>
      <c r="AP41" s="46"/>
      <c r="AQ41" s="45"/>
    </row>
    <row r="42" spans="1:45" x14ac:dyDescent="0.25">
      <c r="F42" s="9"/>
      <c r="G42" s="9"/>
      <c r="H42" s="9"/>
      <c r="T42" s="130"/>
      <c r="U42" s="131"/>
      <c r="V42" s="131"/>
      <c r="AH42" s="130"/>
      <c r="AI42" s="131"/>
      <c r="AJ42" s="131"/>
    </row>
    <row r="43" spans="1:45" ht="15.75" thickBot="1" x14ac:dyDescent="0.3">
      <c r="K43" s="157"/>
      <c r="T43" s="130"/>
      <c r="W43" s="64"/>
      <c r="AH43" s="130"/>
      <c r="AI43" s="132"/>
      <c r="AJ43" s="130"/>
    </row>
    <row r="44" spans="1:45" x14ac:dyDescent="0.25">
      <c r="C44" s="50" t="s">
        <v>137</v>
      </c>
      <c r="D44" s="237"/>
      <c r="E44" s="382" t="s">
        <v>138</v>
      </c>
      <c r="F44" s="385" t="s">
        <v>139</v>
      </c>
      <c r="H44" s="48"/>
      <c r="J44" s="49"/>
      <c r="K44" s="155"/>
      <c r="N44" s="45"/>
      <c r="O44" s="45"/>
      <c r="P44" s="45"/>
      <c r="Q44" s="45"/>
      <c r="V44" s="9"/>
      <c r="W44" s="64"/>
      <c r="AK44" s="51"/>
    </row>
    <row r="45" spans="1:45" x14ac:dyDescent="0.25">
      <c r="C45" s="52" t="s">
        <v>125</v>
      </c>
      <c r="D45" s="11"/>
      <c r="E45" s="53"/>
      <c r="F45" s="75"/>
      <c r="G45" s="156"/>
      <c r="H45" s="48"/>
      <c r="J45" s="49"/>
      <c r="K45" s="158"/>
      <c r="N45" s="45"/>
      <c r="O45" s="45"/>
      <c r="P45" s="45"/>
      <c r="Q45" s="45"/>
      <c r="V45" s="64"/>
      <c r="W45" s="64"/>
      <c r="AK45" s="11"/>
      <c r="AM45" s="9"/>
    </row>
    <row r="46" spans="1:45" x14ac:dyDescent="0.25">
      <c r="C46" s="54" t="s">
        <v>126</v>
      </c>
      <c r="D46" s="11"/>
      <c r="E46" s="53">
        <f>SUM(J5:J38)</f>
        <v>0</v>
      </c>
      <c r="F46" s="76">
        <f>SUM(W5:W38)</f>
        <v>0</v>
      </c>
      <c r="G46" s="156"/>
      <c r="H46" s="49"/>
      <c r="J46" s="176"/>
      <c r="K46" s="158"/>
      <c r="V46" s="9"/>
      <c r="W46" s="64"/>
      <c r="AK46" s="11"/>
      <c r="AM46" s="9"/>
    </row>
    <row r="47" spans="1:45" x14ac:dyDescent="0.25">
      <c r="C47" s="52" t="s">
        <v>127</v>
      </c>
      <c r="D47" s="11"/>
      <c r="E47" s="53"/>
      <c r="F47" s="75"/>
      <c r="G47" s="156"/>
      <c r="J47" s="176"/>
      <c r="V47" s="9"/>
      <c r="W47" s="64"/>
      <c r="AK47" s="11"/>
      <c r="AM47" s="9"/>
    </row>
    <row r="48" spans="1:45" x14ac:dyDescent="0.25">
      <c r="C48" s="54" t="s">
        <v>126</v>
      </c>
      <c r="D48" s="11"/>
      <c r="E48" s="53">
        <f>SUM(Y5:Y38)</f>
        <v>0</v>
      </c>
      <c r="F48" s="76">
        <f>SUM(AJ5:AJ38)</f>
        <v>0</v>
      </c>
      <c r="J48" s="48"/>
      <c r="V48" s="9"/>
      <c r="W48" s="64"/>
      <c r="AK48" s="11"/>
      <c r="AM48" s="9"/>
    </row>
    <row r="49" spans="1:40" x14ac:dyDescent="0.25">
      <c r="C49" s="54"/>
      <c r="D49" s="11"/>
      <c r="E49" s="53"/>
      <c r="F49" s="76"/>
      <c r="H49" s="48"/>
      <c r="J49" s="48"/>
      <c r="V49" s="9"/>
      <c r="W49" s="64"/>
      <c r="AK49" s="11"/>
      <c r="AM49" s="9"/>
    </row>
    <row r="50" spans="1:40" ht="15.75" thickBot="1" x14ac:dyDescent="0.3">
      <c r="C50" s="55" t="s">
        <v>128</v>
      </c>
      <c r="D50" s="238"/>
      <c r="E50" s="56">
        <f>SUM(E46:E49)</f>
        <v>0</v>
      </c>
      <c r="F50" s="78">
        <f>SUM(F46:F49)</f>
        <v>0</v>
      </c>
      <c r="H50" s="48"/>
      <c r="J50" s="48"/>
      <c r="T50" s="12"/>
      <c r="V50" s="9"/>
      <c r="W50" s="64"/>
      <c r="AK50" s="11"/>
      <c r="AM50" s="9"/>
    </row>
    <row r="51" spans="1:40" ht="15.75" thickBot="1" x14ac:dyDescent="0.3">
      <c r="C51" s="47"/>
      <c r="D51" s="80"/>
      <c r="H51" s="48"/>
      <c r="J51" s="49"/>
      <c r="T51" s="12"/>
      <c r="V51" s="9"/>
      <c r="W51" s="64"/>
      <c r="AK51" s="11"/>
      <c r="AM51" s="9"/>
    </row>
    <row r="52" spans="1:40" x14ac:dyDescent="0.25">
      <c r="C52" s="50" t="s">
        <v>242</v>
      </c>
      <c r="D52" s="384" t="s">
        <v>171</v>
      </c>
      <c r="E52" s="382" t="s">
        <v>169</v>
      </c>
      <c r="F52" s="383" t="s">
        <v>99</v>
      </c>
      <c r="G52" s="205"/>
      <c r="H52" s="48"/>
      <c r="J52" s="12"/>
      <c r="T52" s="12"/>
      <c r="V52" s="9"/>
      <c r="W52" s="64"/>
      <c r="AK52" s="11"/>
      <c r="AM52" s="9"/>
    </row>
    <row r="53" spans="1:40" x14ac:dyDescent="0.25">
      <c r="C53" s="54" t="s">
        <v>167</v>
      </c>
      <c r="D53" s="301">
        <v>3250412.8006196138</v>
      </c>
      <c r="E53" s="506"/>
      <c r="F53" s="302">
        <f>IF(E53&lt;0,"ERROR",D53-(D53*E53))</f>
        <v>3250412.8006196138</v>
      </c>
      <c r="G53" s="12"/>
      <c r="H53" s="446"/>
      <c r="J53" s="49"/>
      <c r="T53" s="12"/>
      <c r="V53" s="9"/>
      <c r="W53" s="64"/>
      <c r="AK53" s="11"/>
      <c r="AM53" s="9"/>
    </row>
    <row r="54" spans="1:40" x14ac:dyDescent="0.25">
      <c r="C54" s="54" t="s">
        <v>168</v>
      </c>
      <c r="D54" s="301">
        <v>1902680.6637773348</v>
      </c>
      <c r="E54" s="506"/>
      <c r="F54" s="302">
        <f>IF(E54&lt;0,"ERROR",D54-(D54*E54))</f>
        <v>1902680.6637773348</v>
      </c>
      <c r="H54" s="447"/>
      <c r="J54" s="49"/>
      <c r="T54" s="12"/>
      <c r="V54" s="9"/>
      <c r="W54" s="64"/>
      <c r="AK54" s="11"/>
      <c r="AM54" s="9"/>
    </row>
    <row r="55" spans="1:40" ht="17.25" x14ac:dyDescent="0.4">
      <c r="C55" s="300" t="s">
        <v>243</v>
      </c>
      <c r="D55" s="305">
        <v>2774742.6346752802</v>
      </c>
      <c r="E55" s="57"/>
      <c r="F55" s="303">
        <f>D55</f>
        <v>2774742.6346752802</v>
      </c>
      <c r="H55" s="48"/>
      <c r="J55" s="49"/>
      <c r="T55" s="12"/>
      <c r="V55" s="9"/>
      <c r="W55" s="9"/>
      <c r="AK55" s="11"/>
      <c r="AM55" s="9"/>
    </row>
    <row r="56" spans="1:40" x14ac:dyDescent="0.25">
      <c r="C56" s="300" t="s">
        <v>244</v>
      </c>
      <c r="D56" s="51">
        <f>SUM(D53:D55)</f>
        <v>7927836.0990722291</v>
      </c>
      <c r="E56" s="57"/>
      <c r="F56" s="304">
        <f>ROUND(SUM(F53:F55),2)</f>
        <v>7927836.0999999996</v>
      </c>
      <c r="G56" s="156"/>
      <c r="H56" s="48"/>
      <c r="J56" s="49"/>
      <c r="T56" s="12"/>
      <c r="V56" s="9"/>
      <c r="W56" s="9"/>
      <c r="AK56" s="11"/>
      <c r="AM56" s="9"/>
    </row>
    <row r="57" spans="1:40" x14ac:dyDescent="0.25">
      <c r="A57" s="58"/>
      <c r="B57" s="11"/>
      <c r="C57" s="300"/>
      <c r="D57" s="51"/>
      <c r="E57" s="386" t="s">
        <v>170</v>
      </c>
      <c r="F57" s="304"/>
      <c r="G57" s="156"/>
      <c r="H57" s="48"/>
      <c r="J57" s="49"/>
      <c r="T57" s="12"/>
      <c r="V57" s="9"/>
      <c r="W57" s="9"/>
      <c r="AK57" s="11"/>
      <c r="AM57" s="9"/>
    </row>
    <row r="58" spans="1:40" ht="17.25" x14ac:dyDescent="0.4">
      <c r="C58" s="300" t="s">
        <v>246</v>
      </c>
      <c r="D58" s="51"/>
      <c r="E58" s="506"/>
      <c r="F58" s="303">
        <f>F56*E58</f>
        <v>0</v>
      </c>
    </row>
    <row r="59" spans="1:40" x14ac:dyDescent="0.25">
      <c r="C59" s="300"/>
      <c r="D59" s="51"/>
      <c r="E59" s="57"/>
      <c r="F59" s="304"/>
    </row>
    <row r="60" spans="1:40" ht="15.75" thickBot="1" x14ac:dyDescent="0.3">
      <c r="C60" s="55" t="s">
        <v>263</v>
      </c>
      <c r="D60" s="567"/>
      <c r="E60" s="568"/>
      <c r="F60" s="569">
        <f>F56+F58</f>
        <v>7927836.0999999996</v>
      </c>
    </row>
    <row r="61" spans="1:40" ht="15.75" thickBot="1" x14ac:dyDescent="0.3">
      <c r="C61" s="47"/>
      <c r="D61" s="80"/>
    </row>
    <row r="62" spans="1:40" x14ac:dyDescent="0.25">
      <c r="B62" s="234"/>
      <c r="C62" s="50" t="s">
        <v>245</v>
      </c>
      <c r="D62" s="237"/>
      <c r="E62" s="565"/>
      <c r="F62" s="570"/>
      <c r="G62" s="278"/>
      <c r="J62" s="48"/>
      <c r="U62" s="49"/>
      <c r="W62" s="12"/>
      <c r="X62" s="49"/>
      <c r="Y62" s="49"/>
      <c r="AL62" s="9"/>
      <c r="AM62" s="9"/>
    </row>
    <row r="63" spans="1:40" x14ac:dyDescent="0.25">
      <c r="C63" s="300" t="s">
        <v>245</v>
      </c>
      <c r="D63" s="51">
        <v>1906762.9907349111</v>
      </c>
      <c r="E63" s="11"/>
      <c r="F63" s="306">
        <f>D63</f>
        <v>1906762.9907349111</v>
      </c>
      <c r="K63" s="47"/>
      <c r="L63" s="47"/>
      <c r="M63" s="47"/>
      <c r="U63" s="49"/>
      <c r="W63" s="12"/>
      <c r="X63" s="49"/>
      <c r="Y63" s="49"/>
      <c r="AL63" s="9"/>
      <c r="AM63" s="9"/>
      <c r="AN63" s="11"/>
    </row>
    <row r="64" spans="1:40" x14ac:dyDescent="0.25">
      <c r="C64" s="54"/>
      <c r="D64" s="11"/>
      <c r="E64" s="386" t="s">
        <v>170</v>
      </c>
      <c r="F64" s="77"/>
      <c r="H64" s="48"/>
      <c r="J64" s="49"/>
      <c r="U64" s="49"/>
      <c r="V64" s="12"/>
      <c r="W64" s="12"/>
      <c r="AL64" s="9"/>
      <c r="AN64" s="11"/>
    </row>
    <row r="65" spans="3:6" ht="17.25" x14ac:dyDescent="0.4">
      <c r="C65" s="54" t="s">
        <v>248</v>
      </c>
      <c r="D65" s="11"/>
      <c r="E65" s="506"/>
      <c r="F65" s="571">
        <f>F63*E65</f>
        <v>0</v>
      </c>
    </row>
    <row r="66" spans="3:6" x14ac:dyDescent="0.25">
      <c r="C66" s="54"/>
      <c r="D66" s="11"/>
      <c r="E66" s="57"/>
      <c r="F66" s="76"/>
    </row>
    <row r="67" spans="3:6" ht="15.75" thickBot="1" x14ac:dyDescent="0.3">
      <c r="C67" s="55" t="s">
        <v>264</v>
      </c>
      <c r="D67" s="238"/>
      <c r="E67" s="56"/>
      <c r="F67" s="78">
        <f>F63+F65</f>
        <v>1906762.9907349111</v>
      </c>
    </row>
    <row r="69" spans="3:6" ht="15.75" thickBot="1" x14ac:dyDescent="0.3"/>
    <row r="70" spans="3:6" ht="15.75" thickBot="1" x14ac:dyDescent="0.3">
      <c r="C70" s="59" t="s">
        <v>129</v>
      </c>
      <c r="D70" s="162"/>
      <c r="E70" s="162"/>
      <c r="F70" s="81">
        <f>F50+F60+F67</f>
        <v>9834599.0907349102</v>
      </c>
    </row>
  </sheetData>
  <mergeCells count="14">
    <mergeCell ref="A35:A38"/>
    <mergeCell ref="AO3:AQ3"/>
    <mergeCell ref="A1:AQ1"/>
    <mergeCell ref="A2:H2"/>
    <mergeCell ref="J2:W2"/>
    <mergeCell ref="Y2:AM2"/>
    <mergeCell ref="AO2:AQ2"/>
    <mergeCell ref="A8:A12"/>
    <mergeCell ref="A14:A17"/>
    <mergeCell ref="A18:A21"/>
    <mergeCell ref="A25:A29"/>
    <mergeCell ref="A31:A34"/>
    <mergeCell ref="A6:A7"/>
    <mergeCell ref="A23:A24"/>
  </mergeCells>
  <conditionalFormatting sqref="F53:F54">
    <cfRule type="containsText" dxfId="14" priority="1" operator="containsText" text="ERROR">
      <formula>NOT(ISERROR(SEARCH("ERROR",F53)))</formula>
    </cfRule>
  </conditionalFormatting>
  <conditionalFormatting sqref="H5:H21 H23:H41">
    <cfRule type="cellIs" dxfId="13" priority="5" operator="lessThan">
      <formula>0</formula>
    </cfRule>
    <cfRule type="cellIs" dxfId="12" priority="6" operator="greaterThan">
      <formula>0</formula>
    </cfRule>
    <cfRule type="cellIs" dxfId="11" priority="7" operator="equal">
      <formula>0</formula>
    </cfRule>
  </conditionalFormatting>
  <pageMargins left="0.7" right="0.7" top="0.75" bottom="0.75" header="0.3" footer="0.3"/>
  <pageSetup orientation="portrait" verticalDpi="597"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ABAF9-E0F2-4B0E-9D5E-12BB976126C2}">
  <dimension ref="A1:AV70"/>
  <sheetViews>
    <sheetView showGridLines="0" zoomScaleNormal="100" workbookViewId="0">
      <pane ySplit="4" topLeftCell="A5" activePane="bottomLeft" state="frozen"/>
      <selection activeCell="D23" sqref="D23"/>
      <selection pane="bottomLeft" activeCell="D23" sqref="D23"/>
    </sheetView>
  </sheetViews>
  <sheetFormatPr defaultColWidth="9.140625" defaultRowHeight="15" x14ac:dyDescent="0.25"/>
  <cols>
    <col min="1" max="1" width="41.28515625" style="9" bestFit="1" customWidth="1"/>
    <col min="2" max="2" width="4" style="9" bestFit="1" customWidth="1"/>
    <col min="3" max="3" width="36.42578125" style="9" bestFit="1" customWidth="1"/>
    <col min="4" max="4" width="16.7109375" style="9" customWidth="1"/>
    <col min="5" max="5" width="17.7109375" style="9" customWidth="1"/>
    <col min="6" max="8" width="16.7109375" style="47" customWidth="1"/>
    <col min="9" max="9" width="1.7109375" style="48" customWidth="1"/>
    <col min="10" max="10" width="14.7109375" style="47" customWidth="1"/>
    <col min="11" max="20" width="14.7109375" style="49" customWidth="1"/>
    <col min="21" max="21" width="23.7109375" style="12" customWidth="1"/>
    <col min="22" max="23" width="23.7109375" style="49" customWidth="1"/>
    <col min="24" max="24" width="1.7109375" style="9" customWidth="1"/>
    <col min="25" max="33" width="14.7109375" style="9" customWidth="1"/>
    <col min="34" max="36" width="23.7109375" style="9" customWidth="1"/>
    <col min="37" max="37" width="36.7109375" style="9" customWidth="1"/>
    <col min="38" max="38" width="12.7109375" style="11" customWidth="1"/>
    <col min="39" max="39" width="24.7109375" style="11" customWidth="1"/>
    <col min="40" max="40" width="1.7109375" style="9" customWidth="1"/>
    <col min="41" max="43" width="16.7109375" style="9" customWidth="1"/>
    <col min="44" max="16384" width="9.140625" style="9"/>
  </cols>
  <sheetData>
    <row r="1" spans="1:48" s="15" customFormat="1" ht="34.5" thickBot="1" x14ac:dyDescent="0.55000000000000004">
      <c r="A1" s="696" t="s">
        <v>140</v>
      </c>
      <c r="B1" s="697"/>
      <c r="C1" s="698"/>
      <c r="D1" s="698"/>
      <c r="E1" s="698"/>
      <c r="F1" s="698"/>
      <c r="G1" s="698"/>
      <c r="H1" s="698"/>
      <c r="I1" s="698"/>
      <c r="J1" s="698"/>
      <c r="K1" s="698"/>
      <c r="L1" s="698"/>
      <c r="M1" s="698"/>
      <c r="N1" s="698"/>
      <c r="O1" s="698"/>
      <c r="P1" s="698"/>
      <c r="Q1" s="698"/>
      <c r="R1" s="698"/>
      <c r="S1" s="698"/>
      <c r="T1" s="698"/>
      <c r="U1" s="698"/>
      <c r="V1" s="698"/>
      <c r="W1" s="698"/>
      <c r="X1" s="698"/>
      <c r="Y1" s="698"/>
      <c r="Z1" s="698"/>
      <c r="AA1" s="698"/>
      <c r="AB1" s="698"/>
      <c r="AC1" s="698"/>
      <c r="AD1" s="698"/>
      <c r="AE1" s="698"/>
      <c r="AF1" s="698"/>
      <c r="AG1" s="698"/>
      <c r="AH1" s="698"/>
      <c r="AI1" s="698"/>
      <c r="AJ1" s="698"/>
      <c r="AK1" s="698"/>
      <c r="AL1" s="698"/>
      <c r="AM1" s="698"/>
      <c r="AN1" s="698"/>
      <c r="AO1" s="698"/>
      <c r="AP1" s="698"/>
      <c r="AQ1" s="699"/>
    </row>
    <row r="2" spans="1:48" ht="15.75" thickBot="1" x14ac:dyDescent="0.3">
      <c r="A2" s="706" t="s">
        <v>141</v>
      </c>
      <c r="B2" s="707"/>
      <c r="C2" s="707"/>
      <c r="D2" s="707"/>
      <c r="E2" s="707"/>
      <c r="F2" s="707"/>
      <c r="G2" s="707"/>
      <c r="H2" s="708"/>
      <c r="I2" s="32"/>
      <c r="J2" s="703" t="s">
        <v>84</v>
      </c>
      <c r="K2" s="704"/>
      <c r="L2" s="704"/>
      <c r="M2" s="704"/>
      <c r="N2" s="704"/>
      <c r="O2" s="704"/>
      <c r="P2" s="704"/>
      <c r="Q2" s="704"/>
      <c r="R2" s="704"/>
      <c r="S2" s="704"/>
      <c r="T2" s="704"/>
      <c r="U2" s="704"/>
      <c r="V2" s="704"/>
      <c r="W2" s="705"/>
      <c r="Y2" s="709" t="s">
        <v>85</v>
      </c>
      <c r="Z2" s="710"/>
      <c r="AA2" s="710"/>
      <c r="AB2" s="710"/>
      <c r="AC2" s="710"/>
      <c r="AD2" s="710"/>
      <c r="AE2" s="710"/>
      <c r="AF2" s="710"/>
      <c r="AG2" s="710"/>
      <c r="AH2" s="710"/>
      <c r="AI2" s="710"/>
      <c r="AJ2" s="710"/>
      <c r="AK2" s="710"/>
      <c r="AL2" s="710"/>
      <c r="AM2" s="711"/>
      <c r="AO2" s="706" t="s">
        <v>86</v>
      </c>
      <c r="AP2" s="707"/>
      <c r="AQ2" s="708"/>
    </row>
    <row r="3" spans="1:48" s="234" customFormat="1" ht="45.95" customHeight="1" thickBot="1" x14ac:dyDescent="0.3">
      <c r="A3" s="163" t="s">
        <v>35</v>
      </c>
      <c r="B3" s="209" t="s">
        <v>36</v>
      </c>
      <c r="C3" s="223" t="s">
        <v>37</v>
      </c>
      <c r="D3" s="223" t="s">
        <v>87</v>
      </c>
      <c r="E3" s="223" t="s">
        <v>47</v>
      </c>
      <c r="F3" s="224" t="s">
        <v>88</v>
      </c>
      <c r="G3" s="224" t="s">
        <v>89</v>
      </c>
      <c r="H3" s="225" t="s">
        <v>90</v>
      </c>
      <c r="I3" s="226"/>
      <c r="J3" s="227" t="s">
        <v>91</v>
      </c>
      <c r="K3" s="229" t="s">
        <v>94</v>
      </c>
      <c r="L3" s="229" t="s">
        <v>172</v>
      </c>
      <c r="M3" s="229" t="s">
        <v>95</v>
      </c>
      <c r="N3" s="230" t="s">
        <v>96</v>
      </c>
      <c r="O3" s="230" t="s">
        <v>193</v>
      </c>
      <c r="P3" s="230" t="s">
        <v>97</v>
      </c>
      <c r="Q3" s="230" t="s">
        <v>98</v>
      </c>
      <c r="R3" s="230" t="s">
        <v>99</v>
      </c>
      <c r="S3" s="230" t="s">
        <v>100</v>
      </c>
      <c r="T3" s="230" t="s">
        <v>101</v>
      </c>
      <c r="U3" s="231" t="s">
        <v>102</v>
      </c>
      <c r="V3" s="232" t="s">
        <v>103</v>
      </c>
      <c r="W3" s="233" t="s">
        <v>104</v>
      </c>
      <c r="Y3" s="227" t="s">
        <v>105</v>
      </c>
      <c r="Z3" s="229" t="s">
        <v>106</v>
      </c>
      <c r="AA3" s="229" t="s">
        <v>107</v>
      </c>
      <c r="AB3" s="229" t="s">
        <v>108</v>
      </c>
      <c r="AC3" s="229" t="s">
        <v>109</v>
      </c>
      <c r="AD3" s="229" t="s">
        <v>110</v>
      </c>
      <c r="AE3" s="232" t="s">
        <v>99</v>
      </c>
      <c r="AF3" s="229" t="s">
        <v>111</v>
      </c>
      <c r="AG3" s="229" t="s">
        <v>112</v>
      </c>
      <c r="AH3" s="229" t="s">
        <v>102</v>
      </c>
      <c r="AI3" s="229" t="s">
        <v>103</v>
      </c>
      <c r="AJ3" s="229" t="s">
        <v>104</v>
      </c>
      <c r="AK3" s="235" t="s">
        <v>113</v>
      </c>
      <c r="AL3" s="235" t="s">
        <v>114</v>
      </c>
      <c r="AM3" s="236" t="s">
        <v>115</v>
      </c>
      <c r="AO3" s="700" t="s">
        <v>116</v>
      </c>
      <c r="AP3" s="701"/>
      <c r="AQ3" s="702"/>
    </row>
    <row r="4" spans="1:48" ht="31.5" customHeight="1" thickBot="1" x14ac:dyDescent="0.35">
      <c r="A4" s="410" t="s">
        <v>117</v>
      </c>
      <c r="B4" s="411"/>
      <c r="C4" s="237"/>
      <c r="D4" s="237"/>
      <c r="E4" s="237"/>
      <c r="F4" s="412"/>
      <c r="G4" s="412"/>
      <c r="H4" s="413"/>
      <c r="I4" s="33"/>
      <c r="J4" s="133"/>
      <c r="K4" s="164"/>
      <c r="L4" s="135"/>
      <c r="M4" s="135"/>
      <c r="N4" s="135"/>
      <c r="O4" s="135"/>
      <c r="P4" s="135"/>
      <c r="Q4" s="135"/>
      <c r="R4" s="136"/>
      <c r="S4" s="135"/>
      <c r="T4" s="136"/>
      <c r="U4" s="136"/>
      <c r="V4" s="150"/>
      <c r="W4" s="151"/>
      <c r="Y4" s="133"/>
      <c r="Z4" s="134"/>
      <c r="AA4" s="134"/>
      <c r="AB4" s="135"/>
      <c r="AC4" s="135"/>
      <c r="AD4" s="135"/>
      <c r="AE4" s="136"/>
      <c r="AF4" s="135"/>
      <c r="AG4" s="134"/>
      <c r="AH4" s="134"/>
      <c r="AI4" s="134"/>
      <c r="AJ4" s="134"/>
      <c r="AK4" s="187"/>
      <c r="AL4" s="187"/>
      <c r="AM4" s="188"/>
      <c r="AN4" s="34"/>
      <c r="AO4" s="152" t="s">
        <v>99</v>
      </c>
      <c r="AP4" s="153" t="s">
        <v>100</v>
      </c>
      <c r="AQ4" s="154" t="s">
        <v>118</v>
      </c>
    </row>
    <row r="5" spans="1:48" ht="15.75" thickBot="1" x14ac:dyDescent="0.3">
      <c r="A5" s="222" t="s">
        <v>42</v>
      </c>
      <c r="B5" s="415">
        <f>'Total - Detail'!B6</f>
        <v>1</v>
      </c>
      <c r="C5" s="210" t="str">
        <f>'Total - Detail'!C6</f>
        <v>Project Management Specialist</v>
      </c>
      <c r="D5" s="257" t="s">
        <v>291</v>
      </c>
      <c r="E5" s="257" t="s">
        <v>55</v>
      </c>
      <c r="F5" s="211">
        <v>19114.698266026175</v>
      </c>
      <c r="G5" s="211">
        <f>SUM(J5,Y5)</f>
        <v>0</v>
      </c>
      <c r="H5" s="212">
        <f>F5-G5</f>
        <v>19114.698266026175</v>
      </c>
      <c r="I5" s="43"/>
      <c r="J5" s="214"/>
      <c r="K5" s="216">
        <f>'Ordering Period 3'!K5+('Ordering Period 3'!K5*Escalation!$D$4)</f>
        <v>0</v>
      </c>
      <c r="L5" s="366"/>
      <c r="M5" s="249">
        <f>(K5*$M$4)</f>
        <v>0</v>
      </c>
      <c r="N5" s="249">
        <f>(M5+K5)*$N$4</f>
        <v>0</v>
      </c>
      <c r="O5" s="249">
        <f>(K5+M5)*$O$4</f>
        <v>0</v>
      </c>
      <c r="P5" s="249">
        <f>(M5+K5+N5+O5)*$P$4</f>
        <v>0</v>
      </c>
      <c r="Q5" s="249">
        <f>(K5+M5+N5+O5+P5)*$Q$4</f>
        <v>0</v>
      </c>
      <c r="R5" s="216">
        <f>SUM(K5:Q5)</f>
        <v>0</v>
      </c>
      <c r="S5" s="216">
        <f>(R5-Q5)*$S$4</f>
        <v>0</v>
      </c>
      <c r="T5" s="216">
        <f>SUM(R5:S5)</f>
        <v>0</v>
      </c>
      <c r="U5" s="253">
        <f>R5*J5</f>
        <v>0</v>
      </c>
      <c r="V5" s="216">
        <f>S5*J5</f>
        <v>0</v>
      </c>
      <c r="W5" s="217">
        <f>T5*J5</f>
        <v>0</v>
      </c>
      <c r="Y5" s="214"/>
      <c r="Z5" s="249">
        <f>'Ordering Period 3'!Z5+('Ordering Period 3'!Z5*Escalation!$D$4)</f>
        <v>0</v>
      </c>
      <c r="AA5" s="216">
        <f>IF($Y5&gt;0,$Z5,0)</f>
        <v>0</v>
      </c>
      <c r="AB5" s="249">
        <f>(AA5*$AB$4)</f>
        <v>0</v>
      </c>
      <c r="AC5" s="249">
        <f>(AA5+AB5)*$AC$4</f>
        <v>0</v>
      </c>
      <c r="AD5" s="249"/>
      <c r="AE5" s="216">
        <f>SUM(AA5:AD5)</f>
        <v>0</v>
      </c>
      <c r="AF5" s="216">
        <f>$AF$4*(AC5+AA5+AB5)</f>
        <v>0</v>
      </c>
      <c r="AG5" s="216">
        <f>SUM(AE5:AF5)</f>
        <v>0</v>
      </c>
      <c r="AH5" s="216">
        <f>AE5*Y5</f>
        <v>0</v>
      </c>
      <c r="AI5" s="216">
        <f>AF5*Y5</f>
        <v>0</v>
      </c>
      <c r="AJ5" s="216">
        <f>AG5*Y5</f>
        <v>0</v>
      </c>
      <c r="AK5" s="433"/>
      <c r="AL5" s="433"/>
      <c r="AM5" s="250"/>
      <c r="AO5" s="252" t="str">
        <f t="shared" ref="AO5" si="0">IFERROR(SUM(U5,AH5)/G5,"")</f>
        <v/>
      </c>
      <c r="AP5" s="253" t="str">
        <f t="shared" ref="AP5" si="1">IFERROR(SUM(V5,AI5)/G5,"")</f>
        <v/>
      </c>
      <c r="AQ5" s="217">
        <f>SUM(AO5:AP5)</f>
        <v>0</v>
      </c>
      <c r="AR5" s="9">
        <f>F5/$F$41</f>
        <v>4.7567558689558503E-2</v>
      </c>
      <c r="AS5" s="9">
        <f>AR5*$AV$5</f>
        <v>19114.698266026171</v>
      </c>
      <c r="AV5" s="9">
        <v>401843.16354713438</v>
      </c>
    </row>
    <row r="6" spans="1:48" ht="15.75" thickBot="1" x14ac:dyDescent="0.3">
      <c r="A6" s="694" t="s">
        <v>43</v>
      </c>
      <c r="B6" s="415">
        <f>'Total - Detail'!B7</f>
        <v>2</v>
      </c>
      <c r="C6" s="210" t="str">
        <f>'Total - Detail'!C7</f>
        <v>Field Service Representative</v>
      </c>
      <c r="D6" s="210" t="s">
        <v>289</v>
      </c>
      <c r="E6" s="210" t="s">
        <v>55</v>
      </c>
      <c r="F6" s="211">
        <v>39357.391429727235</v>
      </c>
      <c r="G6" s="211">
        <f t="shared" ref="G6:G21" si="2">SUM(J6,Y6)</f>
        <v>0</v>
      </c>
      <c r="H6" s="212">
        <f t="shared" ref="H6:H21" si="3">F6-G6</f>
        <v>39357.391429727235</v>
      </c>
      <c r="I6" s="43"/>
      <c r="J6" s="214"/>
      <c r="K6" s="216">
        <f>'Ordering Period 3'!K6+('Ordering Period 3'!K6*Escalation!$D$4)</f>
        <v>0</v>
      </c>
      <c r="L6" s="366"/>
      <c r="M6" s="249">
        <f t="shared" ref="M6:M19" si="4">(K6*$M$4)</f>
        <v>0</v>
      </c>
      <c r="N6" s="249">
        <f t="shared" ref="N6:N19" si="5">(M6+K6)*$N$4</f>
        <v>0</v>
      </c>
      <c r="O6" s="249">
        <f t="shared" ref="O6:O19" si="6">(K6+M6)*$O$4</f>
        <v>0</v>
      </c>
      <c r="P6" s="249">
        <f t="shared" ref="P6:P19" si="7">(M6+K6+N6+O6)*$P$4</f>
        <v>0</v>
      </c>
      <c r="Q6" s="249">
        <f t="shared" ref="Q6:Q19" si="8">(K6+M6+N6+O6+P6)*$Q$4</f>
        <v>0</v>
      </c>
      <c r="R6" s="216">
        <f t="shared" ref="R6:R21" si="9">SUM(K6:Q6)</f>
        <v>0</v>
      </c>
      <c r="S6" s="216">
        <f t="shared" ref="S6:S21" si="10">(R6-Q6)*$S$4</f>
        <v>0</v>
      </c>
      <c r="T6" s="216">
        <f t="shared" ref="T6:T21" si="11">SUM(R6:S6)</f>
        <v>0</v>
      </c>
      <c r="U6" s="253">
        <f t="shared" ref="U6:U21" si="12">R6*J6</f>
        <v>0</v>
      </c>
      <c r="V6" s="216">
        <f t="shared" ref="V6:V21" si="13">S6*J6</f>
        <v>0</v>
      </c>
      <c r="W6" s="217">
        <f t="shared" ref="W6:W21" si="14">T6*J6</f>
        <v>0</v>
      </c>
      <c r="Y6" s="214"/>
      <c r="Z6" s="249">
        <f>'Ordering Period 3'!Z6+('Ordering Period 3'!Z6*Escalation!$D$4)</f>
        <v>0</v>
      </c>
      <c r="AA6" s="216">
        <f t="shared" ref="AA6:AA21" si="15">IF($Y6&gt;0,$Z6,0)</f>
        <v>0</v>
      </c>
      <c r="AB6" s="249">
        <f t="shared" ref="AB6:AB21" si="16">(AA6*$AB$4)</f>
        <v>0</v>
      </c>
      <c r="AC6" s="249">
        <f t="shared" ref="AC6:AC21" si="17">(AA6+AB6)*$AC$4</f>
        <v>0</v>
      </c>
      <c r="AD6" s="249"/>
      <c r="AE6" s="216">
        <f t="shared" ref="AE6:AE21" si="18">SUM(AA6:AD6)</f>
        <v>0</v>
      </c>
      <c r="AF6" s="216">
        <f t="shared" ref="AF6:AF21" si="19">$AF$4*(AC6+AA6+AB6)</f>
        <v>0</v>
      </c>
      <c r="AG6" s="216">
        <f t="shared" ref="AG6:AG21" si="20">SUM(AE6:AF6)</f>
        <v>0</v>
      </c>
      <c r="AH6" s="216">
        <f t="shared" ref="AH6:AH21" si="21">AE6*Y6</f>
        <v>0</v>
      </c>
      <c r="AI6" s="216">
        <f t="shared" ref="AI6:AI21" si="22">AF6*Y6</f>
        <v>0</v>
      </c>
      <c r="AJ6" s="216">
        <f t="shared" ref="AJ6:AJ21" si="23">AG6*Y6</f>
        <v>0</v>
      </c>
      <c r="AK6" s="433"/>
      <c r="AL6" s="433"/>
      <c r="AM6" s="250"/>
      <c r="AO6" s="252" t="str">
        <f t="shared" ref="AO6:AO21" si="24">IFERROR(SUM(U6,AH6)/G6,"")</f>
        <v/>
      </c>
      <c r="AP6" s="253" t="str">
        <f t="shared" ref="AP6:AP21" si="25">IFERROR(SUM(V6,AI6)/G6,"")</f>
        <v/>
      </c>
      <c r="AQ6" s="217">
        <f t="shared" ref="AQ6:AQ21" si="26">SUM(AO6:AP6)</f>
        <v>0</v>
      </c>
      <c r="AR6" s="9">
        <f t="shared" ref="AR6:AR21" si="27">F6/$F$41</f>
        <v>9.7942169980728772E-2</v>
      </c>
      <c r="AS6" s="9">
        <f t="shared" ref="AS6:AS21" si="28">AR6*$AV$5</f>
        <v>39357.391429727228</v>
      </c>
    </row>
    <row r="7" spans="1:48" ht="15.75" thickBot="1" x14ac:dyDescent="0.3">
      <c r="A7" s="695"/>
      <c r="B7" s="415">
        <f>'Total - Detail'!B8</f>
        <v>3</v>
      </c>
      <c r="C7" s="210" t="str">
        <f>'Total - Detail'!C8</f>
        <v>Field Service Mechanic</v>
      </c>
      <c r="D7" s="210" t="s">
        <v>240</v>
      </c>
      <c r="E7" s="210" t="s">
        <v>55</v>
      </c>
      <c r="F7" s="258">
        <v>73092.298369493452</v>
      </c>
      <c r="G7" s="258"/>
      <c r="H7" s="212">
        <f t="shared" si="3"/>
        <v>73092.298369493452</v>
      </c>
      <c r="I7" s="43"/>
      <c r="J7" s="218"/>
      <c r="K7" s="219"/>
      <c r="L7" s="626"/>
      <c r="M7" s="249">
        <f t="shared" ref="M7" si="29">(K7*$M$4)</f>
        <v>0</v>
      </c>
      <c r="N7" s="249">
        <f t="shared" ref="N7" si="30">(M7+K7)*$N$4</f>
        <v>0</v>
      </c>
      <c r="O7" s="249">
        <f t="shared" ref="O7" si="31">(K7+M7)*$O$4</f>
        <v>0</v>
      </c>
      <c r="P7" s="249">
        <f t="shared" ref="P7" si="32">(M7+K7+N7+O7)*$P$4</f>
        <v>0</v>
      </c>
      <c r="Q7" s="249">
        <f t="shared" ref="Q7" si="33">(K7+M7+N7+O7+P7)*$Q$4</f>
        <v>0</v>
      </c>
      <c r="R7" s="216">
        <f t="shared" ref="R7" si="34">SUM(K7:Q7)</f>
        <v>0</v>
      </c>
      <c r="S7" s="216">
        <f t="shared" ref="S7" si="35">(R7-Q7)*$S$4</f>
        <v>0</v>
      </c>
      <c r="T7" s="216">
        <f t="shared" ref="T7" si="36">SUM(R7:S7)</f>
        <v>0</v>
      </c>
      <c r="U7" s="253">
        <f t="shared" ref="U7" si="37">R7*J7</f>
        <v>0</v>
      </c>
      <c r="V7" s="216">
        <f t="shared" ref="V7" si="38">S7*J7</f>
        <v>0</v>
      </c>
      <c r="W7" s="217">
        <f t="shared" ref="W7" si="39">T7*J7</f>
        <v>0</v>
      </c>
      <c r="Y7" s="214"/>
      <c r="Z7" s="249">
        <f>'Ordering Period 3'!Z7+('Ordering Period 3'!Z7*Escalation!$D$4)</f>
        <v>0</v>
      </c>
      <c r="AA7" s="216">
        <f t="shared" si="15"/>
        <v>0</v>
      </c>
      <c r="AB7" s="249">
        <f t="shared" ref="AB7" si="40">(AA7*$AB$4)</f>
        <v>0</v>
      </c>
      <c r="AC7" s="249">
        <f t="shared" ref="AC7" si="41">(AA7+AB7)*$AC$4</f>
        <v>0</v>
      </c>
      <c r="AD7" s="249"/>
      <c r="AE7" s="216">
        <f t="shared" ref="AE7" si="42">SUM(AA7:AD7)</f>
        <v>0</v>
      </c>
      <c r="AF7" s="216">
        <f t="shared" ref="AF7" si="43">$AF$4*(AC7+AA7+AB7)</f>
        <v>0</v>
      </c>
      <c r="AG7" s="216">
        <f t="shared" ref="AG7" si="44">SUM(AE7:AF7)</f>
        <v>0</v>
      </c>
      <c r="AH7" s="216">
        <f t="shared" ref="AH7" si="45">AE7*Y7</f>
        <v>0</v>
      </c>
      <c r="AI7" s="216">
        <f t="shared" ref="AI7" si="46">AF7*Y7</f>
        <v>0</v>
      </c>
      <c r="AJ7" s="216">
        <f t="shared" ref="AJ7" si="47">AG7*Y7</f>
        <v>0</v>
      </c>
      <c r="AK7" s="433"/>
      <c r="AL7" s="433"/>
      <c r="AM7" s="250"/>
      <c r="AO7" s="252" t="str">
        <f t="shared" ref="AO7" si="48">IFERROR(SUM(U7,AH7)/G7,"")</f>
        <v/>
      </c>
      <c r="AP7" s="253" t="str">
        <f t="shared" ref="AP7" si="49">IFERROR(SUM(V7,AI7)/G7,"")</f>
        <v/>
      </c>
      <c r="AQ7" s="217">
        <f t="shared" ref="AQ7" si="50">SUM(AO7:AP7)</f>
        <v>0</v>
      </c>
      <c r="AR7" s="9">
        <f t="shared" ref="AR7" si="51">F7/$F$41</f>
        <v>0.18189260139278204</v>
      </c>
      <c r="AS7" s="9">
        <f t="shared" ref="AS7" si="52">AR7*$AV$5</f>
        <v>73092.298369493437</v>
      </c>
    </row>
    <row r="8" spans="1:48" x14ac:dyDescent="0.25">
      <c r="A8" s="679" t="s">
        <v>205</v>
      </c>
      <c r="B8" s="241">
        <f>'Total - Detail'!B9</f>
        <v>4</v>
      </c>
      <c r="C8" s="101" t="str">
        <f>'Total - Detail'!C9</f>
        <v>Heavy Equipment Mechanic</v>
      </c>
      <c r="D8" s="101" t="s">
        <v>236</v>
      </c>
      <c r="E8" s="101" t="s">
        <v>55</v>
      </c>
      <c r="F8" s="35">
        <v>96564.591240224079</v>
      </c>
      <c r="G8" s="35">
        <f t="shared" si="2"/>
        <v>0</v>
      </c>
      <c r="H8" s="36">
        <f t="shared" si="3"/>
        <v>96564.591240224079</v>
      </c>
      <c r="I8" s="43"/>
      <c r="J8" s="109"/>
      <c r="K8" s="110">
        <f>'Ordering Period 3'!K8+('Ordering Period 3'!K8*Escalation!$D$4)</f>
        <v>0</v>
      </c>
      <c r="L8" s="367"/>
      <c r="M8" s="111">
        <f t="shared" si="4"/>
        <v>0</v>
      </c>
      <c r="N8" s="111">
        <f t="shared" si="5"/>
        <v>0</v>
      </c>
      <c r="O8" s="111">
        <f t="shared" si="6"/>
        <v>0</v>
      </c>
      <c r="P8" s="111">
        <f t="shared" si="7"/>
        <v>0</v>
      </c>
      <c r="Q8" s="111">
        <f t="shared" si="8"/>
        <v>0</v>
      </c>
      <c r="R8" s="110">
        <f t="shared" si="9"/>
        <v>0</v>
      </c>
      <c r="S8" s="110">
        <f t="shared" si="10"/>
        <v>0</v>
      </c>
      <c r="T8" s="110">
        <f t="shared" si="11"/>
        <v>0</v>
      </c>
      <c r="U8" s="113">
        <f t="shared" si="12"/>
        <v>0</v>
      </c>
      <c r="V8" s="110">
        <f t="shared" si="13"/>
        <v>0</v>
      </c>
      <c r="W8" s="112">
        <f t="shared" si="14"/>
        <v>0</v>
      </c>
      <c r="Y8" s="109"/>
      <c r="Z8" s="111">
        <f>'Ordering Period 3'!Z8+('Ordering Period 3'!Z8*Escalation!$D$4)</f>
        <v>0</v>
      </c>
      <c r="AA8" s="110">
        <f t="shared" si="15"/>
        <v>0</v>
      </c>
      <c r="AB8" s="111">
        <f t="shared" si="16"/>
        <v>0</v>
      </c>
      <c r="AC8" s="111">
        <f t="shared" si="17"/>
        <v>0</v>
      </c>
      <c r="AD8" s="111"/>
      <c r="AE8" s="110">
        <f t="shared" si="18"/>
        <v>0</v>
      </c>
      <c r="AF8" s="110">
        <f t="shared" si="19"/>
        <v>0</v>
      </c>
      <c r="AG8" s="110">
        <f t="shared" si="20"/>
        <v>0</v>
      </c>
      <c r="AH8" s="110">
        <f t="shared" si="21"/>
        <v>0</v>
      </c>
      <c r="AI8" s="110">
        <f t="shared" si="22"/>
        <v>0</v>
      </c>
      <c r="AJ8" s="110">
        <f t="shared" si="23"/>
        <v>0</v>
      </c>
      <c r="AK8" s="259"/>
      <c r="AL8" s="259"/>
      <c r="AM8" s="114"/>
      <c r="AO8" s="124" t="str">
        <f t="shared" si="24"/>
        <v/>
      </c>
      <c r="AP8" s="113" t="str">
        <f t="shared" si="25"/>
        <v/>
      </c>
      <c r="AQ8" s="112">
        <f t="shared" si="26"/>
        <v>0</v>
      </c>
      <c r="AR8" s="9">
        <f t="shared" si="27"/>
        <v>0.24030417834618076</v>
      </c>
      <c r="AS8" s="9">
        <f t="shared" si="28"/>
        <v>96564.591240224065</v>
      </c>
    </row>
    <row r="9" spans="1:48" x14ac:dyDescent="0.25">
      <c r="A9" s="680"/>
      <c r="B9" s="240">
        <f>'Total - Detail'!B10</f>
        <v>5</v>
      </c>
      <c r="C9" s="100" t="str">
        <f>'Total - Detail'!C10</f>
        <v>Material Handling Specialist</v>
      </c>
      <c r="D9" s="100" t="s">
        <v>238</v>
      </c>
      <c r="E9" s="100" t="s">
        <v>55</v>
      </c>
      <c r="F9" s="39">
        <v>6328.2994259336247</v>
      </c>
      <c r="G9" s="39">
        <f t="shared" si="2"/>
        <v>0</v>
      </c>
      <c r="H9" s="40">
        <f t="shared" si="3"/>
        <v>6328.2994259336247</v>
      </c>
      <c r="I9" s="43"/>
      <c r="J9" s="137"/>
      <c r="K9" s="41">
        <f>'Ordering Period 3'!K9+('Ordering Period 3'!K9*Escalation!$D$4)</f>
        <v>0</v>
      </c>
      <c r="L9" s="368"/>
      <c r="M9" s="5">
        <f t="shared" si="4"/>
        <v>0</v>
      </c>
      <c r="N9" s="5">
        <f t="shared" si="5"/>
        <v>0</v>
      </c>
      <c r="O9" s="5">
        <f t="shared" si="6"/>
        <v>0</v>
      </c>
      <c r="P9" s="5">
        <f t="shared" si="7"/>
        <v>0</v>
      </c>
      <c r="Q9" s="5">
        <f t="shared" si="8"/>
        <v>0</v>
      </c>
      <c r="R9" s="41">
        <f t="shared" si="9"/>
        <v>0</v>
      </c>
      <c r="S9" s="41">
        <f t="shared" si="10"/>
        <v>0</v>
      </c>
      <c r="T9" s="41">
        <f t="shared" si="11"/>
        <v>0</v>
      </c>
      <c r="U9" s="42">
        <f t="shared" si="12"/>
        <v>0</v>
      </c>
      <c r="V9" s="41">
        <f t="shared" si="13"/>
        <v>0</v>
      </c>
      <c r="W9" s="115">
        <f t="shared" si="14"/>
        <v>0</v>
      </c>
      <c r="Y9" s="137"/>
      <c r="Z9" s="5">
        <f>'Ordering Period 3'!Z9+('Ordering Period 3'!Z9*Escalation!$D$4)</f>
        <v>0</v>
      </c>
      <c r="AA9" s="41">
        <f t="shared" si="15"/>
        <v>0</v>
      </c>
      <c r="AB9" s="5">
        <f t="shared" si="16"/>
        <v>0</v>
      </c>
      <c r="AC9" s="5">
        <f t="shared" si="17"/>
        <v>0</v>
      </c>
      <c r="AD9" s="5"/>
      <c r="AE9" s="41">
        <f t="shared" si="18"/>
        <v>0</v>
      </c>
      <c r="AF9" s="41">
        <f t="shared" si="19"/>
        <v>0</v>
      </c>
      <c r="AG9" s="41">
        <f t="shared" si="20"/>
        <v>0</v>
      </c>
      <c r="AH9" s="41">
        <f t="shared" si="21"/>
        <v>0</v>
      </c>
      <c r="AI9" s="41">
        <f t="shared" si="22"/>
        <v>0</v>
      </c>
      <c r="AJ9" s="41">
        <f t="shared" si="23"/>
        <v>0</v>
      </c>
      <c r="AK9" s="10"/>
      <c r="AL9" s="10"/>
      <c r="AM9" s="7"/>
      <c r="AO9" s="138" t="str">
        <f t="shared" si="24"/>
        <v/>
      </c>
      <c r="AP9" s="42" t="str">
        <f t="shared" si="25"/>
        <v/>
      </c>
      <c r="AQ9" s="115">
        <f t="shared" si="26"/>
        <v>0</v>
      </c>
      <c r="AR9" s="9">
        <f t="shared" si="27"/>
        <v>1.5748182375613175E-2</v>
      </c>
      <c r="AS9" s="9">
        <f t="shared" si="28"/>
        <v>6328.2994259336247</v>
      </c>
    </row>
    <row r="10" spans="1:48" x14ac:dyDescent="0.25">
      <c r="A10" s="680"/>
      <c r="B10" s="240">
        <f>'Total - Detail'!B11</f>
        <v>6</v>
      </c>
      <c r="C10" s="100" t="str">
        <f>'Total - Detail'!C11</f>
        <v>Inspector</v>
      </c>
      <c r="D10" s="100" t="s">
        <v>235</v>
      </c>
      <c r="E10" s="100" t="s">
        <v>55</v>
      </c>
      <c r="F10" s="39">
        <v>1981.0998202861908</v>
      </c>
      <c r="G10" s="39">
        <f t="shared" si="2"/>
        <v>0</v>
      </c>
      <c r="H10" s="40">
        <f t="shared" si="3"/>
        <v>1981.0998202861908</v>
      </c>
      <c r="I10" s="43"/>
      <c r="J10" s="137"/>
      <c r="K10" s="41">
        <f>'Ordering Period 3'!K10+('Ordering Period 3'!K10*Escalation!$D$4)</f>
        <v>0</v>
      </c>
      <c r="L10" s="368"/>
      <c r="M10" s="5">
        <f t="shared" si="4"/>
        <v>0</v>
      </c>
      <c r="N10" s="5">
        <f t="shared" si="5"/>
        <v>0</v>
      </c>
      <c r="O10" s="5">
        <f t="shared" si="6"/>
        <v>0</v>
      </c>
      <c r="P10" s="5">
        <f t="shared" si="7"/>
        <v>0</v>
      </c>
      <c r="Q10" s="5">
        <f t="shared" si="8"/>
        <v>0</v>
      </c>
      <c r="R10" s="41">
        <f t="shared" si="9"/>
        <v>0</v>
      </c>
      <c r="S10" s="41">
        <f t="shared" si="10"/>
        <v>0</v>
      </c>
      <c r="T10" s="41">
        <f t="shared" si="11"/>
        <v>0</v>
      </c>
      <c r="U10" s="42">
        <f t="shared" si="12"/>
        <v>0</v>
      </c>
      <c r="V10" s="41">
        <f t="shared" si="13"/>
        <v>0</v>
      </c>
      <c r="W10" s="115">
        <f t="shared" si="14"/>
        <v>0</v>
      </c>
      <c r="Y10" s="137"/>
      <c r="Z10" s="5">
        <f>'Ordering Period 3'!Z10+('Ordering Period 3'!Z10*Escalation!$D$4)</f>
        <v>0</v>
      </c>
      <c r="AA10" s="41">
        <f t="shared" si="15"/>
        <v>0</v>
      </c>
      <c r="AB10" s="5">
        <f t="shared" si="16"/>
        <v>0</v>
      </c>
      <c r="AC10" s="5">
        <f t="shared" si="17"/>
        <v>0</v>
      </c>
      <c r="AD10" s="5"/>
      <c r="AE10" s="41">
        <f t="shared" si="18"/>
        <v>0</v>
      </c>
      <c r="AF10" s="41">
        <f t="shared" si="19"/>
        <v>0</v>
      </c>
      <c r="AG10" s="41">
        <f t="shared" si="20"/>
        <v>0</v>
      </c>
      <c r="AH10" s="41">
        <f t="shared" si="21"/>
        <v>0</v>
      </c>
      <c r="AI10" s="41">
        <f t="shared" si="22"/>
        <v>0</v>
      </c>
      <c r="AJ10" s="41">
        <f t="shared" si="23"/>
        <v>0</v>
      </c>
      <c r="AK10" s="10"/>
      <c r="AL10" s="10"/>
      <c r="AM10" s="7"/>
      <c r="AO10" s="138" t="str">
        <f t="shared" si="24"/>
        <v/>
      </c>
      <c r="AP10" s="42" t="str">
        <f t="shared" si="25"/>
        <v/>
      </c>
      <c r="AQ10" s="115">
        <f t="shared" si="26"/>
        <v>0</v>
      </c>
      <c r="AR10" s="9">
        <f t="shared" si="27"/>
        <v>4.9300324106517157E-3</v>
      </c>
      <c r="AS10" s="9">
        <f t="shared" si="28"/>
        <v>1981.0998202861906</v>
      </c>
    </row>
    <row r="11" spans="1:48" x14ac:dyDescent="0.25">
      <c r="A11" s="680"/>
      <c r="B11" s="240">
        <f>'Total - Detail'!B12</f>
        <v>7</v>
      </c>
      <c r="C11" s="100" t="str">
        <f>'Total - Detail'!C12</f>
        <v>Supply/Procurement Specialist</v>
      </c>
      <c r="D11" s="100" t="s">
        <v>233</v>
      </c>
      <c r="E11" s="100" t="s">
        <v>55</v>
      </c>
      <c r="F11" s="39">
        <v>3163.5997130167048</v>
      </c>
      <c r="G11" s="39">
        <f t="shared" si="2"/>
        <v>0</v>
      </c>
      <c r="H11" s="40">
        <f t="shared" si="3"/>
        <v>3163.5997130167048</v>
      </c>
      <c r="I11" s="43"/>
      <c r="J11" s="137"/>
      <c r="K11" s="41">
        <f>'Ordering Period 3'!K11+('Ordering Period 3'!K11*Escalation!$D$4)</f>
        <v>0</v>
      </c>
      <c r="L11" s="368"/>
      <c r="M11" s="5">
        <f t="shared" si="4"/>
        <v>0</v>
      </c>
      <c r="N11" s="5">
        <f t="shared" si="5"/>
        <v>0</v>
      </c>
      <c r="O11" s="5">
        <f t="shared" si="6"/>
        <v>0</v>
      </c>
      <c r="P11" s="5">
        <f t="shared" si="7"/>
        <v>0</v>
      </c>
      <c r="Q11" s="5">
        <f t="shared" si="8"/>
        <v>0</v>
      </c>
      <c r="R11" s="41">
        <f t="shared" si="9"/>
        <v>0</v>
      </c>
      <c r="S11" s="41">
        <f t="shared" si="10"/>
        <v>0</v>
      </c>
      <c r="T11" s="41">
        <f t="shared" si="11"/>
        <v>0</v>
      </c>
      <c r="U11" s="42">
        <f t="shared" si="12"/>
        <v>0</v>
      </c>
      <c r="V11" s="41">
        <f t="shared" si="13"/>
        <v>0</v>
      </c>
      <c r="W11" s="115">
        <f t="shared" si="14"/>
        <v>0</v>
      </c>
      <c r="Y11" s="137"/>
      <c r="Z11" s="5">
        <f>'Ordering Period 3'!Z11+('Ordering Period 3'!Z11*Escalation!$D$4)</f>
        <v>0</v>
      </c>
      <c r="AA11" s="41">
        <f t="shared" si="15"/>
        <v>0</v>
      </c>
      <c r="AB11" s="5">
        <f t="shared" si="16"/>
        <v>0</v>
      </c>
      <c r="AC11" s="5">
        <f t="shared" si="17"/>
        <v>0</v>
      </c>
      <c r="AD11" s="5"/>
      <c r="AE11" s="41">
        <f t="shared" si="18"/>
        <v>0</v>
      </c>
      <c r="AF11" s="41">
        <f t="shared" si="19"/>
        <v>0</v>
      </c>
      <c r="AG11" s="41">
        <f t="shared" si="20"/>
        <v>0</v>
      </c>
      <c r="AH11" s="41">
        <f t="shared" si="21"/>
        <v>0</v>
      </c>
      <c r="AI11" s="41">
        <f t="shared" si="22"/>
        <v>0</v>
      </c>
      <c r="AJ11" s="41">
        <f t="shared" si="23"/>
        <v>0</v>
      </c>
      <c r="AK11" s="10"/>
      <c r="AL11" s="10"/>
      <c r="AM11" s="7"/>
      <c r="AO11" s="138" t="str">
        <f t="shared" si="24"/>
        <v/>
      </c>
      <c r="AP11" s="42" t="str">
        <f t="shared" si="25"/>
        <v/>
      </c>
      <c r="AQ11" s="115">
        <f t="shared" si="26"/>
        <v>0</v>
      </c>
      <c r="AR11" s="9">
        <f t="shared" si="27"/>
        <v>7.8727224947442182E-3</v>
      </c>
      <c r="AS11" s="9">
        <f t="shared" si="28"/>
        <v>3163.5997130167048</v>
      </c>
    </row>
    <row r="12" spans="1:48" ht="15.75" thickBot="1" x14ac:dyDescent="0.3">
      <c r="A12" s="681"/>
      <c r="B12" s="242">
        <f>'Total - Detail'!B13</f>
        <v>8</v>
      </c>
      <c r="C12" s="127" t="str">
        <f>'Total - Detail'!C13</f>
        <v>Welder</v>
      </c>
      <c r="D12" s="418" t="s">
        <v>239</v>
      </c>
      <c r="E12" s="127" t="s">
        <v>55</v>
      </c>
      <c r="F12" s="128">
        <v>3406.6996909640943</v>
      </c>
      <c r="G12" s="128">
        <f t="shared" si="2"/>
        <v>0</v>
      </c>
      <c r="H12" s="129">
        <f t="shared" si="3"/>
        <v>3406.6996909640943</v>
      </c>
      <c r="I12" s="43"/>
      <c r="J12" s="146"/>
      <c r="K12" s="143">
        <f>'Ordering Period 3'!K12+('Ordering Period 3'!K12*Escalation!$D$4)</f>
        <v>0</v>
      </c>
      <c r="L12" s="369"/>
      <c r="M12" s="144">
        <f t="shared" si="4"/>
        <v>0</v>
      </c>
      <c r="N12" s="144">
        <f t="shared" si="5"/>
        <v>0</v>
      </c>
      <c r="O12" s="144">
        <f t="shared" si="6"/>
        <v>0</v>
      </c>
      <c r="P12" s="144">
        <f t="shared" si="7"/>
        <v>0</v>
      </c>
      <c r="Q12" s="144">
        <f t="shared" si="8"/>
        <v>0</v>
      </c>
      <c r="R12" s="143">
        <f t="shared" si="9"/>
        <v>0</v>
      </c>
      <c r="S12" s="143">
        <f t="shared" si="10"/>
        <v>0</v>
      </c>
      <c r="T12" s="143">
        <f t="shared" si="11"/>
        <v>0</v>
      </c>
      <c r="U12" s="149">
        <f t="shared" si="12"/>
        <v>0</v>
      </c>
      <c r="V12" s="143">
        <f t="shared" si="13"/>
        <v>0</v>
      </c>
      <c r="W12" s="145">
        <f t="shared" si="14"/>
        <v>0</v>
      </c>
      <c r="Y12" s="146"/>
      <c r="Z12" s="144">
        <f>'Ordering Period 3'!Z12+('Ordering Period 3'!Z12*Escalation!$D$4)</f>
        <v>0</v>
      </c>
      <c r="AA12" s="143">
        <f t="shared" si="15"/>
        <v>0</v>
      </c>
      <c r="AB12" s="144">
        <f t="shared" si="16"/>
        <v>0</v>
      </c>
      <c r="AC12" s="144">
        <f t="shared" si="17"/>
        <v>0</v>
      </c>
      <c r="AD12" s="144"/>
      <c r="AE12" s="143">
        <f t="shared" si="18"/>
        <v>0</v>
      </c>
      <c r="AF12" s="143">
        <f t="shared" si="19"/>
        <v>0</v>
      </c>
      <c r="AG12" s="143">
        <f t="shared" si="20"/>
        <v>0</v>
      </c>
      <c r="AH12" s="143">
        <f t="shared" si="21"/>
        <v>0</v>
      </c>
      <c r="AI12" s="143">
        <f t="shared" si="22"/>
        <v>0</v>
      </c>
      <c r="AJ12" s="143">
        <f t="shared" si="23"/>
        <v>0</v>
      </c>
      <c r="AK12" s="260"/>
      <c r="AL12" s="260"/>
      <c r="AM12" s="147"/>
      <c r="AO12" s="148" t="str">
        <f t="shared" si="24"/>
        <v/>
      </c>
      <c r="AP12" s="149" t="str">
        <f t="shared" si="25"/>
        <v/>
      </c>
      <c r="AQ12" s="145">
        <f t="shared" si="26"/>
        <v>0</v>
      </c>
      <c r="AR12" s="9">
        <f t="shared" si="27"/>
        <v>8.4776848283111411E-3</v>
      </c>
      <c r="AS12" s="9">
        <f t="shared" si="28"/>
        <v>3406.6996909640939</v>
      </c>
    </row>
    <row r="13" spans="1:48" ht="30.75" thickBot="1" x14ac:dyDescent="0.3">
      <c r="A13" s="504" t="s">
        <v>231</v>
      </c>
      <c r="B13" s="242">
        <f>'Total - Detail'!B14</f>
        <v>9</v>
      </c>
      <c r="C13" s="127" t="str">
        <f>'Total - Detail'!C14</f>
        <v xml:space="preserve">Instructor  </v>
      </c>
      <c r="D13" s="127" t="s">
        <v>237</v>
      </c>
      <c r="E13" s="127" t="s">
        <v>55</v>
      </c>
      <c r="F13" s="128">
        <v>47226.295715906184</v>
      </c>
      <c r="G13" s="128">
        <f t="shared" si="2"/>
        <v>0</v>
      </c>
      <c r="H13" s="129">
        <f t="shared" si="3"/>
        <v>47226.295715906184</v>
      </c>
      <c r="I13" s="43"/>
      <c r="J13" s="146"/>
      <c r="K13" s="143">
        <f>'Ordering Period 3'!K13+('Ordering Period 3'!K13*Escalation!$D$4)</f>
        <v>0</v>
      </c>
      <c r="L13" s="369"/>
      <c r="M13" s="144">
        <f t="shared" si="4"/>
        <v>0</v>
      </c>
      <c r="N13" s="144">
        <f t="shared" si="5"/>
        <v>0</v>
      </c>
      <c r="O13" s="144">
        <f t="shared" si="6"/>
        <v>0</v>
      </c>
      <c r="P13" s="144">
        <f t="shared" si="7"/>
        <v>0</v>
      </c>
      <c r="Q13" s="144">
        <f t="shared" si="8"/>
        <v>0</v>
      </c>
      <c r="R13" s="143">
        <f t="shared" si="9"/>
        <v>0</v>
      </c>
      <c r="S13" s="143">
        <f t="shared" si="10"/>
        <v>0</v>
      </c>
      <c r="T13" s="143">
        <f t="shared" si="11"/>
        <v>0</v>
      </c>
      <c r="U13" s="149">
        <f t="shared" si="12"/>
        <v>0</v>
      </c>
      <c r="V13" s="143">
        <f t="shared" si="13"/>
        <v>0</v>
      </c>
      <c r="W13" s="145">
        <f t="shared" si="14"/>
        <v>0</v>
      </c>
      <c r="Y13" s="146"/>
      <c r="Z13" s="144">
        <f>'Ordering Period 3'!Z13+('Ordering Period 3'!Z13*Escalation!$D$4)</f>
        <v>0</v>
      </c>
      <c r="AA13" s="143">
        <f t="shared" si="15"/>
        <v>0</v>
      </c>
      <c r="AB13" s="144">
        <f t="shared" si="16"/>
        <v>0</v>
      </c>
      <c r="AC13" s="144">
        <f t="shared" si="17"/>
        <v>0</v>
      </c>
      <c r="AD13" s="144"/>
      <c r="AE13" s="143">
        <f t="shared" si="18"/>
        <v>0</v>
      </c>
      <c r="AF13" s="143">
        <f t="shared" si="19"/>
        <v>0</v>
      </c>
      <c r="AG13" s="143">
        <f t="shared" si="20"/>
        <v>0</v>
      </c>
      <c r="AH13" s="143">
        <f t="shared" si="21"/>
        <v>0</v>
      </c>
      <c r="AI13" s="143">
        <f t="shared" si="22"/>
        <v>0</v>
      </c>
      <c r="AJ13" s="143">
        <f t="shared" si="23"/>
        <v>0</v>
      </c>
      <c r="AK13" s="260"/>
      <c r="AL13" s="260"/>
      <c r="AM13" s="147"/>
      <c r="AO13" s="148" t="str">
        <f t="shared" si="24"/>
        <v/>
      </c>
      <c r="AP13" s="149" t="str">
        <f t="shared" si="25"/>
        <v/>
      </c>
      <c r="AQ13" s="145">
        <f t="shared" si="26"/>
        <v>0</v>
      </c>
      <c r="AR13" s="9">
        <f t="shared" si="27"/>
        <v>0.11752419849334265</v>
      </c>
      <c r="AS13" s="9">
        <f t="shared" si="28"/>
        <v>47226.295715906177</v>
      </c>
    </row>
    <row r="14" spans="1:48" x14ac:dyDescent="0.25">
      <c r="A14" s="679" t="s">
        <v>207</v>
      </c>
      <c r="B14" s="241">
        <f>'Total - Detail'!B15</f>
        <v>4</v>
      </c>
      <c r="C14" s="101" t="str">
        <f>'Total - Detail'!C15</f>
        <v>Heavy Equipment Mechanic</v>
      </c>
      <c r="D14" s="101" t="s">
        <v>236</v>
      </c>
      <c r="E14" s="101" t="s">
        <v>55</v>
      </c>
      <c r="F14" s="35">
        <v>14445.198689615912</v>
      </c>
      <c r="G14" s="35">
        <f t="shared" si="2"/>
        <v>0</v>
      </c>
      <c r="H14" s="36">
        <f t="shared" si="3"/>
        <v>14445.198689615912</v>
      </c>
      <c r="I14" s="43"/>
      <c r="J14" s="109"/>
      <c r="K14" s="110">
        <f>'Ordering Period 3'!K14+('Ordering Period 3'!K14*Escalation!$D$4)</f>
        <v>0</v>
      </c>
      <c r="L14" s="367"/>
      <c r="M14" s="110">
        <f>M8</f>
        <v>0</v>
      </c>
      <c r="N14" s="110">
        <f t="shared" ref="N14:Q14" si="53">N8</f>
        <v>0</v>
      </c>
      <c r="O14" s="110">
        <f t="shared" si="53"/>
        <v>0</v>
      </c>
      <c r="P14" s="110">
        <f t="shared" si="53"/>
        <v>0</v>
      </c>
      <c r="Q14" s="110">
        <f t="shared" si="53"/>
        <v>0</v>
      </c>
      <c r="R14" s="110">
        <f t="shared" si="9"/>
        <v>0</v>
      </c>
      <c r="S14" s="110">
        <f t="shared" si="10"/>
        <v>0</v>
      </c>
      <c r="T14" s="110">
        <f t="shared" si="11"/>
        <v>0</v>
      </c>
      <c r="U14" s="113">
        <f t="shared" si="12"/>
        <v>0</v>
      </c>
      <c r="V14" s="110">
        <f t="shared" si="13"/>
        <v>0</v>
      </c>
      <c r="W14" s="112">
        <f t="shared" si="14"/>
        <v>0</v>
      </c>
      <c r="Y14" s="109"/>
      <c r="Z14" s="111">
        <f>'Ordering Period 3'!Z14+('Ordering Period 3'!Z14*Escalation!$D$4)</f>
        <v>0</v>
      </c>
      <c r="AA14" s="110">
        <f t="shared" si="15"/>
        <v>0</v>
      </c>
      <c r="AB14" s="111">
        <f t="shared" si="16"/>
        <v>0</v>
      </c>
      <c r="AC14" s="111">
        <f t="shared" si="17"/>
        <v>0</v>
      </c>
      <c r="AD14" s="111"/>
      <c r="AE14" s="110">
        <f t="shared" si="18"/>
        <v>0</v>
      </c>
      <c r="AF14" s="110">
        <f t="shared" si="19"/>
        <v>0</v>
      </c>
      <c r="AG14" s="110">
        <f t="shared" si="20"/>
        <v>0</v>
      </c>
      <c r="AH14" s="110">
        <f t="shared" si="21"/>
        <v>0</v>
      </c>
      <c r="AI14" s="110">
        <f t="shared" si="22"/>
        <v>0</v>
      </c>
      <c r="AJ14" s="110">
        <f t="shared" si="23"/>
        <v>0</v>
      </c>
      <c r="AK14" s="259"/>
      <c r="AL14" s="259"/>
      <c r="AM14" s="114"/>
      <c r="AO14" s="124" t="str">
        <f t="shared" si="24"/>
        <v/>
      </c>
      <c r="AP14" s="113" t="str">
        <f t="shared" si="25"/>
        <v/>
      </c>
      <c r="AQ14" s="112">
        <f t="shared" si="26"/>
        <v>0</v>
      </c>
      <c r="AR14" s="9">
        <f t="shared" si="27"/>
        <v>3.5947354590049045E-2</v>
      </c>
      <c r="AS14" s="9">
        <f t="shared" si="28"/>
        <v>14445.198689615911</v>
      </c>
    </row>
    <row r="15" spans="1:48" x14ac:dyDescent="0.25">
      <c r="A15" s="680"/>
      <c r="B15" s="240">
        <f>'Total - Detail'!B16</f>
        <v>5</v>
      </c>
      <c r="C15" s="100" t="str">
        <f>'Total - Detail'!C16</f>
        <v>Material Handling Specialist</v>
      </c>
      <c r="D15" s="100" t="s">
        <v>238</v>
      </c>
      <c r="E15" s="100" t="s">
        <v>55</v>
      </c>
      <c r="F15" s="39">
        <v>6328.2994259336247</v>
      </c>
      <c r="G15" s="39">
        <f t="shared" si="2"/>
        <v>0</v>
      </c>
      <c r="H15" s="40">
        <f t="shared" si="3"/>
        <v>6328.2994259336247</v>
      </c>
      <c r="I15" s="43"/>
      <c r="J15" s="137"/>
      <c r="K15" s="41">
        <f>'Ordering Period 3'!K15+('Ordering Period 3'!K15*Escalation!$D$4)</f>
        <v>0</v>
      </c>
      <c r="L15" s="368"/>
      <c r="M15" s="41">
        <f>M9</f>
        <v>0</v>
      </c>
      <c r="N15" s="41">
        <f t="shared" ref="N15:Q15" si="54">N9</f>
        <v>0</v>
      </c>
      <c r="O15" s="41">
        <f t="shared" si="54"/>
        <v>0</v>
      </c>
      <c r="P15" s="41">
        <f t="shared" si="54"/>
        <v>0</v>
      </c>
      <c r="Q15" s="41">
        <f t="shared" si="54"/>
        <v>0</v>
      </c>
      <c r="R15" s="41">
        <f t="shared" si="9"/>
        <v>0</v>
      </c>
      <c r="S15" s="41">
        <f t="shared" si="10"/>
        <v>0</v>
      </c>
      <c r="T15" s="41">
        <f t="shared" si="11"/>
        <v>0</v>
      </c>
      <c r="U15" s="42">
        <f t="shared" si="12"/>
        <v>0</v>
      </c>
      <c r="V15" s="41">
        <f t="shared" si="13"/>
        <v>0</v>
      </c>
      <c r="W15" s="115">
        <f t="shared" si="14"/>
        <v>0</v>
      </c>
      <c r="Y15" s="137"/>
      <c r="Z15" s="5">
        <f>'Ordering Period 3'!Z15+('Ordering Period 3'!Z15*Escalation!$D$4)</f>
        <v>0</v>
      </c>
      <c r="AA15" s="41">
        <f t="shared" si="15"/>
        <v>0</v>
      </c>
      <c r="AB15" s="5">
        <f t="shared" si="16"/>
        <v>0</v>
      </c>
      <c r="AC15" s="5">
        <f t="shared" si="17"/>
        <v>0</v>
      </c>
      <c r="AD15" s="5"/>
      <c r="AE15" s="41">
        <f t="shared" si="18"/>
        <v>0</v>
      </c>
      <c r="AF15" s="41">
        <f t="shared" si="19"/>
        <v>0</v>
      </c>
      <c r="AG15" s="41">
        <f t="shared" si="20"/>
        <v>0</v>
      </c>
      <c r="AH15" s="41">
        <f t="shared" si="21"/>
        <v>0</v>
      </c>
      <c r="AI15" s="41">
        <f t="shared" si="22"/>
        <v>0</v>
      </c>
      <c r="AJ15" s="41">
        <f t="shared" si="23"/>
        <v>0</v>
      </c>
      <c r="AK15" s="10"/>
      <c r="AL15" s="10"/>
      <c r="AM15" s="7"/>
      <c r="AO15" s="138" t="str">
        <f t="shared" si="24"/>
        <v/>
      </c>
      <c r="AP15" s="42" t="str">
        <f t="shared" si="25"/>
        <v/>
      </c>
      <c r="AQ15" s="115">
        <f t="shared" si="26"/>
        <v>0</v>
      </c>
      <c r="AR15" s="9">
        <f t="shared" si="27"/>
        <v>1.5748182375613175E-2</v>
      </c>
      <c r="AS15" s="9">
        <f t="shared" si="28"/>
        <v>6328.2994259336247</v>
      </c>
    </row>
    <row r="16" spans="1:48" ht="15.75" thickBot="1" x14ac:dyDescent="0.3">
      <c r="A16" s="680"/>
      <c r="B16" s="240">
        <f>'Total - Detail'!B17</f>
        <v>6</v>
      </c>
      <c r="C16" s="100" t="str">
        <f>'Total - Detail'!C17</f>
        <v>Inspector</v>
      </c>
      <c r="D16" s="100" t="s">
        <v>235</v>
      </c>
      <c r="E16" s="100" t="s">
        <v>55</v>
      </c>
      <c r="F16" s="39">
        <v>1981.0998202861908</v>
      </c>
      <c r="G16" s="39">
        <f t="shared" si="2"/>
        <v>0</v>
      </c>
      <c r="H16" s="40">
        <f t="shared" si="3"/>
        <v>1981.0998202861908</v>
      </c>
      <c r="I16" s="43"/>
      <c r="J16" s="137"/>
      <c r="K16" s="41">
        <v>0</v>
      </c>
      <c r="L16" s="368"/>
      <c r="M16" s="41">
        <f>M10</f>
        <v>0</v>
      </c>
      <c r="N16" s="41">
        <f t="shared" ref="N16:Q16" si="55">N10</f>
        <v>0</v>
      </c>
      <c r="O16" s="41">
        <f t="shared" si="55"/>
        <v>0</v>
      </c>
      <c r="P16" s="41">
        <f t="shared" si="55"/>
        <v>0</v>
      </c>
      <c r="Q16" s="41">
        <f t="shared" si="55"/>
        <v>0</v>
      </c>
      <c r="R16" s="41">
        <f t="shared" si="9"/>
        <v>0</v>
      </c>
      <c r="S16" s="41">
        <f t="shared" si="10"/>
        <v>0</v>
      </c>
      <c r="T16" s="41">
        <f t="shared" si="11"/>
        <v>0</v>
      </c>
      <c r="U16" s="42">
        <f t="shared" si="12"/>
        <v>0</v>
      </c>
      <c r="V16" s="41">
        <f t="shared" si="13"/>
        <v>0</v>
      </c>
      <c r="W16" s="115">
        <f t="shared" si="14"/>
        <v>0</v>
      </c>
      <c r="Y16" s="137"/>
      <c r="Z16" s="5">
        <f>'Ordering Period 3'!Z16+('Ordering Period 3'!Z16*Escalation!$D$4)</f>
        <v>0</v>
      </c>
      <c r="AA16" s="41">
        <f t="shared" si="15"/>
        <v>0</v>
      </c>
      <c r="AB16" s="5">
        <f t="shared" si="16"/>
        <v>0</v>
      </c>
      <c r="AC16" s="5">
        <f t="shared" si="17"/>
        <v>0</v>
      </c>
      <c r="AD16" s="5"/>
      <c r="AE16" s="41">
        <f t="shared" si="18"/>
        <v>0</v>
      </c>
      <c r="AF16" s="41">
        <f t="shared" si="19"/>
        <v>0</v>
      </c>
      <c r="AG16" s="41">
        <f t="shared" si="20"/>
        <v>0</v>
      </c>
      <c r="AH16" s="41">
        <f t="shared" si="21"/>
        <v>0</v>
      </c>
      <c r="AI16" s="41">
        <f t="shared" si="22"/>
        <v>0</v>
      </c>
      <c r="AJ16" s="41">
        <f t="shared" si="23"/>
        <v>0</v>
      </c>
      <c r="AK16" s="10"/>
      <c r="AL16" s="10"/>
      <c r="AM16" s="7"/>
      <c r="AO16" s="138" t="str">
        <f t="shared" si="24"/>
        <v/>
      </c>
      <c r="AP16" s="42" t="str">
        <f t="shared" si="25"/>
        <v/>
      </c>
      <c r="AQ16" s="115">
        <f t="shared" si="26"/>
        <v>0</v>
      </c>
      <c r="AR16" s="9">
        <f t="shared" si="27"/>
        <v>4.9300324106517157E-3</v>
      </c>
      <c r="AS16" s="9">
        <f t="shared" si="28"/>
        <v>1981.0998202861906</v>
      </c>
    </row>
    <row r="17" spans="1:47" ht="15.75" thickBot="1" x14ac:dyDescent="0.3">
      <c r="A17" s="681"/>
      <c r="B17" s="242">
        <f>'Total - Detail'!B18</f>
        <v>2</v>
      </c>
      <c r="C17" s="127" t="str">
        <f>'Total - Detail'!C18</f>
        <v>Field Service Representative</v>
      </c>
      <c r="D17" s="210" t="s">
        <v>289</v>
      </c>
      <c r="E17" s="127" t="s">
        <v>55</v>
      </c>
      <c r="F17" s="128">
        <v>3163.5997130167048</v>
      </c>
      <c r="G17" s="128">
        <f t="shared" si="2"/>
        <v>0</v>
      </c>
      <c r="H17" s="129">
        <f t="shared" si="3"/>
        <v>3163.5997130167048</v>
      </c>
      <c r="I17" s="43"/>
      <c r="J17" s="146"/>
      <c r="K17" s="143">
        <f>'Ordering Period 3'!K17+('Ordering Period 3'!K17*Escalation!$D$4)</f>
        <v>0</v>
      </c>
      <c r="L17" s="369"/>
      <c r="M17" s="143">
        <f>M6</f>
        <v>0</v>
      </c>
      <c r="N17" s="143">
        <f>N6</f>
        <v>0</v>
      </c>
      <c r="O17" s="143">
        <f>O6</f>
        <v>0</v>
      </c>
      <c r="P17" s="143">
        <f>P6</f>
        <v>0</v>
      </c>
      <c r="Q17" s="143">
        <f>Q6</f>
        <v>0</v>
      </c>
      <c r="R17" s="143">
        <f t="shared" si="9"/>
        <v>0</v>
      </c>
      <c r="S17" s="143">
        <f t="shared" si="10"/>
        <v>0</v>
      </c>
      <c r="T17" s="143">
        <f t="shared" si="11"/>
        <v>0</v>
      </c>
      <c r="U17" s="149">
        <f t="shared" si="12"/>
        <v>0</v>
      </c>
      <c r="V17" s="143">
        <f t="shared" si="13"/>
        <v>0</v>
      </c>
      <c r="W17" s="145">
        <f t="shared" si="14"/>
        <v>0</v>
      </c>
      <c r="Y17" s="146"/>
      <c r="Z17" s="144">
        <f>'Ordering Period 3'!Z17+('Ordering Period 3'!Z17*Escalation!$D$4)</f>
        <v>0</v>
      </c>
      <c r="AA17" s="143">
        <f t="shared" si="15"/>
        <v>0</v>
      </c>
      <c r="AB17" s="144">
        <f t="shared" si="16"/>
        <v>0</v>
      </c>
      <c r="AC17" s="144">
        <f t="shared" si="17"/>
        <v>0</v>
      </c>
      <c r="AD17" s="144"/>
      <c r="AE17" s="143">
        <f t="shared" si="18"/>
        <v>0</v>
      </c>
      <c r="AF17" s="143">
        <f t="shared" si="19"/>
        <v>0</v>
      </c>
      <c r="AG17" s="143">
        <f t="shared" si="20"/>
        <v>0</v>
      </c>
      <c r="AH17" s="143">
        <f t="shared" si="21"/>
        <v>0</v>
      </c>
      <c r="AI17" s="143">
        <f t="shared" si="22"/>
        <v>0</v>
      </c>
      <c r="AJ17" s="143">
        <f t="shared" si="23"/>
        <v>0</v>
      </c>
      <c r="AK17" s="260"/>
      <c r="AL17" s="260"/>
      <c r="AM17" s="147"/>
      <c r="AO17" s="148" t="str">
        <f t="shared" si="24"/>
        <v/>
      </c>
      <c r="AP17" s="149" t="str">
        <f t="shared" si="25"/>
        <v/>
      </c>
      <c r="AQ17" s="145">
        <f t="shared" si="26"/>
        <v>0</v>
      </c>
      <c r="AR17" s="9">
        <f t="shared" si="27"/>
        <v>7.8727224947442182E-3</v>
      </c>
      <c r="AS17" s="9">
        <f t="shared" si="28"/>
        <v>3163.5997130167048</v>
      </c>
    </row>
    <row r="18" spans="1:47" x14ac:dyDescent="0.25">
      <c r="A18" s="679" t="s">
        <v>208</v>
      </c>
      <c r="B18" s="241">
        <f>'Total - Detail'!B19</f>
        <v>2</v>
      </c>
      <c r="C18" s="101" t="str">
        <f>'Total - Detail'!C19</f>
        <v>Field Service Representative</v>
      </c>
      <c r="D18" s="101" t="s">
        <v>289</v>
      </c>
      <c r="E18" s="101" t="s">
        <v>55</v>
      </c>
      <c r="F18" s="35">
        <v>1814.9998353538119</v>
      </c>
      <c r="G18" s="35">
        <f t="shared" si="2"/>
        <v>0</v>
      </c>
      <c r="H18" s="36">
        <f t="shared" si="3"/>
        <v>1814.9998353538119</v>
      </c>
      <c r="I18" s="43"/>
      <c r="J18" s="109"/>
      <c r="K18" s="110">
        <f>'Ordering Period 3'!K18+('Ordering Period 3'!K18*Escalation!$D$4)</f>
        <v>0</v>
      </c>
      <c r="L18" s="367"/>
      <c r="M18" s="110">
        <f>M6</f>
        <v>0</v>
      </c>
      <c r="N18" s="110">
        <f>N6</f>
        <v>0</v>
      </c>
      <c r="O18" s="110">
        <f>O6</f>
        <v>0</v>
      </c>
      <c r="P18" s="110">
        <f>P6</f>
        <v>0</v>
      </c>
      <c r="Q18" s="110">
        <f>Q6</f>
        <v>0</v>
      </c>
      <c r="R18" s="110">
        <f t="shared" si="9"/>
        <v>0</v>
      </c>
      <c r="S18" s="110">
        <f t="shared" si="10"/>
        <v>0</v>
      </c>
      <c r="T18" s="110">
        <f t="shared" si="11"/>
        <v>0</v>
      </c>
      <c r="U18" s="113">
        <f t="shared" si="12"/>
        <v>0</v>
      </c>
      <c r="V18" s="110">
        <f t="shared" si="13"/>
        <v>0</v>
      </c>
      <c r="W18" s="112">
        <f t="shared" si="14"/>
        <v>0</v>
      </c>
      <c r="Y18" s="109"/>
      <c r="Z18" s="111">
        <f>'Ordering Period 3'!Z18+('Ordering Period 3'!Z18*Escalation!$D$4)</f>
        <v>0</v>
      </c>
      <c r="AA18" s="110">
        <f t="shared" si="15"/>
        <v>0</v>
      </c>
      <c r="AB18" s="111">
        <f t="shared" si="16"/>
        <v>0</v>
      </c>
      <c r="AC18" s="111">
        <f t="shared" si="17"/>
        <v>0</v>
      </c>
      <c r="AD18" s="111"/>
      <c r="AE18" s="110">
        <f t="shared" si="18"/>
        <v>0</v>
      </c>
      <c r="AF18" s="110">
        <f t="shared" si="19"/>
        <v>0</v>
      </c>
      <c r="AG18" s="110">
        <f t="shared" si="20"/>
        <v>0</v>
      </c>
      <c r="AH18" s="110">
        <f t="shared" si="21"/>
        <v>0</v>
      </c>
      <c r="AI18" s="110">
        <f t="shared" si="22"/>
        <v>0</v>
      </c>
      <c r="AJ18" s="110">
        <f t="shared" si="23"/>
        <v>0</v>
      </c>
      <c r="AK18" s="259"/>
      <c r="AL18" s="259"/>
      <c r="AM18" s="114"/>
      <c r="AO18" s="124" t="str">
        <f t="shared" si="24"/>
        <v/>
      </c>
      <c r="AP18" s="113" t="str">
        <f t="shared" si="25"/>
        <v/>
      </c>
      <c r="AQ18" s="112">
        <f t="shared" si="26"/>
        <v>0</v>
      </c>
      <c r="AR18" s="9">
        <f t="shared" si="27"/>
        <v>4.5166871058163974E-3</v>
      </c>
      <c r="AS18" s="9">
        <f t="shared" si="28"/>
        <v>1814.9998353538117</v>
      </c>
    </row>
    <row r="19" spans="1:47" x14ac:dyDescent="0.25">
      <c r="A19" s="680"/>
      <c r="B19" s="240">
        <f>'Total - Detail'!B20</f>
        <v>10</v>
      </c>
      <c r="C19" s="100" t="str">
        <f>'Total - Detail'!C20</f>
        <v>MWO Installer</v>
      </c>
      <c r="D19" s="100" t="s">
        <v>288</v>
      </c>
      <c r="E19" s="100" t="s">
        <v>55</v>
      </c>
      <c r="F19" s="39">
        <v>23634.597856007273</v>
      </c>
      <c r="G19" s="39">
        <f t="shared" si="2"/>
        <v>0</v>
      </c>
      <c r="H19" s="40">
        <f t="shared" si="3"/>
        <v>23634.597856007273</v>
      </c>
      <c r="I19" s="43"/>
      <c r="J19" s="137"/>
      <c r="K19" s="41">
        <f>'Ordering Period 3'!K19+('Ordering Period 3'!K19*Escalation!$D$4)</f>
        <v>0</v>
      </c>
      <c r="L19" s="368"/>
      <c r="M19" s="5">
        <f t="shared" si="4"/>
        <v>0</v>
      </c>
      <c r="N19" s="5">
        <f t="shared" si="5"/>
        <v>0</v>
      </c>
      <c r="O19" s="5">
        <f t="shared" si="6"/>
        <v>0</v>
      </c>
      <c r="P19" s="5">
        <f t="shared" si="7"/>
        <v>0</v>
      </c>
      <c r="Q19" s="5">
        <f t="shared" si="8"/>
        <v>0</v>
      </c>
      <c r="R19" s="41">
        <f t="shared" si="9"/>
        <v>0</v>
      </c>
      <c r="S19" s="41">
        <f t="shared" si="10"/>
        <v>0</v>
      </c>
      <c r="T19" s="41">
        <f t="shared" si="11"/>
        <v>0</v>
      </c>
      <c r="U19" s="42">
        <f t="shared" si="12"/>
        <v>0</v>
      </c>
      <c r="V19" s="41">
        <f t="shared" si="13"/>
        <v>0</v>
      </c>
      <c r="W19" s="115">
        <f t="shared" si="14"/>
        <v>0</v>
      </c>
      <c r="Y19" s="137"/>
      <c r="Z19" s="5">
        <f>'Ordering Period 3'!Z19+('Ordering Period 3'!Z19*Escalation!$D$4)</f>
        <v>0</v>
      </c>
      <c r="AA19" s="41">
        <f t="shared" si="15"/>
        <v>0</v>
      </c>
      <c r="AB19" s="5">
        <f t="shared" si="16"/>
        <v>0</v>
      </c>
      <c r="AC19" s="5">
        <f t="shared" si="17"/>
        <v>0</v>
      </c>
      <c r="AD19" s="5"/>
      <c r="AE19" s="41">
        <f t="shared" si="18"/>
        <v>0</v>
      </c>
      <c r="AF19" s="41">
        <f t="shared" si="19"/>
        <v>0</v>
      </c>
      <c r="AG19" s="41">
        <f t="shared" si="20"/>
        <v>0</v>
      </c>
      <c r="AH19" s="41">
        <f t="shared" si="21"/>
        <v>0</v>
      </c>
      <c r="AI19" s="41">
        <f t="shared" si="22"/>
        <v>0</v>
      </c>
      <c r="AJ19" s="41">
        <f t="shared" si="23"/>
        <v>0</v>
      </c>
      <c r="AK19" s="10"/>
      <c r="AL19" s="10"/>
      <c r="AM19" s="7"/>
      <c r="AO19" s="138" t="str">
        <f t="shared" si="24"/>
        <v/>
      </c>
      <c r="AP19" s="42" t="str">
        <f t="shared" si="25"/>
        <v/>
      </c>
      <c r="AQ19" s="115">
        <f t="shared" si="26"/>
        <v>0</v>
      </c>
      <c r="AR19" s="9">
        <f t="shared" si="27"/>
        <v>5.88154782761037E-2</v>
      </c>
      <c r="AS19" s="9">
        <f t="shared" si="28"/>
        <v>23634.597856007269</v>
      </c>
    </row>
    <row r="20" spans="1:47" x14ac:dyDescent="0.25">
      <c r="A20" s="680"/>
      <c r="B20" s="240">
        <f>'Total - Detail'!B21</f>
        <v>6</v>
      </c>
      <c r="C20" s="100" t="str">
        <f>'Total - Detail'!C21</f>
        <v>Inspector</v>
      </c>
      <c r="D20" s="100" t="s">
        <v>240</v>
      </c>
      <c r="E20" s="100" t="s">
        <v>55</v>
      </c>
      <c r="F20" s="39">
        <v>6135.7994433960985</v>
      </c>
      <c r="G20" s="39">
        <f t="shared" si="2"/>
        <v>0</v>
      </c>
      <c r="H20" s="40">
        <f t="shared" si="3"/>
        <v>6135.7994433960985</v>
      </c>
      <c r="I20" s="43"/>
      <c r="J20" s="137"/>
      <c r="K20" s="41">
        <f>'Ordering Period 3'!K20+('Ordering Period 3'!K20*Escalation!$D$4)</f>
        <v>0</v>
      </c>
      <c r="L20" s="368"/>
      <c r="M20" s="41">
        <f>M10</f>
        <v>0</v>
      </c>
      <c r="N20" s="41">
        <f t="shared" ref="N20:Q20" si="56">N10</f>
        <v>0</v>
      </c>
      <c r="O20" s="41">
        <f t="shared" si="56"/>
        <v>0</v>
      </c>
      <c r="P20" s="41">
        <f t="shared" si="56"/>
        <v>0</v>
      </c>
      <c r="Q20" s="41">
        <f t="shared" si="56"/>
        <v>0</v>
      </c>
      <c r="R20" s="41">
        <f t="shared" si="9"/>
        <v>0</v>
      </c>
      <c r="S20" s="41">
        <f t="shared" si="10"/>
        <v>0</v>
      </c>
      <c r="T20" s="41">
        <f t="shared" si="11"/>
        <v>0</v>
      </c>
      <c r="U20" s="42">
        <f t="shared" si="12"/>
        <v>0</v>
      </c>
      <c r="V20" s="41">
        <f t="shared" si="13"/>
        <v>0</v>
      </c>
      <c r="W20" s="115">
        <f t="shared" si="14"/>
        <v>0</v>
      </c>
      <c r="Y20" s="137"/>
      <c r="Z20" s="5">
        <f>'Ordering Period 3'!Z20+('Ordering Period 3'!Z20*Escalation!$D$4)</f>
        <v>0</v>
      </c>
      <c r="AA20" s="41">
        <f t="shared" si="15"/>
        <v>0</v>
      </c>
      <c r="AB20" s="5">
        <f t="shared" si="16"/>
        <v>0</v>
      </c>
      <c r="AC20" s="5">
        <f t="shared" si="17"/>
        <v>0</v>
      </c>
      <c r="AD20" s="5"/>
      <c r="AE20" s="41">
        <f t="shared" si="18"/>
        <v>0</v>
      </c>
      <c r="AF20" s="41">
        <f t="shared" si="19"/>
        <v>0</v>
      </c>
      <c r="AG20" s="41">
        <f t="shared" si="20"/>
        <v>0</v>
      </c>
      <c r="AH20" s="41">
        <f t="shared" si="21"/>
        <v>0</v>
      </c>
      <c r="AI20" s="41">
        <f t="shared" si="22"/>
        <v>0</v>
      </c>
      <c r="AJ20" s="41">
        <f t="shared" si="23"/>
        <v>0</v>
      </c>
      <c r="AK20" s="10"/>
      <c r="AL20" s="10"/>
      <c r="AM20" s="7"/>
      <c r="AO20" s="138" t="str">
        <f t="shared" si="24"/>
        <v/>
      </c>
      <c r="AP20" s="42" t="str">
        <f t="shared" si="25"/>
        <v/>
      </c>
      <c r="AQ20" s="115">
        <f t="shared" si="26"/>
        <v>0</v>
      </c>
      <c r="AR20" s="9">
        <f t="shared" si="27"/>
        <v>1.526913980378416E-2</v>
      </c>
      <c r="AS20" s="9">
        <f t="shared" si="28"/>
        <v>6135.7994433960976</v>
      </c>
    </row>
    <row r="21" spans="1:47" ht="15.75" thickBot="1" x14ac:dyDescent="0.3">
      <c r="A21" s="681"/>
      <c r="B21" s="242">
        <f>'Total - Detail'!B22</f>
        <v>8</v>
      </c>
      <c r="C21" s="127" t="str">
        <f>'Total - Detail'!C22</f>
        <v>Welder</v>
      </c>
      <c r="D21" s="127" t="s">
        <v>239</v>
      </c>
      <c r="E21" s="127" t="s">
        <v>55</v>
      </c>
      <c r="F21" s="128">
        <v>4718.9995719199114</v>
      </c>
      <c r="G21" s="128">
        <f t="shared" si="2"/>
        <v>0</v>
      </c>
      <c r="H21" s="129">
        <f t="shared" si="3"/>
        <v>4718.9995719199114</v>
      </c>
      <c r="I21" s="43"/>
      <c r="J21" s="146"/>
      <c r="K21" s="143">
        <f>'Ordering Period 3'!K21+('Ordering Period 3'!K21*Escalation!$D$4)</f>
        <v>0</v>
      </c>
      <c r="L21" s="369"/>
      <c r="M21" s="143">
        <f>M12</f>
        <v>0</v>
      </c>
      <c r="N21" s="143">
        <f t="shared" ref="N21:Q21" si="57">N12</f>
        <v>0</v>
      </c>
      <c r="O21" s="143">
        <f t="shared" si="57"/>
        <v>0</v>
      </c>
      <c r="P21" s="143">
        <f t="shared" si="57"/>
        <v>0</v>
      </c>
      <c r="Q21" s="143">
        <f t="shared" si="57"/>
        <v>0</v>
      </c>
      <c r="R21" s="143">
        <f t="shared" si="9"/>
        <v>0</v>
      </c>
      <c r="S21" s="143">
        <f t="shared" si="10"/>
        <v>0</v>
      </c>
      <c r="T21" s="143">
        <f t="shared" si="11"/>
        <v>0</v>
      </c>
      <c r="U21" s="149">
        <f t="shared" si="12"/>
        <v>0</v>
      </c>
      <c r="V21" s="143">
        <f t="shared" si="13"/>
        <v>0</v>
      </c>
      <c r="W21" s="145">
        <f t="shared" si="14"/>
        <v>0</v>
      </c>
      <c r="Y21" s="146"/>
      <c r="Z21" s="144">
        <f>'Ordering Period 3'!Z21+('Ordering Period 3'!Z21*Escalation!$D$4)</f>
        <v>0</v>
      </c>
      <c r="AA21" s="143">
        <f t="shared" si="15"/>
        <v>0</v>
      </c>
      <c r="AB21" s="144">
        <f t="shared" si="16"/>
        <v>0</v>
      </c>
      <c r="AC21" s="144">
        <f t="shared" si="17"/>
        <v>0</v>
      </c>
      <c r="AD21" s="144"/>
      <c r="AE21" s="143">
        <f t="shared" si="18"/>
        <v>0</v>
      </c>
      <c r="AF21" s="143">
        <f t="shared" si="19"/>
        <v>0</v>
      </c>
      <c r="AG21" s="143">
        <f t="shared" si="20"/>
        <v>0</v>
      </c>
      <c r="AH21" s="143">
        <f t="shared" si="21"/>
        <v>0</v>
      </c>
      <c r="AI21" s="143">
        <f t="shared" si="22"/>
        <v>0</v>
      </c>
      <c r="AJ21" s="143">
        <f t="shared" si="23"/>
        <v>0</v>
      </c>
      <c r="AK21" s="260"/>
      <c r="AL21" s="260"/>
      <c r="AM21" s="147"/>
      <c r="AO21" s="148" t="str">
        <f t="shared" si="24"/>
        <v/>
      </c>
      <c r="AP21" s="149" t="str">
        <f t="shared" si="25"/>
        <v/>
      </c>
      <c r="AQ21" s="145">
        <f t="shared" si="26"/>
        <v>0</v>
      </c>
      <c r="AR21" s="9">
        <f t="shared" si="27"/>
        <v>1.1743386475122635E-2</v>
      </c>
      <c r="AS21" s="9">
        <f t="shared" si="28"/>
        <v>4718.9995719199114</v>
      </c>
    </row>
    <row r="22" spans="1:47" ht="18" thickBot="1" x14ac:dyDescent="0.35">
      <c r="A22" s="419" t="s">
        <v>77</v>
      </c>
      <c r="B22" s="58"/>
      <c r="C22" s="11"/>
      <c r="D22" s="17"/>
      <c r="E22" s="11"/>
      <c r="F22" s="424"/>
      <c r="G22" s="424"/>
      <c r="H22" s="425"/>
      <c r="I22" s="99"/>
      <c r="J22" s="406"/>
      <c r="K22" s="426"/>
      <c r="L22" s="407"/>
      <c r="M22" s="407"/>
      <c r="N22" s="407"/>
      <c r="O22" s="407"/>
      <c r="P22" s="407"/>
      <c r="Q22" s="407"/>
      <c r="R22" s="407"/>
      <c r="S22" s="407"/>
      <c r="T22" s="407"/>
      <c r="U22" s="407"/>
      <c r="V22" s="407"/>
      <c r="W22" s="427"/>
      <c r="Y22" s="406"/>
      <c r="Z22" s="407"/>
      <c r="AA22" s="407"/>
      <c r="AB22" s="407"/>
      <c r="AC22" s="407"/>
      <c r="AD22" s="407"/>
      <c r="AE22" s="407"/>
      <c r="AF22" s="407"/>
      <c r="AG22" s="407"/>
      <c r="AH22" s="407"/>
      <c r="AI22" s="407"/>
      <c r="AJ22" s="407"/>
      <c r="AK22" s="408"/>
      <c r="AL22" s="408"/>
      <c r="AM22" s="409"/>
      <c r="AO22" s="428"/>
      <c r="AP22" s="429"/>
      <c r="AQ22" s="427"/>
    </row>
    <row r="23" spans="1:47" ht="15.75" thickBot="1" x14ac:dyDescent="0.3">
      <c r="A23" s="694" t="s">
        <v>43</v>
      </c>
      <c r="B23" s="415">
        <f>'Total - Detail'!B24</f>
        <v>11</v>
      </c>
      <c r="C23" s="210" t="str">
        <f>'Total - Detail'!C24</f>
        <v xml:space="preserve">Field Service Representative </v>
      </c>
      <c r="D23" s="210" t="s">
        <v>289</v>
      </c>
      <c r="E23" s="210" t="s">
        <v>77</v>
      </c>
      <c r="F23" s="211">
        <v>6177.7094395942677</v>
      </c>
      <c r="G23" s="211">
        <f t="shared" ref="G23:G38" si="58">SUM(J23,Y23)</f>
        <v>0</v>
      </c>
      <c r="H23" s="212">
        <f t="shared" ref="H23:H38" si="59">F23-G23</f>
        <v>6177.7094395942677</v>
      </c>
      <c r="I23" s="43"/>
      <c r="J23" s="214"/>
      <c r="K23" s="216">
        <f>'Ordering Period 3'!K23+('Ordering Period 3'!K23*Escalation!$D$4)</f>
        <v>0</v>
      </c>
      <c r="L23" s="249">
        <f t="shared" ref="L23:L36" si="60">(K23*$L$4)</f>
        <v>0</v>
      </c>
      <c r="M23" s="249">
        <f t="shared" ref="M23:M36" si="61">(K23+L23)*$M$4</f>
        <v>0</v>
      </c>
      <c r="N23" s="249">
        <f t="shared" ref="N23:N36" si="62">(M23+L23+K23)*$N$4</f>
        <v>0</v>
      </c>
      <c r="O23" s="249">
        <f t="shared" ref="O23:O36" si="63">(K23+L23+M23)*$O$4</f>
        <v>0</v>
      </c>
      <c r="P23" s="249">
        <f t="shared" ref="P23:P36" si="64">(K23+L23+M23+N23+O23)*$P$4</f>
        <v>0</v>
      </c>
      <c r="Q23" s="249">
        <f t="shared" ref="Q23:Q36" si="65">(K23+M23+N23+O23+P23)*$Q$4</f>
        <v>0</v>
      </c>
      <c r="R23" s="216">
        <f t="shared" ref="R23:R38" si="66">SUM(K23:Q23)</f>
        <v>0</v>
      </c>
      <c r="S23" s="216">
        <f t="shared" ref="S23:S38" si="67">(R23-Q23)*$S$4</f>
        <v>0</v>
      </c>
      <c r="T23" s="216">
        <f t="shared" ref="T23:T38" si="68">SUM(R23:S23)</f>
        <v>0</v>
      </c>
      <c r="U23" s="216">
        <f>R23*J23</f>
        <v>0</v>
      </c>
      <c r="V23" s="216">
        <f>S23*J23</f>
        <v>0</v>
      </c>
      <c r="W23" s="217">
        <f>T23*J23</f>
        <v>0</v>
      </c>
      <c r="Y23" s="214"/>
      <c r="Z23" s="249">
        <f>'Ordering Period 3'!Z23+('Ordering Period 3'!Z23*Escalation!$D$4)</f>
        <v>0</v>
      </c>
      <c r="AA23" s="216">
        <f t="shared" ref="AA23:AA38" si="69">IF($Y23&gt;0,$Z23,0)</f>
        <v>0</v>
      </c>
      <c r="AB23" s="249">
        <f t="shared" ref="AB23:AB38" si="70">(AA23*$AB$4)</f>
        <v>0</v>
      </c>
      <c r="AC23" s="249">
        <f t="shared" ref="AC23:AC38" si="71">(AA23+AB23)*$AC$4</f>
        <v>0</v>
      </c>
      <c r="AD23" s="249"/>
      <c r="AE23" s="216">
        <f t="shared" ref="AE23:AE38" si="72">SUM(AA23:AD23)</f>
        <v>0</v>
      </c>
      <c r="AF23" s="216">
        <f t="shared" ref="AF23:AF38" si="73">$AF$4*(AC23+AA23+AB23)</f>
        <v>0</v>
      </c>
      <c r="AG23" s="216">
        <f t="shared" ref="AG23:AG38" si="74">SUM(AE23:AF23)</f>
        <v>0</v>
      </c>
      <c r="AH23" s="216">
        <f t="shared" ref="AH23:AH38" si="75">AE23*Y23</f>
        <v>0</v>
      </c>
      <c r="AI23" s="216">
        <f t="shared" ref="AI23:AI38" si="76">AF23*Y23</f>
        <v>0</v>
      </c>
      <c r="AJ23" s="216">
        <f t="shared" ref="AJ23:AJ38" si="77">AG23*Y23</f>
        <v>0</v>
      </c>
      <c r="AK23" s="433"/>
      <c r="AL23" s="433"/>
      <c r="AM23" s="250"/>
      <c r="AO23" s="252" t="str">
        <f t="shared" ref="AO23:AO38" si="78">IFERROR(SUM(U23,AH23)/G23,"")</f>
        <v/>
      </c>
      <c r="AP23" s="253" t="str">
        <f t="shared" ref="AP23:AP38" si="79">IFERROR(SUM(V23,AI23)/G23,"")</f>
        <v/>
      </c>
      <c r="AQ23" s="217">
        <f t="shared" ref="AQ23:AQ38" si="80">SUM(AO23:AP23)</f>
        <v>0</v>
      </c>
      <c r="AR23" s="9">
        <f t="shared" ref="AR23:AR38" si="81">F23/$F$41</f>
        <v>1.5373434215136646E-2</v>
      </c>
      <c r="AS23" s="9">
        <f t="shared" ref="AS23:AS38" si="82">AR23*$AV$5</f>
        <v>6177.7094395942668</v>
      </c>
    </row>
    <row r="24" spans="1:47" ht="15.75" thickBot="1" x14ac:dyDescent="0.3">
      <c r="A24" s="695"/>
      <c r="B24" s="416">
        <f>'Total - Detail'!B25</f>
        <v>12</v>
      </c>
      <c r="C24" s="257" t="s">
        <v>290</v>
      </c>
      <c r="D24" s="257" t="s">
        <v>240</v>
      </c>
      <c r="E24" s="257" t="s">
        <v>77</v>
      </c>
      <c r="F24" s="258">
        <v>11472.888959246498</v>
      </c>
      <c r="G24" s="258"/>
      <c r="H24" s="212">
        <f t="shared" si="59"/>
        <v>11472.888959246498</v>
      </c>
      <c r="I24" s="43"/>
      <c r="J24" s="630"/>
      <c r="K24" s="631"/>
      <c r="L24" s="633"/>
      <c r="M24" s="249">
        <f t="shared" ref="M24" si="83">(K24*$M$4)</f>
        <v>0</v>
      </c>
      <c r="N24" s="249">
        <f t="shared" ref="N24" si="84">(M24+K24)*$N$4</f>
        <v>0</v>
      </c>
      <c r="O24" s="249">
        <f t="shared" ref="O24" si="85">(K24+M24)*$O$4</f>
        <v>0</v>
      </c>
      <c r="P24" s="249">
        <f t="shared" ref="P24" si="86">(M24+K24+N24+O24)*$P$4</f>
        <v>0</v>
      </c>
      <c r="Q24" s="249">
        <f t="shared" si="65"/>
        <v>0</v>
      </c>
      <c r="R24" s="216">
        <f t="shared" si="66"/>
        <v>0</v>
      </c>
      <c r="S24" s="216">
        <f t="shared" si="67"/>
        <v>0</v>
      </c>
      <c r="T24" s="216">
        <f t="shared" si="68"/>
        <v>0</v>
      </c>
      <c r="U24" s="253">
        <f t="shared" ref="U24" si="87">R24*J24</f>
        <v>0</v>
      </c>
      <c r="V24" s="216">
        <f t="shared" ref="V24" si="88">S24*J24</f>
        <v>0</v>
      </c>
      <c r="W24" s="217">
        <f t="shared" ref="W24" si="89">T24*J24</f>
        <v>0</v>
      </c>
      <c r="Y24" s="214"/>
      <c r="Z24" s="249">
        <f>'Ordering Period 3'!Z24+('Ordering Period 3'!Z24*Escalation!$D$4)</f>
        <v>0</v>
      </c>
      <c r="AA24" s="216">
        <f t="shared" si="69"/>
        <v>0</v>
      </c>
      <c r="AB24" s="249">
        <f t="shared" si="70"/>
        <v>0</v>
      </c>
      <c r="AC24" s="249">
        <f t="shared" si="71"/>
        <v>0</v>
      </c>
      <c r="AD24" s="249"/>
      <c r="AE24" s="216">
        <f t="shared" si="72"/>
        <v>0</v>
      </c>
      <c r="AF24" s="216">
        <f t="shared" si="73"/>
        <v>0</v>
      </c>
      <c r="AG24" s="216">
        <f t="shared" si="74"/>
        <v>0</v>
      </c>
      <c r="AH24" s="216">
        <f t="shared" si="75"/>
        <v>0</v>
      </c>
      <c r="AI24" s="216">
        <f t="shared" si="76"/>
        <v>0</v>
      </c>
      <c r="AJ24" s="216">
        <f t="shared" si="77"/>
        <v>0</v>
      </c>
      <c r="AK24" s="433"/>
      <c r="AL24" s="433"/>
      <c r="AM24" s="250"/>
      <c r="AO24" s="252" t="str">
        <f t="shared" si="78"/>
        <v/>
      </c>
      <c r="AP24" s="253" t="str">
        <f t="shared" si="79"/>
        <v/>
      </c>
      <c r="AQ24" s="217">
        <f t="shared" si="80"/>
        <v>0</v>
      </c>
      <c r="AR24" s="9">
        <f t="shared" si="81"/>
        <v>2.8550663542396632E-2</v>
      </c>
      <c r="AS24" s="9">
        <f t="shared" si="82"/>
        <v>11472.888959246497</v>
      </c>
    </row>
    <row r="25" spans="1:47" s="11" customFormat="1" x14ac:dyDescent="0.25">
      <c r="A25" s="679" t="s">
        <v>205</v>
      </c>
      <c r="B25" s="241">
        <f>'Total - Detail'!B26</f>
        <v>13</v>
      </c>
      <c r="C25" s="101" t="str">
        <f>'Total - Detail'!C26</f>
        <v>Heavy Equipment Mechanic</v>
      </c>
      <c r="D25" s="101" t="s">
        <v>236</v>
      </c>
      <c r="E25" s="101" t="s">
        <v>77</v>
      </c>
      <c r="F25" s="35">
        <v>668.79993933037429</v>
      </c>
      <c r="G25" s="35">
        <f t="shared" si="58"/>
        <v>0</v>
      </c>
      <c r="H25" s="36">
        <f t="shared" si="59"/>
        <v>668.79993933037429</v>
      </c>
      <c r="I25" s="43"/>
      <c r="J25" s="3"/>
      <c r="K25" s="37">
        <f>'Ordering Period 3'!K25+('Ordering Period 3'!K25*Escalation!$D$4)</f>
        <v>0</v>
      </c>
      <c r="L25" s="4">
        <f t="shared" si="60"/>
        <v>0</v>
      </c>
      <c r="M25" s="4">
        <f t="shared" si="61"/>
        <v>0</v>
      </c>
      <c r="N25" s="4">
        <f t="shared" si="62"/>
        <v>0</v>
      </c>
      <c r="O25" s="4">
        <f t="shared" si="63"/>
        <v>0</v>
      </c>
      <c r="P25" s="4">
        <f t="shared" si="64"/>
        <v>0</v>
      </c>
      <c r="Q25" s="4">
        <f t="shared" si="65"/>
        <v>0</v>
      </c>
      <c r="R25" s="37">
        <f t="shared" si="66"/>
        <v>0</v>
      </c>
      <c r="S25" s="37">
        <f t="shared" si="67"/>
        <v>0</v>
      </c>
      <c r="T25" s="37">
        <f t="shared" si="68"/>
        <v>0</v>
      </c>
      <c r="U25" s="37">
        <f t="shared" ref="U25:U38" si="90">R25*J25</f>
        <v>0</v>
      </c>
      <c r="V25" s="37">
        <f t="shared" ref="V25:V38" si="91">S25*J25</f>
        <v>0</v>
      </c>
      <c r="W25" s="38">
        <f t="shared" ref="W25:W38" si="92">T25*J25</f>
        <v>0</v>
      </c>
      <c r="X25" s="9"/>
      <c r="Y25" s="3"/>
      <c r="Z25" s="4">
        <f>'Ordering Period 3'!Z25+('Ordering Period 3'!Z25*Escalation!$D$4)</f>
        <v>0</v>
      </c>
      <c r="AA25" s="37">
        <f t="shared" si="69"/>
        <v>0</v>
      </c>
      <c r="AB25" s="4">
        <f t="shared" si="70"/>
        <v>0</v>
      </c>
      <c r="AC25" s="4">
        <f t="shared" si="71"/>
        <v>0</v>
      </c>
      <c r="AD25" s="4"/>
      <c r="AE25" s="37">
        <f t="shared" si="72"/>
        <v>0</v>
      </c>
      <c r="AF25" s="37">
        <f t="shared" si="73"/>
        <v>0</v>
      </c>
      <c r="AG25" s="37">
        <f t="shared" si="74"/>
        <v>0</v>
      </c>
      <c r="AH25" s="37">
        <f t="shared" si="75"/>
        <v>0</v>
      </c>
      <c r="AI25" s="37">
        <f t="shared" si="76"/>
        <v>0</v>
      </c>
      <c r="AJ25" s="37">
        <f t="shared" si="77"/>
        <v>0</v>
      </c>
      <c r="AK25" s="432"/>
      <c r="AL25" s="432"/>
      <c r="AM25" s="6"/>
      <c r="AN25" s="9"/>
      <c r="AO25" s="124" t="str">
        <f t="shared" si="78"/>
        <v/>
      </c>
      <c r="AP25" s="113" t="str">
        <f t="shared" si="79"/>
        <v/>
      </c>
      <c r="AQ25" s="112">
        <f t="shared" si="80"/>
        <v>0</v>
      </c>
      <c r="AR25" s="9">
        <f t="shared" si="81"/>
        <v>1.664330763840224E-3</v>
      </c>
      <c r="AS25" s="9">
        <f t="shared" si="82"/>
        <v>668.79993933037417</v>
      </c>
      <c r="AU25" s="322"/>
    </row>
    <row r="26" spans="1:47" s="11" customFormat="1" x14ac:dyDescent="0.25">
      <c r="A26" s="680"/>
      <c r="B26" s="240">
        <f>'Total - Detail'!B27</f>
        <v>14</v>
      </c>
      <c r="C26" s="100" t="str">
        <f>'Total - Detail'!C27</f>
        <v>Material Handling Specialist</v>
      </c>
      <c r="D26" s="100" t="s">
        <v>238</v>
      </c>
      <c r="E26" s="100" t="s">
        <v>77</v>
      </c>
      <c r="F26" s="39">
        <v>2899.5997369652414</v>
      </c>
      <c r="G26" s="39">
        <f t="shared" si="58"/>
        <v>0</v>
      </c>
      <c r="H26" s="40">
        <f t="shared" si="59"/>
        <v>2899.5997369652414</v>
      </c>
      <c r="I26" s="43"/>
      <c r="J26" s="137"/>
      <c r="K26" s="41">
        <f>'Ordering Period 3'!K26+('Ordering Period 3'!K26*Escalation!$D$4)</f>
        <v>0</v>
      </c>
      <c r="L26" s="5">
        <f t="shared" si="60"/>
        <v>0</v>
      </c>
      <c r="M26" s="5">
        <f t="shared" si="61"/>
        <v>0</v>
      </c>
      <c r="N26" s="5">
        <f t="shared" si="62"/>
        <v>0</v>
      </c>
      <c r="O26" s="5">
        <f t="shared" si="63"/>
        <v>0</v>
      </c>
      <c r="P26" s="5">
        <f t="shared" si="64"/>
        <v>0</v>
      </c>
      <c r="Q26" s="5">
        <f t="shared" si="65"/>
        <v>0</v>
      </c>
      <c r="R26" s="41">
        <f t="shared" si="66"/>
        <v>0</v>
      </c>
      <c r="S26" s="41">
        <f t="shared" si="67"/>
        <v>0</v>
      </c>
      <c r="T26" s="41">
        <f t="shared" si="68"/>
        <v>0</v>
      </c>
      <c r="U26" s="41">
        <f t="shared" si="90"/>
        <v>0</v>
      </c>
      <c r="V26" s="41">
        <f t="shared" si="91"/>
        <v>0</v>
      </c>
      <c r="W26" s="115">
        <f t="shared" si="92"/>
        <v>0</v>
      </c>
      <c r="X26" s="9"/>
      <c r="Y26" s="137"/>
      <c r="Z26" s="5">
        <f>'Ordering Period 3'!Z26+('Ordering Period 3'!Z26*Escalation!$D$4)</f>
        <v>0</v>
      </c>
      <c r="AA26" s="41">
        <f t="shared" si="69"/>
        <v>0</v>
      </c>
      <c r="AB26" s="5">
        <f t="shared" si="70"/>
        <v>0</v>
      </c>
      <c r="AC26" s="5">
        <f t="shared" si="71"/>
        <v>0</v>
      </c>
      <c r="AD26" s="5"/>
      <c r="AE26" s="41">
        <f t="shared" si="72"/>
        <v>0</v>
      </c>
      <c r="AF26" s="41">
        <f t="shared" si="73"/>
        <v>0</v>
      </c>
      <c r="AG26" s="41">
        <f t="shared" si="74"/>
        <v>0</v>
      </c>
      <c r="AH26" s="41">
        <f t="shared" si="75"/>
        <v>0</v>
      </c>
      <c r="AI26" s="41">
        <f t="shared" si="76"/>
        <v>0</v>
      </c>
      <c r="AJ26" s="41">
        <f t="shared" si="77"/>
        <v>0</v>
      </c>
      <c r="AK26" s="10"/>
      <c r="AL26" s="10"/>
      <c r="AM26" s="7"/>
      <c r="AN26" s="9"/>
      <c r="AO26" s="138" t="str">
        <f t="shared" si="78"/>
        <v/>
      </c>
      <c r="AP26" s="42" t="str">
        <f t="shared" si="79"/>
        <v/>
      </c>
      <c r="AQ26" s="115">
        <f t="shared" si="80"/>
        <v>0</v>
      </c>
      <c r="AR26" s="9">
        <f t="shared" si="81"/>
        <v>7.2157498248072872E-3</v>
      </c>
      <c r="AS26" s="9">
        <f t="shared" si="82"/>
        <v>2899.5997369652409</v>
      </c>
      <c r="AU26" s="322"/>
    </row>
    <row r="27" spans="1:47" s="11" customFormat="1" x14ac:dyDescent="0.25">
      <c r="A27" s="680"/>
      <c r="B27" s="240">
        <f>'Total - Detail'!B28</f>
        <v>15</v>
      </c>
      <c r="C27" s="100" t="str">
        <f>'Total - Detail'!C28</f>
        <v>Inspector</v>
      </c>
      <c r="D27" s="100" t="s">
        <v>235</v>
      </c>
      <c r="E27" s="100" t="s">
        <v>77</v>
      </c>
      <c r="F27" s="39">
        <v>656.69994042801557</v>
      </c>
      <c r="G27" s="39">
        <f t="shared" si="58"/>
        <v>0</v>
      </c>
      <c r="H27" s="40">
        <f t="shared" si="59"/>
        <v>656.69994042801557</v>
      </c>
      <c r="I27" s="43"/>
      <c r="J27" s="137"/>
      <c r="K27" s="41">
        <f>'Ordering Period 3'!K27+('Ordering Period 3'!K27*Escalation!$D$4)</f>
        <v>0</v>
      </c>
      <c r="L27" s="5">
        <f t="shared" si="60"/>
        <v>0</v>
      </c>
      <c r="M27" s="5">
        <f t="shared" si="61"/>
        <v>0</v>
      </c>
      <c r="N27" s="5">
        <f t="shared" si="62"/>
        <v>0</v>
      </c>
      <c r="O27" s="5">
        <f t="shared" si="63"/>
        <v>0</v>
      </c>
      <c r="P27" s="5">
        <f t="shared" si="64"/>
        <v>0</v>
      </c>
      <c r="Q27" s="5">
        <f t="shared" si="65"/>
        <v>0</v>
      </c>
      <c r="R27" s="41">
        <f t="shared" si="66"/>
        <v>0</v>
      </c>
      <c r="S27" s="41">
        <f t="shared" si="67"/>
        <v>0</v>
      </c>
      <c r="T27" s="41">
        <f t="shared" si="68"/>
        <v>0</v>
      </c>
      <c r="U27" s="41">
        <f t="shared" si="90"/>
        <v>0</v>
      </c>
      <c r="V27" s="41">
        <f>S27*J27</f>
        <v>0</v>
      </c>
      <c r="W27" s="115">
        <f t="shared" si="92"/>
        <v>0</v>
      </c>
      <c r="X27" s="9"/>
      <c r="Y27" s="137"/>
      <c r="Z27" s="5">
        <f>'Ordering Period 3'!Z27+('Ordering Period 3'!Z27*Escalation!$D$4)</f>
        <v>0</v>
      </c>
      <c r="AA27" s="41">
        <f t="shared" si="69"/>
        <v>0</v>
      </c>
      <c r="AB27" s="5">
        <f t="shared" si="70"/>
        <v>0</v>
      </c>
      <c r="AC27" s="5">
        <f t="shared" si="71"/>
        <v>0</v>
      </c>
      <c r="AD27" s="5"/>
      <c r="AE27" s="41">
        <f t="shared" si="72"/>
        <v>0</v>
      </c>
      <c r="AF27" s="41">
        <f t="shared" si="73"/>
        <v>0</v>
      </c>
      <c r="AG27" s="41">
        <f t="shared" si="74"/>
        <v>0</v>
      </c>
      <c r="AH27" s="41">
        <f t="shared" si="75"/>
        <v>0</v>
      </c>
      <c r="AI27" s="41">
        <f t="shared" si="76"/>
        <v>0</v>
      </c>
      <c r="AJ27" s="41">
        <f t="shared" si="77"/>
        <v>0</v>
      </c>
      <c r="AK27" s="10"/>
      <c r="AL27" s="10"/>
      <c r="AM27" s="7"/>
      <c r="AN27" s="9"/>
      <c r="AO27" s="138" t="str">
        <f t="shared" si="78"/>
        <v/>
      </c>
      <c r="AP27" s="42" t="str">
        <f t="shared" si="79"/>
        <v/>
      </c>
      <c r="AQ27" s="115">
        <f t="shared" si="80"/>
        <v>0</v>
      </c>
      <c r="AR27" s="9">
        <f t="shared" si="81"/>
        <v>1.6342195164681147E-3</v>
      </c>
      <c r="AS27" s="9">
        <f t="shared" si="82"/>
        <v>656.69994042801545</v>
      </c>
      <c r="AU27" s="322"/>
    </row>
    <row r="28" spans="1:47" s="11" customFormat="1" x14ac:dyDescent="0.25">
      <c r="A28" s="680"/>
      <c r="B28" s="240">
        <f>'Total - Detail'!B29</f>
        <v>16</v>
      </c>
      <c r="C28" s="100" t="str">
        <f>'Total - Detail'!C29</f>
        <v>Supply/Procurement Specialist</v>
      </c>
      <c r="D28" s="100" t="s">
        <v>233</v>
      </c>
      <c r="E28" s="100" t="s">
        <v>77</v>
      </c>
      <c r="F28" s="39">
        <v>1449.7998684826207</v>
      </c>
      <c r="G28" s="39">
        <f t="shared" si="58"/>
        <v>0</v>
      </c>
      <c r="H28" s="40">
        <f t="shared" si="59"/>
        <v>1449.7998684826207</v>
      </c>
      <c r="I28" s="43"/>
      <c r="J28" s="137"/>
      <c r="K28" s="41">
        <f>'Ordering Period 3'!K28+('Ordering Period 3'!K28*Escalation!$D$4)</f>
        <v>0</v>
      </c>
      <c r="L28" s="5">
        <f t="shared" si="60"/>
        <v>0</v>
      </c>
      <c r="M28" s="5">
        <f t="shared" si="61"/>
        <v>0</v>
      </c>
      <c r="N28" s="5">
        <f t="shared" si="62"/>
        <v>0</v>
      </c>
      <c r="O28" s="5">
        <f t="shared" si="63"/>
        <v>0</v>
      </c>
      <c r="P28" s="5">
        <f t="shared" si="64"/>
        <v>0</v>
      </c>
      <c r="Q28" s="5">
        <f t="shared" si="65"/>
        <v>0</v>
      </c>
      <c r="R28" s="41">
        <f t="shared" si="66"/>
        <v>0</v>
      </c>
      <c r="S28" s="41">
        <f t="shared" si="67"/>
        <v>0</v>
      </c>
      <c r="T28" s="41">
        <f t="shared" si="68"/>
        <v>0</v>
      </c>
      <c r="U28" s="41">
        <f t="shared" si="90"/>
        <v>0</v>
      </c>
      <c r="V28" s="41">
        <f t="shared" si="91"/>
        <v>0</v>
      </c>
      <c r="W28" s="115">
        <f t="shared" si="92"/>
        <v>0</v>
      </c>
      <c r="X28" s="9"/>
      <c r="Y28" s="137"/>
      <c r="Z28" s="5">
        <f>'Ordering Period 3'!Z28+('Ordering Period 3'!Z28*Escalation!$D$4)</f>
        <v>0</v>
      </c>
      <c r="AA28" s="41">
        <f t="shared" si="69"/>
        <v>0</v>
      </c>
      <c r="AB28" s="5">
        <f t="shared" si="70"/>
        <v>0</v>
      </c>
      <c r="AC28" s="5">
        <f t="shared" si="71"/>
        <v>0</v>
      </c>
      <c r="AD28" s="5"/>
      <c r="AE28" s="41">
        <f t="shared" si="72"/>
        <v>0</v>
      </c>
      <c r="AF28" s="41">
        <f t="shared" si="73"/>
        <v>0</v>
      </c>
      <c r="AG28" s="41">
        <f t="shared" si="74"/>
        <v>0</v>
      </c>
      <c r="AH28" s="41">
        <f t="shared" si="75"/>
        <v>0</v>
      </c>
      <c r="AI28" s="41">
        <f t="shared" si="76"/>
        <v>0</v>
      </c>
      <c r="AJ28" s="41">
        <f t="shared" si="77"/>
        <v>0</v>
      </c>
      <c r="AK28" s="10"/>
      <c r="AL28" s="10"/>
      <c r="AM28" s="7"/>
      <c r="AN28" s="9"/>
      <c r="AO28" s="138" t="str">
        <f t="shared" si="78"/>
        <v/>
      </c>
      <c r="AP28" s="42" t="str">
        <f t="shared" si="79"/>
        <v/>
      </c>
      <c r="AQ28" s="115">
        <f t="shared" si="80"/>
        <v>0</v>
      </c>
      <c r="AR28" s="9">
        <f t="shared" si="81"/>
        <v>3.6078749124036436E-3</v>
      </c>
      <c r="AS28" s="9">
        <f t="shared" si="82"/>
        <v>1449.7998684826205</v>
      </c>
      <c r="AU28" s="322"/>
    </row>
    <row r="29" spans="1:47" s="11" customFormat="1" ht="15.75" thickBot="1" x14ac:dyDescent="0.3">
      <c r="A29" s="681"/>
      <c r="B29" s="242">
        <f>'Total - Detail'!B30</f>
        <v>17</v>
      </c>
      <c r="C29" s="127" t="str">
        <f>'Total - Detail'!C30</f>
        <v>Welder</v>
      </c>
      <c r="D29" s="127" t="s">
        <v>239</v>
      </c>
      <c r="E29" s="127" t="s">
        <v>77</v>
      </c>
      <c r="F29" s="128">
        <v>1129.6998975202212</v>
      </c>
      <c r="G29" s="128">
        <f t="shared" si="58"/>
        <v>0</v>
      </c>
      <c r="H29" s="129">
        <f t="shared" si="59"/>
        <v>1129.6998975202212</v>
      </c>
      <c r="I29" s="43"/>
      <c r="J29" s="146"/>
      <c r="K29" s="143">
        <f>'Ordering Period 3'!K29+('Ordering Period 3'!K29*Escalation!$D$4)</f>
        <v>0</v>
      </c>
      <c r="L29" s="144">
        <f t="shared" si="60"/>
        <v>0</v>
      </c>
      <c r="M29" s="144">
        <f t="shared" si="61"/>
        <v>0</v>
      </c>
      <c r="N29" s="144">
        <f t="shared" si="62"/>
        <v>0</v>
      </c>
      <c r="O29" s="144">
        <f t="shared" si="63"/>
        <v>0</v>
      </c>
      <c r="P29" s="144">
        <f t="shared" si="64"/>
        <v>0</v>
      </c>
      <c r="Q29" s="144">
        <f t="shared" si="65"/>
        <v>0</v>
      </c>
      <c r="R29" s="143">
        <f t="shared" si="66"/>
        <v>0</v>
      </c>
      <c r="S29" s="143">
        <f t="shared" si="67"/>
        <v>0</v>
      </c>
      <c r="T29" s="143">
        <f t="shared" si="68"/>
        <v>0</v>
      </c>
      <c r="U29" s="143">
        <f t="shared" si="90"/>
        <v>0</v>
      </c>
      <c r="V29" s="143">
        <f t="shared" si="91"/>
        <v>0</v>
      </c>
      <c r="W29" s="145">
        <f t="shared" si="92"/>
        <v>0</v>
      </c>
      <c r="X29" s="9"/>
      <c r="Y29" s="146"/>
      <c r="Z29" s="144">
        <f>'Ordering Period 3'!Z29+('Ordering Period 3'!Z29*Escalation!$D$4)</f>
        <v>0</v>
      </c>
      <c r="AA29" s="143">
        <f t="shared" si="69"/>
        <v>0</v>
      </c>
      <c r="AB29" s="144">
        <f t="shared" si="70"/>
        <v>0</v>
      </c>
      <c r="AC29" s="144">
        <f t="shared" si="71"/>
        <v>0</v>
      </c>
      <c r="AD29" s="144"/>
      <c r="AE29" s="143">
        <f t="shared" si="72"/>
        <v>0</v>
      </c>
      <c r="AF29" s="143">
        <f t="shared" si="73"/>
        <v>0</v>
      </c>
      <c r="AG29" s="143">
        <f t="shared" si="74"/>
        <v>0</v>
      </c>
      <c r="AH29" s="143">
        <f t="shared" si="75"/>
        <v>0</v>
      </c>
      <c r="AI29" s="143">
        <f t="shared" si="76"/>
        <v>0</v>
      </c>
      <c r="AJ29" s="143">
        <f t="shared" si="77"/>
        <v>0</v>
      </c>
      <c r="AK29" s="260"/>
      <c r="AL29" s="260"/>
      <c r="AM29" s="147"/>
      <c r="AN29" s="9"/>
      <c r="AO29" s="148" t="str">
        <f t="shared" si="78"/>
        <v/>
      </c>
      <c r="AP29" s="149" t="str">
        <f t="shared" si="79"/>
        <v/>
      </c>
      <c r="AQ29" s="145">
        <f t="shared" si="80"/>
        <v>0</v>
      </c>
      <c r="AR29" s="9">
        <f t="shared" si="81"/>
        <v>2.8112955501051152E-3</v>
      </c>
      <c r="AS29" s="9">
        <f t="shared" si="82"/>
        <v>1129.6998975202209</v>
      </c>
      <c r="AU29" s="322"/>
    </row>
    <row r="30" spans="1:47" ht="30.75" thickBot="1" x14ac:dyDescent="0.3">
      <c r="A30" s="504" t="s">
        <v>231</v>
      </c>
      <c r="B30" s="242">
        <f>'Total - Detail'!B31</f>
        <v>18</v>
      </c>
      <c r="C30" s="127" t="str">
        <f>'Total - Detail'!C31</f>
        <v xml:space="preserve">Instructor </v>
      </c>
      <c r="D30" s="127" t="s">
        <v>237</v>
      </c>
      <c r="E30" s="127" t="s">
        <v>77</v>
      </c>
      <c r="F30" s="128">
        <v>3764.1996585337838</v>
      </c>
      <c r="G30" s="128">
        <f t="shared" si="58"/>
        <v>0</v>
      </c>
      <c r="H30" s="129">
        <f t="shared" si="59"/>
        <v>3764.1996585337838</v>
      </c>
      <c r="I30" s="43"/>
      <c r="J30" s="146"/>
      <c r="K30" s="143">
        <f>'Ordering Period 3'!K30+('Ordering Period 3'!K30*Escalation!$D$4)</f>
        <v>0</v>
      </c>
      <c r="L30" s="144">
        <f t="shared" si="60"/>
        <v>0</v>
      </c>
      <c r="M30" s="144">
        <f t="shared" si="61"/>
        <v>0</v>
      </c>
      <c r="N30" s="144">
        <f t="shared" si="62"/>
        <v>0</v>
      </c>
      <c r="O30" s="144">
        <f t="shared" si="63"/>
        <v>0</v>
      </c>
      <c r="P30" s="144">
        <f t="shared" si="64"/>
        <v>0</v>
      </c>
      <c r="Q30" s="144">
        <f t="shared" si="65"/>
        <v>0</v>
      </c>
      <c r="R30" s="143">
        <f t="shared" si="66"/>
        <v>0</v>
      </c>
      <c r="S30" s="143">
        <f t="shared" si="67"/>
        <v>0</v>
      </c>
      <c r="T30" s="143">
        <f t="shared" si="68"/>
        <v>0</v>
      </c>
      <c r="U30" s="143">
        <f t="shared" si="90"/>
        <v>0</v>
      </c>
      <c r="V30" s="143">
        <f t="shared" si="91"/>
        <v>0</v>
      </c>
      <c r="W30" s="145">
        <f t="shared" si="92"/>
        <v>0</v>
      </c>
      <c r="Y30" s="146"/>
      <c r="Z30" s="144">
        <f>'Ordering Period 3'!Z30+('Ordering Period 3'!Z30*Escalation!$D$4)</f>
        <v>0</v>
      </c>
      <c r="AA30" s="143">
        <f t="shared" si="69"/>
        <v>0</v>
      </c>
      <c r="AB30" s="144">
        <f t="shared" si="70"/>
        <v>0</v>
      </c>
      <c r="AC30" s="144">
        <f t="shared" si="71"/>
        <v>0</v>
      </c>
      <c r="AD30" s="144"/>
      <c r="AE30" s="143">
        <f t="shared" si="72"/>
        <v>0</v>
      </c>
      <c r="AF30" s="143">
        <f t="shared" si="73"/>
        <v>0</v>
      </c>
      <c r="AG30" s="143">
        <f t="shared" si="74"/>
        <v>0</v>
      </c>
      <c r="AH30" s="143">
        <f t="shared" si="75"/>
        <v>0</v>
      </c>
      <c r="AI30" s="143">
        <f t="shared" si="76"/>
        <v>0</v>
      </c>
      <c r="AJ30" s="143">
        <f t="shared" si="77"/>
        <v>0</v>
      </c>
      <c r="AK30" s="260"/>
      <c r="AL30" s="260"/>
      <c r="AM30" s="147"/>
      <c r="AO30" s="148" t="str">
        <f t="shared" si="78"/>
        <v/>
      </c>
      <c r="AP30" s="149" t="str">
        <f t="shared" si="79"/>
        <v/>
      </c>
      <c r="AQ30" s="145">
        <f t="shared" si="80"/>
        <v>0</v>
      </c>
      <c r="AR30" s="9">
        <f t="shared" si="81"/>
        <v>9.3673353188507332E-3</v>
      </c>
      <c r="AS30" s="9">
        <f t="shared" si="82"/>
        <v>3764.1996585337833</v>
      </c>
    </row>
    <row r="31" spans="1:47" x14ac:dyDescent="0.25">
      <c r="A31" s="679" t="s">
        <v>207</v>
      </c>
      <c r="B31" s="241">
        <f>'Total - Detail'!B32</f>
        <v>13</v>
      </c>
      <c r="C31" s="101" t="str">
        <f>'Total - Detail'!C32</f>
        <v>Heavy Equipment Mechanic</v>
      </c>
      <c r="D31" s="101" t="s">
        <v>236</v>
      </c>
      <c r="E31" s="101" t="s">
        <v>77</v>
      </c>
      <c r="F31" s="35">
        <v>668.79993933037429</v>
      </c>
      <c r="G31" s="35">
        <f t="shared" si="58"/>
        <v>0</v>
      </c>
      <c r="H31" s="36">
        <f t="shared" si="59"/>
        <v>668.79993933037429</v>
      </c>
      <c r="I31" s="43"/>
      <c r="J31" s="3"/>
      <c r="K31" s="37">
        <f>'Ordering Period 3'!K31+('Ordering Period 3'!K31*Escalation!$D$4)</f>
        <v>0</v>
      </c>
      <c r="L31" s="37">
        <f>L25</f>
        <v>0</v>
      </c>
      <c r="M31" s="37">
        <f t="shared" ref="M31:Q31" si="93">M25</f>
        <v>0</v>
      </c>
      <c r="N31" s="37">
        <f t="shared" si="93"/>
        <v>0</v>
      </c>
      <c r="O31" s="37">
        <f t="shared" si="93"/>
        <v>0</v>
      </c>
      <c r="P31" s="37">
        <f t="shared" si="93"/>
        <v>0</v>
      </c>
      <c r="Q31" s="37">
        <f t="shared" si="93"/>
        <v>0</v>
      </c>
      <c r="R31" s="37">
        <f t="shared" si="66"/>
        <v>0</v>
      </c>
      <c r="S31" s="37">
        <f t="shared" si="67"/>
        <v>0</v>
      </c>
      <c r="T31" s="37">
        <f t="shared" si="68"/>
        <v>0</v>
      </c>
      <c r="U31" s="37">
        <f t="shared" si="90"/>
        <v>0</v>
      </c>
      <c r="V31" s="37">
        <f t="shared" si="91"/>
        <v>0</v>
      </c>
      <c r="W31" s="38">
        <f t="shared" si="92"/>
        <v>0</v>
      </c>
      <c r="Y31" s="109"/>
      <c r="Z31" s="111">
        <f>'Ordering Period 3'!Z31+('Ordering Period 3'!Z31*Escalation!$D$4)</f>
        <v>0</v>
      </c>
      <c r="AA31" s="110">
        <f t="shared" si="69"/>
        <v>0</v>
      </c>
      <c r="AB31" s="111">
        <f t="shared" si="70"/>
        <v>0</v>
      </c>
      <c r="AC31" s="111">
        <f t="shared" si="71"/>
        <v>0</v>
      </c>
      <c r="AD31" s="111"/>
      <c r="AE31" s="110">
        <f t="shared" si="72"/>
        <v>0</v>
      </c>
      <c r="AF31" s="110">
        <f t="shared" si="73"/>
        <v>0</v>
      </c>
      <c r="AG31" s="110">
        <f t="shared" si="74"/>
        <v>0</v>
      </c>
      <c r="AH31" s="110">
        <f t="shared" si="75"/>
        <v>0</v>
      </c>
      <c r="AI31" s="110">
        <f t="shared" si="76"/>
        <v>0</v>
      </c>
      <c r="AJ31" s="110">
        <f t="shared" si="77"/>
        <v>0</v>
      </c>
      <c r="AK31" s="259"/>
      <c r="AL31" s="259"/>
      <c r="AM31" s="114"/>
      <c r="AO31" s="124" t="str">
        <f t="shared" si="78"/>
        <v/>
      </c>
      <c r="AP31" s="113" t="str">
        <f t="shared" si="79"/>
        <v/>
      </c>
      <c r="AQ31" s="112">
        <f t="shared" si="80"/>
        <v>0</v>
      </c>
      <c r="AR31" s="9">
        <f t="shared" si="81"/>
        <v>1.664330763840224E-3</v>
      </c>
      <c r="AS31" s="9">
        <f t="shared" si="82"/>
        <v>668.79993933037417</v>
      </c>
    </row>
    <row r="32" spans="1:47" x14ac:dyDescent="0.25">
      <c r="A32" s="680"/>
      <c r="B32" s="240">
        <f>'Total - Detail'!B33</f>
        <v>14</v>
      </c>
      <c r="C32" s="100" t="str">
        <f>'Total - Detail'!C33</f>
        <v>Material Handling Specialist</v>
      </c>
      <c r="D32" s="100" t="s">
        <v>238</v>
      </c>
      <c r="E32" s="100" t="s">
        <v>77</v>
      </c>
      <c r="F32" s="39">
        <v>2899.5997369652414</v>
      </c>
      <c r="G32" s="39">
        <f t="shared" si="58"/>
        <v>0</v>
      </c>
      <c r="H32" s="40">
        <f t="shared" si="59"/>
        <v>2899.5997369652414</v>
      </c>
      <c r="I32" s="43"/>
      <c r="J32" s="137"/>
      <c r="K32" s="41">
        <f>'Ordering Period 3'!K32+('Ordering Period 3'!K32*Escalation!$D$4)</f>
        <v>0</v>
      </c>
      <c r="L32" s="41">
        <f>L26</f>
        <v>0</v>
      </c>
      <c r="M32" s="41">
        <f t="shared" ref="M32:Q32" si="94">M26</f>
        <v>0</v>
      </c>
      <c r="N32" s="41">
        <f t="shared" si="94"/>
        <v>0</v>
      </c>
      <c r="O32" s="41">
        <f t="shared" si="94"/>
        <v>0</v>
      </c>
      <c r="P32" s="41">
        <f t="shared" si="94"/>
        <v>0</v>
      </c>
      <c r="Q32" s="41">
        <f t="shared" si="94"/>
        <v>0</v>
      </c>
      <c r="R32" s="41">
        <f t="shared" si="66"/>
        <v>0</v>
      </c>
      <c r="S32" s="41">
        <f t="shared" si="67"/>
        <v>0</v>
      </c>
      <c r="T32" s="41">
        <f t="shared" si="68"/>
        <v>0</v>
      </c>
      <c r="U32" s="41">
        <f t="shared" si="90"/>
        <v>0</v>
      </c>
      <c r="V32" s="41">
        <f t="shared" si="91"/>
        <v>0</v>
      </c>
      <c r="W32" s="115">
        <f t="shared" si="92"/>
        <v>0</v>
      </c>
      <c r="Y32" s="137"/>
      <c r="Z32" s="5">
        <f>'Ordering Period 3'!Z32+('Ordering Period 3'!Z32*Escalation!$D$4)</f>
        <v>0</v>
      </c>
      <c r="AA32" s="41">
        <f t="shared" si="69"/>
        <v>0</v>
      </c>
      <c r="AB32" s="5">
        <f t="shared" si="70"/>
        <v>0</v>
      </c>
      <c r="AC32" s="5">
        <f t="shared" si="71"/>
        <v>0</v>
      </c>
      <c r="AD32" s="5"/>
      <c r="AE32" s="41">
        <f t="shared" si="72"/>
        <v>0</v>
      </c>
      <c r="AF32" s="41">
        <f t="shared" si="73"/>
        <v>0</v>
      </c>
      <c r="AG32" s="41">
        <f t="shared" si="74"/>
        <v>0</v>
      </c>
      <c r="AH32" s="41">
        <f t="shared" si="75"/>
        <v>0</v>
      </c>
      <c r="AI32" s="41">
        <f t="shared" si="76"/>
        <v>0</v>
      </c>
      <c r="AJ32" s="41">
        <f t="shared" si="77"/>
        <v>0</v>
      </c>
      <c r="AK32" s="10"/>
      <c r="AL32" s="10"/>
      <c r="AM32" s="7"/>
      <c r="AO32" s="138" t="str">
        <f t="shared" si="78"/>
        <v/>
      </c>
      <c r="AP32" s="42" t="str">
        <f t="shared" si="79"/>
        <v/>
      </c>
      <c r="AQ32" s="115">
        <f t="shared" si="80"/>
        <v>0</v>
      </c>
      <c r="AR32" s="9">
        <f t="shared" si="81"/>
        <v>7.2157498248072872E-3</v>
      </c>
      <c r="AS32" s="9">
        <f t="shared" si="82"/>
        <v>2899.5997369652409</v>
      </c>
    </row>
    <row r="33" spans="1:45" x14ac:dyDescent="0.25">
      <c r="A33" s="680"/>
      <c r="B33" s="240">
        <f>'Total - Detail'!B34</f>
        <v>15</v>
      </c>
      <c r="C33" s="100" t="str">
        <f>'Total - Detail'!C34</f>
        <v>Inspector</v>
      </c>
      <c r="D33" s="100" t="s">
        <v>235</v>
      </c>
      <c r="E33" s="100" t="s">
        <v>77</v>
      </c>
      <c r="F33" s="39">
        <v>656.69994042801557</v>
      </c>
      <c r="G33" s="39">
        <f t="shared" si="58"/>
        <v>0</v>
      </c>
      <c r="H33" s="40">
        <f t="shared" si="59"/>
        <v>656.69994042801557</v>
      </c>
      <c r="I33" s="43"/>
      <c r="J33" s="137"/>
      <c r="K33" s="41">
        <f>'Ordering Period 3'!K33+('Ordering Period 3'!K33*Escalation!$D$4)</f>
        <v>0</v>
      </c>
      <c r="L33" s="41">
        <f>L27</f>
        <v>0</v>
      </c>
      <c r="M33" s="41">
        <f t="shared" ref="M33:Q33" si="95">M27</f>
        <v>0</v>
      </c>
      <c r="N33" s="41">
        <f t="shared" si="95"/>
        <v>0</v>
      </c>
      <c r="O33" s="41">
        <f t="shared" si="95"/>
        <v>0</v>
      </c>
      <c r="P33" s="41">
        <f t="shared" si="95"/>
        <v>0</v>
      </c>
      <c r="Q33" s="41">
        <f t="shared" si="95"/>
        <v>0</v>
      </c>
      <c r="R33" s="41">
        <f t="shared" si="66"/>
        <v>0</v>
      </c>
      <c r="S33" s="41">
        <f t="shared" si="67"/>
        <v>0</v>
      </c>
      <c r="T33" s="41">
        <f t="shared" si="68"/>
        <v>0</v>
      </c>
      <c r="U33" s="41">
        <f t="shared" si="90"/>
        <v>0</v>
      </c>
      <c r="V33" s="41">
        <f t="shared" si="91"/>
        <v>0</v>
      </c>
      <c r="W33" s="115">
        <f t="shared" si="92"/>
        <v>0</v>
      </c>
      <c r="Y33" s="137"/>
      <c r="Z33" s="5">
        <f>'Ordering Period 3'!Z33+('Ordering Period 3'!Z33*Escalation!$D$4)</f>
        <v>0</v>
      </c>
      <c r="AA33" s="41">
        <f t="shared" si="69"/>
        <v>0</v>
      </c>
      <c r="AB33" s="5">
        <f t="shared" si="70"/>
        <v>0</v>
      </c>
      <c r="AC33" s="5">
        <f t="shared" si="71"/>
        <v>0</v>
      </c>
      <c r="AD33" s="5"/>
      <c r="AE33" s="41">
        <f t="shared" si="72"/>
        <v>0</v>
      </c>
      <c r="AF33" s="41">
        <f t="shared" si="73"/>
        <v>0</v>
      </c>
      <c r="AG33" s="41">
        <f t="shared" si="74"/>
        <v>0</v>
      </c>
      <c r="AH33" s="41">
        <f t="shared" si="75"/>
        <v>0</v>
      </c>
      <c r="AI33" s="41">
        <f t="shared" si="76"/>
        <v>0</v>
      </c>
      <c r="AJ33" s="41">
        <f t="shared" si="77"/>
        <v>0</v>
      </c>
      <c r="AK33" s="10"/>
      <c r="AL33" s="10"/>
      <c r="AM33" s="7"/>
      <c r="AO33" s="138" t="str">
        <f t="shared" si="78"/>
        <v/>
      </c>
      <c r="AP33" s="42" t="str">
        <f t="shared" si="79"/>
        <v/>
      </c>
      <c r="AQ33" s="115">
        <f t="shared" si="80"/>
        <v>0</v>
      </c>
      <c r="AR33" s="9">
        <f t="shared" si="81"/>
        <v>1.6342195164681147E-3</v>
      </c>
      <c r="AS33" s="9">
        <f t="shared" si="82"/>
        <v>656.69994042801545</v>
      </c>
    </row>
    <row r="34" spans="1:45" ht="15.75" thickBot="1" x14ac:dyDescent="0.3">
      <c r="A34" s="681"/>
      <c r="B34" s="242">
        <f>'Total - Detail'!B35</f>
        <v>11</v>
      </c>
      <c r="C34" s="127" t="str">
        <f>'Total - Detail'!C35</f>
        <v>Field Service Representative</v>
      </c>
      <c r="D34" s="127" t="s">
        <v>289</v>
      </c>
      <c r="E34" s="127" t="s">
        <v>77</v>
      </c>
      <c r="F34" s="128">
        <v>1449.7998684826207</v>
      </c>
      <c r="G34" s="128">
        <f t="shared" si="58"/>
        <v>0</v>
      </c>
      <c r="H34" s="129">
        <f t="shared" si="59"/>
        <v>1449.7998684826207</v>
      </c>
      <c r="I34" s="43"/>
      <c r="J34" s="146"/>
      <c r="K34" s="143">
        <f>'Ordering Period 3'!K34+('Ordering Period 3'!K34*Escalation!$D$4)</f>
        <v>0</v>
      </c>
      <c r="L34" s="143">
        <f>L23</f>
        <v>0</v>
      </c>
      <c r="M34" s="143">
        <f t="shared" ref="M34:Q34" si="96">M23</f>
        <v>0</v>
      </c>
      <c r="N34" s="143">
        <f t="shared" si="96"/>
        <v>0</v>
      </c>
      <c r="O34" s="143">
        <f t="shared" si="96"/>
        <v>0</v>
      </c>
      <c r="P34" s="143">
        <f t="shared" si="96"/>
        <v>0</v>
      </c>
      <c r="Q34" s="143">
        <f t="shared" si="96"/>
        <v>0</v>
      </c>
      <c r="R34" s="143">
        <f t="shared" si="66"/>
        <v>0</v>
      </c>
      <c r="S34" s="143">
        <f t="shared" si="67"/>
        <v>0</v>
      </c>
      <c r="T34" s="143">
        <f t="shared" si="68"/>
        <v>0</v>
      </c>
      <c r="U34" s="143">
        <f t="shared" si="90"/>
        <v>0</v>
      </c>
      <c r="V34" s="143">
        <f t="shared" si="91"/>
        <v>0</v>
      </c>
      <c r="W34" s="145">
        <f t="shared" si="92"/>
        <v>0</v>
      </c>
      <c r="Y34" s="146"/>
      <c r="Z34" s="144">
        <f>'Ordering Period 3'!Z34+('Ordering Period 3'!Z34*Escalation!$D$4)</f>
        <v>0</v>
      </c>
      <c r="AA34" s="143">
        <f t="shared" si="69"/>
        <v>0</v>
      </c>
      <c r="AB34" s="144">
        <f t="shared" si="70"/>
        <v>0</v>
      </c>
      <c r="AC34" s="144">
        <f t="shared" si="71"/>
        <v>0</v>
      </c>
      <c r="AD34" s="144"/>
      <c r="AE34" s="143">
        <f t="shared" si="72"/>
        <v>0</v>
      </c>
      <c r="AF34" s="143">
        <f t="shared" si="73"/>
        <v>0</v>
      </c>
      <c r="AG34" s="143">
        <f t="shared" si="74"/>
        <v>0</v>
      </c>
      <c r="AH34" s="143">
        <f t="shared" si="75"/>
        <v>0</v>
      </c>
      <c r="AI34" s="143">
        <f t="shared" si="76"/>
        <v>0</v>
      </c>
      <c r="AJ34" s="143">
        <f t="shared" si="77"/>
        <v>0</v>
      </c>
      <c r="AK34" s="260"/>
      <c r="AL34" s="260"/>
      <c r="AM34" s="147"/>
      <c r="AO34" s="148" t="str">
        <f t="shared" si="78"/>
        <v/>
      </c>
      <c r="AP34" s="149" t="str">
        <f t="shared" si="79"/>
        <v/>
      </c>
      <c r="AQ34" s="145">
        <f t="shared" si="80"/>
        <v>0</v>
      </c>
      <c r="AR34" s="9">
        <f t="shared" si="81"/>
        <v>3.6078749124036436E-3</v>
      </c>
      <c r="AS34" s="9">
        <f t="shared" si="82"/>
        <v>1449.7998684826205</v>
      </c>
    </row>
    <row r="35" spans="1:45" x14ac:dyDescent="0.25">
      <c r="A35" s="679" t="s">
        <v>208</v>
      </c>
      <c r="B35" s="241">
        <f>'Total - Detail'!B36</f>
        <v>11</v>
      </c>
      <c r="C35" s="101" t="str">
        <f>'Total - Detail'!C36</f>
        <v>Field Service Representative</v>
      </c>
      <c r="D35" s="101" t="s">
        <v>289</v>
      </c>
      <c r="E35" s="101" t="s">
        <v>77</v>
      </c>
      <c r="F35" s="35">
        <v>774.39992975095981</v>
      </c>
      <c r="G35" s="35">
        <f t="shared" si="58"/>
        <v>0</v>
      </c>
      <c r="H35" s="36">
        <f t="shared" si="59"/>
        <v>774.39992975095981</v>
      </c>
      <c r="I35" s="43"/>
      <c r="J35" s="109"/>
      <c r="K35" s="110">
        <f>'Ordering Period 3'!K35+('Ordering Period 3'!K35*Escalation!$D$4)</f>
        <v>0</v>
      </c>
      <c r="L35" s="110">
        <f>L23</f>
        <v>0</v>
      </c>
      <c r="M35" s="110">
        <f t="shared" ref="M35:Q35" si="97">M23</f>
        <v>0</v>
      </c>
      <c r="N35" s="110">
        <f t="shared" si="97"/>
        <v>0</v>
      </c>
      <c r="O35" s="110">
        <f t="shared" si="97"/>
        <v>0</v>
      </c>
      <c r="P35" s="110">
        <f t="shared" si="97"/>
        <v>0</v>
      </c>
      <c r="Q35" s="110">
        <f t="shared" si="97"/>
        <v>0</v>
      </c>
      <c r="R35" s="110">
        <f t="shared" si="66"/>
        <v>0</v>
      </c>
      <c r="S35" s="110">
        <f t="shared" si="67"/>
        <v>0</v>
      </c>
      <c r="T35" s="110">
        <f t="shared" si="68"/>
        <v>0</v>
      </c>
      <c r="U35" s="110">
        <f t="shared" si="90"/>
        <v>0</v>
      </c>
      <c r="V35" s="110">
        <f t="shared" si="91"/>
        <v>0</v>
      </c>
      <c r="W35" s="112">
        <f t="shared" si="92"/>
        <v>0</v>
      </c>
      <c r="Y35" s="109"/>
      <c r="Z35" s="111">
        <f>'Ordering Period 3'!Z35+('Ordering Period 3'!Z35*Escalation!$D$4)</f>
        <v>0</v>
      </c>
      <c r="AA35" s="110">
        <f t="shared" si="69"/>
        <v>0</v>
      </c>
      <c r="AB35" s="111">
        <f t="shared" si="70"/>
        <v>0</v>
      </c>
      <c r="AC35" s="111">
        <f t="shared" si="71"/>
        <v>0</v>
      </c>
      <c r="AD35" s="111"/>
      <c r="AE35" s="110">
        <f t="shared" si="72"/>
        <v>0</v>
      </c>
      <c r="AF35" s="110">
        <f t="shared" si="73"/>
        <v>0</v>
      </c>
      <c r="AG35" s="110">
        <f t="shared" si="74"/>
        <v>0</v>
      </c>
      <c r="AH35" s="110">
        <f t="shared" si="75"/>
        <v>0</v>
      </c>
      <c r="AI35" s="110">
        <f t="shared" si="76"/>
        <v>0</v>
      </c>
      <c r="AJ35" s="110">
        <f t="shared" si="77"/>
        <v>0</v>
      </c>
      <c r="AK35" s="259"/>
      <c r="AL35" s="259"/>
      <c r="AM35" s="114"/>
      <c r="AO35" s="124" t="str">
        <f t="shared" si="78"/>
        <v/>
      </c>
      <c r="AP35" s="113" t="str">
        <f t="shared" si="79"/>
        <v/>
      </c>
      <c r="AQ35" s="112">
        <f t="shared" si="80"/>
        <v>0</v>
      </c>
      <c r="AR35" s="9">
        <f t="shared" si="81"/>
        <v>1.9271198318149964E-3</v>
      </c>
      <c r="AS35" s="9">
        <f t="shared" si="82"/>
        <v>774.3999297509597</v>
      </c>
    </row>
    <row r="36" spans="1:45" x14ac:dyDescent="0.25">
      <c r="A36" s="680"/>
      <c r="B36" s="240">
        <f>'Total - Detail'!B37</f>
        <v>19</v>
      </c>
      <c r="C36" s="100" t="str">
        <f>'Total - Detail'!C37</f>
        <v>MWO Installer</v>
      </c>
      <c r="D36" s="100" t="s">
        <v>288</v>
      </c>
      <c r="E36" s="100" t="s">
        <v>77</v>
      </c>
      <c r="F36" s="39">
        <v>10084.799085165909</v>
      </c>
      <c r="G36" s="39">
        <f t="shared" si="58"/>
        <v>0</v>
      </c>
      <c r="H36" s="40">
        <f t="shared" si="59"/>
        <v>10084.799085165909</v>
      </c>
      <c r="I36" s="43"/>
      <c r="J36" s="137"/>
      <c r="K36" s="41">
        <f>'Ordering Period 3'!K36+('Ordering Period 3'!K36*Escalation!$D$4)</f>
        <v>0</v>
      </c>
      <c r="L36" s="5">
        <f t="shared" si="60"/>
        <v>0</v>
      </c>
      <c r="M36" s="5">
        <f t="shared" si="61"/>
        <v>0</v>
      </c>
      <c r="N36" s="5">
        <f t="shared" si="62"/>
        <v>0</v>
      </c>
      <c r="O36" s="5">
        <f t="shared" si="63"/>
        <v>0</v>
      </c>
      <c r="P36" s="5">
        <f t="shared" si="64"/>
        <v>0</v>
      </c>
      <c r="Q36" s="5">
        <f t="shared" si="65"/>
        <v>0</v>
      </c>
      <c r="R36" s="41">
        <f t="shared" si="66"/>
        <v>0</v>
      </c>
      <c r="S36" s="41">
        <f t="shared" si="67"/>
        <v>0</v>
      </c>
      <c r="T36" s="41">
        <f t="shared" si="68"/>
        <v>0</v>
      </c>
      <c r="U36" s="41">
        <f t="shared" si="90"/>
        <v>0</v>
      </c>
      <c r="V36" s="41">
        <f t="shared" si="91"/>
        <v>0</v>
      </c>
      <c r="W36" s="115">
        <f t="shared" si="92"/>
        <v>0</v>
      </c>
      <c r="Y36" s="137"/>
      <c r="Z36" s="5">
        <f>'Ordering Period 3'!Z36+('Ordering Period 3'!Z36*Escalation!$D$4)</f>
        <v>0</v>
      </c>
      <c r="AA36" s="41">
        <f t="shared" si="69"/>
        <v>0</v>
      </c>
      <c r="AB36" s="5">
        <f t="shared" si="70"/>
        <v>0</v>
      </c>
      <c r="AC36" s="5">
        <f t="shared" si="71"/>
        <v>0</v>
      </c>
      <c r="AD36" s="5"/>
      <c r="AE36" s="41">
        <f t="shared" si="72"/>
        <v>0</v>
      </c>
      <c r="AF36" s="41">
        <f t="shared" si="73"/>
        <v>0</v>
      </c>
      <c r="AG36" s="41">
        <f t="shared" si="74"/>
        <v>0</v>
      </c>
      <c r="AH36" s="41">
        <f t="shared" si="75"/>
        <v>0</v>
      </c>
      <c r="AI36" s="41">
        <f t="shared" si="76"/>
        <v>0</v>
      </c>
      <c r="AJ36" s="41">
        <f t="shared" si="77"/>
        <v>0</v>
      </c>
      <c r="AK36" s="10"/>
      <c r="AL36" s="10"/>
      <c r="AM36" s="7"/>
      <c r="AO36" s="138" t="str">
        <f t="shared" si="78"/>
        <v/>
      </c>
      <c r="AP36" s="42" t="str">
        <f t="shared" si="79"/>
        <v/>
      </c>
      <c r="AQ36" s="115">
        <f t="shared" si="80"/>
        <v>0</v>
      </c>
      <c r="AR36" s="9">
        <f t="shared" si="81"/>
        <v>2.5096355991590751E-2</v>
      </c>
      <c r="AS36" s="9">
        <f t="shared" si="82"/>
        <v>10084.799085165909</v>
      </c>
    </row>
    <row r="37" spans="1:45" x14ac:dyDescent="0.25">
      <c r="A37" s="680"/>
      <c r="B37" s="240">
        <f>'Total - Detail'!B38</f>
        <v>15</v>
      </c>
      <c r="C37" s="100" t="str">
        <f>'Total - Detail'!C38</f>
        <v>Inspector</v>
      </c>
      <c r="D37" s="100" t="s">
        <v>235</v>
      </c>
      <c r="E37" s="100" t="s">
        <v>77</v>
      </c>
      <c r="F37" s="39">
        <v>2617.999762510347</v>
      </c>
      <c r="G37" s="39">
        <f t="shared" si="58"/>
        <v>0</v>
      </c>
      <c r="H37" s="40">
        <f t="shared" si="59"/>
        <v>2617.999762510347</v>
      </c>
      <c r="I37" s="43"/>
      <c r="J37" s="137"/>
      <c r="K37" s="41">
        <f>'Ordering Period 3'!K37+('Ordering Period 3'!K37*Escalation!$D$4)</f>
        <v>0</v>
      </c>
      <c r="L37" s="41">
        <f>L27</f>
        <v>0</v>
      </c>
      <c r="M37" s="41">
        <f t="shared" ref="M37:Q37" si="98">M27</f>
        <v>0</v>
      </c>
      <c r="N37" s="41">
        <f t="shared" si="98"/>
        <v>0</v>
      </c>
      <c r="O37" s="41">
        <f t="shared" si="98"/>
        <v>0</v>
      </c>
      <c r="P37" s="41">
        <f t="shared" si="98"/>
        <v>0</v>
      </c>
      <c r="Q37" s="41">
        <f t="shared" si="98"/>
        <v>0</v>
      </c>
      <c r="R37" s="41">
        <f t="shared" si="66"/>
        <v>0</v>
      </c>
      <c r="S37" s="41">
        <f t="shared" si="67"/>
        <v>0</v>
      </c>
      <c r="T37" s="41">
        <f t="shared" si="68"/>
        <v>0</v>
      </c>
      <c r="U37" s="41">
        <f t="shared" si="90"/>
        <v>0</v>
      </c>
      <c r="V37" s="41">
        <f t="shared" si="91"/>
        <v>0</v>
      </c>
      <c r="W37" s="115">
        <f t="shared" si="92"/>
        <v>0</v>
      </c>
      <c r="Y37" s="137"/>
      <c r="Z37" s="5">
        <f>'Ordering Period 3'!Z37+('Ordering Period 3'!Z37*Escalation!$D$4)</f>
        <v>0</v>
      </c>
      <c r="AA37" s="41">
        <f t="shared" si="69"/>
        <v>0</v>
      </c>
      <c r="AB37" s="5">
        <f t="shared" si="70"/>
        <v>0</v>
      </c>
      <c r="AC37" s="5">
        <f t="shared" si="71"/>
        <v>0</v>
      </c>
      <c r="AD37" s="5"/>
      <c r="AE37" s="41">
        <f t="shared" si="72"/>
        <v>0</v>
      </c>
      <c r="AF37" s="41">
        <f t="shared" si="73"/>
        <v>0</v>
      </c>
      <c r="AG37" s="41">
        <f t="shared" si="74"/>
        <v>0</v>
      </c>
      <c r="AH37" s="41">
        <f t="shared" si="75"/>
        <v>0</v>
      </c>
      <c r="AI37" s="41">
        <f t="shared" si="76"/>
        <v>0</v>
      </c>
      <c r="AJ37" s="41">
        <f t="shared" si="77"/>
        <v>0</v>
      </c>
      <c r="AK37" s="10"/>
      <c r="AL37" s="10"/>
      <c r="AM37" s="7"/>
      <c r="AO37" s="138" t="str">
        <f t="shared" si="78"/>
        <v/>
      </c>
      <c r="AP37" s="42" t="str">
        <f t="shared" si="79"/>
        <v/>
      </c>
      <c r="AQ37" s="115">
        <f t="shared" si="80"/>
        <v>0</v>
      </c>
      <c r="AR37" s="9">
        <f t="shared" si="81"/>
        <v>6.5149789768745615E-3</v>
      </c>
      <c r="AS37" s="9">
        <f t="shared" si="82"/>
        <v>2617.9997625103465</v>
      </c>
    </row>
    <row r="38" spans="1:45" ht="15.75" thickBot="1" x14ac:dyDescent="0.3">
      <c r="A38" s="681"/>
      <c r="B38" s="242">
        <f>'Total - Detail'!B39</f>
        <v>17</v>
      </c>
      <c r="C38" s="127" t="str">
        <f>'Total - Detail'!C39</f>
        <v>Welder</v>
      </c>
      <c r="D38" s="127" t="s">
        <v>239</v>
      </c>
      <c r="E38" s="127" t="s">
        <v>77</v>
      </c>
      <c r="F38" s="128">
        <v>2014.0998172926238</v>
      </c>
      <c r="G38" s="128">
        <f t="shared" si="58"/>
        <v>0</v>
      </c>
      <c r="H38" s="129">
        <f t="shared" si="59"/>
        <v>2014.0998172926238</v>
      </c>
      <c r="I38" s="43"/>
      <c r="J38" s="146"/>
      <c r="K38" s="143">
        <f>'Ordering Period 3'!K38+('Ordering Period 3'!K38*Escalation!$D$4)</f>
        <v>0</v>
      </c>
      <c r="L38" s="143">
        <f>L29</f>
        <v>0</v>
      </c>
      <c r="M38" s="143">
        <f t="shared" ref="M38:Q38" si="99">M29</f>
        <v>0</v>
      </c>
      <c r="N38" s="143">
        <f t="shared" si="99"/>
        <v>0</v>
      </c>
      <c r="O38" s="143">
        <f t="shared" si="99"/>
        <v>0</v>
      </c>
      <c r="P38" s="143">
        <f t="shared" si="99"/>
        <v>0</v>
      </c>
      <c r="Q38" s="143">
        <f t="shared" si="99"/>
        <v>0</v>
      </c>
      <c r="R38" s="143">
        <f t="shared" si="66"/>
        <v>0</v>
      </c>
      <c r="S38" s="143">
        <f t="shared" si="67"/>
        <v>0</v>
      </c>
      <c r="T38" s="143">
        <f t="shared" si="68"/>
        <v>0</v>
      </c>
      <c r="U38" s="143">
        <f t="shared" si="90"/>
        <v>0</v>
      </c>
      <c r="V38" s="143">
        <f t="shared" si="91"/>
        <v>0</v>
      </c>
      <c r="W38" s="145">
        <f t="shared" si="92"/>
        <v>0</v>
      </c>
      <c r="Y38" s="146"/>
      <c r="Z38" s="144">
        <f>'Ordering Period 3'!Z38+('Ordering Period 3'!Z38*Escalation!$D$4)</f>
        <v>0</v>
      </c>
      <c r="AA38" s="143">
        <f t="shared" si="69"/>
        <v>0</v>
      </c>
      <c r="AB38" s="144">
        <f t="shared" si="70"/>
        <v>0</v>
      </c>
      <c r="AC38" s="144">
        <f t="shared" si="71"/>
        <v>0</v>
      </c>
      <c r="AD38" s="144"/>
      <c r="AE38" s="143">
        <f t="shared" si="72"/>
        <v>0</v>
      </c>
      <c r="AF38" s="143">
        <f t="shared" si="73"/>
        <v>0</v>
      </c>
      <c r="AG38" s="143">
        <f t="shared" si="74"/>
        <v>0</v>
      </c>
      <c r="AH38" s="143">
        <f t="shared" si="75"/>
        <v>0</v>
      </c>
      <c r="AI38" s="143">
        <f t="shared" si="76"/>
        <v>0</v>
      </c>
      <c r="AJ38" s="143">
        <f t="shared" si="77"/>
        <v>0</v>
      </c>
      <c r="AK38" s="260"/>
      <c r="AL38" s="260"/>
      <c r="AM38" s="147"/>
      <c r="AO38" s="148" t="str">
        <f t="shared" si="78"/>
        <v/>
      </c>
      <c r="AP38" s="149" t="str">
        <f t="shared" si="79"/>
        <v/>
      </c>
      <c r="AQ38" s="145">
        <f t="shared" si="80"/>
        <v>0</v>
      </c>
      <c r="AR38" s="9">
        <f t="shared" si="81"/>
        <v>5.0121539943938321E-3</v>
      </c>
      <c r="AS38" s="9">
        <f t="shared" si="82"/>
        <v>2014.0998172926236</v>
      </c>
    </row>
    <row r="39" spans="1:45" s="15" customFormat="1" ht="15.75" x14ac:dyDescent="0.25">
      <c r="A39" s="20"/>
      <c r="B39" s="20"/>
      <c r="C39" s="44"/>
      <c r="D39" s="44"/>
      <c r="E39" s="179" t="s">
        <v>119</v>
      </c>
      <c r="F39" s="180">
        <f>SUM(F5:F21)</f>
        <v>352457.56802710734</v>
      </c>
      <c r="G39" s="180">
        <f>SUM(G5:G21)</f>
        <v>0</v>
      </c>
      <c r="H39" s="181">
        <f>F39-G39</f>
        <v>352457.56802710734</v>
      </c>
      <c r="I39" s="43"/>
      <c r="J39" s="43"/>
      <c r="K39" s="45"/>
      <c r="L39" s="45"/>
      <c r="M39" s="45"/>
      <c r="N39" s="45"/>
      <c r="O39" s="45"/>
      <c r="P39" s="45"/>
      <c r="Q39" s="45"/>
      <c r="W39" s="45"/>
      <c r="Y39" s="43"/>
      <c r="Z39" s="45"/>
      <c r="AA39" s="45"/>
      <c r="AB39" s="45"/>
      <c r="AC39" s="45"/>
      <c r="AD39" s="45"/>
      <c r="AE39" s="45"/>
      <c r="AF39" s="45"/>
      <c r="AG39" s="45"/>
      <c r="AH39" s="46"/>
      <c r="AI39" s="46"/>
      <c r="AJ39" s="46"/>
      <c r="AK39" s="17"/>
      <c r="AL39" s="17"/>
      <c r="AM39" s="17"/>
      <c r="AO39" s="45"/>
      <c r="AP39" s="46"/>
      <c r="AQ39" s="45"/>
    </row>
    <row r="40" spans="1:45" s="15" customFormat="1" ht="16.5" thickBot="1" x14ac:dyDescent="0.3">
      <c r="A40" s="20"/>
      <c r="B40" s="20"/>
      <c r="C40" s="44"/>
      <c r="D40" s="44"/>
      <c r="E40" s="243" t="s">
        <v>120</v>
      </c>
      <c r="F40" s="244">
        <f>SUM(F23:F38)</f>
        <v>49385.595520027113</v>
      </c>
      <c r="G40" s="244">
        <f>SUM(G23:G38)</f>
        <v>0</v>
      </c>
      <c r="H40" s="245">
        <f>F40-G40</f>
        <v>49385.595520027113</v>
      </c>
      <c r="I40" s="43"/>
      <c r="J40" s="43"/>
      <c r="K40" s="45"/>
      <c r="L40" s="45"/>
      <c r="M40" s="45"/>
      <c r="N40" s="45"/>
      <c r="O40" s="45"/>
      <c r="P40" s="45"/>
      <c r="Q40" s="45"/>
      <c r="U40" s="204"/>
      <c r="V40" s="204"/>
      <c r="W40" s="204"/>
      <c r="Y40" s="43"/>
      <c r="Z40" s="45"/>
      <c r="AA40" s="45"/>
      <c r="AB40" s="45"/>
      <c r="AC40" s="45"/>
      <c r="AD40" s="45"/>
      <c r="AE40" s="45"/>
      <c r="AF40" s="45"/>
      <c r="AG40" s="45"/>
      <c r="AH40" s="46"/>
      <c r="AI40" s="46"/>
      <c r="AJ40" s="46"/>
      <c r="AK40" s="17"/>
      <c r="AL40" s="17"/>
      <c r="AM40" s="17"/>
      <c r="AO40" s="45"/>
      <c r="AP40" s="46"/>
      <c r="AQ40" s="45"/>
    </row>
    <row r="41" spans="1:45" s="15" customFormat="1" ht="16.5" thickBot="1" x14ac:dyDescent="0.3">
      <c r="A41" s="20"/>
      <c r="B41" s="20"/>
      <c r="C41" s="44"/>
      <c r="D41" s="44"/>
      <c r="E41" s="246" t="s">
        <v>121</v>
      </c>
      <c r="F41" s="247">
        <f>F39+F40</f>
        <v>401843.16354713443</v>
      </c>
      <c r="G41" s="247">
        <f>G39+G40</f>
        <v>0</v>
      </c>
      <c r="H41" s="248">
        <f>F41-G41</f>
        <v>401843.16354713443</v>
      </c>
      <c r="I41" s="43"/>
      <c r="J41" s="43"/>
      <c r="K41" s="45"/>
      <c r="L41" s="45"/>
      <c r="M41" s="45"/>
      <c r="N41" s="45"/>
      <c r="O41" s="45"/>
      <c r="P41" s="45"/>
      <c r="Q41" s="45"/>
      <c r="W41" s="45"/>
      <c r="Y41" s="43"/>
      <c r="Z41" s="45"/>
      <c r="AA41" s="45"/>
      <c r="AB41" s="45"/>
      <c r="AC41" s="45"/>
      <c r="AD41" s="45"/>
      <c r="AE41" s="45"/>
      <c r="AF41" s="45"/>
      <c r="AG41" s="45"/>
      <c r="AH41" s="46"/>
      <c r="AI41" s="46"/>
      <c r="AJ41" s="46"/>
      <c r="AK41" s="17"/>
      <c r="AL41" s="17"/>
      <c r="AM41" s="17"/>
      <c r="AO41" s="45"/>
      <c r="AP41" s="46"/>
      <c r="AQ41" s="45"/>
    </row>
    <row r="42" spans="1:45" x14ac:dyDescent="0.25">
      <c r="F42" s="9"/>
      <c r="G42" s="9"/>
      <c r="H42" s="9"/>
      <c r="T42" s="130"/>
      <c r="U42" s="131"/>
      <c r="V42" s="131"/>
      <c r="AH42" s="130"/>
      <c r="AI42" s="131"/>
      <c r="AJ42" s="131"/>
    </row>
    <row r="43" spans="1:45" ht="15.75" thickBot="1" x14ac:dyDescent="0.3">
      <c r="K43" s="157"/>
      <c r="T43" s="130"/>
      <c r="W43" s="64"/>
      <c r="AH43" s="130"/>
      <c r="AI43" s="132"/>
      <c r="AJ43" s="130"/>
    </row>
    <row r="44" spans="1:45" x14ac:dyDescent="0.25">
      <c r="C44" s="50" t="s">
        <v>142</v>
      </c>
      <c r="D44" s="237"/>
      <c r="E44" s="382" t="s">
        <v>143</v>
      </c>
      <c r="F44" s="385" t="s">
        <v>144</v>
      </c>
      <c r="H44" s="48"/>
      <c r="J44" s="49"/>
      <c r="K44" s="155"/>
      <c r="N44" s="45"/>
      <c r="O44" s="45"/>
      <c r="P44" s="45"/>
      <c r="Q44" s="45"/>
      <c r="V44" s="9"/>
      <c r="W44" s="64"/>
      <c r="AK44" s="51"/>
    </row>
    <row r="45" spans="1:45" x14ac:dyDescent="0.25">
      <c r="C45" s="52" t="s">
        <v>125</v>
      </c>
      <c r="D45" s="11"/>
      <c r="E45" s="53"/>
      <c r="F45" s="75"/>
      <c r="G45" s="156"/>
      <c r="H45" s="48"/>
      <c r="J45" s="49"/>
      <c r="K45" s="158"/>
      <c r="N45" s="45"/>
      <c r="O45" s="45"/>
      <c r="P45" s="45"/>
      <c r="Q45" s="45"/>
      <c r="V45" s="64"/>
      <c r="W45" s="64"/>
      <c r="AK45" s="11"/>
      <c r="AM45" s="9"/>
    </row>
    <row r="46" spans="1:45" x14ac:dyDescent="0.25">
      <c r="C46" s="54" t="s">
        <v>126</v>
      </c>
      <c r="D46" s="11"/>
      <c r="E46" s="53">
        <f>SUM(J5:J38)</f>
        <v>0</v>
      </c>
      <c r="F46" s="76">
        <f>SUM(W5:W38)</f>
        <v>0</v>
      </c>
      <c r="G46" s="156"/>
      <c r="H46" s="49"/>
      <c r="J46" s="176"/>
      <c r="K46" s="158"/>
      <c r="V46" s="9"/>
      <c r="W46" s="64"/>
      <c r="AK46" s="11"/>
      <c r="AM46" s="9"/>
    </row>
    <row r="47" spans="1:45" x14ac:dyDescent="0.25">
      <c r="C47" s="52" t="s">
        <v>127</v>
      </c>
      <c r="D47" s="11"/>
      <c r="E47" s="53"/>
      <c r="F47" s="75"/>
      <c r="G47" s="156"/>
      <c r="J47" s="176"/>
      <c r="V47" s="9"/>
      <c r="W47" s="64"/>
      <c r="AK47" s="11"/>
      <c r="AM47" s="9"/>
    </row>
    <row r="48" spans="1:45" x14ac:dyDescent="0.25">
      <c r="C48" s="54" t="s">
        <v>126</v>
      </c>
      <c r="D48" s="11"/>
      <c r="E48" s="53">
        <f>SUM(Y5:Y38)</f>
        <v>0</v>
      </c>
      <c r="F48" s="76">
        <f>SUM(AJ5:AJ38)</f>
        <v>0</v>
      </c>
      <c r="J48" s="48"/>
      <c r="V48" s="9"/>
      <c r="W48" s="64"/>
      <c r="AK48" s="11"/>
      <c r="AM48" s="9"/>
    </row>
    <row r="49" spans="1:40" x14ac:dyDescent="0.25">
      <c r="C49" s="54"/>
      <c r="D49" s="11"/>
      <c r="E49" s="53"/>
      <c r="F49" s="76"/>
      <c r="H49" s="48"/>
      <c r="J49" s="48"/>
      <c r="V49" s="9"/>
      <c r="W49" s="64"/>
      <c r="AK49" s="11"/>
      <c r="AM49" s="9"/>
    </row>
    <row r="50" spans="1:40" ht="15.75" thickBot="1" x14ac:dyDescent="0.3">
      <c r="C50" s="55" t="s">
        <v>128</v>
      </c>
      <c r="D50" s="238"/>
      <c r="E50" s="56">
        <f>SUM(E46:E49)</f>
        <v>0</v>
      </c>
      <c r="F50" s="78">
        <f>SUM(F46:F49)</f>
        <v>0</v>
      </c>
      <c r="H50" s="48"/>
      <c r="J50" s="48"/>
      <c r="T50" s="12"/>
      <c r="V50" s="9"/>
      <c r="W50" s="64"/>
      <c r="AK50" s="11"/>
      <c r="AM50" s="9"/>
    </row>
    <row r="51" spans="1:40" ht="15.75" thickBot="1" x14ac:dyDescent="0.3">
      <c r="C51" s="47"/>
      <c r="D51" s="80"/>
      <c r="H51" s="48"/>
      <c r="J51" s="49"/>
      <c r="T51" s="12"/>
      <c r="V51" s="9"/>
      <c r="W51" s="64"/>
      <c r="AK51" s="11"/>
      <c r="AM51" s="9"/>
    </row>
    <row r="52" spans="1:40" x14ac:dyDescent="0.25">
      <c r="C52" s="50" t="s">
        <v>242</v>
      </c>
      <c r="D52" s="384" t="s">
        <v>171</v>
      </c>
      <c r="E52" s="382" t="s">
        <v>169</v>
      </c>
      <c r="F52" s="383" t="s">
        <v>99</v>
      </c>
      <c r="G52" s="205"/>
      <c r="H52" s="447"/>
      <c r="J52" s="12"/>
      <c r="T52" s="12"/>
      <c r="V52" s="9"/>
      <c r="W52" s="64"/>
      <c r="AK52" s="11"/>
      <c r="AM52" s="9"/>
    </row>
    <row r="53" spans="1:40" x14ac:dyDescent="0.25">
      <c r="C53" s="54" t="s">
        <v>167</v>
      </c>
      <c r="D53" s="301">
        <v>3250412.8006196138</v>
      </c>
      <c r="E53" s="506"/>
      <c r="F53" s="302">
        <f>IF(E53&lt;0,"ERROR",D53-(D53*E53))</f>
        <v>3250412.8006196138</v>
      </c>
      <c r="G53" s="12"/>
      <c r="H53" s="446"/>
      <c r="J53" s="49"/>
      <c r="T53" s="12"/>
      <c r="V53" s="9"/>
      <c r="W53" s="64"/>
      <c r="AK53" s="11"/>
      <c r="AM53" s="9"/>
    </row>
    <row r="54" spans="1:40" x14ac:dyDescent="0.25">
      <c r="C54" s="54" t="s">
        <v>168</v>
      </c>
      <c r="D54" s="301">
        <v>1902680.6637773348</v>
      </c>
      <c r="E54" s="506"/>
      <c r="F54" s="302">
        <f>IF(E54&lt;0,"ERROR",D54-(D54*E54))</f>
        <v>1902680.6637773348</v>
      </c>
      <c r="H54" s="48"/>
      <c r="J54" s="49"/>
      <c r="T54" s="12"/>
      <c r="V54" s="9"/>
      <c r="W54" s="64"/>
      <c r="AK54" s="11"/>
      <c r="AM54" s="9"/>
    </row>
    <row r="55" spans="1:40" ht="17.25" x14ac:dyDescent="0.4">
      <c r="C55" s="300" t="s">
        <v>243</v>
      </c>
      <c r="D55" s="305">
        <v>2774742.6346752802</v>
      </c>
      <c r="E55" s="57"/>
      <c r="F55" s="303">
        <f>D55</f>
        <v>2774742.6346752802</v>
      </c>
      <c r="H55" s="48"/>
      <c r="J55" s="49"/>
      <c r="T55" s="12"/>
      <c r="V55" s="9"/>
      <c r="W55" s="9"/>
      <c r="AK55" s="11"/>
      <c r="AM55" s="9"/>
    </row>
    <row r="56" spans="1:40" x14ac:dyDescent="0.25">
      <c r="C56" s="300" t="s">
        <v>244</v>
      </c>
      <c r="D56" s="51">
        <f>SUM(D53:D55)</f>
        <v>7927836.0990722291</v>
      </c>
      <c r="E56" s="57"/>
      <c r="F56" s="304">
        <f>ROUND(SUM(F53:F55),2)</f>
        <v>7927836.0999999996</v>
      </c>
      <c r="G56" s="156"/>
      <c r="H56" s="48"/>
      <c r="J56" s="49"/>
      <c r="T56" s="12"/>
      <c r="V56" s="9"/>
      <c r="W56" s="9"/>
      <c r="AK56" s="11"/>
      <c r="AM56" s="9"/>
    </row>
    <row r="57" spans="1:40" x14ac:dyDescent="0.25">
      <c r="A57" s="58"/>
      <c r="B57" s="11"/>
      <c r="C57" s="300"/>
      <c r="D57" s="51"/>
      <c r="E57" s="386" t="s">
        <v>170</v>
      </c>
      <c r="F57" s="304"/>
      <c r="G57" s="156"/>
      <c r="H57" s="48"/>
      <c r="J57" s="49"/>
      <c r="T57" s="12"/>
      <c r="V57" s="9"/>
      <c r="W57" s="9"/>
      <c r="AK57" s="11"/>
      <c r="AM57" s="9"/>
    </row>
    <row r="58" spans="1:40" ht="17.25" x14ac:dyDescent="0.4">
      <c r="C58" s="300" t="s">
        <v>246</v>
      </c>
      <c r="D58" s="51"/>
      <c r="E58" s="506"/>
      <c r="F58" s="303">
        <f>F56*E58</f>
        <v>0</v>
      </c>
    </row>
    <row r="59" spans="1:40" x14ac:dyDescent="0.25">
      <c r="C59" s="300"/>
      <c r="D59" s="51"/>
      <c r="E59" s="57"/>
      <c r="F59" s="304"/>
    </row>
    <row r="60" spans="1:40" ht="15.75" thickBot="1" x14ac:dyDescent="0.3">
      <c r="C60" s="55" t="s">
        <v>263</v>
      </c>
      <c r="D60" s="567"/>
      <c r="E60" s="568"/>
      <c r="F60" s="569">
        <f>F56+F58</f>
        <v>7927836.0999999996</v>
      </c>
    </row>
    <row r="61" spans="1:40" ht="15.75" thickBot="1" x14ac:dyDescent="0.3">
      <c r="C61" s="47"/>
      <c r="D61" s="80"/>
    </row>
    <row r="62" spans="1:40" x14ac:dyDescent="0.25">
      <c r="B62" s="234"/>
      <c r="C62" s="50" t="s">
        <v>245</v>
      </c>
      <c r="D62" s="237"/>
      <c r="E62" s="565"/>
      <c r="F62" s="570"/>
      <c r="G62" s="278"/>
      <c r="J62" s="48"/>
      <c r="U62" s="49"/>
      <c r="W62" s="12"/>
      <c r="X62" s="49"/>
      <c r="Y62" s="49"/>
      <c r="AL62" s="9"/>
      <c r="AM62" s="9"/>
    </row>
    <row r="63" spans="1:40" x14ac:dyDescent="0.25">
      <c r="C63" s="300" t="s">
        <v>245</v>
      </c>
      <c r="D63" s="51">
        <v>1906762.9907349111</v>
      </c>
      <c r="E63" s="11"/>
      <c r="F63" s="306">
        <f>D63</f>
        <v>1906762.9907349111</v>
      </c>
      <c r="K63" s="47"/>
      <c r="L63" s="47"/>
      <c r="M63" s="47"/>
      <c r="U63" s="49"/>
      <c r="W63" s="12"/>
      <c r="X63" s="49"/>
      <c r="Y63" s="49"/>
      <c r="AL63" s="9"/>
      <c r="AM63" s="9"/>
      <c r="AN63" s="11"/>
    </row>
    <row r="64" spans="1:40" x14ac:dyDescent="0.25">
      <c r="C64" s="54"/>
      <c r="D64" s="11"/>
      <c r="E64" s="386" t="s">
        <v>170</v>
      </c>
      <c r="F64" s="77"/>
      <c r="H64" s="48"/>
      <c r="J64" s="49"/>
      <c r="U64" s="49"/>
      <c r="V64" s="12"/>
      <c r="W64" s="12"/>
      <c r="AL64" s="9"/>
      <c r="AN64" s="11"/>
    </row>
    <row r="65" spans="3:6" ht="17.25" x14ac:dyDescent="0.4">
      <c r="C65" s="54" t="s">
        <v>248</v>
      </c>
      <c r="D65" s="11"/>
      <c r="E65" s="506"/>
      <c r="F65" s="571">
        <f>F63*E65</f>
        <v>0</v>
      </c>
    </row>
    <row r="66" spans="3:6" x14ac:dyDescent="0.25">
      <c r="C66" s="54"/>
      <c r="D66" s="11"/>
      <c r="E66" s="57"/>
      <c r="F66" s="76"/>
    </row>
    <row r="67" spans="3:6" ht="15.75" thickBot="1" x14ac:dyDescent="0.3">
      <c r="C67" s="55" t="s">
        <v>264</v>
      </c>
      <c r="D67" s="238"/>
      <c r="E67" s="56"/>
      <c r="F67" s="78">
        <f>F63+F65</f>
        <v>1906762.9907349111</v>
      </c>
    </row>
    <row r="69" spans="3:6" ht="15.75" thickBot="1" x14ac:dyDescent="0.3"/>
    <row r="70" spans="3:6" ht="15.75" thickBot="1" x14ac:dyDescent="0.3">
      <c r="C70" s="59" t="s">
        <v>129</v>
      </c>
      <c r="D70" s="162"/>
      <c r="E70" s="162"/>
      <c r="F70" s="81">
        <f>F50+F60+F67</f>
        <v>9834599.0907349102</v>
      </c>
    </row>
  </sheetData>
  <mergeCells count="14">
    <mergeCell ref="A35:A38"/>
    <mergeCell ref="AO3:AQ3"/>
    <mergeCell ref="A1:AQ1"/>
    <mergeCell ref="A2:H2"/>
    <mergeCell ref="J2:W2"/>
    <mergeCell ref="Y2:AM2"/>
    <mergeCell ref="AO2:AQ2"/>
    <mergeCell ref="A8:A12"/>
    <mergeCell ref="A14:A17"/>
    <mergeCell ref="A18:A21"/>
    <mergeCell ref="A25:A29"/>
    <mergeCell ref="A31:A34"/>
    <mergeCell ref="A6:A7"/>
    <mergeCell ref="A23:A24"/>
  </mergeCells>
  <phoneticPr fontId="21" type="noConversion"/>
  <conditionalFormatting sqref="F53:F54">
    <cfRule type="containsText" dxfId="10" priority="1" operator="containsText" text="ERROR">
      <formula>NOT(ISERROR(SEARCH("ERROR",F53)))</formula>
    </cfRule>
  </conditionalFormatting>
  <conditionalFormatting sqref="H5:H21 H23:H41">
    <cfRule type="cellIs" dxfId="9" priority="5" operator="lessThan">
      <formula>0</formula>
    </cfRule>
    <cfRule type="cellIs" dxfId="8" priority="6" operator="greaterThan">
      <formula>0</formula>
    </cfRule>
    <cfRule type="cellIs" dxfId="7" priority="7" operator="equal">
      <formula>0</formula>
    </cfRule>
  </conditionalFormatting>
  <pageMargins left="0.7" right="0.7" top="0.75" bottom="0.75" header="0.3" footer="0.3"/>
  <pageSetup orientation="portrait" verticalDpi="597"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1D700-9434-47C0-B224-498018C74C43}">
  <dimension ref="A1:AV70"/>
  <sheetViews>
    <sheetView showGridLines="0" zoomScaleNormal="100" workbookViewId="0">
      <pane ySplit="4" topLeftCell="A16" activePane="bottomLeft" state="frozen"/>
      <selection activeCell="D23" sqref="D23"/>
      <selection pane="bottomLeft" activeCell="K34" sqref="K34"/>
    </sheetView>
  </sheetViews>
  <sheetFormatPr defaultColWidth="9.140625" defaultRowHeight="15" x14ac:dyDescent="0.25"/>
  <cols>
    <col min="1" max="1" width="41.28515625" style="9" bestFit="1" customWidth="1"/>
    <col min="2" max="2" width="4" style="9" bestFit="1" customWidth="1"/>
    <col min="3" max="3" width="36.42578125" style="9" bestFit="1" customWidth="1"/>
    <col min="4" max="4" width="16.7109375" style="9" customWidth="1"/>
    <col min="5" max="5" width="17.7109375" style="9" customWidth="1"/>
    <col min="6" max="8" width="16.7109375" style="47" customWidth="1"/>
    <col min="9" max="9" width="1.7109375" style="48" customWidth="1"/>
    <col min="10" max="10" width="14.7109375" style="47" customWidth="1"/>
    <col min="11" max="20" width="14.7109375" style="49" customWidth="1"/>
    <col min="21" max="21" width="23.7109375" style="12" customWidth="1"/>
    <col min="22" max="23" width="23.7109375" style="49" customWidth="1"/>
    <col min="24" max="24" width="1.7109375" style="9" customWidth="1"/>
    <col min="25" max="33" width="14.7109375" style="9" customWidth="1"/>
    <col min="34" max="36" width="23.7109375" style="9" customWidth="1"/>
    <col min="37" max="37" width="36.7109375" style="9" customWidth="1"/>
    <col min="38" max="38" width="12.7109375" style="11" customWidth="1"/>
    <col min="39" max="39" width="24.7109375" style="11" customWidth="1"/>
    <col min="40" max="40" width="1.7109375" style="9" customWidth="1"/>
    <col min="41" max="43" width="16.7109375" style="9" customWidth="1"/>
    <col min="44" max="16384" width="9.140625" style="9"/>
  </cols>
  <sheetData>
    <row r="1" spans="1:48" s="15" customFormat="1" ht="34.5" thickBot="1" x14ac:dyDescent="0.55000000000000004">
      <c r="A1" s="696" t="s">
        <v>145</v>
      </c>
      <c r="B1" s="697"/>
      <c r="C1" s="698"/>
      <c r="D1" s="698"/>
      <c r="E1" s="698"/>
      <c r="F1" s="698"/>
      <c r="G1" s="698"/>
      <c r="H1" s="698"/>
      <c r="I1" s="698"/>
      <c r="J1" s="698"/>
      <c r="K1" s="698"/>
      <c r="L1" s="698"/>
      <c r="M1" s="698"/>
      <c r="N1" s="698"/>
      <c r="O1" s="698"/>
      <c r="P1" s="698"/>
      <c r="Q1" s="698"/>
      <c r="R1" s="698"/>
      <c r="S1" s="698"/>
      <c r="T1" s="698"/>
      <c r="U1" s="698"/>
      <c r="V1" s="698"/>
      <c r="W1" s="698"/>
      <c r="X1" s="698"/>
      <c r="Y1" s="698"/>
      <c r="Z1" s="698"/>
      <c r="AA1" s="698"/>
      <c r="AB1" s="698"/>
      <c r="AC1" s="698"/>
      <c r="AD1" s="698"/>
      <c r="AE1" s="698"/>
      <c r="AF1" s="698"/>
      <c r="AG1" s="698"/>
      <c r="AH1" s="698"/>
      <c r="AI1" s="698"/>
      <c r="AJ1" s="698"/>
      <c r="AK1" s="698"/>
      <c r="AL1" s="698"/>
      <c r="AM1" s="698"/>
      <c r="AN1" s="698"/>
      <c r="AO1" s="698"/>
      <c r="AP1" s="698"/>
      <c r="AQ1" s="699"/>
    </row>
    <row r="2" spans="1:48" ht="15.75" thickBot="1" x14ac:dyDescent="0.3">
      <c r="A2" s="706" t="s">
        <v>146</v>
      </c>
      <c r="B2" s="707"/>
      <c r="C2" s="707"/>
      <c r="D2" s="707"/>
      <c r="E2" s="707"/>
      <c r="F2" s="707"/>
      <c r="G2" s="707"/>
      <c r="H2" s="708"/>
      <c r="I2" s="32"/>
      <c r="J2" s="703" t="s">
        <v>84</v>
      </c>
      <c r="K2" s="704"/>
      <c r="L2" s="704"/>
      <c r="M2" s="704"/>
      <c r="N2" s="704"/>
      <c r="O2" s="704"/>
      <c r="P2" s="704"/>
      <c r="Q2" s="704"/>
      <c r="R2" s="704"/>
      <c r="S2" s="704"/>
      <c r="T2" s="704"/>
      <c r="U2" s="704"/>
      <c r="V2" s="704"/>
      <c r="W2" s="705"/>
      <c r="Y2" s="709" t="s">
        <v>85</v>
      </c>
      <c r="Z2" s="710"/>
      <c r="AA2" s="710"/>
      <c r="AB2" s="710"/>
      <c r="AC2" s="710"/>
      <c r="AD2" s="710"/>
      <c r="AE2" s="710"/>
      <c r="AF2" s="710"/>
      <c r="AG2" s="710"/>
      <c r="AH2" s="710"/>
      <c r="AI2" s="710"/>
      <c r="AJ2" s="710"/>
      <c r="AK2" s="710"/>
      <c r="AL2" s="710"/>
      <c r="AM2" s="711"/>
      <c r="AO2" s="706" t="s">
        <v>86</v>
      </c>
      <c r="AP2" s="707"/>
      <c r="AQ2" s="708"/>
    </row>
    <row r="3" spans="1:48" s="234" customFormat="1" ht="45.95" customHeight="1" thickBot="1" x14ac:dyDescent="0.3">
      <c r="A3" s="163" t="s">
        <v>35</v>
      </c>
      <c r="B3" s="209" t="s">
        <v>36</v>
      </c>
      <c r="C3" s="223" t="s">
        <v>37</v>
      </c>
      <c r="D3" s="223" t="s">
        <v>87</v>
      </c>
      <c r="E3" s="223" t="s">
        <v>47</v>
      </c>
      <c r="F3" s="224" t="s">
        <v>88</v>
      </c>
      <c r="G3" s="224" t="s">
        <v>89</v>
      </c>
      <c r="H3" s="225" t="s">
        <v>90</v>
      </c>
      <c r="I3" s="226"/>
      <c r="J3" s="227" t="s">
        <v>91</v>
      </c>
      <c r="K3" s="229" t="s">
        <v>94</v>
      </c>
      <c r="L3" s="229" t="s">
        <v>172</v>
      </c>
      <c r="M3" s="229" t="s">
        <v>95</v>
      </c>
      <c r="N3" s="230" t="s">
        <v>96</v>
      </c>
      <c r="O3" s="230" t="s">
        <v>193</v>
      </c>
      <c r="P3" s="230" t="s">
        <v>97</v>
      </c>
      <c r="Q3" s="230" t="s">
        <v>98</v>
      </c>
      <c r="R3" s="230" t="s">
        <v>99</v>
      </c>
      <c r="S3" s="230" t="s">
        <v>100</v>
      </c>
      <c r="T3" s="230" t="s">
        <v>101</v>
      </c>
      <c r="U3" s="231" t="s">
        <v>102</v>
      </c>
      <c r="V3" s="232" t="s">
        <v>103</v>
      </c>
      <c r="W3" s="233" t="s">
        <v>104</v>
      </c>
      <c r="Y3" s="227" t="s">
        <v>105</v>
      </c>
      <c r="Z3" s="229" t="s">
        <v>106</v>
      </c>
      <c r="AA3" s="229" t="s">
        <v>107</v>
      </c>
      <c r="AB3" s="229" t="s">
        <v>108</v>
      </c>
      <c r="AC3" s="229" t="s">
        <v>109</v>
      </c>
      <c r="AD3" s="229" t="s">
        <v>110</v>
      </c>
      <c r="AE3" s="232" t="s">
        <v>99</v>
      </c>
      <c r="AF3" s="229" t="s">
        <v>111</v>
      </c>
      <c r="AG3" s="229" t="s">
        <v>112</v>
      </c>
      <c r="AH3" s="229" t="s">
        <v>102</v>
      </c>
      <c r="AI3" s="229" t="s">
        <v>103</v>
      </c>
      <c r="AJ3" s="229" t="s">
        <v>104</v>
      </c>
      <c r="AK3" s="235" t="s">
        <v>113</v>
      </c>
      <c r="AL3" s="235" t="s">
        <v>114</v>
      </c>
      <c r="AM3" s="236" t="s">
        <v>115</v>
      </c>
      <c r="AO3" s="700" t="s">
        <v>116</v>
      </c>
      <c r="AP3" s="701"/>
      <c r="AQ3" s="702"/>
    </row>
    <row r="4" spans="1:48" ht="31.5" customHeight="1" thickBot="1" x14ac:dyDescent="0.35">
      <c r="A4" s="435" t="s">
        <v>117</v>
      </c>
      <c r="B4" s="411"/>
      <c r="C4" s="237"/>
      <c r="D4" s="237"/>
      <c r="E4" s="237"/>
      <c r="F4" s="412"/>
      <c r="G4" s="412"/>
      <c r="H4" s="413"/>
      <c r="I4" s="33"/>
      <c r="J4" s="133"/>
      <c r="K4" s="164"/>
      <c r="L4" s="135"/>
      <c r="M4" s="135"/>
      <c r="N4" s="135"/>
      <c r="O4" s="135"/>
      <c r="P4" s="135"/>
      <c r="Q4" s="135"/>
      <c r="R4" s="136"/>
      <c r="S4" s="135"/>
      <c r="T4" s="136"/>
      <c r="U4" s="136"/>
      <c r="V4" s="150"/>
      <c r="W4" s="151"/>
      <c r="Y4" s="133"/>
      <c r="Z4" s="134"/>
      <c r="AA4" s="134"/>
      <c r="AB4" s="135"/>
      <c r="AC4" s="135"/>
      <c r="AD4" s="135"/>
      <c r="AE4" s="136"/>
      <c r="AF4" s="135"/>
      <c r="AG4" s="134"/>
      <c r="AH4" s="134"/>
      <c r="AI4" s="134"/>
      <c r="AJ4" s="134"/>
      <c r="AK4" s="187"/>
      <c r="AL4" s="187"/>
      <c r="AM4" s="188"/>
      <c r="AN4" s="34"/>
      <c r="AO4" s="152" t="s">
        <v>99</v>
      </c>
      <c r="AP4" s="153" t="s">
        <v>100</v>
      </c>
      <c r="AQ4" s="154" t="s">
        <v>118</v>
      </c>
    </row>
    <row r="5" spans="1:48" ht="15.75" thickBot="1" x14ac:dyDescent="0.3">
      <c r="A5" s="222" t="s">
        <v>42</v>
      </c>
      <c r="B5" s="415">
        <f>'Total - Detail'!B6</f>
        <v>1</v>
      </c>
      <c r="C5" s="210" t="str">
        <f>'Total - Detail'!C6</f>
        <v>Project Management Specialist</v>
      </c>
      <c r="D5" s="257" t="s">
        <v>291</v>
      </c>
      <c r="E5" s="257" t="s">
        <v>55</v>
      </c>
      <c r="F5" s="211">
        <v>19114.698266026175</v>
      </c>
      <c r="G5" s="211">
        <f>SUM(J5,Y5)</f>
        <v>0</v>
      </c>
      <c r="H5" s="212">
        <f>F5-G5</f>
        <v>19114.698266026175</v>
      </c>
      <c r="I5" s="43"/>
      <c r="J5" s="214"/>
      <c r="K5" s="216">
        <f>'Ordering Period 4'!K5+('Ordering Period 4'!K5*Escalation!$D$5)</f>
        <v>0</v>
      </c>
      <c r="L5" s="366"/>
      <c r="M5" s="249">
        <f>(K5*$M$4)</f>
        <v>0</v>
      </c>
      <c r="N5" s="249">
        <f>(M5+K5)*$N$4</f>
        <v>0</v>
      </c>
      <c r="O5" s="249">
        <f>(K5+M5)*$O$4</f>
        <v>0</v>
      </c>
      <c r="P5" s="249">
        <f>(M5+K5+N5+O5)*$P$4</f>
        <v>0</v>
      </c>
      <c r="Q5" s="249">
        <f>(K5+M5+N5+O5+P5)*$Q$4</f>
        <v>0</v>
      </c>
      <c r="R5" s="216">
        <f>SUM(K5:Q5)</f>
        <v>0</v>
      </c>
      <c r="S5" s="216">
        <f>(R5-Q5)*$S$4</f>
        <v>0</v>
      </c>
      <c r="T5" s="216">
        <f>SUM(R5:S5)</f>
        <v>0</v>
      </c>
      <c r="U5" s="253">
        <f>R5*J5</f>
        <v>0</v>
      </c>
      <c r="V5" s="216">
        <f>S5*J5</f>
        <v>0</v>
      </c>
      <c r="W5" s="217">
        <f>T5*J5</f>
        <v>0</v>
      </c>
      <c r="Y5" s="214"/>
      <c r="Z5" s="249">
        <f>'Ordering Period 4'!Z5+('Ordering Period 4'!Z5*Escalation!$D$5)</f>
        <v>0</v>
      </c>
      <c r="AA5" s="216">
        <f>IF($Y5&gt;0,$Z5,0)</f>
        <v>0</v>
      </c>
      <c r="AB5" s="249">
        <f>(AA5*$AB$4)</f>
        <v>0</v>
      </c>
      <c r="AC5" s="249">
        <f>(AA5+AB5)*$AC$4</f>
        <v>0</v>
      </c>
      <c r="AD5" s="249"/>
      <c r="AE5" s="216">
        <f>SUM(AA5:AD5)</f>
        <v>0</v>
      </c>
      <c r="AF5" s="216">
        <f>$AF$4*(AC5+AA5+AB5)</f>
        <v>0</v>
      </c>
      <c r="AG5" s="216">
        <f>SUM(AE5:AF5)</f>
        <v>0</v>
      </c>
      <c r="AH5" s="216">
        <f>AE5*Y5</f>
        <v>0</v>
      </c>
      <c r="AI5" s="216">
        <f>AF5*Y5</f>
        <v>0</v>
      </c>
      <c r="AJ5" s="216">
        <f>AG5*Y5</f>
        <v>0</v>
      </c>
      <c r="AK5" s="433"/>
      <c r="AL5" s="433"/>
      <c r="AM5" s="250"/>
      <c r="AO5" s="252" t="str">
        <f t="shared" ref="AO5" si="0">IFERROR(SUM(U5,AH5)/G5,"")</f>
        <v/>
      </c>
      <c r="AP5" s="253" t="str">
        <f t="shared" ref="AP5" si="1">IFERROR(SUM(V5,AI5)/G5,"")</f>
        <v/>
      </c>
      <c r="AQ5" s="217">
        <f>SUM(AO5:AP5)</f>
        <v>0</v>
      </c>
      <c r="AV5" s="9">
        <v>401843.16354713438</v>
      </c>
    </row>
    <row r="6" spans="1:48" ht="15.75" thickBot="1" x14ac:dyDescent="0.3">
      <c r="A6" s="694" t="s">
        <v>43</v>
      </c>
      <c r="B6" s="415">
        <f>'Total - Detail'!B7</f>
        <v>2</v>
      </c>
      <c r="C6" s="210" t="str">
        <f>'Total - Detail'!C7</f>
        <v>Field Service Representative</v>
      </c>
      <c r="D6" s="210" t="s">
        <v>289</v>
      </c>
      <c r="E6" s="210" t="s">
        <v>55</v>
      </c>
      <c r="F6" s="211">
        <v>39357.391429727235</v>
      </c>
      <c r="G6" s="211">
        <f t="shared" ref="G6:G21" si="2">SUM(J6,Y6)</f>
        <v>0</v>
      </c>
      <c r="H6" s="212">
        <f t="shared" ref="H6:H21" si="3">F6-G6</f>
        <v>39357.391429727235</v>
      </c>
      <c r="I6" s="43"/>
      <c r="J6" s="214"/>
      <c r="K6" s="216">
        <f>'Ordering Period 4'!K6+('Ordering Period 4'!K6*Escalation!$D$5)</f>
        <v>0</v>
      </c>
      <c r="L6" s="366"/>
      <c r="M6" s="249">
        <f t="shared" ref="M6:M19" si="4">(K6*$M$4)</f>
        <v>0</v>
      </c>
      <c r="N6" s="249">
        <f t="shared" ref="N6:N19" si="5">(M6+K6)*$N$4</f>
        <v>0</v>
      </c>
      <c r="O6" s="249">
        <f t="shared" ref="O6:O19" si="6">(K6+M6)*$O$4</f>
        <v>0</v>
      </c>
      <c r="P6" s="249">
        <f t="shared" ref="P6:P19" si="7">(M6+K6+N6+O6)*$P$4</f>
        <v>0</v>
      </c>
      <c r="Q6" s="249">
        <f t="shared" ref="Q6:Q19" si="8">(K6+M6+N6+O6+P6)*$Q$4</f>
        <v>0</v>
      </c>
      <c r="R6" s="216">
        <f t="shared" ref="R6:R21" si="9">SUM(K6:Q6)</f>
        <v>0</v>
      </c>
      <c r="S6" s="216">
        <f t="shared" ref="S6:S21" si="10">(R6-Q6)*$S$4</f>
        <v>0</v>
      </c>
      <c r="T6" s="216">
        <f t="shared" ref="T6:T21" si="11">SUM(R6:S6)</f>
        <v>0</v>
      </c>
      <c r="U6" s="253">
        <f t="shared" ref="U6:U21" si="12">R6*J6</f>
        <v>0</v>
      </c>
      <c r="V6" s="216">
        <f t="shared" ref="V6:V21" si="13">S6*J6</f>
        <v>0</v>
      </c>
      <c r="W6" s="217">
        <f t="shared" ref="W6:W21" si="14">T6*J6</f>
        <v>0</v>
      </c>
      <c r="Y6" s="214"/>
      <c r="Z6" s="249">
        <f>'Ordering Period 4'!Z6+('Ordering Period 4'!Z6*Escalation!$D$5)</f>
        <v>0</v>
      </c>
      <c r="AA6" s="216">
        <f t="shared" ref="AA6:AA21" si="15">IF($Y6&gt;0,$Z6,0)</f>
        <v>0</v>
      </c>
      <c r="AB6" s="249">
        <f t="shared" ref="AB6:AB21" si="16">(AA6*$AB$4)</f>
        <v>0</v>
      </c>
      <c r="AC6" s="249">
        <f t="shared" ref="AC6:AC21" si="17">(AA6+AB6)*$AC$4</f>
        <v>0</v>
      </c>
      <c r="AD6" s="249"/>
      <c r="AE6" s="216">
        <f t="shared" ref="AE6:AE21" si="18">SUM(AA6:AD6)</f>
        <v>0</v>
      </c>
      <c r="AF6" s="216">
        <f t="shared" ref="AF6:AF21" si="19">$AF$4*(AC6+AA6+AB6)</f>
        <v>0</v>
      </c>
      <c r="AG6" s="216">
        <f t="shared" ref="AG6:AG21" si="20">SUM(AE6:AF6)</f>
        <v>0</v>
      </c>
      <c r="AH6" s="216">
        <f t="shared" ref="AH6:AH21" si="21">AE6*Y6</f>
        <v>0</v>
      </c>
      <c r="AI6" s="216">
        <f t="shared" ref="AI6:AI21" si="22">AF6*Y6</f>
        <v>0</v>
      </c>
      <c r="AJ6" s="216">
        <f t="shared" ref="AJ6:AJ21" si="23">AG6*Y6</f>
        <v>0</v>
      </c>
      <c r="AK6" s="433"/>
      <c r="AL6" s="433"/>
      <c r="AM6" s="250"/>
      <c r="AO6" s="252" t="str">
        <f t="shared" ref="AO6:AO21" si="24">IFERROR(SUM(U6,AH6)/G6,"")</f>
        <v/>
      </c>
      <c r="AP6" s="253" t="str">
        <f t="shared" ref="AP6:AP21" si="25">IFERROR(SUM(V6,AI6)/G6,"")</f>
        <v/>
      </c>
      <c r="AQ6" s="217">
        <f t="shared" ref="AQ6:AQ21" si="26">SUM(AO6:AP6)</f>
        <v>0</v>
      </c>
    </row>
    <row r="7" spans="1:48" ht="15.75" thickBot="1" x14ac:dyDescent="0.3">
      <c r="A7" s="695"/>
      <c r="B7" s="415">
        <f>'Total - Detail'!B8</f>
        <v>3</v>
      </c>
      <c r="C7" s="210" t="str">
        <f>'Total - Detail'!C8</f>
        <v>Field Service Mechanic</v>
      </c>
      <c r="D7" s="210" t="s">
        <v>240</v>
      </c>
      <c r="E7" s="210" t="s">
        <v>55</v>
      </c>
      <c r="F7" s="258">
        <v>73092.298369493452</v>
      </c>
      <c r="G7" s="258"/>
      <c r="H7" s="212">
        <f t="shared" si="3"/>
        <v>73092.298369493452</v>
      </c>
      <c r="I7" s="43"/>
      <c r="J7" s="218"/>
      <c r="K7" s="219"/>
      <c r="L7" s="626"/>
      <c r="M7" s="249">
        <f t="shared" ref="M7" si="27">(K7*$M$4)</f>
        <v>0</v>
      </c>
      <c r="N7" s="249">
        <f t="shared" ref="N7" si="28">(M7+K7)*$N$4</f>
        <v>0</v>
      </c>
      <c r="O7" s="249">
        <f t="shared" ref="O7" si="29">(K7+M7)*$O$4</f>
        <v>0</v>
      </c>
      <c r="P7" s="249">
        <f t="shared" ref="P7" si="30">(M7+K7+N7+O7)*$P$4</f>
        <v>0</v>
      </c>
      <c r="Q7" s="249">
        <f t="shared" ref="Q7" si="31">(K7+M7+N7+O7+P7)*$Q$4</f>
        <v>0</v>
      </c>
      <c r="R7" s="216">
        <f t="shared" ref="R7" si="32">SUM(K7:Q7)</f>
        <v>0</v>
      </c>
      <c r="S7" s="216">
        <f t="shared" ref="S7" si="33">(R7-Q7)*$S$4</f>
        <v>0</v>
      </c>
      <c r="T7" s="216">
        <f t="shared" ref="T7" si="34">SUM(R7:S7)</f>
        <v>0</v>
      </c>
      <c r="U7" s="253">
        <f t="shared" ref="U7" si="35">R7*J7</f>
        <v>0</v>
      </c>
      <c r="V7" s="216">
        <f t="shared" ref="V7" si="36">S7*J7</f>
        <v>0</v>
      </c>
      <c r="W7" s="217">
        <f t="shared" ref="W7" si="37">T7*J7</f>
        <v>0</v>
      </c>
      <c r="Y7" s="214"/>
      <c r="Z7" s="249">
        <f>'Ordering Period 4'!Z7+('Ordering Period 4'!Z7*Escalation!$D$5)</f>
        <v>0</v>
      </c>
      <c r="AA7" s="216">
        <f t="shared" si="15"/>
        <v>0</v>
      </c>
      <c r="AB7" s="249">
        <f t="shared" ref="AB7" si="38">(AA7*$AB$4)</f>
        <v>0</v>
      </c>
      <c r="AC7" s="249">
        <f t="shared" ref="AC7" si="39">(AA7+AB7)*$AC$4</f>
        <v>0</v>
      </c>
      <c r="AD7" s="249"/>
      <c r="AE7" s="216">
        <f t="shared" ref="AE7" si="40">SUM(AA7:AD7)</f>
        <v>0</v>
      </c>
      <c r="AF7" s="216">
        <f t="shared" ref="AF7" si="41">$AF$4*(AC7+AA7+AB7)</f>
        <v>0</v>
      </c>
      <c r="AG7" s="216">
        <f t="shared" ref="AG7" si="42">SUM(AE7:AF7)</f>
        <v>0</v>
      </c>
      <c r="AH7" s="216">
        <f t="shared" ref="AH7" si="43">AE7*Y7</f>
        <v>0</v>
      </c>
      <c r="AI7" s="216">
        <f t="shared" ref="AI7" si="44">AF7*Y7</f>
        <v>0</v>
      </c>
      <c r="AJ7" s="216">
        <f t="shared" ref="AJ7" si="45">AG7*Y7</f>
        <v>0</v>
      </c>
      <c r="AK7" s="433"/>
      <c r="AL7" s="433"/>
      <c r="AM7" s="250"/>
      <c r="AO7" s="252" t="str">
        <f t="shared" ref="AO7" si="46">IFERROR(SUM(U7,AH7)/G7,"")</f>
        <v/>
      </c>
      <c r="AP7" s="253" t="str">
        <f t="shared" ref="AP7" si="47">IFERROR(SUM(V7,AI7)/G7,"")</f>
        <v/>
      </c>
      <c r="AQ7" s="217">
        <f t="shared" ref="AQ7" si="48">SUM(AO7:AP7)</f>
        <v>0</v>
      </c>
    </row>
    <row r="8" spans="1:48" x14ac:dyDescent="0.25">
      <c r="A8" s="679" t="s">
        <v>205</v>
      </c>
      <c r="B8" s="241">
        <f>'Total - Detail'!B9</f>
        <v>4</v>
      </c>
      <c r="C8" s="101" t="str">
        <f>'Total - Detail'!C9</f>
        <v>Heavy Equipment Mechanic</v>
      </c>
      <c r="D8" s="101" t="s">
        <v>236</v>
      </c>
      <c r="E8" s="101" t="s">
        <v>55</v>
      </c>
      <c r="F8" s="35">
        <v>96564.591240224079</v>
      </c>
      <c r="G8" s="35">
        <f t="shared" si="2"/>
        <v>0</v>
      </c>
      <c r="H8" s="36">
        <f t="shared" si="3"/>
        <v>96564.591240224079</v>
      </c>
      <c r="I8" s="43"/>
      <c r="J8" s="109"/>
      <c r="K8" s="110">
        <f>'Ordering Period 4'!K8+('Ordering Period 4'!K8*Escalation!$D$5)</f>
        <v>0</v>
      </c>
      <c r="L8" s="367"/>
      <c r="M8" s="111">
        <f t="shared" si="4"/>
        <v>0</v>
      </c>
      <c r="N8" s="111">
        <f t="shared" si="5"/>
        <v>0</v>
      </c>
      <c r="O8" s="111">
        <f t="shared" si="6"/>
        <v>0</v>
      </c>
      <c r="P8" s="111">
        <f t="shared" si="7"/>
        <v>0</v>
      </c>
      <c r="Q8" s="111">
        <f t="shared" si="8"/>
        <v>0</v>
      </c>
      <c r="R8" s="110">
        <f t="shared" si="9"/>
        <v>0</v>
      </c>
      <c r="S8" s="110">
        <f t="shared" si="10"/>
        <v>0</v>
      </c>
      <c r="T8" s="110">
        <f t="shared" si="11"/>
        <v>0</v>
      </c>
      <c r="U8" s="113">
        <f t="shared" si="12"/>
        <v>0</v>
      </c>
      <c r="V8" s="110">
        <f t="shared" si="13"/>
        <v>0</v>
      </c>
      <c r="W8" s="112">
        <f t="shared" si="14"/>
        <v>0</v>
      </c>
      <c r="Y8" s="109"/>
      <c r="Z8" s="111">
        <f>'Ordering Period 4'!Z8+('Ordering Period 4'!Z8*Escalation!$D$5)</f>
        <v>0</v>
      </c>
      <c r="AA8" s="110">
        <f t="shared" si="15"/>
        <v>0</v>
      </c>
      <c r="AB8" s="111">
        <f t="shared" si="16"/>
        <v>0</v>
      </c>
      <c r="AC8" s="111">
        <f t="shared" si="17"/>
        <v>0</v>
      </c>
      <c r="AD8" s="111"/>
      <c r="AE8" s="110">
        <f t="shared" si="18"/>
        <v>0</v>
      </c>
      <c r="AF8" s="110">
        <f t="shared" si="19"/>
        <v>0</v>
      </c>
      <c r="AG8" s="110">
        <f t="shared" si="20"/>
        <v>0</v>
      </c>
      <c r="AH8" s="110">
        <f t="shared" si="21"/>
        <v>0</v>
      </c>
      <c r="AI8" s="110">
        <f t="shared" si="22"/>
        <v>0</v>
      </c>
      <c r="AJ8" s="110">
        <f t="shared" si="23"/>
        <v>0</v>
      </c>
      <c r="AK8" s="259"/>
      <c r="AL8" s="259"/>
      <c r="AM8" s="114"/>
      <c r="AO8" s="124" t="str">
        <f t="shared" si="24"/>
        <v/>
      </c>
      <c r="AP8" s="113" t="str">
        <f t="shared" si="25"/>
        <v/>
      </c>
      <c r="AQ8" s="112">
        <f t="shared" si="26"/>
        <v>0</v>
      </c>
    </row>
    <row r="9" spans="1:48" x14ac:dyDescent="0.25">
      <c r="A9" s="680"/>
      <c r="B9" s="240">
        <f>'Total - Detail'!B10</f>
        <v>5</v>
      </c>
      <c r="C9" s="100" t="str">
        <f>'Total - Detail'!C10</f>
        <v>Material Handling Specialist</v>
      </c>
      <c r="D9" s="100" t="s">
        <v>238</v>
      </c>
      <c r="E9" s="100" t="s">
        <v>55</v>
      </c>
      <c r="F9" s="39">
        <v>6328.2994259336247</v>
      </c>
      <c r="G9" s="39">
        <f t="shared" si="2"/>
        <v>0</v>
      </c>
      <c r="H9" s="40">
        <f t="shared" si="3"/>
        <v>6328.2994259336247</v>
      </c>
      <c r="I9" s="43"/>
      <c r="J9" s="137"/>
      <c r="K9" s="41">
        <f>'Ordering Period 4'!K9+('Ordering Period 4'!K9*Escalation!$D$5)</f>
        <v>0</v>
      </c>
      <c r="L9" s="368"/>
      <c r="M9" s="5">
        <f t="shared" si="4"/>
        <v>0</v>
      </c>
      <c r="N9" s="5">
        <f t="shared" si="5"/>
        <v>0</v>
      </c>
      <c r="O9" s="5">
        <f t="shared" si="6"/>
        <v>0</v>
      </c>
      <c r="P9" s="5">
        <f t="shared" si="7"/>
        <v>0</v>
      </c>
      <c r="Q9" s="5">
        <f t="shared" si="8"/>
        <v>0</v>
      </c>
      <c r="R9" s="41">
        <f t="shared" si="9"/>
        <v>0</v>
      </c>
      <c r="S9" s="41">
        <f t="shared" si="10"/>
        <v>0</v>
      </c>
      <c r="T9" s="41">
        <f t="shared" si="11"/>
        <v>0</v>
      </c>
      <c r="U9" s="42">
        <f t="shared" si="12"/>
        <v>0</v>
      </c>
      <c r="V9" s="41">
        <f t="shared" si="13"/>
        <v>0</v>
      </c>
      <c r="W9" s="115">
        <f t="shared" si="14"/>
        <v>0</v>
      </c>
      <c r="Y9" s="137"/>
      <c r="Z9" s="5">
        <f>'Ordering Period 4'!Z9+('Ordering Period 4'!Z9*Escalation!$D$5)</f>
        <v>0</v>
      </c>
      <c r="AA9" s="41">
        <f t="shared" si="15"/>
        <v>0</v>
      </c>
      <c r="AB9" s="5">
        <f t="shared" si="16"/>
        <v>0</v>
      </c>
      <c r="AC9" s="5">
        <f t="shared" si="17"/>
        <v>0</v>
      </c>
      <c r="AD9" s="5"/>
      <c r="AE9" s="41">
        <f t="shared" si="18"/>
        <v>0</v>
      </c>
      <c r="AF9" s="41">
        <f t="shared" si="19"/>
        <v>0</v>
      </c>
      <c r="AG9" s="41">
        <f t="shared" si="20"/>
        <v>0</v>
      </c>
      <c r="AH9" s="41">
        <f t="shared" si="21"/>
        <v>0</v>
      </c>
      <c r="AI9" s="41">
        <f t="shared" si="22"/>
        <v>0</v>
      </c>
      <c r="AJ9" s="41">
        <f t="shared" si="23"/>
        <v>0</v>
      </c>
      <c r="AK9" s="10"/>
      <c r="AL9" s="10"/>
      <c r="AM9" s="7"/>
      <c r="AO9" s="138" t="str">
        <f t="shared" si="24"/>
        <v/>
      </c>
      <c r="AP9" s="42" t="str">
        <f t="shared" si="25"/>
        <v/>
      </c>
      <c r="AQ9" s="115">
        <f t="shared" si="26"/>
        <v>0</v>
      </c>
    </row>
    <row r="10" spans="1:48" x14ac:dyDescent="0.25">
      <c r="A10" s="680"/>
      <c r="B10" s="240">
        <f>'Total - Detail'!B11</f>
        <v>6</v>
      </c>
      <c r="C10" s="100" t="str">
        <f>'Total - Detail'!C11</f>
        <v>Inspector</v>
      </c>
      <c r="D10" s="100" t="s">
        <v>235</v>
      </c>
      <c r="E10" s="100" t="s">
        <v>55</v>
      </c>
      <c r="F10" s="39">
        <v>1981.0998202861908</v>
      </c>
      <c r="G10" s="39">
        <f t="shared" si="2"/>
        <v>0</v>
      </c>
      <c r="H10" s="40">
        <f t="shared" si="3"/>
        <v>1981.0998202861908</v>
      </c>
      <c r="I10" s="43"/>
      <c r="J10" s="137"/>
      <c r="K10" s="41">
        <f>'Ordering Period 4'!K10+('Ordering Period 4'!K10*Escalation!$D$5)</f>
        <v>0</v>
      </c>
      <c r="L10" s="368"/>
      <c r="M10" s="5">
        <f t="shared" si="4"/>
        <v>0</v>
      </c>
      <c r="N10" s="5">
        <f t="shared" si="5"/>
        <v>0</v>
      </c>
      <c r="O10" s="5">
        <f t="shared" si="6"/>
        <v>0</v>
      </c>
      <c r="P10" s="5">
        <f t="shared" si="7"/>
        <v>0</v>
      </c>
      <c r="Q10" s="5">
        <f t="shared" si="8"/>
        <v>0</v>
      </c>
      <c r="R10" s="41">
        <f t="shared" si="9"/>
        <v>0</v>
      </c>
      <c r="S10" s="41">
        <f t="shared" si="10"/>
        <v>0</v>
      </c>
      <c r="T10" s="41">
        <f t="shared" si="11"/>
        <v>0</v>
      </c>
      <c r="U10" s="42">
        <f t="shared" si="12"/>
        <v>0</v>
      </c>
      <c r="V10" s="41">
        <f t="shared" si="13"/>
        <v>0</v>
      </c>
      <c r="W10" s="115">
        <f t="shared" si="14"/>
        <v>0</v>
      </c>
      <c r="Y10" s="137"/>
      <c r="Z10" s="5">
        <f>'Ordering Period 4'!Z10+('Ordering Period 4'!Z10*Escalation!$D$5)</f>
        <v>0</v>
      </c>
      <c r="AA10" s="41">
        <f t="shared" si="15"/>
        <v>0</v>
      </c>
      <c r="AB10" s="5">
        <f t="shared" si="16"/>
        <v>0</v>
      </c>
      <c r="AC10" s="5">
        <f t="shared" si="17"/>
        <v>0</v>
      </c>
      <c r="AD10" s="5"/>
      <c r="AE10" s="41">
        <f t="shared" si="18"/>
        <v>0</v>
      </c>
      <c r="AF10" s="41">
        <f t="shared" si="19"/>
        <v>0</v>
      </c>
      <c r="AG10" s="41">
        <f t="shared" si="20"/>
        <v>0</v>
      </c>
      <c r="AH10" s="41">
        <f t="shared" si="21"/>
        <v>0</v>
      </c>
      <c r="AI10" s="41">
        <f t="shared" si="22"/>
        <v>0</v>
      </c>
      <c r="AJ10" s="41">
        <f t="shared" si="23"/>
        <v>0</v>
      </c>
      <c r="AK10" s="10"/>
      <c r="AL10" s="10"/>
      <c r="AM10" s="7"/>
      <c r="AO10" s="138" t="str">
        <f t="shared" si="24"/>
        <v/>
      </c>
      <c r="AP10" s="42" t="str">
        <f t="shared" si="25"/>
        <v/>
      </c>
      <c r="AQ10" s="115">
        <f t="shared" si="26"/>
        <v>0</v>
      </c>
    </row>
    <row r="11" spans="1:48" x14ac:dyDescent="0.25">
      <c r="A11" s="680"/>
      <c r="B11" s="240">
        <f>'Total - Detail'!B12</f>
        <v>7</v>
      </c>
      <c r="C11" s="100" t="str">
        <f>'Total - Detail'!C12</f>
        <v>Supply/Procurement Specialist</v>
      </c>
      <c r="D11" s="100" t="s">
        <v>233</v>
      </c>
      <c r="E11" s="100" t="s">
        <v>55</v>
      </c>
      <c r="F11" s="39">
        <v>3163.5997130167048</v>
      </c>
      <c r="G11" s="39">
        <f t="shared" si="2"/>
        <v>0</v>
      </c>
      <c r="H11" s="40">
        <f t="shared" si="3"/>
        <v>3163.5997130167048</v>
      </c>
      <c r="I11" s="43"/>
      <c r="J11" s="137"/>
      <c r="K11" s="41">
        <f>'Ordering Period 4'!K11+('Ordering Period 4'!K11*Escalation!$D$5)</f>
        <v>0</v>
      </c>
      <c r="L11" s="368"/>
      <c r="M11" s="5">
        <f t="shared" si="4"/>
        <v>0</v>
      </c>
      <c r="N11" s="5">
        <f t="shared" si="5"/>
        <v>0</v>
      </c>
      <c r="O11" s="5">
        <f t="shared" si="6"/>
        <v>0</v>
      </c>
      <c r="P11" s="5">
        <f t="shared" si="7"/>
        <v>0</v>
      </c>
      <c r="Q11" s="5">
        <f t="shared" si="8"/>
        <v>0</v>
      </c>
      <c r="R11" s="41">
        <f t="shared" si="9"/>
        <v>0</v>
      </c>
      <c r="S11" s="41">
        <f t="shared" si="10"/>
        <v>0</v>
      </c>
      <c r="T11" s="41">
        <f t="shared" si="11"/>
        <v>0</v>
      </c>
      <c r="U11" s="42">
        <f t="shared" si="12"/>
        <v>0</v>
      </c>
      <c r="V11" s="41">
        <f t="shared" si="13"/>
        <v>0</v>
      </c>
      <c r="W11" s="115">
        <f t="shared" si="14"/>
        <v>0</v>
      </c>
      <c r="Y11" s="137"/>
      <c r="Z11" s="5">
        <f>'Ordering Period 4'!Z11+('Ordering Period 4'!Z11*Escalation!$D$5)</f>
        <v>0</v>
      </c>
      <c r="AA11" s="41">
        <f t="shared" si="15"/>
        <v>0</v>
      </c>
      <c r="AB11" s="5">
        <f t="shared" si="16"/>
        <v>0</v>
      </c>
      <c r="AC11" s="5">
        <f t="shared" si="17"/>
        <v>0</v>
      </c>
      <c r="AD11" s="5"/>
      <c r="AE11" s="41">
        <f t="shared" si="18"/>
        <v>0</v>
      </c>
      <c r="AF11" s="41">
        <f t="shared" si="19"/>
        <v>0</v>
      </c>
      <c r="AG11" s="41">
        <f t="shared" si="20"/>
        <v>0</v>
      </c>
      <c r="AH11" s="41">
        <f t="shared" si="21"/>
        <v>0</v>
      </c>
      <c r="AI11" s="41">
        <f t="shared" si="22"/>
        <v>0</v>
      </c>
      <c r="AJ11" s="41">
        <f t="shared" si="23"/>
        <v>0</v>
      </c>
      <c r="AK11" s="10"/>
      <c r="AL11" s="10"/>
      <c r="AM11" s="7"/>
      <c r="AO11" s="138" t="str">
        <f t="shared" si="24"/>
        <v/>
      </c>
      <c r="AP11" s="42" t="str">
        <f t="shared" si="25"/>
        <v/>
      </c>
      <c r="AQ11" s="115">
        <f t="shared" si="26"/>
        <v>0</v>
      </c>
    </row>
    <row r="12" spans="1:48" ht="15.75" thickBot="1" x14ac:dyDescent="0.3">
      <c r="A12" s="681"/>
      <c r="B12" s="242">
        <f>'Total - Detail'!B13</f>
        <v>8</v>
      </c>
      <c r="C12" s="127" t="str">
        <f>'Total - Detail'!C13</f>
        <v>Welder</v>
      </c>
      <c r="D12" s="418" t="s">
        <v>239</v>
      </c>
      <c r="E12" s="127" t="s">
        <v>55</v>
      </c>
      <c r="F12" s="128">
        <v>3406.6996909640943</v>
      </c>
      <c r="G12" s="128">
        <f t="shared" si="2"/>
        <v>0</v>
      </c>
      <c r="H12" s="129">
        <f t="shared" si="3"/>
        <v>3406.6996909640943</v>
      </c>
      <c r="I12" s="43"/>
      <c r="J12" s="146"/>
      <c r="K12" s="143">
        <f>'Ordering Period 4'!K12+('Ordering Period 4'!K12*Escalation!$D$5)</f>
        <v>0</v>
      </c>
      <c r="L12" s="369"/>
      <c r="M12" s="144">
        <f t="shared" si="4"/>
        <v>0</v>
      </c>
      <c r="N12" s="144">
        <f t="shared" si="5"/>
        <v>0</v>
      </c>
      <c r="O12" s="144">
        <f t="shared" si="6"/>
        <v>0</v>
      </c>
      <c r="P12" s="144">
        <f t="shared" si="7"/>
        <v>0</v>
      </c>
      <c r="Q12" s="144">
        <f t="shared" si="8"/>
        <v>0</v>
      </c>
      <c r="R12" s="143">
        <f t="shared" si="9"/>
        <v>0</v>
      </c>
      <c r="S12" s="143">
        <f t="shared" si="10"/>
        <v>0</v>
      </c>
      <c r="T12" s="143">
        <f t="shared" si="11"/>
        <v>0</v>
      </c>
      <c r="U12" s="149">
        <f t="shared" si="12"/>
        <v>0</v>
      </c>
      <c r="V12" s="143">
        <f t="shared" si="13"/>
        <v>0</v>
      </c>
      <c r="W12" s="145">
        <f t="shared" si="14"/>
        <v>0</v>
      </c>
      <c r="Y12" s="146"/>
      <c r="Z12" s="144">
        <f>'Ordering Period 4'!Z12+('Ordering Period 4'!Z12*Escalation!$D$5)</f>
        <v>0</v>
      </c>
      <c r="AA12" s="143">
        <f t="shared" si="15"/>
        <v>0</v>
      </c>
      <c r="AB12" s="144">
        <f t="shared" si="16"/>
        <v>0</v>
      </c>
      <c r="AC12" s="144">
        <f t="shared" si="17"/>
        <v>0</v>
      </c>
      <c r="AD12" s="144"/>
      <c r="AE12" s="143">
        <f t="shared" si="18"/>
        <v>0</v>
      </c>
      <c r="AF12" s="143">
        <f t="shared" si="19"/>
        <v>0</v>
      </c>
      <c r="AG12" s="143">
        <f t="shared" si="20"/>
        <v>0</v>
      </c>
      <c r="AH12" s="143">
        <f t="shared" si="21"/>
        <v>0</v>
      </c>
      <c r="AI12" s="143">
        <f t="shared" si="22"/>
        <v>0</v>
      </c>
      <c r="AJ12" s="143">
        <f t="shared" si="23"/>
        <v>0</v>
      </c>
      <c r="AK12" s="260"/>
      <c r="AL12" s="260"/>
      <c r="AM12" s="147"/>
      <c r="AO12" s="148" t="str">
        <f t="shared" si="24"/>
        <v/>
      </c>
      <c r="AP12" s="149" t="str">
        <f t="shared" si="25"/>
        <v/>
      </c>
      <c r="AQ12" s="145">
        <f t="shared" si="26"/>
        <v>0</v>
      </c>
    </row>
    <row r="13" spans="1:48" ht="30.75" thickBot="1" x14ac:dyDescent="0.3">
      <c r="A13" s="504" t="s">
        <v>231</v>
      </c>
      <c r="B13" s="242">
        <f>'Total - Detail'!B14</f>
        <v>9</v>
      </c>
      <c r="C13" s="127" t="str">
        <f>'Total - Detail'!C14</f>
        <v xml:space="preserve">Instructor  </v>
      </c>
      <c r="D13" s="127" t="s">
        <v>237</v>
      </c>
      <c r="E13" s="127" t="s">
        <v>55</v>
      </c>
      <c r="F13" s="128">
        <v>47226.295715906184</v>
      </c>
      <c r="G13" s="128">
        <f t="shared" si="2"/>
        <v>0</v>
      </c>
      <c r="H13" s="129">
        <f t="shared" si="3"/>
        <v>47226.295715906184</v>
      </c>
      <c r="I13" s="43"/>
      <c r="J13" s="146"/>
      <c r="K13" s="143">
        <f>'Ordering Period 4'!K13+('Ordering Period 4'!K13*Escalation!$D$5)</f>
        <v>0</v>
      </c>
      <c r="L13" s="369"/>
      <c r="M13" s="144">
        <f t="shared" si="4"/>
        <v>0</v>
      </c>
      <c r="N13" s="144">
        <f t="shared" si="5"/>
        <v>0</v>
      </c>
      <c r="O13" s="144">
        <f t="shared" si="6"/>
        <v>0</v>
      </c>
      <c r="P13" s="144">
        <f t="shared" si="7"/>
        <v>0</v>
      </c>
      <c r="Q13" s="144">
        <f t="shared" si="8"/>
        <v>0</v>
      </c>
      <c r="R13" s="143">
        <f t="shared" si="9"/>
        <v>0</v>
      </c>
      <c r="S13" s="143">
        <f t="shared" si="10"/>
        <v>0</v>
      </c>
      <c r="T13" s="143">
        <f t="shared" si="11"/>
        <v>0</v>
      </c>
      <c r="U13" s="149">
        <f t="shared" si="12"/>
        <v>0</v>
      </c>
      <c r="V13" s="143">
        <f t="shared" si="13"/>
        <v>0</v>
      </c>
      <c r="W13" s="145">
        <f t="shared" si="14"/>
        <v>0</v>
      </c>
      <c r="Y13" s="146"/>
      <c r="Z13" s="144">
        <f>'Ordering Period 4'!Z13+('Ordering Period 4'!Z13*Escalation!$D$5)</f>
        <v>0</v>
      </c>
      <c r="AA13" s="143">
        <f t="shared" si="15"/>
        <v>0</v>
      </c>
      <c r="AB13" s="144">
        <f t="shared" si="16"/>
        <v>0</v>
      </c>
      <c r="AC13" s="144">
        <f t="shared" si="17"/>
        <v>0</v>
      </c>
      <c r="AD13" s="144"/>
      <c r="AE13" s="143">
        <f t="shared" si="18"/>
        <v>0</v>
      </c>
      <c r="AF13" s="143">
        <f t="shared" si="19"/>
        <v>0</v>
      </c>
      <c r="AG13" s="143">
        <f t="shared" si="20"/>
        <v>0</v>
      </c>
      <c r="AH13" s="143">
        <f t="shared" si="21"/>
        <v>0</v>
      </c>
      <c r="AI13" s="143">
        <f t="shared" si="22"/>
        <v>0</v>
      </c>
      <c r="AJ13" s="143">
        <f t="shared" si="23"/>
        <v>0</v>
      </c>
      <c r="AK13" s="260"/>
      <c r="AL13" s="260"/>
      <c r="AM13" s="147"/>
      <c r="AO13" s="148" t="str">
        <f t="shared" si="24"/>
        <v/>
      </c>
      <c r="AP13" s="149" t="str">
        <f t="shared" si="25"/>
        <v/>
      </c>
      <c r="AQ13" s="145">
        <f t="shared" si="26"/>
        <v>0</v>
      </c>
    </row>
    <row r="14" spans="1:48" x14ac:dyDescent="0.25">
      <c r="A14" s="679" t="s">
        <v>207</v>
      </c>
      <c r="B14" s="241">
        <f>'Total - Detail'!B15</f>
        <v>4</v>
      </c>
      <c r="C14" s="101" t="str">
        <f>'Total - Detail'!C15</f>
        <v>Heavy Equipment Mechanic</v>
      </c>
      <c r="D14" s="101" t="s">
        <v>236</v>
      </c>
      <c r="E14" s="101" t="s">
        <v>55</v>
      </c>
      <c r="F14" s="35">
        <v>14445.198689615912</v>
      </c>
      <c r="G14" s="35">
        <f t="shared" si="2"/>
        <v>0</v>
      </c>
      <c r="H14" s="36">
        <f t="shared" si="3"/>
        <v>14445.198689615912</v>
      </c>
      <c r="I14" s="43"/>
      <c r="J14" s="109"/>
      <c r="K14" s="110">
        <f>'Ordering Period 4'!K14+('Ordering Period 4'!K14*Escalation!$D$5)</f>
        <v>0</v>
      </c>
      <c r="L14" s="367"/>
      <c r="M14" s="110">
        <f>M8</f>
        <v>0</v>
      </c>
      <c r="N14" s="110">
        <f t="shared" ref="N14:Q14" si="49">N8</f>
        <v>0</v>
      </c>
      <c r="O14" s="110">
        <f t="shared" si="49"/>
        <v>0</v>
      </c>
      <c r="P14" s="110">
        <f t="shared" si="49"/>
        <v>0</v>
      </c>
      <c r="Q14" s="110">
        <f t="shared" si="49"/>
        <v>0</v>
      </c>
      <c r="R14" s="110">
        <f t="shared" si="9"/>
        <v>0</v>
      </c>
      <c r="S14" s="110">
        <f t="shared" si="10"/>
        <v>0</v>
      </c>
      <c r="T14" s="110">
        <f t="shared" si="11"/>
        <v>0</v>
      </c>
      <c r="U14" s="113">
        <f t="shared" si="12"/>
        <v>0</v>
      </c>
      <c r="V14" s="110">
        <f t="shared" si="13"/>
        <v>0</v>
      </c>
      <c r="W14" s="112">
        <f t="shared" si="14"/>
        <v>0</v>
      </c>
      <c r="Y14" s="109"/>
      <c r="Z14" s="111">
        <f>'Ordering Period 4'!Z14+('Ordering Period 4'!Z14*Escalation!$D$5)</f>
        <v>0</v>
      </c>
      <c r="AA14" s="110">
        <f t="shared" si="15"/>
        <v>0</v>
      </c>
      <c r="AB14" s="111">
        <f t="shared" si="16"/>
        <v>0</v>
      </c>
      <c r="AC14" s="111">
        <f t="shared" si="17"/>
        <v>0</v>
      </c>
      <c r="AD14" s="111"/>
      <c r="AE14" s="110">
        <f t="shared" si="18"/>
        <v>0</v>
      </c>
      <c r="AF14" s="110">
        <f t="shared" si="19"/>
        <v>0</v>
      </c>
      <c r="AG14" s="110">
        <f t="shared" si="20"/>
        <v>0</v>
      </c>
      <c r="AH14" s="110">
        <f t="shared" si="21"/>
        <v>0</v>
      </c>
      <c r="AI14" s="110">
        <f t="shared" si="22"/>
        <v>0</v>
      </c>
      <c r="AJ14" s="110">
        <f t="shared" si="23"/>
        <v>0</v>
      </c>
      <c r="AK14" s="259"/>
      <c r="AL14" s="259"/>
      <c r="AM14" s="114"/>
      <c r="AO14" s="124" t="str">
        <f t="shared" si="24"/>
        <v/>
      </c>
      <c r="AP14" s="113" t="str">
        <f t="shared" si="25"/>
        <v/>
      </c>
      <c r="AQ14" s="112">
        <f t="shared" si="26"/>
        <v>0</v>
      </c>
    </row>
    <row r="15" spans="1:48" ht="15" customHeight="1" x14ac:dyDescent="0.25">
      <c r="A15" s="680"/>
      <c r="B15" s="240">
        <f>'Total - Detail'!B16</f>
        <v>5</v>
      </c>
      <c r="C15" s="100" t="str">
        <f>'Total - Detail'!C16</f>
        <v>Material Handling Specialist</v>
      </c>
      <c r="D15" s="100" t="s">
        <v>238</v>
      </c>
      <c r="E15" s="100" t="s">
        <v>55</v>
      </c>
      <c r="F15" s="39">
        <v>6328.2994259336247</v>
      </c>
      <c r="G15" s="39">
        <f t="shared" si="2"/>
        <v>0</v>
      </c>
      <c r="H15" s="40">
        <f t="shared" si="3"/>
        <v>6328.2994259336247</v>
      </c>
      <c r="I15" s="43"/>
      <c r="J15" s="137"/>
      <c r="K15" s="41">
        <f>'Ordering Period 4'!K15+('Ordering Period 4'!K15*Escalation!$D$5)</f>
        <v>0</v>
      </c>
      <c r="L15" s="368"/>
      <c r="M15" s="41">
        <f>M9</f>
        <v>0</v>
      </c>
      <c r="N15" s="41">
        <f t="shared" ref="N15:Q15" si="50">N9</f>
        <v>0</v>
      </c>
      <c r="O15" s="41">
        <f t="shared" si="50"/>
        <v>0</v>
      </c>
      <c r="P15" s="41">
        <f t="shared" si="50"/>
        <v>0</v>
      </c>
      <c r="Q15" s="41">
        <f t="shared" si="50"/>
        <v>0</v>
      </c>
      <c r="R15" s="41">
        <f t="shared" si="9"/>
        <v>0</v>
      </c>
      <c r="S15" s="41">
        <f t="shared" si="10"/>
        <v>0</v>
      </c>
      <c r="T15" s="41">
        <f t="shared" si="11"/>
        <v>0</v>
      </c>
      <c r="U15" s="42">
        <f t="shared" si="12"/>
        <v>0</v>
      </c>
      <c r="V15" s="41">
        <f t="shared" si="13"/>
        <v>0</v>
      </c>
      <c r="W15" s="115">
        <f t="shared" si="14"/>
        <v>0</v>
      </c>
      <c r="Y15" s="137"/>
      <c r="Z15" s="5">
        <f>'Ordering Period 4'!Z15+('Ordering Period 4'!Z15*Escalation!$D$5)</f>
        <v>0</v>
      </c>
      <c r="AA15" s="41">
        <f t="shared" si="15"/>
        <v>0</v>
      </c>
      <c r="AB15" s="5">
        <f t="shared" si="16"/>
        <v>0</v>
      </c>
      <c r="AC15" s="5">
        <f t="shared" si="17"/>
        <v>0</v>
      </c>
      <c r="AD15" s="5"/>
      <c r="AE15" s="41">
        <f t="shared" si="18"/>
        <v>0</v>
      </c>
      <c r="AF15" s="41">
        <f t="shared" si="19"/>
        <v>0</v>
      </c>
      <c r="AG15" s="41">
        <f t="shared" si="20"/>
        <v>0</v>
      </c>
      <c r="AH15" s="41">
        <f t="shared" si="21"/>
        <v>0</v>
      </c>
      <c r="AI15" s="41">
        <f t="shared" si="22"/>
        <v>0</v>
      </c>
      <c r="AJ15" s="41">
        <f t="shared" si="23"/>
        <v>0</v>
      </c>
      <c r="AK15" s="10"/>
      <c r="AL15" s="10"/>
      <c r="AM15" s="7"/>
      <c r="AO15" s="138" t="str">
        <f t="shared" si="24"/>
        <v/>
      </c>
      <c r="AP15" s="42" t="str">
        <f t="shared" si="25"/>
        <v/>
      </c>
      <c r="AQ15" s="115">
        <f t="shared" si="26"/>
        <v>0</v>
      </c>
    </row>
    <row r="16" spans="1:48" ht="15.75" thickBot="1" x14ac:dyDescent="0.3">
      <c r="A16" s="680"/>
      <c r="B16" s="240">
        <f>'Total - Detail'!B17</f>
        <v>6</v>
      </c>
      <c r="C16" s="100" t="str">
        <f>'Total - Detail'!C17</f>
        <v>Inspector</v>
      </c>
      <c r="D16" s="100" t="s">
        <v>235</v>
      </c>
      <c r="E16" s="100" t="s">
        <v>55</v>
      </c>
      <c r="F16" s="39">
        <v>1981.0998202861908</v>
      </c>
      <c r="G16" s="39">
        <f t="shared" si="2"/>
        <v>0</v>
      </c>
      <c r="H16" s="40">
        <f t="shared" si="3"/>
        <v>1981.0998202861908</v>
      </c>
      <c r="I16" s="43"/>
      <c r="J16" s="137"/>
      <c r="K16" s="41">
        <v>0</v>
      </c>
      <c r="L16" s="368"/>
      <c r="M16" s="41">
        <f>M10</f>
        <v>0</v>
      </c>
      <c r="N16" s="41">
        <f t="shared" ref="N16:Q16" si="51">N10</f>
        <v>0</v>
      </c>
      <c r="O16" s="41">
        <f t="shared" si="51"/>
        <v>0</v>
      </c>
      <c r="P16" s="41">
        <f t="shared" si="51"/>
        <v>0</v>
      </c>
      <c r="Q16" s="41">
        <f t="shared" si="51"/>
        <v>0</v>
      </c>
      <c r="R16" s="41">
        <f t="shared" si="9"/>
        <v>0</v>
      </c>
      <c r="S16" s="41">
        <f t="shared" si="10"/>
        <v>0</v>
      </c>
      <c r="T16" s="41">
        <f t="shared" si="11"/>
        <v>0</v>
      </c>
      <c r="U16" s="42">
        <f t="shared" si="12"/>
        <v>0</v>
      </c>
      <c r="V16" s="41">
        <f t="shared" si="13"/>
        <v>0</v>
      </c>
      <c r="W16" s="115">
        <f t="shared" si="14"/>
        <v>0</v>
      </c>
      <c r="Y16" s="137"/>
      <c r="Z16" s="5">
        <f>'Ordering Period 4'!Z16+('Ordering Period 4'!Z16*Escalation!$D$5)</f>
        <v>0</v>
      </c>
      <c r="AA16" s="41">
        <f t="shared" si="15"/>
        <v>0</v>
      </c>
      <c r="AB16" s="5">
        <f t="shared" si="16"/>
        <v>0</v>
      </c>
      <c r="AC16" s="5">
        <f t="shared" si="17"/>
        <v>0</v>
      </c>
      <c r="AD16" s="5"/>
      <c r="AE16" s="41">
        <f t="shared" si="18"/>
        <v>0</v>
      </c>
      <c r="AF16" s="41">
        <f t="shared" si="19"/>
        <v>0</v>
      </c>
      <c r="AG16" s="41">
        <f t="shared" si="20"/>
        <v>0</v>
      </c>
      <c r="AH16" s="41">
        <f t="shared" si="21"/>
        <v>0</v>
      </c>
      <c r="AI16" s="41">
        <f t="shared" si="22"/>
        <v>0</v>
      </c>
      <c r="AJ16" s="41">
        <f t="shared" si="23"/>
        <v>0</v>
      </c>
      <c r="AK16" s="10"/>
      <c r="AL16" s="10"/>
      <c r="AM16" s="7"/>
      <c r="AO16" s="138" t="str">
        <f t="shared" si="24"/>
        <v/>
      </c>
      <c r="AP16" s="42" t="str">
        <f t="shared" si="25"/>
        <v/>
      </c>
      <c r="AQ16" s="115">
        <f t="shared" si="26"/>
        <v>0</v>
      </c>
    </row>
    <row r="17" spans="1:47" ht="15.75" thickBot="1" x14ac:dyDescent="0.3">
      <c r="A17" s="681"/>
      <c r="B17" s="242">
        <f>'Total - Detail'!B18</f>
        <v>2</v>
      </c>
      <c r="C17" s="127" t="str">
        <f>'Total - Detail'!C18</f>
        <v>Field Service Representative</v>
      </c>
      <c r="D17" s="210" t="s">
        <v>289</v>
      </c>
      <c r="E17" s="127" t="s">
        <v>55</v>
      </c>
      <c r="F17" s="128">
        <v>3163.5997130167048</v>
      </c>
      <c r="G17" s="128">
        <f t="shared" si="2"/>
        <v>0</v>
      </c>
      <c r="H17" s="129">
        <f t="shared" si="3"/>
        <v>3163.5997130167048</v>
      </c>
      <c r="I17" s="43"/>
      <c r="J17" s="146"/>
      <c r="K17" s="143">
        <f>'Ordering Period 4'!K17+('Ordering Period 4'!K17*Escalation!$D$5)</f>
        <v>0</v>
      </c>
      <c r="L17" s="369"/>
      <c r="M17" s="143">
        <f>M6</f>
        <v>0</v>
      </c>
      <c r="N17" s="143">
        <f>N6</f>
        <v>0</v>
      </c>
      <c r="O17" s="143">
        <f>O6</f>
        <v>0</v>
      </c>
      <c r="P17" s="143">
        <f>P6</f>
        <v>0</v>
      </c>
      <c r="Q17" s="143">
        <f>Q6</f>
        <v>0</v>
      </c>
      <c r="R17" s="143">
        <f t="shared" si="9"/>
        <v>0</v>
      </c>
      <c r="S17" s="143">
        <f t="shared" si="10"/>
        <v>0</v>
      </c>
      <c r="T17" s="143">
        <f t="shared" si="11"/>
        <v>0</v>
      </c>
      <c r="U17" s="149">
        <f t="shared" si="12"/>
        <v>0</v>
      </c>
      <c r="V17" s="143">
        <f t="shared" si="13"/>
        <v>0</v>
      </c>
      <c r="W17" s="145">
        <f t="shared" si="14"/>
        <v>0</v>
      </c>
      <c r="Y17" s="146"/>
      <c r="Z17" s="144">
        <f>'Ordering Period 4'!Z17+('Ordering Period 4'!Z17*Escalation!$D$5)</f>
        <v>0</v>
      </c>
      <c r="AA17" s="143">
        <f t="shared" si="15"/>
        <v>0</v>
      </c>
      <c r="AB17" s="144">
        <f t="shared" si="16"/>
        <v>0</v>
      </c>
      <c r="AC17" s="144">
        <f t="shared" si="17"/>
        <v>0</v>
      </c>
      <c r="AD17" s="144"/>
      <c r="AE17" s="143">
        <f t="shared" si="18"/>
        <v>0</v>
      </c>
      <c r="AF17" s="143">
        <f t="shared" si="19"/>
        <v>0</v>
      </c>
      <c r="AG17" s="143">
        <f t="shared" si="20"/>
        <v>0</v>
      </c>
      <c r="AH17" s="143">
        <f t="shared" si="21"/>
        <v>0</v>
      </c>
      <c r="AI17" s="143">
        <f t="shared" si="22"/>
        <v>0</v>
      </c>
      <c r="AJ17" s="143">
        <f t="shared" si="23"/>
        <v>0</v>
      </c>
      <c r="AK17" s="260"/>
      <c r="AL17" s="260"/>
      <c r="AM17" s="147"/>
      <c r="AO17" s="148" t="str">
        <f t="shared" si="24"/>
        <v/>
      </c>
      <c r="AP17" s="149" t="str">
        <f t="shared" si="25"/>
        <v/>
      </c>
      <c r="AQ17" s="145">
        <f t="shared" si="26"/>
        <v>0</v>
      </c>
    </row>
    <row r="18" spans="1:47" x14ac:dyDescent="0.25">
      <c r="A18" s="679" t="s">
        <v>208</v>
      </c>
      <c r="B18" s="241">
        <f>'Total - Detail'!B19</f>
        <v>2</v>
      </c>
      <c r="C18" s="101" t="str">
        <f>'Total - Detail'!C19</f>
        <v>Field Service Representative</v>
      </c>
      <c r="D18" s="101" t="s">
        <v>289</v>
      </c>
      <c r="E18" s="101" t="s">
        <v>55</v>
      </c>
      <c r="F18" s="35">
        <v>1814.9998353538119</v>
      </c>
      <c r="G18" s="35">
        <f t="shared" si="2"/>
        <v>0</v>
      </c>
      <c r="H18" s="36">
        <f t="shared" si="3"/>
        <v>1814.9998353538119</v>
      </c>
      <c r="I18" s="43"/>
      <c r="J18" s="109"/>
      <c r="K18" s="110">
        <f>'Ordering Period 4'!K18+('Ordering Period 4'!K18*Escalation!$D$5)</f>
        <v>0</v>
      </c>
      <c r="L18" s="367"/>
      <c r="M18" s="110">
        <f>M6</f>
        <v>0</v>
      </c>
      <c r="N18" s="110">
        <f>N6</f>
        <v>0</v>
      </c>
      <c r="O18" s="110">
        <f>O6</f>
        <v>0</v>
      </c>
      <c r="P18" s="110">
        <f>P6</f>
        <v>0</v>
      </c>
      <c r="Q18" s="110">
        <f>Q6</f>
        <v>0</v>
      </c>
      <c r="R18" s="110">
        <f t="shared" si="9"/>
        <v>0</v>
      </c>
      <c r="S18" s="110">
        <f t="shared" si="10"/>
        <v>0</v>
      </c>
      <c r="T18" s="110">
        <f t="shared" si="11"/>
        <v>0</v>
      </c>
      <c r="U18" s="113">
        <f t="shared" si="12"/>
        <v>0</v>
      </c>
      <c r="V18" s="110">
        <f t="shared" si="13"/>
        <v>0</v>
      </c>
      <c r="W18" s="112">
        <f t="shared" si="14"/>
        <v>0</v>
      </c>
      <c r="Y18" s="109"/>
      <c r="Z18" s="111">
        <f>'Ordering Period 4'!Z18+('Ordering Period 4'!Z18*Escalation!$D$5)</f>
        <v>0</v>
      </c>
      <c r="AA18" s="110">
        <f t="shared" si="15"/>
        <v>0</v>
      </c>
      <c r="AB18" s="111">
        <f t="shared" si="16"/>
        <v>0</v>
      </c>
      <c r="AC18" s="111">
        <f t="shared" si="17"/>
        <v>0</v>
      </c>
      <c r="AD18" s="111"/>
      <c r="AE18" s="110">
        <f t="shared" si="18"/>
        <v>0</v>
      </c>
      <c r="AF18" s="110">
        <f t="shared" si="19"/>
        <v>0</v>
      </c>
      <c r="AG18" s="110">
        <f t="shared" si="20"/>
        <v>0</v>
      </c>
      <c r="AH18" s="110">
        <f t="shared" si="21"/>
        <v>0</v>
      </c>
      <c r="AI18" s="110">
        <f t="shared" si="22"/>
        <v>0</v>
      </c>
      <c r="AJ18" s="110">
        <f t="shared" si="23"/>
        <v>0</v>
      </c>
      <c r="AK18" s="259"/>
      <c r="AL18" s="259"/>
      <c r="AM18" s="114"/>
      <c r="AO18" s="124" t="str">
        <f t="shared" si="24"/>
        <v/>
      </c>
      <c r="AP18" s="113" t="str">
        <f t="shared" si="25"/>
        <v/>
      </c>
      <c r="AQ18" s="112">
        <f t="shared" si="26"/>
        <v>0</v>
      </c>
    </row>
    <row r="19" spans="1:47" x14ac:dyDescent="0.25">
      <c r="A19" s="680"/>
      <c r="B19" s="240">
        <f>'Total - Detail'!B20</f>
        <v>10</v>
      </c>
      <c r="C19" s="100" t="str">
        <f>'Total - Detail'!C20</f>
        <v>MWO Installer</v>
      </c>
      <c r="D19" s="100" t="s">
        <v>288</v>
      </c>
      <c r="E19" s="100" t="s">
        <v>55</v>
      </c>
      <c r="F19" s="39">
        <v>23634.597856007273</v>
      </c>
      <c r="G19" s="39">
        <f t="shared" si="2"/>
        <v>0</v>
      </c>
      <c r="H19" s="40">
        <f t="shared" si="3"/>
        <v>23634.597856007273</v>
      </c>
      <c r="I19" s="43"/>
      <c r="J19" s="137"/>
      <c r="K19" s="41">
        <f>'Ordering Period 4'!K19+('Ordering Period 4'!K19*Escalation!$D$5)</f>
        <v>0</v>
      </c>
      <c r="L19" s="368"/>
      <c r="M19" s="5">
        <f t="shared" si="4"/>
        <v>0</v>
      </c>
      <c r="N19" s="5">
        <f t="shared" si="5"/>
        <v>0</v>
      </c>
      <c r="O19" s="5">
        <f t="shared" si="6"/>
        <v>0</v>
      </c>
      <c r="P19" s="5">
        <f t="shared" si="7"/>
        <v>0</v>
      </c>
      <c r="Q19" s="5">
        <f t="shared" si="8"/>
        <v>0</v>
      </c>
      <c r="R19" s="41">
        <f t="shared" si="9"/>
        <v>0</v>
      </c>
      <c r="S19" s="41">
        <f t="shared" si="10"/>
        <v>0</v>
      </c>
      <c r="T19" s="41">
        <f t="shared" si="11"/>
        <v>0</v>
      </c>
      <c r="U19" s="42">
        <f t="shared" si="12"/>
        <v>0</v>
      </c>
      <c r="V19" s="41">
        <f t="shared" si="13"/>
        <v>0</v>
      </c>
      <c r="W19" s="115">
        <f t="shared" si="14"/>
        <v>0</v>
      </c>
      <c r="Y19" s="137"/>
      <c r="Z19" s="5">
        <f>'Ordering Period 4'!Z19+('Ordering Period 4'!Z19*Escalation!$D$5)</f>
        <v>0</v>
      </c>
      <c r="AA19" s="41">
        <f t="shared" si="15"/>
        <v>0</v>
      </c>
      <c r="AB19" s="5">
        <f t="shared" si="16"/>
        <v>0</v>
      </c>
      <c r="AC19" s="5">
        <f t="shared" si="17"/>
        <v>0</v>
      </c>
      <c r="AD19" s="5"/>
      <c r="AE19" s="41">
        <f t="shared" si="18"/>
        <v>0</v>
      </c>
      <c r="AF19" s="41">
        <f t="shared" si="19"/>
        <v>0</v>
      </c>
      <c r="AG19" s="41">
        <f t="shared" si="20"/>
        <v>0</v>
      </c>
      <c r="AH19" s="41">
        <f t="shared" si="21"/>
        <v>0</v>
      </c>
      <c r="AI19" s="41">
        <f t="shared" si="22"/>
        <v>0</v>
      </c>
      <c r="AJ19" s="41">
        <f t="shared" si="23"/>
        <v>0</v>
      </c>
      <c r="AK19" s="10"/>
      <c r="AL19" s="10"/>
      <c r="AM19" s="7"/>
      <c r="AO19" s="138" t="str">
        <f t="shared" si="24"/>
        <v/>
      </c>
      <c r="AP19" s="42" t="str">
        <f t="shared" si="25"/>
        <v/>
      </c>
      <c r="AQ19" s="115">
        <f t="shared" si="26"/>
        <v>0</v>
      </c>
    </row>
    <row r="20" spans="1:47" x14ac:dyDescent="0.25">
      <c r="A20" s="680"/>
      <c r="B20" s="240">
        <f>'Total - Detail'!B21</f>
        <v>6</v>
      </c>
      <c r="C20" s="100" t="str">
        <f>'Total - Detail'!C21</f>
        <v>Inspector</v>
      </c>
      <c r="D20" s="100" t="s">
        <v>240</v>
      </c>
      <c r="E20" s="100" t="s">
        <v>55</v>
      </c>
      <c r="F20" s="39">
        <v>6135.7994433960985</v>
      </c>
      <c r="G20" s="39">
        <f t="shared" si="2"/>
        <v>0</v>
      </c>
      <c r="H20" s="40">
        <f t="shared" si="3"/>
        <v>6135.7994433960985</v>
      </c>
      <c r="I20" s="43"/>
      <c r="J20" s="137"/>
      <c r="K20" s="41">
        <f>'Ordering Period 4'!K20+('Ordering Period 4'!K20*Escalation!$D$5)</f>
        <v>0</v>
      </c>
      <c r="L20" s="368"/>
      <c r="M20" s="41">
        <f>M10</f>
        <v>0</v>
      </c>
      <c r="N20" s="41">
        <f t="shared" ref="N20:Q20" si="52">N10</f>
        <v>0</v>
      </c>
      <c r="O20" s="41">
        <f t="shared" si="52"/>
        <v>0</v>
      </c>
      <c r="P20" s="41">
        <f t="shared" si="52"/>
        <v>0</v>
      </c>
      <c r="Q20" s="41">
        <f t="shared" si="52"/>
        <v>0</v>
      </c>
      <c r="R20" s="41">
        <f t="shared" si="9"/>
        <v>0</v>
      </c>
      <c r="S20" s="41">
        <f t="shared" si="10"/>
        <v>0</v>
      </c>
      <c r="T20" s="41">
        <f t="shared" si="11"/>
        <v>0</v>
      </c>
      <c r="U20" s="42">
        <f t="shared" si="12"/>
        <v>0</v>
      </c>
      <c r="V20" s="41">
        <f t="shared" si="13"/>
        <v>0</v>
      </c>
      <c r="W20" s="115">
        <f t="shared" si="14"/>
        <v>0</v>
      </c>
      <c r="Y20" s="137"/>
      <c r="Z20" s="5">
        <f>'Ordering Period 4'!Z20+('Ordering Period 4'!Z20*Escalation!$D$5)</f>
        <v>0</v>
      </c>
      <c r="AA20" s="41">
        <f t="shared" si="15"/>
        <v>0</v>
      </c>
      <c r="AB20" s="5">
        <f t="shared" si="16"/>
        <v>0</v>
      </c>
      <c r="AC20" s="5">
        <f t="shared" si="17"/>
        <v>0</v>
      </c>
      <c r="AD20" s="5"/>
      <c r="AE20" s="41">
        <f t="shared" si="18"/>
        <v>0</v>
      </c>
      <c r="AF20" s="41">
        <f t="shared" si="19"/>
        <v>0</v>
      </c>
      <c r="AG20" s="41">
        <f t="shared" si="20"/>
        <v>0</v>
      </c>
      <c r="AH20" s="41">
        <f t="shared" si="21"/>
        <v>0</v>
      </c>
      <c r="AI20" s="41">
        <f t="shared" si="22"/>
        <v>0</v>
      </c>
      <c r="AJ20" s="41">
        <f t="shared" si="23"/>
        <v>0</v>
      </c>
      <c r="AK20" s="10"/>
      <c r="AL20" s="10"/>
      <c r="AM20" s="7"/>
      <c r="AO20" s="138" t="str">
        <f t="shared" si="24"/>
        <v/>
      </c>
      <c r="AP20" s="42" t="str">
        <f t="shared" si="25"/>
        <v/>
      </c>
      <c r="AQ20" s="115">
        <f t="shared" si="26"/>
        <v>0</v>
      </c>
    </row>
    <row r="21" spans="1:47" ht="15.75" thickBot="1" x14ac:dyDescent="0.3">
      <c r="A21" s="681"/>
      <c r="B21" s="242">
        <f>'Total - Detail'!B22</f>
        <v>8</v>
      </c>
      <c r="C21" s="127" t="str">
        <f>'Total - Detail'!C22</f>
        <v>Welder</v>
      </c>
      <c r="D21" s="127" t="s">
        <v>239</v>
      </c>
      <c r="E21" s="127" t="s">
        <v>55</v>
      </c>
      <c r="F21" s="128">
        <v>4718.9995719199114</v>
      </c>
      <c r="G21" s="128">
        <f t="shared" si="2"/>
        <v>0</v>
      </c>
      <c r="H21" s="129">
        <f t="shared" si="3"/>
        <v>4718.9995719199114</v>
      </c>
      <c r="I21" s="43"/>
      <c r="J21" s="146"/>
      <c r="K21" s="143">
        <f>'Ordering Period 4'!K21+('Ordering Period 4'!K21*Escalation!$D$5)</f>
        <v>0</v>
      </c>
      <c r="L21" s="369"/>
      <c r="M21" s="143">
        <f>M12</f>
        <v>0</v>
      </c>
      <c r="N21" s="143">
        <f t="shared" ref="N21:Q21" si="53">N12</f>
        <v>0</v>
      </c>
      <c r="O21" s="143">
        <f t="shared" si="53"/>
        <v>0</v>
      </c>
      <c r="P21" s="143">
        <f t="shared" si="53"/>
        <v>0</v>
      </c>
      <c r="Q21" s="143">
        <f t="shared" si="53"/>
        <v>0</v>
      </c>
      <c r="R21" s="143">
        <f t="shared" si="9"/>
        <v>0</v>
      </c>
      <c r="S21" s="143">
        <f t="shared" si="10"/>
        <v>0</v>
      </c>
      <c r="T21" s="143">
        <f t="shared" si="11"/>
        <v>0</v>
      </c>
      <c r="U21" s="149">
        <f t="shared" si="12"/>
        <v>0</v>
      </c>
      <c r="V21" s="143">
        <f t="shared" si="13"/>
        <v>0</v>
      </c>
      <c r="W21" s="145">
        <f t="shared" si="14"/>
        <v>0</v>
      </c>
      <c r="Y21" s="146"/>
      <c r="Z21" s="144">
        <f>'Ordering Period 4'!Z21+('Ordering Period 4'!Z21*Escalation!$D$5)</f>
        <v>0</v>
      </c>
      <c r="AA21" s="143">
        <f t="shared" si="15"/>
        <v>0</v>
      </c>
      <c r="AB21" s="144">
        <f t="shared" si="16"/>
        <v>0</v>
      </c>
      <c r="AC21" s="144">
        <f t="shared" si="17"/>
        <v>0</v>
      </c>
      <c r="AD21" s="144"/>
      <c r="AE21" s="143">
        <f t="shared" si="18"/>
        <v>0</v>
      </c>
      <c r="AF21" s="143">
        <f t="shared" si="19"/>
        <v>0</v>
      </c>
      <c r="AG21" s="143">
        <f t="shared" si="20"/>
        <v>0</v>
      </c>
      <c r="AH21" s="143">
        <f t="shared" si="21"/>
        <v>0</v>
      </c>
      <c r="AI21" s="143">
        <f t="shared" si="22"/>
        <v>0</v>
      </c>
      <c r="AJ21" s="143">
        <f t="shared" si="23"/>
        <v>0</v>
      </c>
      <c r="AK21" s="260"/>
      <c r="AL21" s="260"/>
      <c r="AM21" s="147"/>
      <c r="AO21" s="148" t="str">
        <f t="shared" si="24"/>
        <v/>
      </c>
      <c r="AP21" s="149" t="str">
        <f t="shared" si="25"/>
        <v/>
      </c>
      <c r="AQ21" s="145">
        <f t="shared" si="26"/>
        <v>0</v>
      </c>
    </row>
    <row r="22" spans="1:47" ht="18" thickBot="1" x14ac:dyDescent="0.35">
      <c r="A22" s="419" t="s">
        <v>77</v>
      </c>
      <c r="B22" s="58"/>
      <c r="C22" s="11"/>
      <c r="D22" s="17"/>
      <c r="E22" s="11"/>
      <c r="F22" s="424"/>
      <c r="G22" s="424"/>
      <c r="H22" s="425"/>
      <c r="I22" s="99"/>
      <c r="J22" s="406"/>
      <c r="K22" s="426"/>
      <c r="L22" s="407"/>
      <c r="M22" s="407"/>
      <c r="N22" s="407"/>
      <c r="O22" s="407"/>
      <c r="P22" s="407"/>
      <c r="Q22" s="407"/>
      <c r="R22" s="407"/>
      <c r="S22" s="407"/>
      <c r="T22" s="407"/>
      <c r="U22" s="407"/>
      <c r="V22" s="407"/>
      <c r="W22" s="427"/>
      <c r="Y22" s="406"/>
      <c r="Z22" s="407"/>
      <c r="AA22" s="407"/>
      <c r="AB22" s="407"/>
      <c r="AC22" s="407"/>
      <c r="AD22" s="407"/>
      <c r="AE22" s="407"/>
      <c r="AF22" s="407"/>
      <c r="AG22" s="407"/>
      <c r="AH22" s="407"/>
      <c r="AI22" s="407"/>
      <c r="AJ22" s="407"/>
      <c r="AK22" s="408"/>
      <c r="AL22" s="408"/>
      <c r="AM22" s="409"/>
      <c r="AO22" s="428"/>
      <c r="AP22" s="429"/>
      <c r="AQ22" s="427"/>
    </row>
    <row r="23" spans="1:47" ht="15.75" thickBot="1" x14ac:dyDescent="0.3">
      <c r="A23" s="694" t="s">
        <v>43</v>
      </c>
      <c r="B23" s="415">
        <f>'Total - Detail'!B24</f>
        <v>11</v>
      </c>
      <c r="C23" s="210" t="str">
        <f>'Total - Detail'!C24</f>
        <v xml:space="preserve">Field Service Representative </v>
      </c>
      <c r="D23" s="210" t="s">
        <v>289</v>
      </c>
      <c r="E23" s="210" t="s">
        <v>77</v>
      </c>
      <c r="F23" s="211">
        <v>6177.7094395942677</v>
      </c>
      <c r="G23" s="211">
        <f t="shared" ref="G23:G38" si="54">SUM(J23,Y23)</f>
        <v>0</v>
      </c>
      <c r="H23" s="212">
        <f t="shared" ref="H23:H38" si="55">F23-G23</f>
        <v>6177.7094395942677</v>
      </c>
      <c r="I23" s="43"/>
      <c r="J23" s="214"/>
      <c r="K23" s="216">
        <f>'Ordering Period 4'!K23+('Ordering Period 4'!K23*Escalation!$D$5)</f>
        <v>0</v>
      </c>
      <c r="L23" s="249">
        <f t="shared" ref="L23:L36" si="56">(K23*$L$4)</f>
        <v>0</v>
      </c>
      <c r="M23" s="249">
        <f t="shared" ref="M23:M36" si="57">(K23+L23)*$M$4</f>
        <v>0</v>
      </c>
      <c r="N23" s="249">
        <f t="shared" ref="N23:N36" si="58">(M23+L23+K23)*$N$4</f>
        <v>0</v>
      </c>
      <c r="O23" s="249">
        <f t="shared" ref="O23:O36" si="59">(K23+L23+M23)*$O$4</f>
        <v>0</v>
      </c>
      <c r="P23" s="249">
        <f t="shared" ref="P23:P36" si="60">(K23+L23+M23+N23+O23)*$P$4</f>
        <v>0</v>
      </c>
      <c r="Q23" s="249">
        <f t="shared" ref="Q23:Q36" si="61">(K23+M23+N23+O23+P23)*$Q$4</f>
        <v>0</v>
      </c>
      <c r="R23" s="216">
        <f t="shared" ref="R23:R38" si="62">SUM(K23:Q23)</f>
        <v>0</v>
      </c>
      <c r="S23" s="216">
        <f t="shared" ref="S23:S38" si="63">(R23-Q23)*$S$4</f>
        <v>0</v>
      </c>
      <c r="T23" s="216">
        <f t="shared" ref="T23:T38" si="64">SUM(R23:S23)</f>
        <v>0</v>
      </c>
      <c r="U23" s="216">
        <f t="shared" ref="U23:U38" si="65">R23*J23</f>
        <v>0</v>
      </c>
      <c r="V23" s="216">
        <f t="shared" ref="V23:V38" si="66">S23*J23</f>
        <v>0</v>
      </c>
      <c r="W23" s="217">
        <f t="shared" ref="W23:W38" si="67">T23*J23</f>
        <v>0</v>
      </c>
      <c r="Y23" s="214"/>
      <c r="Z23" s="249">
        <f>'Ordering Period 4'!Z23+('Ordering Period 4'!Z23*Escalation!$D$5)</f>
        <v>0</v>
      </c>
      <c r="AA23" s="216">
        <f t="shared" ref="AA23:AA38" si="68">IF($Y23&gt;0,$Z23,0)</f>
        <v>0</v>
      </c>
      <c r="AB23" s="249">
        <f t="shared" ref="AB23:AB38" si="69">(AA23*$AB$4)</f>
        <v>0</v>
      </c>
      <c r="AC23" s="249">
        <f t="shared" ref="AC23:AC38" si="70">(AA23+AB23)*$AC$4</f>
        <v>0</v>
      </c>
      <c r="AD23" s="249"/>
      <c r="AE23" s="216">
        <f t="shared" ref="AE23:AE38" si="71">SUM(AA23:AD23)</f>
        <v>0</v>
      </c>
      <c r="AF23" s="216">
        <f t="shared" ref="AF23:AF38" si="72">$AF$4*(AC23+AA23+AB23)</f>
        <v>0</v>
      </c>
      <c r="AG23" s="216">
        <f t="shared" ref="AG23:AG38" si="73">SUM(AE23:AF23)</f>
        <v>0</v>
      </c>
      <c r="AH23" s="216">
        <f t="shared" ref="AH23:AH38" si="74">AE23*Y23</f>
        <v>0</v>
      </c>
      <c r="AI23" s="216">
        <f t="shared" ref="AI23:AI38" si="75">AF23*Y23</f>
        <v>0</v>
      </c>
      <c r="AJ23" s="216">
        <f t="shared" ref="AJ23:AJ38" si="76">AG23*Y23</f>
        <v>0</v>
      </c>
      <c r="AK23" s="433"/>
      <c r="AL23" s="433"/>
      <c r="AM23" s="250"/>
      <c r="AO23" s="252" t="str">
        <f t="shared" ref="AO23:AO38" si="77">IFERROR(SUM(U23,AH23)/G23,"")</f>
        <v/>
      </c>
      <c r="AP23" s="253" t="str">
        <f t="shared" ref="AP23:AP38" si="78">IFERROR(SUM(V23,AI23)/G23,"")</f>
        <v/>
      </c>
      <c r="AQ23" s="217">
        <f t="shared" ref="AQ23:AQ38" si="79">SUM(AO23:AP23)</f>
        <v>0</v>
      </c>
    </row>
    <row r="24" spans="1:47" ht="15.75" thickBot="1" x14ac:dyDescent="0.3">
      <c r="A24" s="695"/>
      <c r="B24" s="416">
        <f>'Total - Detail'!B25</f>
        <v>12</v>
      </c>
      <c r="C24" s="257" t="s">
        <v>290</v>
      </c>
      <c r="D24" s="257" t="s">
        <v>240</v>
      </c>
      <c r="E24" s="257" t="s">
        <v>77</v>
      </c>
      <c r="F24" s="258">
        <v>11472.888959246498</v>
      </c>
      <c r="G24" s="258"/>
      <c r="H24" s="212">
        <f t="shared" si="55"/>
        <v>11472.888959246498</v>
      </c>
      <c r="I24" s="43"/>
      <c r="J24" s="630"/>
      <c r="K24" s="631"/>
      <c r="L24" s="633"/>
      <c r="M24" s="249">
        <f t="shared" ref="M24" si="80">(K24*$M$4)</f>
        <v>0</v>
      </c>
      <c r="N24" s="249">
        <f t="shared" ref="N24" si="81">(M24+K24)*$N$4</f>
        <v>0</v>
      </c>
      <c r="O24" s="249">
        <f t="shared" ref="O24" si="82">(K24+M24)*$O$4</f>
        <v>0</v>
      </c>
      <c r="P24" s="249">
        <f t="shared" ref="P24" si="83">(M24+K24+N24+O24)*$P$4</f>
        <v>0</v>
      </c>
      <c r="Q24" s="249">
        <f t="shared" si="61"/>
        <v>0</v>
      </c>
      <c r="R24" s="216">
        <f t="shared" si="62"/>
        <v>0</v>
      </c>
      <c r="S24" s="216">
        <f t="shared" si="63"/>
        <v>0</v>
      </c>
      <c r="T24" s="216">
        <f t="shared" si="64"/>
        <v>0</v>
      </c>
      <c r="U24" s="253">
        <f t="shared" si="65"/>
        <v>0</v>
      </c>
      <c r="V24" s="216">
        <f t="shared" si="66"/>
        <v>0</v>
      </c>
      <c r="W24" s="217">
        <f t="shared" si="67"/>
        <v>0</v>
      </c>
      <c r="Y24" s="214"/>
      <c r="Z24" s="249">
        <f>'Ordering Period 4'!Z24+('Ordering Period 4'!Z24*Escalation!$D$5)</f>
        <v>0</v>
      </c>
      <c r="AA24" s="216">
        <f t="shared" si="68"/>
        <v>0</v>
      </c>
      <c r="AB24" s="249">
        <f t="shared" si="69"/>
        <v>0</v>
      </c>
      <c r="AC24" s="249">
        <f t="shared" si="70"/>
        <v>0</v>
      </c>
      <c r="AD24" s="249"/>
      <c r="AE24" s="216">
        <f t="shared" si="71"/>
        <v>0</v>
      </c>
      <c r="AF24" s="216">
        <f t="shared" si="72"/>
        <v>0</v>
      </c>
      <c r="AG24" s="216">
        <f t="shared" si="73"/>
        <v>0</v>
      </c>
      <c r="AH24" s="216">
        <f t="shared" si="74"/>
        <v>0</v>
      </c>
      <c r="AI24" s="216">
        <f t="shared" si="75"/>
        <v>0</v>
      </c>
      <c r="AJ24" s="216">
        <f t="shared" si="76"/>
        <v>0</v>
      </c>
      <c r="AK24" s="433"/>
      <c r="AL24" s="433"/>
      <c r="AM24" s="250"/>
      <c r="AO24" s="252" t="str">
        <f t="shared" si="77"/>
        <v/>
      </c>
      <c r="AP24" s="253" t="str">
        <f t="shared" si="78"/>
        <v/>
      </c>
      <c r="AQ24" s="217">
        <f t="shared" si="79"/>
        <v>0</v>
      </c>
    </row>
    <row r="25" spans="1:47" s="11" customFormat="1" x14ac:dyDescent="0.25">
      <c r="A25" s="679" t="s">
        <v>205</v>
      </c>
      <c r="B25" s="241">
        <f>'Total - Detail'!B26</f>
        <v>13</v>
      </c>
      <c r="C25" s="101" t="str">
        <f>'Total - Detail'!C26</f>
        <v>Heavy Equipment Mechanic</v>
      </c>
      <c r="D25" s="101" t="s">
        <v>236</v>
      </c>
      <c r="E25" s="101" t="s">
        <v>77</v>
      </c>
      <c r="F25" s="35">
        <v>668.79993933037429</v>
      </c>
      <c r="G25" s="35">
        <f t="shared" si="54"/>
        <v>0</v>
      </c>
      <c r="H25" s="36">
        <f t="shared" si="55"/>
        <v>668.79993933037429</v>
      </c>
      <c r="I25" s="43"/>
      <c r="J25" s="3"/>
      <c r="K25" s="37">
        <f>'Ordering Period 4'!K25+('Ordering Period 4'!K25*Escalation!$D$5)</f>
        <v>0</v>
      </c>
      <c r="L25" s="4">
        <f t="shared" si="56"/>
        <v>0</v>
      </c>
      <c r="M25" s="4">
        <f t="shared" si="57"/>
        <v>0</v>
      </c>
      <c r="N25" s="4">
        <f t="shared" si="58"/>
        <v>0</v>
      </c>
      <c r="O25" s="4">
        <f t="shared" si="59"/>
        <v>0</v>
      </c>
      <c r="P25" s="4">
        <f t="shared" si="60"/>
        <v>0</v>
      </c>
      <c r="Q25" s="4">
        <f t="shared" si="61"/>
        <v>0</v>
      </c>
      <c r="R25" s="37">
        <f t="shared" si="62"/>
        <v>0</v>
      </c>
      <c r="S25" s="37">
        <f t="shared" si="63"/>
        <v>0</v>
      </c>
      <c r="T25" s="37">
        <f t="shared" si="64"/>
        <v>0</v>
      </c>
      <c r="U25" s="37">
        <f t="shared" si="65"/>
        <v>0</v>
      </c>
      <c r="V25" s="37">
        <f t="shared" si="66"/>
        <v>0</v>
      </c>
      <c r="W25" s="38">
        <f t="shared" si="67"/>
        <v>0</v>
      </c>
      <c r="X25" s="9"/>
      <c r="Y25" s="109"/>
      <c r="Z25" s="111">
        <f>'Ordering Period 4'!Z25+('Ordering Period 4'!Z25*Escalation!$D$5)</f>
        <v>0</v>
      </c>
      <c r="AA25" s="110">
        <f t="shared" si="68"/>
        <v>0</v>
      </c>
      <c r="AB25" s="111">
        <f t="shared" si="69"/>
        <v>0</v>
      </c>
      <c r="AC25" s="111">
        <f t="shared" si="70"/>
        <v>0</v>
      </c>
      <c r="AD25" s="111"/>
      <c r="AE25" s="110">
        <f t="shared" si="71"/>
        <v>0</v>
      </c>
      <c r="AF25" s="110">
        <f t="shared" si="72"/>
        <v>0</v>
      </c>
      <c r="AG25" s="110">
        <f t="shared" si="73"/>
        <v>0</v>
      </c>
      <c r="AH25" s="110">
        <f t="shared" si="74"/>
        <v>0</v>
      </c>
      <c r="AI25" s="110">
        <f t="shared" si="75"/>
        <v>0</v>
      </c>
      <c r="AJ25" s="110">
        <f t="shared" si="76"/>
        <v>0</v>
      </c>
      <c r="AK25" s="259"/>
      <c r="AL25" s="259"/>
      <c r="AM25" s="114"/>
      <c r="AN25" s="9"/>
      <c r="AO25" s="124" t="str">
        <f t="shared" si="77"/>
        <v/>
      </c>
      <c r="AP25" s="113" t="str">
        <f t="shared" si="78"/>
        <v/>
      </c>
      <c r="AQ25" s="112">
        <f t="shared" si="79"/>
        <v>0</v>
      </c>
      <c r="AR25" s="9"/>
      <c r="AS25" s="9"/>
      <c r="AU25" s="322"/>
    </row>
    <row r="26" spans="1:47" s="11" customFormat="1" x14ac:dyDescent="0.25">
      <c r="A26" s="680"/>
      <c r="B26" s="240">
        <f>'Total - Detail'!B27</f>
        <v>14</v>
      </c>
      <c r="C26" s="100" t="str">
        <f>'Total - Detail'!C27</f>
        <v>Material Handling Specialist</v>
      </c>
      <c r="D26" s="100" t="s">
        <v>238</v>
      </c>
      <c r="E26" s="100" t="s">
        <v>77</v>
      </c>
      <c r="F26" s="39">
        <v>2899.5997369652414</v>
      </c>
      <c r="G26" s="39">
        <f t="shared" si="54"/>
        <v>0</v>
      </c>
      <c r="H26" s="40">
        <f t="shared" si="55"/>
        <v>2899.5997369652414</v>
      </c>
      <c r="I26" s="43"/>
      <c r="J26" s="137"/>
      <c r="K26" s="41">
        <f>'Ordering Period 4'!K26+('Ordering Period 4'!K26*Escalation!$D$5)</f>
        <v>0</v>
      </c>
      <c r="L26" s="5">
        <f t="shared" si="56"/>
        <v>0</v>
      </c>
      <c r="M26" s="5">
        <f t="shared" si="57"/>
        <v>0</v>
      </c>
      <c r="N26" s="5">
        <f t="shared" si="58"/>
        <v>0</v>
      </c>
      <c r="O26" s="5">
        <f t="shared" si="59"/>
        <v>0</v>
      </c>
      <c r="P26" s="5">
        <f t="shared" si="60"/>
        <v>0</v>
      </c>
      <c r="Q26" s="5">
        <f t="shared" si="61"/>
        <v>0</v>
      </c>
      <c r="R26" s="41">
        <f t="shared" si="62"/>
        <v>0</v>
      </c>
      <c r="S26" s="41">
        <f t="shared" si="63"/>
        <v>0</v>
      </c>
      <c r="T26" s="41">
        <f t="shared" si="64"/>
        <v>0</v>
      </c>
      <c r="U26" s="41">
        <f t="shared" si="65"/>
        <v>0</v>
      </c>
      <c r="V26" s="41">
        <f t="shared" si="66"/>
        <v>0</v>
      </c>
      <c r="W26" s="115">
        <f t="shared" si="67"/>
        <v>0</v>
      </c>
      <c r="X26" s="9"/>
      <c r="Y26" s="137"/>
      <c r="Z26" s="5">
        <f>'Ordering Period 4'!Z26+('Ordering Period 4'!Z26*Escalation!$D$5)</f>
        <v>0</v>
      </c>
      <c r="AA26" s="41">
        <f t="shared" si="68"/>
        <v>0</v>
      </c>
      <c r="AB26" s="5">
        <f t="shared" si="69"/>
        <v>0</v>
      </c>
      <c r="AC26" s="5">
        <f t="shared" si="70"/>
        <v>0</v>
      </c>
      <c r="AD26" s="5"/>
      <c r="AE26" s="41">
        <f t="shared" si="71"/>
        <v>0</v>
      </c>
      <c r="AF26" s="41">
        <f t="shared" si="72"/>
        <v>0</v>
      </c>
      <c r="AG26" s="41">
        <f t="shared" si="73"/>
        <v>0</v>
      </c>
      <c r="AH26" s="41">
        <f t="shared" si="74"/>
        <v>0</v>
      </c>
      <c r="AI26" s="41">
        <f t="shared" si="75"/>
        <v>0</v>
      </c>
      <c r="AJ26" s="41">
        <f t="shared" si="76"/>
        <v>0</v>
      </c>
      <c r="AK26" s="10"/>
      <c r="AL26" s="10"/>
      <c r="AM26" s="7"/>
      <c r="AN26" s="9"/>
      <c r="AO26" s="138" t="str">
        <f t="shared" si="77"/>
        <v/>
      </c>
      <c r="AP26" s="42" t="str">
        <f t="shared" si="78"/>
        <v/>
      </c>
      <c r="AQ26" s="115">
        <f t="shared" si="79"/>
        <v>0</v>
      </c>
      <c r="AR26" s="9"/>
      <c r="AS26" s="9"/>
      <c r="AU26" s="322"/>
    </row>
    <row r="27" spans="1:47" s="11" customFormat="1" x14ac:dyDescent="0.25">
      <c r="A27" s="680"/>
      <c r="B27" s="240">
        <f>'Total - Detail'!B28</f>
        <v>15</v>
      </c>
      <c r="C27" s="100" t="str">
        <f>'Total - Detail'!C28</f>
        <v>Inspector</v>
      </c>
      <c r="D27" s="100" t="s">
        <v>235</v>
      </c>
      <c r="E27" s="100" t="s">
        <v>77</v>
      </c>
      <c r="F27" s="39">
        <v>656.69994042801557</v>
      </c>
      <c r="G27" s="39">
        <f t="shared" si="54"/>
        <v>0</v>
      </c>
      <c r="H27" s="40">
        <f t="shared" si="55"/>
        <v>656.69994042801557</v>
      </c>
      <c r="I27" s="43"/>
      <c r="J27" s="137"/>
      <c r="K27" s="41">
        <f>'Ordering Period 4'!K27+('Ordering Period 4'!K27*Escalation!$D$5)</f>
        <v>0</v>
      </c>
      <c r="L27" s="5">
        <f t="shared" si="56"/>
        <v>0</v>
      </c>
      <c r="M27" s="5">
        <f t="shared" si="57"/>
        <v>0</v>
      </c>
      <c r="N27" s="5">
        <f t="shared" si="58"/>
        <v>0</v>
      </c>
      <c r="O27" s="5">
        <f t="shared" si="59"/>
        <v>0</v>
      </c>
      <c r="P27" s="5">
        <f t="shared" si="60"/>
        <v>0</v>
      </c>
      <c r="Q27" s="5">
        <f t="shared" si="61"/>
        <v>0</v>
      </c>
      <c r="R27" s="41">
        <f t="shared" si="62"/>
        <v>0</v>
      </c>
      <c r="S27" s="41">
        <f t="shared" si="63"/>
        <v>0</v>
      </c>
      <c r="T27" s="41">
        <f t="shared" si="64"/>
        <v>0</v>
      </c>
      <c r="U27" s="41">
        <f t="shared" si="65"/>
        <v>0</v>
      </c>
      <c r="V27" s="41">
        <f t="shared" si="66"/>
        <v>0</v>
      </c>
      <c r="W27" s="115">
        <f t="shared" si="67"/>
        <v>0</v>
      </c>
      <c r="X27" s="9"/>
      <c r="Y27" s="137"/>
      <c r="Z27" s="5">
        <f>'Ordering Period 4'!Z27+('Ordering Period 4'!Z27*Escalation!$D$5)</f>
        <v>0</v>
      </c>
      <c r="AA27" s="41">
        <f t="shared" si="68"/>
        <v>0</v>
      </c>
      <c r="AB27" s="5">
        <f t="shared" si="69"/>
        <v>0</v>
      </c>
      <c r="AC27" s="5">
        <f t="shared" si="70"/>
        <v>0</v>
      </c>
      <c r="AD27" s="5"/>
      <c r="AE27" s="41">
        <f t="shared" si="71"/>
        <v>0</v>
      </c>
      <c r="AF27" s="41">
        <f t="shared" si="72"/>
        <v>0</v>
      </c>
      <c r="AG27" s="41">
        <f t="shared" si="73"/>
        <v>0</v>
      </c>
      <c r="AH27" s="41">
        <f t="shared" si="74"/>
        <v>0</v>
      </c>
      <c r="AI27" s="41">
        <f t="shared" si="75"/>
        <v>0</v>
      </c>
      <c r="AJ27" s="41">
        <f t="shared" si="76"/>
        <v>0</v>
      </c>
      <c r="AK27" s="10"/>
      <c r="AL27" s="10"/>
      <c r="AM27" s="7"/>
      <c r="AN27" s="9"/>
      <c r="AO27" s="138" t="str">
        <f t="shared" si="77"/>
        <v/>
      </c>
      <c r="AP27" s="42" t="str">
        <f t="shared" si="78"/>
        <v/>
      </c>
      <c r="AQ27" s="115">
        <f t="shared" si="79"/>
        <v>0</v>
      </c>
      <c r="AR27" s="9"/>
      <c r="AS27" s="9"/>
      <c r="AU27" s="322"/>
    </row>
    <row r="28" spans="1:47" s="11" customFormat="1" x14ac:dyDescent="0.25">
      <c r="A28" s="680"/>
      <c r="B28" s="240">
        <f>'Total - Detail'!B29</f>
        <v>16</v>
      </c>
      <c r="C28" s="100" t="str">
        <f>'Total - Detail'!C29</f>
        <v>Supply/Procurement Specialist</v>
      </c>
      <c r="D28" s="100" t="s">
        <v>233</v>
      </c>
      <c r="E28" s="100" t="s">
        <v>77</v>
      </c>
      <c r="F28" s="39">
        <v>1449.7998684826207</v>
      </c>
      <c r="G28" s="39">
        <f t="shared" si="54"/>
        <v>0</v>
      </c>
      <c r="H28" s="40">
        <f t="shared" si="55"/>
        <v>1449.7998684826207</v>
      </c>
      <c r="I28" s="43"/>
      <c r="J28" s="137"/>
      <c r="K28" s="41">
        <f>'Ordering Period 4'!K28+('Ordering Period 4'!K28*Escalation!$D$5)</f>
        <v>0</v>
      </c>
      <c r="L28" s="5">
        <f t="shared" si="56"/>
        <v>0</v>
      </c>
      <c r="M28" s="5">
        <f t="shared" si="57"/>
        <v>0</v>
      </c>
      <c r="N28" s="5">
        <f t="shared" si="58"/>
        <v>0</v>
      </c>
      <c r="O28" s="5">
        <f t="shared" si="59"/>
        <v>0</v>
      </c>
      <c r="P28" s="5">
        <f t="shared" si="60"/>
        <v>0</v>
      </c>
      <c r="Q28" s="5">
        <f t="shared" si="61"/>
        <v>0</v>
      </c>
      <c r="R28" s="41">
        <f t="shared" si="62"/>
        <v>0</v>
      </c>
      <c r="S28" s="41">
        <f t="shared" si="63"/>
        <v>0</v>
      </c>
      <c r="T28" s="41">
        <f t="shared" si="64"/>
        <v>0</v>
      </c>
      <c r="U28" s="41">
        <f t="shared" si="65"/>
        <v>0</v>
      </c>
      <c r="V28" s="41">
        <f t="shared" si="66"/>
        <v>0</v>
      </c>
      <c r="W28" s="115">
        <f t="shared" si="67"/>
        <v>0</v>
      </c>
      <c r="X28" s="9"/>
      <c r="Y28" s="137"/>
      <c r="Z28" s="5">
        <f>'Ordering Period 4'!Z28+('Ordering Period 4'!Z28*Escalation!$D$5)</f>
        <v>0</v>
      </c>
      <c r="AA28" s="41">
        <f t="shared" si="68"/>
        <v>0</v>
      </c>
      <c r="AB28" s="5">
        <f t="shared" si="69"/>
        <v>0</v>
      </c>
      <c r="AC28" s="5">
        <f t="shared" si="70"/>
        <v>0</v>
      </c>
      <c r="AD28" s="5"/>
      <c r="AE28" s="41">
        <f t="shared" si="71"/>
        <v>0</v>
      </c>
      <c r="AF28" s="41">
        <f t="shared" si="72"/>
        <v>0</v>
      </c>
      <c r="AG28" s="41">
        <f t="shared" si="73"/>
        <v>0</v>
      </c>
      <c r="AH28" s="41">
        <f t="shared" si="74"/>
        <v>0</v>
      </c>
      <c r="AI28" s="41">
        <f t="shared" si="75"/>
        <v>0</v>
      </c>
      <c r="AJ28" s="41">
        <f t="shared" si="76"/>
        <v>0</v>
      </c>
      <c r="AK28" s="10"/>
      <c r="AL28" s="10"/>
      <c r="AM28" s="7"/>
      <c r="AN28" s="9"/>
      <c r="AO28" s="138" t="str">
        <f t="shared" si="77"/>
        <v/>
      </c>
      <c r="AP28" s="42" t="str">
        <f t="shared" si="78"/>
        <v/>
      </c>
      <c r="AQ28" s="115">
        <f t="shared" si="79"/>
        <v>0</v>
      </c>
      <c r="AR28" s="9"/>
      <c r="AS28" s="9"/>
      <c r="AU28" s="322"/>
    </row>
    <row r="29" spans="1:47" s="11" customFormat="1" ht="15.75" thickBot="1" x14ac:dyDescent="0.3">
      <c r="A29" s="681"/>
      <c r="B29" s="242">
        <f>'Total - Detail'!B30</f>
        <v>17</v>
      </c>
      <c r="C29" s="127" t="str">
        <f>'Total - Detail'!C30</f>
        <v>Welder</v>
      </c>
      <c r="D29" s="127" t="s">
        <v>239</v>
      </c>
      <c r="E29" s="127" t="s">
        <v>77</v>
      </c>
      <c r="F29" s="128">
        <v>1129.6998975202212</v>
      </c>
      <c r="G29" s="128">
        <f t="shared" si="54"/>
        <v>0</v>
      </c>
      <c r="H29" s="129">
        <f t="shared" si="55"/>
        <v>1129.6998975202212</v>
      </c>
      <c r="I29" s="43"/>
      <c r="J29" s="146"/>
      <c r="K29" s="143">
        <f>'Ordering Period 4'!K29+('Ordering Period 4'!K29*Escalation!$D$5)</f>
        <v>0</v>
      </c>
      <c r="L29" s="144">
        <f t="shared" si="56"/>
        <v>0</v>
      </c>
      <c r="M29" s="144">
        <f t="shared" si="57"/>
        <v>0</v>
      </c>
      <c r="N29" s="144">
        <f t="shared" si="58"/>
        <v>0</v>
      </c>
      <c r="O29" s="144">
        <f t="shared" si="59"/>
        <v>0</v>
      </c>
      <c r="P29" s="144">
        <f t="shared" si="60"/>
        <v>0</v>
      </c>
      <c r="Q29" s="144">
        <f t="shared" si="61"/>
        <v>0</v>
      </c>
      <c r="R29" s="143">
        <f t="shared" si="62"/>
        <v>0</v>
      </c>
      <c r="S29" s="143">
        <f t="shared" si="63"/>
        <v>0</v>
      </c>
      <c r="T29" s="143">
        <f t="shared" si="64"/>
        <v>0</v>
      </c>
      <c r="U29" s="143">
        <f t="shared" si="65"/>
        <v>0</v>
      </c>
      <c r="V29" s="143">
        <f t="shared" si="66"/>
        <v>0</v>
      </c>
      <c r="W29" s="145">
        <f t="shared" si="67"/>
        <v>0</v>
      </c>
      <c r="X29" s="9"/>
      <c r="Y29" s="146"/>
      <c r="Z29" s="144">
        <f>'Ordering Period 4'!Z29+('Ordering Period 4'!Z29*Escalation!$D$5)</f>
        <v>0</v>
      </c>
      <c r="AA29" s="143">
        <f t="shared" si="68"/>
        <v>0</v>
      </c>
      <c r="AB29" s="144">
        <f t="shared" si="69"/>
        <v>0</v>
      </c>
      <c r="AC29" s="144">
        <f t="shared" si="70"/>
        <v>0</v>
      </c>
      <c r="AD29" s="144"/>
      <c r="AE29" s="143">
        <f t="shared" si="71"/>
        <v>0</v>
      </c>
      <c r="AF29" s="143">
        <f t="shared" si="72"/>
        <v>0</v>
      </c>
      <c r="AG29" s="143">
        <f t="shared" si="73"/>
        <v>0</v>
      </c>
      <c r="AH29" s="143">
        <f t="shared" si="74"/>
        <v>0</v>
      </c>
      <c r="AI29" s="143">
        <f t="shared" si="75"/>
        <v>0</v>
      </c>
      <c r="AJ29" s="143">
        <f t="shared" si="76"/>
        <v>0</v>
      </c>
      <c r="AK29" s="260"/>
      <c r="AL29" s="260"/>
      <c r="AM29" s="147"/>
      <c r="AN29" s="9"/>
      <c r="AO29" s="148" t="str">
        <f t="shared" si="77"/>
        <v/>
      </c>
      <c r="AP29" s="149" t="str">
        <f t="shared" si="78"/>
        <v/>
      </c>
      <c r="AQ29" s="145">
        <f t="shared" si="79"/>
        <v>0</v>
      </c>
      <c r="AR29" s="9"/>
      <c r="AS29" s="9"/>
      <c r="AU29" s="322"/>
    </row>
    <row r="30" spans="1:47" ht="30.75" thickBot="1" x14ac:dyDescent="0.3">
      <c r="A30" s="504" t="s">
        <v>231</v>
      </c>
      <c r="B30" s="242">
        <f>'Total - Detail'!B31</f>
        <v>18</v>
      </c>
      <c r="C30" s="127" t="str">
        <f>'Total - Detail'!C31</f>
        <v xml:space="preserve">Instructor </v>
      </c>
      <c r="D30" s="127" t="s">
        <v>237</v>
      </c>
      <c r="E30" s="127" t="s">
        <v>77</v>
      </c>
      <c r="F30" s="128">
        <v>3764.1996585337838</v>
      </c>
      <c r="G30" s="128">
        <f t="shared" si="54"/>
        <v>0</v>
      </c>
      <c r="H30" s="129">
        <f t="shared" si="55"/>
        <v>3764.1996585337838</v>
      </c>
      <c r="I30" s="43"/>
      <c r="J30" s="146"/>
      <c r="K30" s="143">
        <f>'Ordering Period 4'!K30+('Ordering Period 4'!K30*Escalation!$D$5)</f>
        <v>0</v>
      </c>
      <c r="L30" s="144">
        <f t="shared" si="56"/>
        <v>0</v>
      </c>
      <c r="M30" s="144">
        <f t="shared" si="57"/>
        <v>0</v>
      </c>
      <c r="N30" s="144">
        <f t="shared" si="58"/>
        <v>0</v>
      </c>
      <c r="O30" s="144">
        <f t="shared" si="59"/>
        <v>0</v>
      </c>
      <c r="P30" s="144">
        <f t="shared" si="60"/>
        <v>0</v>
      </c>
      <c r="Q30" s="144">
        <f t="shared" si="61"/>
        <v>0</v>
      </c>
      <c r="R30" s="143">
        <f t="shared" si="62"/>
        <v>0</v>
      </c>
      <c r="S30" s="143">
        <f t="shared" si="63"/>
        <v>0</v>
      </c>
      <c r="T30" s="143">
        <f t="shared" si="64"/>
        <v>0</v>
      </c>
      <c r="U30" s="143">
        <f t="shared" si="65"/>
        <v>0</v>
      </c>
      <c r="V30" s="143">
        <f t="shared" si="66"/>
        <v>0</v>
      </c>
      <c r="W30" s="145">
        <f t="shared" si="67"/>
        <v>0</v>
      </c>
      <c r="Y30" s="146"/>
      <c r="Z30" s="144">
        <f>'Ordering Period 4'!Z30+('Ordering Period 4'!Z30*Escalation!$D$5)</f>
        <v>0</v>
      </c>
      <c r="AA30" s="143">
        <f t="shared" si="68"/>
        <v>0</v>
      </c>
      <c r="AB30" s="144">
        <f t="shared" si="69"/>
        <v>0</v>
      </c>
      <c r="AC30" s="144">
        <f t="shared" si="70"/>
        <v>0</v>
      </c>
      <c r="AD30" s="144"/>
      <c r="AE30" s="143">
        <f t="shared" si="71"/>
        <v>0</v>
      </c>
      <c r="AF30" s="143">
        <f t="shared" si="72"/>
        <v>0</v>
      </c>
      <c r="AG30" s="143">
        <f t="shared" si="73"/>
        <v>0</v>
      </c>
      <c r="AH30" s="143">
        <f t="shared" si="74"/>
        <v>0</v>
      </c>
      <c r="AI30" s="143">
        <f t="shared" si="75"/>
        <v>0</v>
      </c>
      <c r="AJ30" s="143">
        <f t="shared" si="76"/>
        <v>0</v>
      </c>
      <c r="AK30" s="260"/>
      <c r="AL30" s="260"/>
      <c r="AM30" s="147"/>
      <c r="AO30" s="148" t="str">
        <f t="shared" si="77"/>
        <v/>
      </c>
      <c r="AP30" s="149" t="str">
        <f t="shared" si="78"/>
        <v/>
      </c>
      <c r="AQ30" s="145">
        <f t="shared" si="79"/>
        <v>0</v>
      </c>
    </row>
    <row r="31" spans="1:47" x14ac:dyDescent="0.25">
      <c r="A31" s="679" t="s">
        <v>207</v>
      </c>
      <c r="B31" s="241">
        <f>'Total - Detail'!B32</f>
        <v>13</v>
      </c>
      <c r="C31" s="101" t="str">
        <f>'Total - Detail'!C32</f>
        <v>Heavy Equipment Mechanic</v>
      </c>
      <c r="D31" s="101" t="s">
        <v>236</v>
      </c>
      <c r="E31" s="101" t="s">
        <v>77</v>
      </c>
      <c r="F31" s="35">
        <v>668.79993933037429</v>
      </c>
      <c r="G31" s="35">
        <f t="shared" si="54"/>
        <v>0</v>
      </c>
      <c r="H31" s="36">
        <f t="shared" si="55"/>
        <v>668.79993933037429</v>
      </c>
      <c r="I31" s="43"/>
      <c r="J31" s="109"/>
      <c r="K31" s="110">
        <f>'Ordering Period 4'!K31+('Ordering Period 4'!K31*Escalation!$D$5)</f>
        <v>0</v>
      </c>
      <c r="L31" s="110">
        <f>L25</f>
        <v>0</v>
      </c>
      <c r="M31" s="110">
        <f t="shared" ref="M31:Q31" si="84">M25</f>
        <v>0</v>
      </c>
      <c r="N31" s="110">
        <f t="shared" si="84"/>
        <v>0</v>
      </c>
      <c r="O31" s="110">
        <f t="shared" si="84"/>
        <v>0</v>
      </c>
      <c r="P31" s="110">
        <f t="shared" si="84"/>
        <v>0</v>
      </c>
      <c r="Q31" s="110">
        <f t="shared" si="84"/>
        <v>0</v>
      </c>
      <c r="R31" s="110">
        <f t="shared" si="62"/>
        <v>0</v>
      </c>
      <c r="S31" s="110">
        <f t="shared" si="63"/>
        <v>0</v>
      </c>
      <c r="T31" s="110">
        <f t="shared" si="64"/>
        <v>0</v>
      </c>
      <c r="U31" s="110">
        <f t="shared" si="65"/>
        <v>0</v>
      </c>
      <c r="V31" s="110">
        <f t="shared" si="66"/>
        <v>0</v>
      </c>
      <c r="W31" s="112">
        <f t="shared" si="67"/>
        <v>0</v>
      </c>
      <c r="Y31" s="109"/>
      <c r="Z31" s="111">
        <f>'Ordering Period 4'!Z31+('Ordering Period 4'!Z31*Escalation!$D$5)</f>
        <v>0</v>
      </c>
      <c r="AA31" s="110">
        <f t="shared" si="68"/>
        <v>0</v>
      </c>
      <c r="AB31" s="111">
        <f t="shared" si="69"/>
        <v>0</v>
      </c>
      <c r="AC31" s="111">
        <f t="shared" si="70"/>
        <v>0</v>
      </c>
      <c r="AD31" s="111"/>
      <c r="AE31" s="110">
        <f t="shared" si="71"/>
        <v>0</v>
      </c>
      <c r="AF31" s="110">
        <f t="shared" si="72"/>
        <v>0</v>
      </c>
      <c r="AG31" s="110">
        <f t="shared" si="73"/>
        <v>0</v>
      </c>
      <c r="AH31" s="110">
        <f t="shared" si="74"/>
        <v>0</v>
      </c>
      <c r="AI31" s="110">
        <f t="shared" si="75"/>
        <v>0</v>
      </c>
      <c r="AJ31" s="110">
        <f t="shared" si="76"/>
        <v>0</v>
      </c>
      <c r="AK31" s="259"/>
      <c r="AL31" s="259"/>
      <c r="AM31" s="114"/>
      <c r="AO31" s="124" t="str">
        <f t="shared" si="77"/>
        <v/>
      </c>
      <c r="AP31" s="113" t="str">
        <f t="shared" si="78"/>
        <v/>
      </c>
      <c r="AQ31" s="112">
        <f t="shared" si="79"/>
        <v>0</v>
      </c>
    </row>
    <row r="32" spans="1:47" x14ac:dyDescent="0.25">
      <c r="A32" s="680"/>
      <c r="B32" s="240">
        <f>'Total - Detail'!B33</f>
        <v>14</v>
      </c>
      <c r="C32" s="100" t="str">
        <f>'Total - Detail'!C33</f>
        <v>Material Handling Specialist</v>
      </c>
      <c r="D32" s="100" t="s">
        <v>238</v>
      </c>
      <c r="E32" s="100" t="s">
        <v>77</v>
      </c>
      <c r="F32" s="39">
        <v>2899.5997369652414</v>
      </c>
      <c r="G32" s="39">
        <f t="shared" si="54"/>
        <v>0</v>
      </c>
      <c r="H32" s="40">
        <f t="shared" si="55"/>
        <v>2899.5997369652414</v>
      </c>
      <c r="I32" s="43"/>
      <c r="J32" s="137"/>
      <c r="K32" s="41">
        <f>'Ordering Period 4'!K32+('Ordering Period 4'!K32*Escalation!$D$5)</f>
        <v>0</v>
      </c>
      <c r="L32" s="41">
        <f>L26</f>
        <v>0</v>
      </c>
      <c r="M32" s="41">
        <f t="shared" ref="M32:Q32" si="85">M26</f>
        <v>0</v>
      </c>
      <c r="N32" s="41">
        <f t="shared" si="85"/>
        <v>0</v>
      </c>
      <c r="O32" s="41">
        <f t="shared" si="85"/>
        <v>0</v>
      </c>
      <c r="P32" s="41">
        <f t="shared" si="85"/>
        <v>0</v>
      </c>
      <c r="Q32" s="41">
        <f t="shared" si="85"/>
        <v>0</v>
      </c>
      <c r="R32" s="41">
        <f t="shared" si="62"/>
        <v>0</v>
      </c>
      <c r="S32" s="41">
        <f t="shared" si="63"/>
        <v>0</v>
      </c>
      <c r="T32" s="41">
        <f t="shared" si="64"/>
        <v>0</v>
      </c>
      <c r="U32" s="41">
        <f t="shared" si="65"/>
        <v>0</v>
      </c>
      <c r="V32" s="41">
        <f t="shared" si="66"/>
        <v>0</v>
      </c>
      <c r="W32" s="115">
        <f t="shared" si="67"/>
        <v>0</v>
      </c>
      <c r="Y32" s="137"/>
      <c r="Z32" s="5">
        <f>'Ordering Period 4'!Z32+('Ordering Period 4'!Z32*Escalation!$D$5)</f>
        <v>0</v>
      </c>
      <c r="AA32" s="41">
        <f t="shared" si="68"/>
        <v>0</v>
      </c>
      <c r="AB32" s="5">
        <f t="shared" si="69"/>
        <v>0</v>
      </c>
      <c r="AC32" s="5">
        <f t="shared" si="70"/>
        <v>0</v>
      </c>
      <c r="AD32" s="5"/>
      <c r="AE32" s="41">
        <f t="shared" si="71"/>
        <v>0</v>
      </c>
      <c r="AF32" s="41">
        <f t="shared" si="72"/>
        <v>0</v>
      </c>
      <c r="AG32" s="41">
        <f t="shared" si="73"/>
        <v>0</v>
      </c>
      <c r="AH32" s="41">
        <f t="shared" si="74"/>
        <v>0</v>
      </c>
      <c r="AI32" s="41">
        <f t="shared" si="75"/>
        <v>0</v>
      </c>
      <c r="AJ32" s="41">
        <f t="shared" si="76"/>
        <v>0</v>
      </c>
      <c r="AK32" s="10"/>
      <c r="AL32" s="10"/>
      <c r="AM32" s="7"/>
      <c r="AO32" s="138" t="str">
        <f t="shared" si="77"/>
        <v/>
      </c>
      <c r="AP32" s="42" t="str">
        <f t="shared" si="78"/>
        <v/>
      </c>
      <c r="AQ32" s="115">
        <f t="shared" si="79"/>
        <v>0</v>
      </c>
    </row>
    <row r="33" spans="1:43" x14ac:dyDescent="0.25">
      <c r="A33" s="680"/>
      <c r="B33" s="240">
        <f>'Total - Detail'!B34</f>
        <v>15</v>
      </c>
      <c r="C33" s="100" t="str">
        <f>'Total - Detail'!C34</f>
        <v>Inspector</v>
      </c>
      <c r="D33" s="100" t="s">
        <v>235</v>
      </c>
      <c r="E33" s="100" t="s">
        <v>77</v>
      </c>
      <c r="F33" s="39">
        <v>656.69994042801557</v>
      </c>
      <c r="G33" s="39">
        <f t="shared" si="54"/>
        <v>0</v>
      </c>
      <c r="H33" s="40">
        <f t="shared" si="55"/>
        <v>656.69994042801557</v>
      </c>
      <c r="I33" s="43"/>
      <c r="J33" s="137"/>
      <c r="K33" s="41">
        <f>'Ordering Period 4'!K33+('Ordering Period 4'!K33*Escalation!$D$5)</f>
        <v>0</v>
      </c>
      <c r="L33" s="41">
        <f>L27</f>
        <v>0</v>
      </c>
      <c r="M33" s="41">
        <f t="shared" ref="M33:Q33" si="86">M27</f>
        <v>0</v>
      </c>
      <c r="N33" s="41">
        <f t="shared" si="86"/>
        <v>0</v>
      </c>
      <c r="O33" s="41">
        <f t="shared" si="86"/>
        <v>0</v>
      </c>
      <c r="P33" s="41">
        <f t="shared" si="86"/>
        <v>0</v>
      </c>
      <c r="Q33" s="41">
        <f t="shared" si="86"/>
        <v>0</v>
      </c>
      <c r="R33" s="41">
        <f t="shared" si="62"/>
        <v>0</v>
      </c>
      <c r="S33" s="41">
        <f t="shared" si="63"/>
        <v>0</v>
      </c>
      <c r="T33" s="41">
        <f t="shared" si="64"/>
        <v>0</v>
      </c>
      <c r="U33" s="41">
        <f t="shared" si="65"/>
        <v>0</v>
      </c>
      <c r="V33" s="41">
        <f t="shared" si="66"/>
        <v>0</v>
      </c>
      <c r="W33" s="115">
        <f t="shared" si="67"/>
        <v>0</v>
      </c>
      <c r="Y33" s="137"/>
      <c r="Z33" s="5">
        <f>'Ordering Period 4'!Z33+('Ordering Period 4'!Z33*Escalation!$D$5)</f>
        <v>0</v>
      </c>
      <c r="AA33" s="41">
        <f t="shared" si="68"/>
        <v>0</v>
      </c>
      <c r="AB33" s="5">
        <f t="shared" si="69"/>
        <v>0</v>
      </c>
      <c r="AC33" s="5">
        <f t="shared" si="70"/>
        <v>0</v>
      </c>
      <c r="AD33" s="5"/>
      <c r="AE33" s="41">
        <f t="shared" si="71"/>
        <v>0</v>
      </c>
      <c r="AF33" s="41">
        <f t="shared" si="72"/>
        <v>0</v>
      </c>
      <c r="AG33" s="41">
        <f t="shared" si="73"/>
        <v>0</v>
      </c>
      <c r="AH33" s="41">
        <f t="shared" si="74"/>
        <v>0</v>
      </c>
      <c r="AI33" s="41">
        <f t="shared" si="75"/>
        <v>0</v>
      </c>
      <c r="AJ33" s="41">
        <f t="shared" si="76"/>
        <v>0</v>
      </c>
      <c r="AK33" s="10"/>
      <c r="AL33" s="10"/>
      <c r="AM33" s="7"/>
      <c r="AO33" s="138" t="str">
        <f t="shared" si="77"/>
        <v/>
      </c>
      <c r="AP33" s="42" t="str">
        <f t="shared" si="78"/>
        <v/>
      </c>
      <c r="AQ33" s="115">
        <f t="shared" si="79"/>
        <v>0</v>
      </c>
    </row>
    <row r="34" spans="1:43" ht="15.75" thickBot="1" x14ac:dyDescent="0.3">
      <c r="A34" s="681"/>
      <c r="B34" s="242">
        <f>'Total - Detail'!B35</f>
        <v>11</v>
      </c>
      <c r="C34" s="127" t="str">
        <f>'Total - Detail'!C35</f>
        <v>Field Service Representative</v>
      </c>
      <c r="D34" s="127" t="s">
        <v>289</v>
      </c>
      <c r="E34" s="127" t="s">
        <v>77</v>
      </c>
      <c r="F34" s="128">
        <v>1449.7998684826207</v>
      </c>
      <c r="G34" s="128">
        <f t="shared" si="54"/>
        <v>0</v>
      </c>
      <c r="H34" s="129">
        <f t="shared" si="55"/>
        <v>1449.7998684826207</v>
      </c>
      <c r="I34" s="43"/>
      <c r="J34" s="146"/>
      <c r="K34" s="143">
        <f>'Ordering Period 4'!K34+('Ordering Period 4'!K34*Escalation!$D$5)</f>
        <v>0</v>
      </c>
      <c r="L34" s="143">
        <f>L23</f>
        <v>0</v>
      </c>
      <c r="M34" s="143">
        <f t="shared" ref="M34:Q34" si="87">M23</f>
        <v>0</v>
      </c>
      <c r="N34" s="143">
        <f t="shared" si="87"/>
        <v>0</v>
      </c>
      <c r="O34" s="143">
        <f t="shared" si="87"/>
        <v>0</v>
      </c>
      <c r="P34" s="143">
        <f t="shared" si="87"/>
        <v>0</v>
      </c>
      <c r="Q34" s="143">
        <f t="shared" si="87"/>
        <v>0</v>
      </c>
      <c r="R34" s="143">
        <f t="shared" si="62"/>
        <v>0</v>
      </c>
      <c r="S34" s="143">
        <f t="shared" si="63"/>
        <v>0</v>
      </c>
      <c r="T34" s="143">
        <f t="shared" si="64"/>
        <v>0</v>
      </c>
      <c r="U34" s="143">
        <f t="shared" si="65"/>
        <v>0</v>
      </c>
      <c r="V34" s="143">
        <f t="shared" si="66"/>
        <v>0</v>
      </c>
      <c r="W34" s="145">
        <f t="shared" si="67"/>
        <v>0</v>
      </c>
      <c r="Y34" s="146"/>
      <c r="Z34" s="144">
        <f>'Ordering Period 4'!Z34+('Ordering Period 4'!Z34*Escalation!$D$5)</f>
        <v>0</v>
      </c>
      <c r="AA34" s="143">
        <f t="shared" si="68"/>
        <v>0</v>
      </c>
      <c r="AB34" s="144">
        <f t="shared" si="69"/>
        <v>0</v>
      </c>
      <c r="AC34" s="144">
        <f t="shared" si="70"/>
        <v>0</v>
      </c>
      <c r="AD34" s="144"/>
      <c r="AE34" s="143">
        <f t="shared" si="71"/>
        <v>0</v>
      </c>
      <c r="AF34" s="143">
        <f t="shared" si="72"/>
        <v>0</v>
      </c>
      <c r="AG34" s="143">
        <f t="shared" si="73"/>
        <v>0</v>
      </c>
      <c r="AH34" s="143">
        <f t="shared" si="74"/>
        <v>0</v>
      </c>
      <c r="AI34" s="143">
        <f t="shared" si="75"/>
        <v>0</v>
      </c>
      <c r="AJ34" s="143">
        <f t="shared" si="76"/>
        <v>0</v>
      </c>
      <c r="AK34" s="260"/>
      <c r="AL34" s="260"/>
      <c r="AM34" s="147"/>
      <c r="AO34" s="148" t="str">
        <f t="shared" si="77"/>
        <v/>
      </c>
      <c r="AP34" s="149" t="str">
        <f t="shared" si="78"/>
        <v/>
      </c>
      <c r="AQ34" s="145">
        <f t="shared" si="79"/>
        <v>0</v>
      </c>
    </row>
    <row r="35" spans="1:43" x14ac:dyDescent="0.25">
      <c r="A35" s="679" t="s">
        <v>208</v>
      </c>
      <c r="B35" s="241">
        <f>'Total - Detail'!B36</f>
        <v>11</v>
      </c>
      <c r="C35" s="101" t="str">
        <f>'Total - Detail'!C36</f>
        <v>Field Service Representative</v>
      </c>
      <c r="D35" s="101" t="s">
        <v>289</v>
      </c>
      <c r="E35" s="101" t="s">
        <v>77</v>
      </c>
      <c r="F35" s="35">
        <v>774.39992975095981</v>
      </c>
      <c r="G35" s="35">
        <f t="shared" si="54"/>
        <v>0</v>
      </c>
      <c r="H35" s="36">
        <f t="shared" si="55"/>
        <v>774.39992975095981</v>
      </c>
      <c r="I35" s="43"/>
      <c r="J35" s="109"/>
      <c r="K35" s="110">
        <f>'Ordering Period 4'!K35+('Ordering Period 4'!K35*Escalation!$D$5)</f>
        <v>0</v>
      </c>
      <c r="L35" s="110">
        <f>L23</f>
        <v>0</v>
      </c>
      <c r="M35" s="110">
        <f t="shared" ref="M35:Q35" si="88">M23</f>
        <v>0</v>
      </c>
      <c r="N35" s="110">
        <f t="shared" si="88"/>
        <v>0</v>
      </c>
      <c r="O35" s="110">
        <f t="shared" si="88"/>
        <v>0</v>
      </c>
      <c r="P35" s="110">
        <f t="shared" si="88"/>
        <v>0</v>
      </c>
      <c r="Q35" s="110">
        <f t="shared" si="88"/>
        <v>0</v>
      </c>
      <c r="R35" s="110">
        <f t="shared" si="62"/>
        <v>0</v>
      </c>
      <c r="S35" s="110">
        <f t="shared" si="63"/>
        <v>0</v>
      </c>
      <c r="T35" s="110">
        <f t="shared" si="64"/>
        <v>0</v>
      </c>
      <c r="U35" s="110">
        <f t="shared" si="65"/>
        <v>0</v>
      </c>
      <c r="V35" s="110">
        <f t="shared" si="66"/>
        <v>0</v>
      </c>
      <c r="W35" s="112">
        <f t="shared" si="67"/>
        <v>0</v>
      </c>
      <c r="Y35" s="109"/>
      <c r="Z35" s="111">
        <f>'Ordering Period 4'!Z35+('Ordering Period 4'!Z35*Escalation!$D$5)</f>
        <v>0</v>
      </c>
      <c r="AA35" s="110">
        <f t="shared" si="68"/>
        <v>0</v>
      </c>
      <c r="AB35" s="111">
        <f t="shared" si="69"/>
        <v>0</v>
      </c>
      <c r="AC35" s="111">
        <f t="shared" si="70"/>
        <v>0</v>
      </c>
      <c r="AD35" s="111"/>
      <c r="AE35" s="110">
        <f t="shared" si="71"/>
        <v>0</v>
      </c>
      <c r="AF35" s="110">
        <f t="shared" si="72"/>
        <v>0</v>
      </c>
      <c r="AG35" s="110">
        <f t="shared" si="73"/>
        <v>0</v>
      </c>
      <c r="AH35" s="110">
        <f t="shared" si="74"/>
        <v>0</v>
      </c>
      <c r="AI35" s="110">
        <f t="shared" si="75"/>
        <v>0</v>
      </c>
      <c r="AJ35" s="110">
        <f t="shared" si="76"/>
        <v>0</v>
      </c>
      <c r="AK35" s="259"/>
      <c r="AL35" s="259"/>
      <c r="AM35" s="114"/>
      <c r="AO35" s="124" t="str">
        <f t="shared" si="77"/>
        <v/>
      </c>
      <c r="AP35" s="113" t="str">
        <f t="shared" si="78"/>
        <v/>
      </c>
      <c r="AQ35" s="112">
        <f t="shared" si="79"/>
        <v>0</v>
      </c>
    </row>
    <row r="36" spans="1:43" x14ac:dyDescent="0.25">
      <c r="A36" s="680"/>
      <c r="B36" s="240">
        <f>'Total - Detail'!B37</f>
        <v>19</v>
      </c>
      <c r="C36" s="100" t="str">
        <f>'Total - Detail'!C37</f>
        <v>MWO Installer</v>
      </c>
      <c r="D36" s="100" t="s">
        <v>288</v>
      </c>
      <c r="E36" s="100" t="s">
        <v>77</v>
      </c>
      <c r="F36" s="39">
        <v>10084.799085165909</v>
      </c>
      <c r="G36" s="39">
        <f t="shared" si="54"/>
        <v>0</v>
      </c>
      <c r="H36" s="40">
        <f t="shared" si="55"/>
        <v>10084.799085165909</v>
      </c>
      <c r="I36" s="43"/>
      <c r="J36" s="137"/>
      <c r="K36" s="41">
        <f>'Ordering Period 4'!K36+('Ordering Period 4'!K36*Escalation!$D$5)</f>
        <v>0</v>
      </c>
      <c r="L36" s="5">
        <f t="shared" si="56"/>
        <v>0</v>
      </c>
      <c r="M36" s="5">
        <f t="shared" si="57"/>
        <v>0</v>
      </c>
      <c r="N36" s="5">
        <f t="shared" si="58"/>
        <v>0</v>
      </c>
      <c r="O36" s="5">
        <f t="shared" si="59"/>
        <v>0</v>
      </c>
      <c r="P36" s="5">
        <f t="shared" si="60"/>
        <v>0</v>
      </c>
      <c r="Q36" s="5">
        <f t="shared" si="61"/>
        <v>0</v>
      </c>
      <c r="R36" s="41">
        <f t="shared" si="62"/>
        <v>0</v>
      </c>
      <c r="S36" s="41">
        <f t="shared" si="63"/>
        <v>0</v>
      </c>
      <c r="T36" s="41">
        <f t="shared" si="64"/>
        <v>0</v>
      </c>
      <c r="U36" s="41">
        <f t="shared" si="65"/>
        <v>0</v>
      </c>
      <c r="V36" s="41">
        <f t="shared" si="66"/>
        <v>0</v>
      </c>
      <c r="W36" s="115">
        <f t="shared" si="67"/>
        <v>0</v>
      </c>
      <c r="Y36" s="137"/>
      <c r="Z36" s="5">
        <f>'Ordering Period 4'!Z36+('Ordering Period 4'!Z36*Escalation!$D$5)</f>
        <v>0</v>
      </c>
      <c r="AA36" s="41">
        <f t="shared" si="68"/>
        <v>0</v>
      </c>
      <c r="AB36" s="5">
        <f t="shared" si="69"/>
        <v>0</v>
      </c>
      <c r="AC36" s="5">
        <f t="shared" si="70"/>
        <v>0</v>
      </c>
      <c r="AD36" s="5"/>
      <c r="AE36" s="41">
        <f t="shared" si="71"/>
        <v>0</v>
      </c>
      <c r="AF36" s="41">
        <f t="shared" si="72"/>
        <v>0</v>
      </c>
      <c r="AG36" s="41">
        <f t="shared" si="73"/>
        <v>0</v>
      </c>
      <c r="AH36" s="41">
        <f t="shared" si="74"/>
        <v>0</v>
      </c>
      <c r="AI36" s="41">
        <f t="shared" si="75"/>
        <v>0</v>
      </c>
      <c r="AJ36" s="41">
        <f t="shared" si="76"/>
        <v>0</v>
      </c>
      <c r="AK36" s="10"/>
      <c r="AL36" s="10"/>
      <c r="AM36" s="7"/>
      <c r="AO36" s="138" t="str">
        <f t="shared" si="77"/>
        <v/>
      </c>
      <c r="AP36" s="42" t="str">
        <f t="shared" si="78"/>
        <v/>
      </c>
      <c r="AQ36" s="115">
        <f t="shared" si="79"/>
        <v>0</v>
      </c>
    </row>
    <row r="37" spans="1:43" x14ac:dyDescent="0.25">
      <c r="A37" s="680"/>
      <c r="B37" s="240">
        <f>'Total - Detail'!B38</f>
        <v>15</v>
      </c>
      <c r="C37" s="100" t="str">
        <f>'Total - Detail'!C38</f>
        <v>Inspector</v>
      </c>
      <c r="D37" s="100" t="s">
        <v>235</v>
      </c>
      <c r="E37" s="100" t="s">
        <v>77</v>
      </c>
      <c r="F37" s="39">
        <v>2617.999762510347</v>
      </c>
      <c r="G37" s="39">
        <f t="shared" si="54"/>
        <v>0</v>
      </c>
      <c r="H37" s="40">
        <f t="shared" si="55"/>
        <v>2617.999762510347</v>
      </c>
      <c r="I37" s="43"/>
      <c r="J37" s="137"/>
      <c r="K37" s="41">
        <f>'Ordering Period 4'!K37+('Ordering Period 4'!K37*Escalation!$D$5)</f>
        <v>0</v>
      </c>
      <c r="L37" s="41">
        <f>L27</f>
        <v>0</v>
      </c>
      <c r="M37" s="41">
        <f t="shared" ref="M37:Q37" si="89">M27</f>
        <v>0</v>
      </c>
      <c r="N37" s="41">
        <f t="shared" si="89"/>
        <v>0</v>
      </c>
      <c r="O37" s="41">
        <f t="shared" si="89"/>
        <v>0</v>
      </c>
      <c r="P37" s="41">
        <f t="shared" si="89"/>
        <v>0</v>
      </c>
      <c r="Q37" s="41">
        <f t="shared" si="89"/>
        <v>0</v>
      </c>
      <c r="R37" s="41">
        <f t="shared" si="62"/>
        <v>0</v>
      </c>
      <c r="S37" s="41">
        <f t="shared" si="63"/>
        <v>0</v>
      </c>
      <c r="T37" s="41">
        <f t="shared" si="64"/>
        <v>0</v>
      </c>
      <c r="U37" s="41">
        <f t="shared" si="65"/>
        <v>0</v>
      </c>
      <c r="V37" s="41">
        <f t="shared" si="66"/>
        <v>0</v>
      </c>
      <c r="W37" s="115">
        <f t="shared" si="67"/>
        <v>0</v>
      </c>
      <c r="Y37" s="137"/>
      <c r="Z37" s="5">
        <f>'Ordering Period 4'!Z37+('Ordering Period 4'!Z37*Escalation!$D$5)</f>
        <v>0</v>
      </c>
      <c r="AA37" s="41">
        <f t="shared" si="68"/>
        <v>0</v>
      </c>
      <c r="AB37" s="5">
        <f t="shared" si="69"/>
        <v>0</v>
      </c>
      <c r="AC37" s="5">
        <f t="shared" si="70"/>
        <v>0</v>
      </c>
      <c r="AD37" s="5"/>
      <c r="AE37" s="41">
        <f t="shared" si="71"/>
        <v>0</v>
      </c>
      <c r="AF37" s="41">
        <f t="shared" si="72"/>
        <v>0</v>
      </c>
      <c r="AG37" s="41">
        <f t="shared" si="73"/>
        <v>0</v>
      </c>
      <c r="AH37" s="41">
        <f t="shared" si="74"/>
        <v>0</v>
      </c>
      <c r="AI37" s="41">
        <f t="shared" si="75"/>
        <v>0</v>
      </c>
      <c r="AJ37" s="41">
        <f t="shared" si="76"/>
        <v>0</v>
      </c>
      <c r="AK37" s="10"/>
      <c r="AL37" s="10"/>
      <c r="AM37" s="7"/>
      <c r="AO37" s="138" t="str">
        <f t="shared" si="77"/>
        <v/>
      </c>
      <c r="AP37" s="42" t="str">
        <f t="shared" si="78"/>
        <v/>
      </c>
      <c r="AQ37" s="115">
        <f t="shared" si="79"/>
        <v>0</v>
      </c>
    </row>
    <row r="38" spans="1:43" ht="15.75" thickBot="1" x14ac:dyDescent="0.3">
      <c r="A38" s="681"/>
      <c r="B38" s="242">
        <f>'Total - Detail'!B39</f>
        <v>17</v>
      </c>
      <c r="C38" s="127" t="str">
        <f>'Total - Detail'!C39</f>
        <v>Welder</v>
      </c>
      <c r="D38" s="127" t="s">
        <v>239</v>
      </c>
      <c r="E38" s="127" t="s">
        <v>77</v>
      </c>
      <c r="F38" s="128">
        <v>2014.0998172926238</v>
      </c>
      <c r="G38" s="128">
        <f t="shared" si="54"/>
        <v>0</v>
      </c>
      <c r="H38" s="129">
        <f t="shared" si="55"/>
        <v>2014.0998172926238</v>
      </c>
      <c r="I38" s="43"/>
      <c r="J38" s="146"/>
      <c r="K38" s="143">
        <f>'Ordering Period 4'!K38+('Ordering Period 4'!K38*Escalation!$D$5)</f>
        <v>0</v>
      </c>
      <c r="L38" s="143">
        <f>L29</f>
        <v>0</v>
      </c>
      <c r="M38" s="143">
        <f t="shared" ref="M38:Q38" si="90">M29</f>
        <v>0</v>
      </c>
      <c r="N38" s="143">
        <f t="shared" si="90"/>
        <v>0</v>
      </c>
      <c r="O38" s="143">
        <f t="shared" si="90"/>
        <v>0</v>
      </c>
      <c r="P38" s="143">
        <f t="shared" si="90"/>
        <v>0</v>
      </c>
      <c r="Q38" s="143">
        <f t="shared" si="90"/>
        <v>0</v>
      </c>
      <c r="R38" s="143">
        <f t="shared" si="62"/>
        <v>0</v>
      </c>
      <c r="S38" s="143">
        <f t="shared" si="63"/>
        <v>0</v>
      </c>
      <c r="T38" s="143">
        <f t="shared" si="64"/>
        <v>0</v>
      </c>
      <c r="U38" s="143">
        <f t="shared" si="65"/>
        <v>0</v>
      </c>
      <c r="V38" s="143">
        <f t="shared" si="66"/>
        <v>0</v>
      </c>
      <c r="W38" s="145">
        <f t="shared" si="67"/>
        <v>0</v>
      </c>
      <c r="Y38" s="146"/>
      <c r="Z38" s="144">
        <f>'Ordering Period 4'!Z38+('Ordering Period 4'!Z38*Escalation!$D$5)</f>
        <v>0</v>
      </c>
      <c r="AA38" s="143">
        <f t="shared" si="68"/>
        <v>0</v>
      </c>
      <c r="AB38" s="144">
        <f t="shared" si="69"/>
        <v>0</v>
      </c>
      <c r="AC38" s="144">
        <f t="shared" si="70"/>
        <v>0</v>
      </c>
      <c r="AD38" s="144"/>
      <c r="AE38" s="143">
        <f t="shared" si="71"/>
        <v>0</v>
      </c>
      <c r="AF38" s="143">
        <f t="shared" si="72"/>
        <v>0</v>
      </c>
      <c r="AG38" s="143">
        <f t="shared" si="73"/>
        <v>0</v>
      </c>
      <c r="AH38" s="143">
        <f t="shared" si="74"/>
        <v>0</v>
      </c>
      <c r="AI38" s="143">
        <f t="shared" si="75"/>
        <v>0</v>
      </c>
      <c r="AJ38" s="143">
        <f t="shared" si="76"/>
        <v>0</v>
      </c>
      <c r="AK38" s="260"/>
      <c r="AL38" s="260"/>
      <c r="AM38" s="147"/>
      <c r="AO38" s="148" t="str">
        <f t="shared" si="77"/>
        <v/>
      </c>
      <c r="AP38" s="149" t="str">
        <f t="shared" si="78"/>
        <v/>
      </c>
      <c r="AQ38" s="145">
        <f t="shared" si="79"/>
        <v>0</v>
      </c>
    </row>
    <row r="39" spans="1:43" s="15" customFormat="1" ht="15.75" x14ac:dyDescent="0.25">
      <c r="A39" s="20"/>
      <c r="B39" s="20"/>
      <c r="C39" s="44"/>
      <c r="D39" s="44"/>
      <c r="E39" s="179" t="s">
        <v>119</v>
      </c>
      <c r="F39" s="180">
        <f>SUM(F5:F21)</f>
        <v>352457.56802710734</v>
      </c>
      <c r="G39" s="180">
        <f>SUM(G5:G21)</f>
        <v>0</v>
      </c>
      <c r="H39" s="181">
        <f>F39-G39</f>
        <v>352457.56802710734</v>
      </c>
      <c r="I39" s="43"/>
      <c r="J39" s="43"/>
      <c r="K39" s="45"/>
      <c r="L39" s="45"/>
      <c r="M39" s="45"/>
      <c r="N39" s="45"/>
      <c r="O39" s="45"/>
      <c r="P39" s="45"/>
      <c r="Q39" s="45"/>
      <c r="W39" s="45"/>
      <c r="Y39" s="43"/>
      <c r="Z39" s="45"/>
      <c r="AA39" s="45"/>
      <c r="AB39" s="45"/>
      <c r="AC39" s="45"/>
      <c r="AD39" s="45"/>
      <c r="AE39" s="45"/>
      <c r="AF39" s="45"/>
      <c r="AG39" s="45"/>
      <c r="AH39" s="46"/>
      <c r="AI39" s="46"/>
      <c r="AJ39" s="46"/>
      <c r="AK39" s="17"/>
      <c r="AL39" s="17"/>
      <c r="AM39" s="17"/>
      <c r="AO39" s="45"/>
      <c r="AP39" s="46"/>
      <c r="AQ39" s="45"/>
    </row>
    <row r="40" spans="1:43" s="15" customFormat="1" ht="16.5" thickBot="1" x14ac:dyDescent="0.3">
      <c r="A40" s="20"/>
      <c r="B40" s="20"/>
      <c r="C40" s="44"/>
      <c r="D40" s="44"/>
      <c r="E40" s="243" t="s">
        <v>120</v>
      </c>
      <c r="F40" s="244">
        <f>SUM(F23:F38)</f>
        <v>49385.595520027113</v>
      </c>
      <c r="G40" s="244">
        <f>SUM(G23:G38)</f>
        <v>0</v>
      </c>
      <c r="H40" s="245">
        <f>F40-G40</f>
        <v>49385.595520027113</v>
      </c>
      <c r="I40" s="43"/>
      <c r="J40" s="43"/>
      <c r="K40" s="45"/>
      <c r="L40" s="45"/>
      <c r="M40" s="45"/>
      <c r="N40" s="45"/>
      <c r="O40" s="45"/>
      <c r="P40" s="45"/>
      <c r="Q40" s="45"/>
      <c r="U40" s="204"/>
      <c r="V40" s="204"/>
      <c r="W40" s="45"/>
      <c r="Y40" s="43"/>
      <c r="Z40" s="45"/>
      <c r="AA40" s="45"/>
      <c r="AB40" s="45"/>
      <c r="AC40" s="45"/>
      <c r="AD40" s="45"/>
      <c r="AE40" s="45"/>
      <c r="AF40" s="45"/>
      <c r="AG40" s="45"/>
      <c r="AH40" s="46"/>
      <c r="AI40" s="46"/>
      <c r="AJ40" s="46"/>
      <c r="AK40" s="17"/>
      <c r="AL40" s="17"/>
      <c r="AM40" s="17"/>
      <c r="AO40" s="45"/>
      <c r="AP40" s="46"/>
      <c r="AQ40" s="45"/>
    </row>
    <row r="41" spans="1:43" s="15" customFormat="1" ht="16.5" thickBot="1" x14ac:dyDescent="0.3">
      <c r="A41" s="20"/>
      <c r="B41" s="20"/>
      <c r="C41" s="44"/>
      <c r="D41" s="44"/>
      <c r="E41" s="246" t="s">
        <v>121</v>
      </c>
      <c r="F41" s="247">
        <f>F39+F40</f>
        <v>401843.16354713443</v>
      </c>
      <c r="G41" s="247">
        <f>G39+G40</f>
        <v>0</v>
      </c>
      <c r="H41" s="248">
        <f>F41-G41</f>
        <v>401843.16354713443</v>
      </c>
      <c r="I41" s="43"/>
      <c r="J41" s="43"/>
      <c r="K41" s="45"/>
      <c r="L41" s="45"/>
      <c r="M41" s="45"/>
      <c r="N41" s="45"/>
      <c r="O41" s="45"/>
      <c r="P41" s="45"/>
      <c r="Q41" s="45"/>
      <c r="W41" s="45"/>
      <c r="Y41" s="43"/>
      <c r="Z41" s="45"/>
      <c r="AA41" s="45"/>
      <c r="AB41" s="45"/>
      <c r="AC41" s="45"/>
      <c r="AD41" s="45"/>
      <c r="AE41" s="45"/>
      <c r="AF41" s="45"/>
      <c r="AG41" s="45"/>
      <c r="AH41" s="46"/>
      <c r="AI41" s="46"/>
      <c r="AJ41" s="46"/>
      <c r="AK41" s="17"/>
      <c r="AL41" s="17"/>
      <c r="AM41" s="17"/>
      <c r="AO41" s="45"/>
      <c r="AP41" s="46"/>
      <c r="AQ41" s="45"/>
    </row>
    <row r="42" spans="1:43" x14ac:dyDescent="0.25">
      <c r="F42" s="9"/>
      <c r="G42" s="9"/>
      <c r="H42" s="9"/>
      <c r="T42" s="130"/>
      <c r="U42" s="131"/>
      <c r="V42" s="131"/>
      <c r="AH42" s="130"/>
      <c r="AI42" s="131"/>
      <c r="AJ42" s="131"/>
    </row>
    <row r="43" spans="1:43" ht="15.75" thickBot="1" x14ac:dyDescent="0.3">
      <c r="K43" s="157"/>
      <c r="T43" s="130"/>
      <c r="W43" s="64"/>
      <c r="AH43" s="130"/>
      <c r="AI43" s="132"/>
      <c r="AJ43" s="130"/>
    </row>
    <row r="44" spans="1:43" x14ac:dyDescent="0.25">
      <c r="C44" s="50" t="s">
        <v>147</v>
      </c>
      <c r="D44" s="237"/>
      <c r="E44" s="382" t="s">
        <v>148</v>
      </c>
      <c r="F44" s="385" t="s">
        <v>149</v>
      </c>
      <c r="H44" s="48"/>
      <c r="J44" s="49"/>
      <c r="K44" s="155"/>
      <c r="N44" s="45"/>
      <c r="O44" s="45"/>
      <c r="P44" s="45"/>
      <c r="Q44" s="45"/>
      <c r="V44" s="9"/>
      <c r="W44" s="64"/>
      <c r="AK44" s="51"/>
    </row>
    <row r="45" spans="1:43" x14ac:dyDescent="0.25">
      <c r="C45" s="52" t="s">
        <v>125</v>
      </c>
      <c r="D45" s="11"/>
      <c r="E45" s="53"/>
      <c r="F45" s="75"/>
      <c r="G45" s="156"/>
      <c r="H45" s="48"/>
      <c r="J45" s="49"/>
      <c r="K45" s="158"/>
      <c r="N45" s="45"/>
      <c r="O45" s="45"/>
      <c r="P45" s="45"/>
      <c r="Q45" s="45"/>
      <c r="V45" s="64"/>
      <c r="W45" s="64"/>
      <c r="AK45" s="11"/>
      <c r="AM45" s="9"/>
    </row>
    <row r="46" spans="1:43" x14ac:dyDescent="0.25">
      <c r="C46" s="54" t="s">
        <v>126</v>
      </c>
      <c r="D46" s="11"/>
      <c r="E46" s="53">
        <f>SUM(J5:J38)</f>
        <v>0</v>
      </c>
      <c r="F46" s="76">
        <f>SUM(W5:W38)</f>
        <v>0</v>
      </c>
      <c r="G46" s="156"/>
      <c r="H46" s="49"/>
      <c r="J46" s="176"/>
      <c r="K46" s="158"/>
      <c r="V46" s="9"/>
      <c r="W46" s="64"/>
      <c r="AK46" s="11"/>
      <c r="AM46" s="9"/>
    </row>
    <row r="47" spans="1:43" x14ac:dyDescent="0.25">
      <c r="C47" s="52" t="s">
        <v>127</v>
      </c>
      <c r="D47" s="11"/>
      <c r="E47" s="53"/>
      <c r="F47" s="75"/>
      <c r="G47" s="156"/>
      <c r="J47" s="176"/>
      <c r="V47" s="9"/>
      <c r="W47" s="64"/>
      <c r="AK47" s="11"/>
      <c r="AM47" s="9"/>
    </row>
    <row r="48" spans="1:43" x14ac:dyDescent="0.25">
      <c r="C48" s="54" t="s">
        <v>126</v>
      </c>
      <c r="D48" s="11"/>
      <c r="E48" s="53">
        <f>SUM(Y5:Y38)</f>
        <v>0</v>
      </c>
      <c r="F48" s="76">
        <f>SUM(AJ5:AJ38)</f>
        <v>0</v>
      </c>
      <c r="J48" s="48"/>
      <c r="V48" s="9"/>
      <c r="W48" s="64"/>
      <c r="AK48" s="11"/>
      <c r="AM48" s="9"/>
    </row>
    <row r="49" spans="1:40" x14ac:dyDescent="0.25">
      <c r="C49" s="54"/>
      <c r="D49" s="11"/>
      <c r="E49" s="53"/>
      <c r="F49" s="76"/>
      <c r="H49" s="48"/>
      <c r="J49" s="48"/>
      <c r="V49" s="9"/>
      <c r="W49" s="64"/>
      <c r="AK49" s="11"/>
      <c r="AM49" s="9"/>
    </row>
    <row r="50" spans="1:40" ht="15.75" thickBot="1" x14ac:dyDescent="0.3">
      <c r="C50" s="55" t="s">
        <v>128</v>
      </c>
      <c r="D50" s="238"/>
      <c r="E50" s="56">
        <f>SUM(E46:E49)</f>
        <v>0</v>
      </c>
      <c r="F50" s="78">
        <f>SUM(F46:F49)</f>
        <v>0</v>
      </c>
      <c r="H50" s="48"/>
      <c r="J50" s="48"/>
      <c r="T50" s="12"/>
      <c r="V50" s="9"/>
      <c r="W50" s="64"/>
      <c r="AK50" s="11"/>
      <c r="AM50" s="9"/>
    </row>
    <row r="51" spans="1:40" ht="15.75" thickBot="1" x14ac:dyDescent="0.3">
      <c r="C51" s="47"/>
      <c r="D51" s="80"/>
      <c r="H51" s="48"/>
      <c r="J51" s="49"/>
      <c r="T51" s="12"/>
      <c r="V51" s="9"/>
      <c r="W51" s="64"/>
      <c r="AK51" s="11"/>
      <c r="AM51" s="9"/>
    </row>
    <row r="52" spans="1:40" x14ac:dyDescent="0.25">
      <c r="C52" s="50" t="s">
        <v>242</v>
      </c>
      <c r="D52" s="384" t="s">
        <v>171</v>
      </c>
      <c r="E52" s="382" t="s">
        <v>169</v>
      </c>
      <c r="F52" s="383" t="s">
        <v>99</v>
      </c>
      <c r="G52" s="205"/>
      <c r="H52" s="48"/>
      <c r="J52" s="12"/>
      <c r="T52" s="12"/>
      <c r="V52" s="9"/>
      <c r="W52" s="64"/>
      <c r="AK52" s="11"/>
      <c r="AM52" s="9"/>
    </row>
    <row r="53" spans="1:40" x14ac:dyDescent="0.25">
      <c r="C53" s="54" t="s">
        <v>167</v>
      </c>
      <c r="D53" s="301">
        <v>3250412.8006196138</v>
      </c>
      <c r="E53" s="506"/>
      <c r="F53" s="302">
        <f>IF(E53&lt;0,"ERROR",D53-(D53*E53))</f>
        <v>3250412.8006196138</v>
      </c>
      <c r="G53" s="12"/>
      <c r="H53" s="156"/>
      <c r="J53" s="49"/>
      <c r="T53" s="12"/>
      <c r="V53" s="9"/>
      <c r="W53" s="64"/>
      <c r="AK53" s="11"/>
      <c r="AM53" s="9"/>
    </row>
    <row r="54" spans="1:40" x14ac:dyDescent="0.25">
      <c r="C54" s="54" t="s">
        <v>168</v>
      </c>
      <c r="D54" s="301">
        <v>1902680.6637773348</v>
      </c>
      <c r="E54" s="506"/>
      <c r="F54" s="302">
        <f>IF(E54&lt;0,"ERROR",D54-(D54*E54))</f>
        <v>1902680.6637773348</v>
      </c>
      <c r="H54" s="65"/>
      <c r="J54" s="49"/>
      <c r="T54" s="12"/>
      <c r="V54" s="9"/>
      <c r="W54" s="64"/>
      <c r="AK54" s="11"/>
      <c r="AM54" s="9"/>
    </row>
    <row r="55" spans="1:40" ht="17.25" x14ac:dyDescent="0.4">
      <c r="C55" s="300" t="s">
        <v>243</v>
      </c>
      <c r="D55" s="305">
        <v>2774742.6346752802</v>
      </c>
      <c r="E55" s="57"/>
      <c r="F55" s="303">
        <f>D55</f>
        <v>2774742.6346752802</v>
      </c>
      <c r="H55" s="65"/>
      <c r="J55" s="49"/>
      <c r="T55" s="12"/>
      <c r="V55" s="9"/>
      <c r="W55" s="9"/>
      <c r="AK55" s="11"/>
      <c r="AM55" s="9"/>
    </row>
    <row r="56" spans="1:40" x14ac:dyDescent="0.25">
      <c r="C56" s="300" t="s">
        <v>244</v>
      </c>
      <c r="D56" s="51">
        <f>SUM(D53:D55)</f>
        <v>7927836.0990722291</v>
      </c>
      <c r="E56" s="57"/>
      <c r="F56" s="304">
        <f>ROUND(SUM(F53:F55),2)</f>
        <v>7927836.0999999996</v>
      </c>
      <c r="G56" s="156"/>
      <c r="H56" s="48"/>
      <c r="J56" s="49"/>
      <c r="T56" s="12"/>
      <c r="V56" s="9"/>
      <c r="W56" s="9"/>
      <c r="AK56" s="11"/>
      <c r="AM56" s="9"/>
    </row>
    <row r="57" spans="1:40" x14ac:dyDescent="0.25">
      <c r="A57" s="58"/>
      <c r="B57" s="11"/>
      <c r="C57" s="300"/>
      <c r="D57" s="51"/>
      <c r="E57" s="386" t="s">
        <v>170</v>
      </c>
      <c r="F57" s="304"/>
      <c r="G57" s="156"/>
      <c r="H57" s="48"/>
      <c r="J57" s="49"/>
      <c r="T57" s="12"/>
      <c r="V57" s="9"/>
      <c r="W57" s="9"/>
      <c r="AK57" s="11"/>
      <c r="AM57" s="9"/>
    </row>
    <row r="58" spans="1:40" ht="17.25" x14ac:dyDescent="0.4">
      <c r="C58" s="300" t="s">
        <v>246</v>
      </c>
      <c r="D58" s="51"/>
      <c r="E58" s="506"/>
      <c r="F58" s="303">
        <f>F56*E58</f>
        <v>0</v>
      </c>
    </row>
    <row r="59" spans="1:40" x14ac:dyDescent="0.25">
      <c r="C59" s="300"/>
      <c r="D59" s="51"/>
      <c r="E59" s="57"/>
      <c r="F59" s="304"/>
    </row>
    <row r="60" spans="1:40" ht="15.75" thickBot="1" x14ac:dyDescent="0.3">
      <c r="C60" s="55" t="s">
        <v>263</v>
      </c>
      <c r="D60" s="567"/>
      <c r="E60" s="568"/>
      <c r="F60" s="569">
        <f>F56+F58</f>
        <v>7927836.0999999996</v>
      </c>
    </row>
    <row r="61" spans="1:40" ht="15.75" thickBot="1" x14ac:dyDescent="0.3">
      <c r="C61" s="47"/>
      <c r="D61" s="80"/>
    </row>
    <row r="62" spans="1:40" x14ac:dyDescent="0.25">
      <c r="B62" s="234"/>
      <c r="C62" s="50" t="s">
        <v>245</v>
      </c>
      <c r="D62" s="237"/>
      <c r="E62" s="565"/>
      <c r="F62" s="570"/>
      <c r="G62" s="278"/>
      <c r="J62" s="48"/>
      <c r="U62" s="49"/>
      <c r="W62" s="12"/>
      <c r="X62" s="49"/>
      <c r="Y62" s="49"/>
      <c r="AL62" s="9"/>
      <c r="AM62" s="9"/>
    </row>
    <row r="63" spans="1:40" x14ac:dyDescent="0.25">
      <c r="C63" s="300" t="s">
        <v>245</v>
      </c>
      <c r="D63" s="51">
        <v>1906762.9907349111</v>
      </c>
      <c r="E63" s="11"/>
      <c r="F63" s="306">
        <f>D63</f>
        <v>1906762.9907349111</v>
      </c>
      <c r="K63" s="47"/>
      <c r="L63" s="47"/>
      <c r="M63" s="47"/>
      <c r="U63" s="49"/>
      <c r="W63" s="12"/>
      <c r="X63" s="49"/>
      <c r="Y63" s="49"/>
      <c r="AL63" s="9"/>
      <c r="AM63" s="9"/>
      <c r="AN63" s="11"/>
    </row>
    <row r="64" spans="1:40" x14ac:dyDescent="0.25">
      <c r="C64" s="54"/>
      <c r="D64" s="11"/>
      <c r="E64" s="386" t="s">
        <v>170</v>
      </c>
      <c r="F64" s="77"/>
      <c r="H64" s="48"/>
      <c r="J64" s="49"/>
      <c r="U64" s="49"/>
      <c r="V64" s="12"/>
      <c r="W64" s="12"/>
      <c r="AL64" s="9"/>
      <c r="AN64" s="11"/>
    </row>
    <row r="65" spans="3:6" ht="17.25" x14ac:dyDescent="0.4">
      <c r="C65" s="54" t="s">
        <v>248</v>
      </c>
      <c r="D65" s="11"/>
      <c r="E65" s="506"/>
      <c r="F65" s="571">
        <f>F63*E65</f>
        <v>0</v>
      </c>
    </row>
    <row r="66" spans="3:6" x14ac:dyDescent="0.25">
      <c r="C66" s="54"/>
      <c r="D66" s="11"/>
      <c r="E66" s="57"/>
      <c r="F66" s="76"/>
    </row>
    <row r="67" spans="3:6" ht="15.75" thickBot="1" x14ac:dyDescent="0.3">
      <c r="C67" s="55" t="s">
        <v>264</v>
      </c>
      <c r="D67" s="238"/>
      <c r="E67" s="56"/>
      <c r="F67" s="78">
        <f>F63+F65</f>
        <v>1906762.9907349111</v>
      </c>
    </row>
    <row r="69" spans="3:6" ht="15.75" thickBot="1" x14ac:dyDescent="0.3"/>
    <row r="70" spans="3:6" ht="15.75" thickBot="1" x14ac:dyDescent="0.3">
      <c r="C70" s="59" t="s">
        <v>129</v>
      </c>
      <c r="D70" s="162"/>
      <c r="E70" s="162"/>
      <c r="F70" s="81">
        <f>F50+F60+F67</f>
        <v>9834599.0907349102</v>
      </c>
    </row>
  </sheetData>
  <mergeCells count="14">
    <mergeCell ref="A6:A7"/>
    <mergeCell ref="A23:A24"/>
    <mergeCell ref="A35:A38"/>
    <mergeCell ref="A8:A12"/>
    <mergeCell ref="A14:A17"/>
    <mergeCell ref="A18:A21"/>
    <mergeCell ref="A25:A29"/>
    <mergeCell ref="A31:A34"/>
    <mergeCell ref="AO3:AQ3"/>
    <mergeCell ref="A1:AQ1"/>
    <mergeCell ref="A2:H2"/>
    <mergeCell ref="J2:W2"/>
    <mergeCell ref="Y2:AM2"/>
    <mergeCell ref="AO2:AQ2"/>
  </mergeCells>
  <conditionalFormatting sqref="F53:F54">
    <cfRule type="containsText" dxfId="6" priority="1" operator="containsText" text="ERROR">
      <formula>NOT(ISERROR(SEARCH("ERROR",F53)))</formula>
    </cfRule>
  </conditionalFormatting>
  <conditionalFormatting sqref="H5:H21 H23:H41">
    <cfRule type="cellIs" dxfId="5" priority="5" operator="lessThan">
      <formula>0</formula>
    </cfRule>
    <cfRule type="cellIs" dxfId="4" priority="6" operator="greaterThan">
      <formula>0</formula>
    </cfRule>
    <cfRule type="cellIs" dxfId="3" priority="7" operator="equal">
      <formula>0</formula>
    </cfRule>
  </conditionalFormatting>
  <pageMargins left="0.7" right="0.7" top="0.75" bottom="0.75" header="0.3" footer="0.3"/>
  <pageSetup orientation="portrait" verticalDpi="597"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H5"/>
  <sheetViews>
    <sheetView showGridLines="0" workbookViewId="0"/>
  </sheetViews>
  <sheetFormatPr defaultColWidth="9.140625" defaultRowHeight="15" x14ac:dyDescent="0.25"/>
  <cols>
    <col min="1" max="1" width="17.85546875" style="9" customWidth="1"/>
    <col min="2" max="3" width="16.42578125" style="9" customWidth="1"/>
    <col min="4" max="4" width="14.42578125" style="9" customWidth="1"/>
    <col min="5" max="16384" width="9.140625" style="9"/>
  </cols>
  <sheetData>
    <row r="1" spans="1:8" ht="30" x14ac:dyDescent="0.25">
      <c r="A1" s="60" t="s">
        <v>150</v>
      </c>
      <c r="B1" s="61" t="s">
        <v>151</v>
      </c>
      <c r="C1" s="61" t="s">
        <v>152</v>
      </c>
      <c r="D1" s="61" t="s">
        <v>153</v>
      </c>
    </row>
    <row r="2" spans="1:8" x14ac:dyDescent="0.25">
      <c r="A2" s="62" t="s">
        <v>49</v>
      </c>
      <c r="B2" s="63">
        <v>2.5999999999999999E-2</v>
      </c>
      <c r="C2" s="2"/>
      <c r="D2" s="63">
        <f>IF($C2&lt;$B2,$B2,$C2)</f>
        <v>2.5999999999999999E-2</v>
      </c>
      <c r="G2" s="157"/>
      <c r="H2" s="445"/>
    </row>
    <row r="3" spans="1:8" x14ac:dyDescent="0.25">
      <c r="A3" s="62" t="s">
        <v>50</v>
      </c>
      <c r="B3" s="63">
        <v>2.5999999999999999E-2</v>
      </c>
      <c r="C3" s="2"/>
      <c r="D3" s="63">
        <f t="shared" ref="D3:D5" si="0">IF($C3&lt;$B3,$B3,$C3)</f>
        <v>2.5999999999999999E-2</v>
      </c>
      <c r="G3" s="157"/>
      <c r="H3" s="445"/>
    </row>
    <row r="4" spans="1:8" x14ac:dyDescent="0.25">
      <c r="A4" s="62" t="s">
        <v>51</v>
      </c>
      <c r="B4" s="63">
        <v>2.5999999999999999E-2</v>
      </c>
      <c r="C4" s="2"/>
      <c r="D4" s="63">
        <f t="shared" si="0"/>
        <v>2.5999999999999999E-2</v>
      </c>
      <c r="G4" s="157"/>
      <c r="H4" s="445"/>
    </row>
    <row r="5" spans="1:8" x14ac:dyDescent="0.25">
      <c r="A5" s="62" t="s">
        <v>52</v>
      </c>
      <c r="B5" s="63">
        <v>2.5999999999999999E-2</v>
      </c>
      <c r="C5" s="2"/>
      <c r="D5" s="63">
        <f t="shared" si="0"/>
        <v>2.5999999999999999E-2</v>
      </c>
      <c r="G5" s="157"/>
      <c r="H5" s="445"/>
    </row>
  </sheetData>
  <conditionalFormatting sqref="D2:D5">
    <cfRule type="cellIs" dxfId="2" priority="1" operator="lessThan">
      <formula>$B2</formula>
    </cfRule>
  </conditionalFormatting>
  <pageMargins left="0.7" right="0.7" top="0.75" bottom="0.75" header="0.3" footer="0.3"/>
  <pageSetup orientation="portrait" verticalDpi="597"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1C545-8D8A-400B-A9AC-DF093AB5AFBB}">
  <dimension ref="A1:Y17"/>
  <sheetViews>
    <sheetView showGridLines="0" zoomScaleNormal="100" workbookViewId="0">
      <pane xSplit="2" topLeftCell="C1" activePane="topRight" state="frozen"/>
      <selection activeCell="E6" sqref="E6:G6"/>
      <selection pane="topRight" activeCell="I28" sqref="I28"/>
    </sheetView>
  </sheetViews>
  <sheetFormatPr defaultRowHeight="15" x14ac:dyDescent="0.25"/>
  <cols>
    <col min="1" max="1" width="62.140625" style="308" bestFit="1" customWidth="1"/>
    <col min="2" max="2" width="10.7109375" style="507" customWidth="1"/>
    <col min="3" max="3" width="1.7109375" style="9" customWidth="1"/>
    <col min="4" max="6" width="15.7109375" style="9" customWidth="1"/>
    <col min="7" max="7" width="1.7109375" style="9" customWidth="1"/>
    <col min="8" max="10" width="15.7109375" style="9" customWidth="1"/>
    <col min="11" max="11" width="1.7109375" style="9" customWidth="1"/>
    <col min="12" max="14" width="15.7109375" style="9" customWidth="1"/>
    <col min="15" max="15" width="1.7109375" style="9" customWidth="1"/>
    <col min="16" max="18" width="15.7109375" style="9" customWidth="1"/>
    <col min="19" max="19" width="1.7109375" style="9" customWidth="1"/>
    <col min="20" max="22" width="15.7109375" style="9" customWidth="1"/>
    <col min="23" max="37" width="9.140625" style="9" customWidth="1"/>
    <col min="38" max="16384" width="9.140625" style="9"/>
  </cols>
  <sheetData>
    <row r="1" spans="1:25" ht="15.75" thickBot="1" x14ac:dyDescent="0.3">
      <c r="D1" s="508"/>
      <c r="E1" s="508"/>
      <c r="F1" s="509"/>
    </row>
    <row r="2" spans="1:25" ht="15.75" thickBot="1" x14ac:dyDescent="0.3">
      <c r="A2" s="713" t="s">
        <v>35</v>
      </c>
      <c r="B2" s="713" t="s">
        <v>47</v>
      </c>
      <c r="C2" s="308"/>
      <c r="D2" s="716" t="s">
        <v>48</v>
      </c>
      <c r="E2" s="717"/>
      <c r="F2" s="718"/>
      <c r="H2" s="716" t="s">
        <v>49</v>
      </c>
      <c r="I2" s="717"/>
      <c r="J2" s="718"/>
      <c r="L2" s="716" t="s">
        <v>50</v>
      </c>
      <c r="M2" s="717"/>
      <c r="N2" s="718"/>
      <c r="P2" s="716" t="s">
        <v>51</v>
      </c>
      <c r="Q2" s="717"/>
      <c r="R2" s="718"/>
      <c r="T2" s="716" t="s">
        <v>52</v>
      </c>
      <c r="U2" s="717"/>
      <c r="V2" s="718"/>
    </row>
    <row r="3" spans="1:25" x14ac:dyDescent="0.25">
      <c r="A3" s="714"/>
      <c r="B3" s="714"/>
      <c r="D3" s="719" t="s">
        <v>154</v>
      </c>
      <c r="E3" s="720"/>
      <c r="F3" s="721"/>
      <c r="H3" s="719" t="s">
        <v>154</v>
      </c>
      <c r="I3" s="720"/>
      <c r="J3" s="721"/>
      <c r="L3" s="719" t="s">
        <v>154</v>
      </c>
      <c r="M3" s="720"/>
      <c r="N3" s="721"/>
      <c r="P3" s="719" t="s">
        <v>154</v>
      </c>
      <c r="Q3" s="720"/>
      <c r="R3" s="721"/>
      <c r="T3" s="719" t="s">
        <v>154</v>
      </c>
      <c r="U3" s="720"/>
      <c r="V3" s="721"/>
    </row>
    <row r="4" spans="1:25" ht="15.75" thickBot="1" x14ac:dyDescent="0.3">
      <c r="A4" s="715"/>
      <c r="B4" s="715"/>
      <c r="D4" s="510" t="s">
        <v>99</v>
      </c>
      <c r="E4" s="511" t="s">
        <v>155</v>
      </c>
      <c r="F4" s="512" t="s">
        <v>101</v>
      </c>
      <c r="H4" s="510" t="s">
        <v>99</v>
      </c>
      <c r="I4" s="511" t="s">
        <v>155</v>
      </c>
      <c r="J4" s="512" t="s">
        <v>101</v>
      </c>
      <c r="L4" s="510" t="s">
        <v>99</v>
      </c>
      <c r="M4" s="511" t="s">
        <v>155</v>
      </c>
      <c r="N4" s="512" t="s">
        <v>101</v>
      </c>
      <c r="P4" s="510" t="s">
        <v>99</v>
      </c>
      <c r="Q4" s="511" t="s">
        <v>155</v>
      </c>
      <c r="R4" s="512" t="s">
        <v>101</v>
      </c>
      <c r="T4" s="510" t="s">
        <v>99</v>
      </c>
      <c r="U4" s="511" t="s">
        <v>155</v>
      </c>
      <c r="V4" s="512" t="s">
        <v>101</v>
      </c>
      <c r="W4" s="373"/>
      <c r="X4" s="373"/>
      <c r="Y4" s="373"/>
    </row>
    <row r="5" spans="1:25" s="15" customFormat="1" ht="15.75" thickBot="1" x14ac:dyDescent="0.3">
      <c r="A5" s="513"/>
      <c r="B5" s="514"/>
      <c r="D5" s="515"/>
      <c r="E5" s="516"/>
      <c r="F5" s="517"/>
      <c r="H5" s="515"/>
      <c r="I5" s="516"/>
      <c r="J5" s="517"/>
      <c r="L5" s="515"/>
      <c r="M5" s="516"/>
      <c r="N5" s="517"/>
      <c r="P5" s="515"/>
      <c r="Q5" s="516"/>
      <c r="R5" s="517"/>
      <c r="T5" s="515"/>
      <c r="U5" s="516"/>
      <c r="V5" s="517"/>
      <c r="W5" s="518"/>
      <c r="X5" s="518"/>
      <c r="Y5" s="518"/>
    </row>
    <row r="6" spans="1:25" s="118" customFormat="1" x14ac:dyDescent="0.25">
      <c r="A6" s="554" t="s">
        <v>42</v>
      </c>
      <c r="B6" s="555" t="s">
        <v>55</v>
      </c>
      <c r="D6" s="556">
        <f>'CLINs - Detail'!D5/'CLINs - Detail'!$C$5</f>
        <v>0</v>
      </c>
      <c r="E6" s="557">
        <f>'CLINs - Detail'!E5/'CLINs - Detail'!$C$5</f>
        <v>0</v>
      </c>
      <c r="F6" s="558">
        <f>D6+E6</f>
        <v>0</v>
      </c>
      <c r="H6" s="556">
        <f>'CLINs - Detail'!D54/'CLINs - Detail'!$C$54</f>
        <v>0</v>
      </c>
      <c r="I6" s="557">
        <f>'CLINs - Detail'!E54/'CLINs - Detail'!$C$54</f>
        <v>0</v>
      </c>
      <c r="J6" s="558">
        <f>H6+I6</f>
        <v>0</v>
      </c>
      <c r="L6" s="556">
        <f>'CLINs - Detail'!D103/'CLINs - Detail'!$C$103</f>
        <v>0</v>
      </c>
      <c r="M6" s="557">
        <f>'CLINs - Detail'!E103/'CLINs - Detail'!$C$103</f>
        <v>0</v>
      </c>
      <c r="N6" s="558">
        <f>L6+M6</f>
        <v>0</v>
      </c>
      <c r="O6" s="157"/>
      <c r="P6" s="556">
        <f>'CLINs - Detail'!D152/'CLINs - Detail'!$C$152</f>
        <v>0</v>
      </c>
      <c r="Q6" s="557">
        <f>'CLINs - Detail'!E152/'CLINs - Detail'!$C$152</f>
        <v>0</v>
      </c>
      <c r="R6" s="558">
        <f>P6+Q6</f>
        <v>0</v>
      </c>
      <c r="T6" s="556">
        <f>'CLINs - Detail'!D201/'CLINs - Detail'!$C$201</f>
        <v>0</v>
      </c>
      <c r="U6" s="557">
        <f>'CLINs - Detail'!E201/'CLINs - Detail'!$C$201</f>
        <v>0</v>
      </c>
      <c r="V6" s="558">
        <f>T6+U6</f>
        <v>0</v>
      </c>
    </row>
    <row r="7" spans="1:25" s="118" customFormat="1" x14ac:dyDescent="0.25">
      <c r="A7" s="552" t="s">
        <v>43</v>
      </c>
      <c r="B7" s="519" t="s">
        <v>55</v>
      </c>
      <c r="D7" s="520">
        <f>('CLINs - Detail'!D7+'CLINs - Detail'!D13+'CLINs - Detail'!D19)/('CLINs - Detail'!C7+'CLINs - Detail'!C13+'CLINs - Detail'!C19)</f>
        <v>0</v>
      </c>
      <c r="E7" s="521">
        <f>('CLINs - Detail'!E7+'CLINs - Detail'!E13+'CLINs - Detail'!E19)/('CLINs - Detail'!C7+'CLINs - Detail'!C13+'CLINs - Detail'!C19)</f>
        <v>0</v>
      </c>
      <c r="F7" s="522">
        <f t="shared" ref="F7:F11" si="0">D7+E7</f>
        <v>0</v>
      </c>
      <c r="H7" s="520">
        <f>('CLINs - Detail'!D56+'CLINs - Detail'!D62+'CLINs - Detail'!D68)/('CLINs - Detail'!C56+'CLINs - Detail'!C62+'CLINs - Detail'!C68)</f>
        <v>0</v>
      </c>
      <c r="I7" s="521">
        <f>('CLINs - Detail'!E56+'CLINs - Detail'!E62+'CLINs - Detail'!E68)/('CLINs - Detail'!C56+'CLINs - Detail'!C62+'CLINs - Detail'!C68)</f>
        <v>0</v>
      </c>
      <c r="J7" s="522">
        <f t="shared" ref="J7:J11" si="1">H7+I7</f>
        <v>0</v>
      </c>
      <c r="L7" s="520">
        <f>('CLINs - Detail'!D105+'CLINs - Detail'!D111+'CLINs - Detail'!D117)/('CLINs - Detail'!C105+'CLINs - Detail'!C111+'CLINs - Detail'!C117)</f>
        <v>0</v>
      </c>
      <c r="M7" s="521">
        <f>('CLINs - Detail'!E105+'CLINs - Detail'!E111+'CLINs - Detail'!E117)/('CLINs - Detail'!C105+'CLINs - Detail'!C111+'CLINs - Detail'!C117)</f>
        <v>0</v>
      </c>
      <c r="N7" s="522">
        <f t="shared" ref="N7:N11" si="2">L7+M7</f>
        <v>0</v>
      </c>
      <c r="O7" s="157"/>
      <c r="P7" s="520">
        <f>('CLINs - Detail'!D154+'CLINs - Detail'!D160+'CLINs - Detail'!D166)/('CLINs - Detail'!C154+'CLINs - Detail'!C160+'CLINs - Detail'!C166)</f>
        <v>0</v>
      </c>
      <c r="Q7" s="521">
        <f>('CLINs - Detail'!E154+'CLINs - Detail'!E160+'CLINs - Detail'!E166)/('CLINs - Detail'!C154+'CLINs - Detail'!C160+'CLINs - Detail'!C166)</f>
        <v>0</v>
      </c>
      <c r="R7" s="522">
        <f t="shared" ref="R7:R11" si="3">P7+Q7</f>
        <v>0</v>
      </c>
      <c r="T7" s="520">
        <f>('CLINs - Detail'!D203+'CLINs - Detail'!D209+'CLINs - Detail'!D215)/('CLINs - Detail'!C203+'CLINs - Detail'!C209+'CLINs - Detail'!C215)</f>
        <v>0</v>
      </c>
      <c r="U7" s="521">
        <f>('CLINs - Detail'!E203+'CLINs - Detail'!E209+'CLINs - Detail'!E215)/('CLINs - Detail'!C203+'CLINs - Detail'!C209+'CLINs - Detail'!C215)</f>
        <v>0</v>
      </c>
      <c r="V7" s="522">
        <f t="shared" ref="V7:V11" si="4">T7+U7</f>
        <v>0</v>
      </c>
    </row>
    <row r="8" spans="1:25" s="118" customFormat="1" ht="15" customHeight="1" x14ac:dyDescent="0.25">
      <c r="A8" s="552" t="s">
        <v>205</v>
      </c>
      <c r="B8" s="519" t="s">
        <v>55</v>
      </c>
      <c r="D8" s="520">
        <f>('CLINs - Detail'!D8+'CLINs - Detail'!D14+'CLINs - Detail'!D20)/('CLINs - Detail'!C8+'CLINs - Detail'!C14+'CLINs - Detail'!C20)</f>
        <v>0</v>
      </c>
      <c r="E8" s="521">
        <f>('CLINs - Detail'!E8+'CLINs - Detail'!E14+'CLINs - Detail'!E20)/('CLINs - Detail'!C8+'CLINs - Detail'!C14+'CLINs - Detail'!C20)</f>
        <v>0</v>
      </c>
      <c r="F8" s="522">
        <f t="shared" si="0"/>
        <v>0</v>
      </c>
      <c r="H8" s="520">
        <f>('CLINs - Detail'!D57+'CLINs - Detail'!D63+'CLINs - Detail'!D69)/('CLINs - Detail'!C57+'CLINs - Detail'!C63+'CLINs - Detail'!C69)</f>
        <v>0</v>
      </c>
      <c r="I8" s="521">
        <f>('CLINs - Detail'!E57+'CLINs - Detail'!E63+'CLINs - Detail'!E69)/('CLINs - Detail'!C57+'CLINs - Detail'!C63+'CLINs - Detail'!C69)</f>
        <v>0</v>
      </c>
      <c r="J8" s="522">
        <f t="shared" si="1"/>
        <v>0</v>
      </c>
      <c r="L8" s="520">
        <f>('CLINs - Detail'!D106+'CLINs - Detail'!D112+'CLINs - Detail'!D118)/('CLINs - Detail'!C106+'CLINs - Detail'!C112+'CLINs - Detail'!C118)</f>
        <v>0</v>
      </c>
      <c r="M8" s="521">
        <f>('CLINs - Detail'!E106+'CLINs - Detail'!E112+'CLINs - Detail'!E118)/('CLINs - Detail'!C106+'CLINs - Detail'!C112+'CLINs - Detail'!C118)</f>
        <v>0</v>
      </c>
      <c r="N8" s="522">
        <f t="shared" si="2"/>
        <v>0</v>
      </c>
      <c r="O8" s="157"/>
      <c r="P8" s="520">
        <f>('CLINs - Detail'!D155+'CLINs - Detail'!D161+'CLINs - Detail'!D167)/('CLINs - Detail'!C155+'CLINs - Detail'!C161+'CLINs - Detail'!C167)</f>
        <v>0</v>
      </c>
      <c r="Q8" s="521">
        <f>('CLINs - Detail'!E155+'CLINs - Detail'!E161+'CLINs - Detail'!E167)/('CLINs - Detail'!C155+'CLINs - Detail'!C161+'CLINs - Detail'!C167)</f>
        <v>0</v>
      </c>
      <c r="R8" s="522">
        <f t="shared" si="3"/>
        <v>0</v>
      </c>
      <c r="T8" s="520">
        <f>('CLINs - Detail'!D204+'CLINs - Detail'!D210+'CLINs - Detail'!D216)/('CLINs - Detail'!C204+'CLINs - Detail'!C210+'CLINs - Detail'!C216)</f>
        <v>0</v>
      </c>
      <c r="U8" s="521">
        <f>('CLINs - Detail'!E204+'CLINs - Detail'!E210+'CLINs - Detail'!E216)/('CLINs - Detail'!C204+'CLINs - Detail'!C210+'CLINs - Detail'!C216)</f>
        <v>0</v>
      </c>
      <c r="V8" s="522">
        <f t="shared" si="4"/>
        <v>0</v>
      </c>
    </row>
    <row r="9" spans="1:25" s="118" customFormat="1" x14ac:dyDescent="0.25">
      <c r="A9" s="552" t="s">
        <v>212</v>
      </c>
      <c r="B9" s="519" t="s">
        <v>55</v>
      </c>
      <c r="D9" s="520">
        <f>('CLINs - Detail'!D9+'CLINs - Detail'!D15+'CLINs - Detail'!D21)/('CLINs - Detail'!C9+'CLINs - Detail'!C15+'CLINs - Detail'!C21)</f>
        <v>0</v>
      </c>
      <c r="E9" s="521">
        <f>('CLINs - Detail'!E9+'CLINs - Detail'!E15+'CLINs - Detail'!E21)/('CLINs - Detail'!C9+'CLINs - Detail'!C15+'CLINs - Detail'!C21)</f>
        <v>0</v>
      </c>
      <c r="F9" s="522">
        <f t="shared" si="0"/>
        <v>0</v>
      </c>
      <c r="H9" s="520">
        <f>('CLINs - Detail'!D58+'CLINs - Detail'!D64+'CLINs - Detail'!D70)/('CLINs - Detail'!C58+'CLINs - Detail'!C64+'CLINs - Detail'!C70)</f>
        <v>0</v>
      </c>
      <c r="I9" s="521">
        <f>('CLINs - Detail'!E58+'CLINs - Detail'!E64+'CLINs - Detail'!E70)/('CLINs - Detail'!C58+'CLINs - Detail'!C64+'CLINs - Detail'!C70)</f>
        <v>0</v>
      </c>
      <c r="J9" s="522">
        <f t="shared" si="1"/>
        <v>0</v>
      </c>
      <c r="L9" s="520">
        <f>('CLINs - Detail'!D107+'CLINs - Detail'!D113+'CLINs - Detail'!D119)/('CLINs - Detail'!C107+'CLINs - Detail'!C113+'CLINs - Detail'!C119)</f>
        <v>0</v>
      </c>
      <c r="M9" s="521">
        <f>('CLINs - Detail'!E107+'CLINs - Detail'!E113+'CLINs - Detail'!E119)/('CLINs - Detail'!C107+'CLINs - Detail'!C113+'CLINs - Detail'!C119)</f>
        <v>0</v>
      </c>
      <c r="N9" s="522">
        <f t="shared" si="2"/>
        <v>0</v>
      </c>
      <c r="O9" s="157"/>
      <c r="P9" s="520">
        <f>('CLINs - Detail'!D156+'CLINs - Detail'!D162+'CLINs - Detail'!D168)/('CLINs - Detail'!C156+'CLINs - Detail'!C162+'CLINs - Detail'!C168)</f>
        <v>0</v>
      </c>
      <c r="Q9" s="521">
        <f>('CLINs - Detail'!E156+'CLINs - Detail'!E162+'CLINs - Detail'!E168)/('CLINs - Detail'!C156+'CLINs - Detail'!C162+'CLINs - Detail'!C168)</f>
        <v>0</v>
      </c>
      <c r="R9" s="522">
        <f t="shared" si="3"/>
        <v>0</v>
      </c>
      <c r="T9" s="520">
        <f>('CLINs - Detail'!D205+'CLINs - Detail'!D211+'CLINs - Detail'!D217)/('CLINs - Detail'!C205+'CLINs - Detail'!C211+'CLINs - Detail'!C217)</f>
        <v>0</v>
      </c>
      <c r="U9" s="521">
        <f>('CLINs - Detail'!E205+'CLINs - Detail'!E211+'CLINs - Detail'!E217)/('CLINs - Detail'!C205+'CLINs - Detail'!C211+'CLINs - Detail'!C217)</f>
        <v>0</v>
      </c>
      <c r="V9" s="522">
        <f t="shared" si="4"/>
        <v>0</v>
      </c>
    </row>
    <row r="10" spans="1:25" s="118" customFormat="1" x14ac:dyDescent="0.25">
      <c r="A10" s="552" t="s">
        <v>213</v>
      </c>
      <c r="B10" s="519" t="s">
        <v>55</v>
      </c>
      <c r="D10" s="520">
        <f>('CLINs - Detail'!D10+'CLINs - Detail'!D16+'CLINs - Detail'!D22)/('CLINs - Detail'!C10+'CLINs - Detail'!C16+'CLINs - Detail'!C22)</f>
        <v>0</v>
      </c>
      <c r="E10" s="521">
        <f>('CLINs - Detail'!E10+'CLINs - Detail'!E16+'CLINs - Detail'!E22)/('CLINs - Detail'!C10+'CLINs - Detail'!C16+'CLINs - Detail'!C22)</f>
        <v>0</v>
      </c>
      <c r="F10" s="522">
        <f t="shared" si="0"/>
        <v>0</v>
      </c>
      <c r="H10" s="520">
        <f>('CLINs - Detail'!D59+'CLINs - Detail'!D65+'CLINs - Detail'!D71)/('CLINs - Detail'!C59+'CLINs - Detail'!C65+'CLINs - Detail'!C71)</f>
        <v>0</v>
      </c>
      <c r="I10" s="521">
        <f>('CLINs - Detail'!E59+'CLINs - Detail'!E65+'CLINs - Detail'!E71)/('CLINs - Detail'!C59+'CLINs - Detail'!C65+'CLINs - Detail'!C71)</f>
        <v>0</v>
      </c>
      <c r="J10" s="522">
        <f t="shared" si="1"/>
        <v>0</v>
      </c>
      <c r="L10" s="520">
        <f>('CLINs - Detail'!D108+'CLINs - Detail'!D114+'CLINs - Detail'!D120)/('CLINs - Detail'!C108+'CLINs - Detail'!C114+'CLINs - Detail'!C120)</f>
        <v>0</v>
      </c>
      <c r="M10" s="521">
        <f>('CLINs - Detail'!E108+'CLINs - Detail'!E114+'CLINs - Detail'!E120)/('CLINs - Detail'!C108+'CLINs - Detail'!C114+'CLINs - Detail'!C120)</f>
        <v>0</v>
      </c>
      <c r="N10" s="522">
        <f t="shared" si="2"/>
        <v>0</v>
      </c>
      <c r="O10" s="157"/>
      <c r="P10" s="520">
        <f>('CLINs - Detail'!D157+'CLINs - Detail'!D163+'CLINs - Detail'!D169)/('CLINs - Detail'!C157+'CLINs - Detail'!C163+'CLINs - Detail'!C169)</f>
        <v>0</v>
      </c>
      <c r="Q10" s="521">
        <f>('CLINs - Detail'!E157+'CLINs - Detail'!E163+'CLINs - Detail'!E169)/('CLINs - Detail'!C157+'CLINs - Detail'!C163+'CLINs - Detail'!C169)</f>
        <v>0</v>
      </c>
      <c r="R10" s="522">
        <f t="shared" si="3"/>
        <v>0</v>
      </c>
      <c r="T10" s="520">
        <f>('CLINs - Detail'!D206+'CLINs - Detail'!D212+'CLINs - Detail'!D218)/('CLINs - Detail'!C206+'CLINs - Detail'!C212+'CLINs - Detail'!C218)</f>
        <v>0</v>
      </c>
      <c r="U10" s="521">
        <f>('CLINs - Detail'!E206+'CLINs - Detail'!E212+'CLINs - Detail'!E218)/('CLINs - Detail'!C206+'CLINs - Detail'!C212+'CLINs - Detail'!C218)</f>
        <v>0</v>
      </c>
      <c r="V10" s="522">
        <f t="shared" si="4"/>
        <v>0</v>
      </c>
    </row>
    <row r="11" spans="1:25" s="118" customFormat="1" ht="15.75" thickBot="1" x14ac:dyDescent="0.3">
      <c r="A11" s="553" t="s">
        <v>216</v>
      </c>
      <c r="B11" s="523" t="s">
        <v>55</v>
      </c>
      <c r="D11" s="524">
        <f>('CLINs - Detail'!D11+'CLINs - Detail'!D17+'CLINs - Detail'!D23)/('CLINs - Detail'!C11+'CLINs - Detail'!C17+'CLINs - Detail'!C23)</f>
        <v>0</v>
      </c>
      <c r="E11" s="525">
        <f>('CLINs - Detail'!E11+'CLINs - Detail'!E17+'CLINs - Detail'!E23)/('CLINs - Detail'!C11+'CLINs - Detail'!C17+'CLINs - Detail'!C23)</f>
        <v>0</v>
      </c>
      <c r="F11" s="526">
        <f t="shared" si="0"/>
        <v>0</v>
      </c>
      <c r="H11" s="524">
        <f>('CLINs - Detail'!D60+'CLINs - Detail'!D66+'CLINs - Detail'!D72)/('CLINs - Detail'!C60+'CLINs - Detail'!C66+'CLINs - Detail'!C72)</f>
        <v>0</v>
      </c>
      <c r="I11" s="525">
        <f>('CLINs - Detail'!E60+'CLINs - Detail'!E66+'CLINs - Detail'!E72)/('CLINs - Detail'!C60+'CLINs - Detail'!C66+'CLINs - Detail'!C72)</f>
        <v>0</v>
      </c>
      <c r="J11" s="526">
        <f t="shared" si="1"/>
        <v>0</v>
      </c>
      <c r="L11" s="524">
        <f>('CLINs - Detail'!D109+'CLINs - Detail'!D115+'CLINs - Detail'!D121)/('CLINs - Detail'!C109+'CLINs - Detail'!C115+'CLINs - Detail'!C121)</f>
        <v>0</v>
      </c>
      <c r="M11" s="525">
        <f>('CLINs - Detail'!E109+'CLINs - Detail'!E115+'CLINs - Detail'!E121)/('CLINs - Detail'!C109+'CLINs - Detail'!C115+'CLINs - Detail'!C121)</f>
        <v>0</v>
      </c>
      <c r="N11" s="526">
        <f t="shared" si="2"/>
        <v>0</v>
      </c>
      <c r="O11" s="157"/>
      <c r="P11" s="524">
        <f>('CLINs - Detail'!D158+'CLINs - Detail'!D164+'CLINs - Detail'!D170)/('CLINs - Detail'!C158+'CLINs - Detail'!C164+'CLINs - Detail'!C170)</f>
        <v>0</v>
      </c>
      <c r="Q11" s="525">
        <f>('CLINs - Detail'!E158+'CLINs - Detail'!E164+'CLINs - Detail'!E170)/('CLINs - Detail'!C158+'CLINs - Detail'!C164+'CLINs - Detail'!C170)</f>
        <v>0</v>
      </c>
      <c r="R11" s="526">
        <f t="shared" si="3"/>
        <v>0</v>
      </c>
      <c r="T11" s="524">
        <f>('CLINs - Detail'!D207+'CLINs - Detail'!D213+'CLINs - Detail'!D219)/('CLINs - Detail'!C207+'CLINs - Detail'!C213+'CLINs - Detail'!C219)</f>
        <v>0</v>
      </c>
      <c r="U11" s="525">
        <f>('CLINs - Detail'!E207+'CLINs - Detail'!E213+'CLINs - Detail'!E219)/('CLINs - Detail'!C207+'CLINs - Detail'!C213+'CLINs - Detail'!C219)</f>
        <v>0</v>
      </c>
      <c r="V11" s="526">
        <f t="shared" si="4"/>
        <v>0</v>
      </c>
    </row>
    <row r="12" spans="1:25" s="15" customFormat="1" ht="15.75" thickBot="1" x14ac:dyDescent="0.3">
      <c r="A12" s="513"/>
      <c r="B12" s="514"/>
      <c r="D12" s="515"/>
      <c r="E12" s="516"/>
      <c r="F12" s="517"/>
      <c r="H12" s="515"/>
      <c r="I12" s="516"/>
      <c r="J12" s="517"/>
      <c r="L12" s="515"/>
      <c r="M12" s="516"/>
      <c r="N12" s="517"/>
      <c r="P12" s="515"/>
      <c r="Q12" s="516"/>
      <c r="R12" s="517"/>
      <c r="T12" s="515"/>
      <c r="U12" s="516"/>
      <c r="V12" s="517"/>
      <c r="W12" s="518"/>
      <c r="X12" s="518"/>
      <c r="Y12" s="518"/>
    </row>
    <row r="13" spans="1:25" x14ac:dyDescent="0.25">
      <c r="A13" s="554" t="s">
        <v>43</v>
      </c>
      <c r="B13" s="555" t="s">
        <v>77</v>
      </c>
      <c r="D13" s="556">
        <f>('CLINs - Detail'!D27+'CLINs - Detail'!D30+'CLINs - Detail'!D33)/('CLINs - Detail'!C27+'CLINs - Detail'!C30+'CLINs - Detail'!C33)</f>
        <v>0</v>
      </c>
      <c r="E13" s="557">
        <f>('CLINs - Detail'!E27+'CLINs - Detail'!E30+'CLINs - Detail'!E33)/('CLINs - Detail'!C27+'CLINs - Detail'!C30+'CLINs - Detail'!C33)</f>
        <v>0</v>
      </c>
      <c r="F13" s="558">
        <f>D13+E13</f>
        <v>0</v>
      </c>
      <c r="G13" s="118"/>
      <c r="H13" s="556">
        <f>('CLINs - Detail'!D76+'CLINs - Detail'!D79+'CLINs - Detail'!D82)/('CLINs - Detail'!C76+'CLINs - Detail'!C79+'CLINs - Detail'!C82)</f>
        <v>0</v>
      </c>
      <c r="I13" s="557">
        <f>('CLINs - Detail'!E76+'CLINs - Detail'!E79+'CLINs - Detail'!E82)/('CLINs - Detail'!C76+'CLINs - Detail'!C79+'CLINs - Detail'!C82)</f>
        <v>0</v>
      </c>
      <c r="J13" s="558">
        <f>H13+I13</f>
        <v>0</v>
      </c>
      <c r="K13" s="118"/>
      <c r="L13" s="556">
        <f>('CLINs - Detail'!D125+'CLINs - Detail'!D128+'CLINs - Detail'!D131)/('CLINs - Detail'!C125+'CLINs - Detail'!C128+'CLINs - Detail'!C131)</f>
        <v>0</v>
      </c>
      <c r="M13" s="557">
        <f>('CLINs - Detail'!E125+'CLINs - Detail'!E128+'CLINs - Detail'!E131)/('CLINs - Detail'!C125+'CLINs - Detail'!C128+'CLINs - Detail'!C131)</f>
        <v>0</v>
      </c>
      <c r="N13" s="558">
        <f>L13+M13</f>
        <v>0</v>
      </c>
      <c r="O13" s="157"/>
      <c r="P13" s="556">
        <f>('CLINs - Detail'!D174+'CLINs - Detail'!D177+'CLINs - Detail'!D180)/('CLINs - Detail'!C174+'CLINs - Detail'!C177+'CLINs - Detail'!C180)</f>
        <v>0</v>
      </c>
      <c r="Q13" s="557">
        <f>('CLINs - Detail'!E174+'CLINs - Detail'!E177+'CLINs - Detail'!E180)/('CLINs - Detail'!C174+'CLINs - Detail'!C177+'CLINs - Detail'!C180)</f>
        <v>0</v>
      </c>
      <c r="R13" s="558">
        <f t="shared" ref="R13:R17" si="5">P13+Q13</f>
        <v>0</v>
      </c>
      <c r="S13" s="118"/>
      <c r="T13" s="556">
        <f>('CLINs - Detail'!D223+'CLINs - Detail'!D226+'CLINs - Detail'!D229)/('CLINs - Detail'!C223+'CLINs - Detail'!C226+'CLINs - Detail'!C229)</f>
        <v>0</v>
      </c>
      <c r="U13" s="557">
        <f>('CLINs - Detail'!E223+'CLINs - Detail'!E226+'CLINs - Detail'!E229)/('CLINs - Detail'!C223+'CLINs - Detail'!C226+'CLINs - Detail'!C229)</f>
        <v>0</v>
      </c>
      <c r="V13" s="558">
        <f t="shared" ref="V13:V17" si="6">T13+U13</f>
        <v>0</v>
      </c>
    </row>
    <row r="14" spans="1:25" x14ac:dyDescent="0.25">
      <c r="A14" s="552" t="s">
        <v>205</v>
      </c>
      <c r="B14" s="519" t="s">
        <v>77</v>
      </c>
      <c r="D14" s="520">
        <f>'CLINs - Detail'!D34/'CLINs - Detail'!C34</f>
        <v>0</v>
      </c>
      <c r="E14" s="521">
        <f>'CLINs - Detail'!E34/'CLINs - Detail'!C34</f>
        <v>0</v>
      </c>
      <c r="F14" s="522">
        <f t="shared" ref="F14:F17" si="7">D14+E14</f>
        <v>0</v>
      </c>
      <c r="G14" s="118"/>
      <c r="H14" s="520">
        <f>'CLINs - Detail'!D83/'CLINs - Detail'!C83</f>
        <v>0</v>
      </c>
      <c r="I14" s="521">
        <f>'CLINs - Detail'!E83/'CLINs - Detail'!C83</f>
        <v>0</v>
      </c>
      <c r="J14" s="522">
        <f t="shared" ref="J14:J17" si="8">H14+I14</f>
        <v>0</v>
      </c>
      <c r="K14" s="118"/>
      <c r="L14" s="520">
        <f>'CLINs - Detail'!D132/'CLINs - Detail'!C132</f>
        <v>0</v>
      </c>
      <c r="M14" s="521">
        <f>'CLINs - Detail'!E132/'CLINs - Detail'!C132</f>
        <v>0</v>
      </c>
      <c r="N14" s="522">
        <f t="shared" ref="N14:N17" si="9">L14+M14</f>
        <v>0</v>
      </c>
      <c r="O14" s="157"/>
      <c r="P14" s="520">
        <f>'CLINs - Detail'!D181/'CLINs - Detail'!C181</f>
        <v>0</v>
      </c>
      <c r="Q14" s="521">
        <f>'CLINs - Detail'!E181/'CLINs - Detail'!C181</f>
        <v>0</v>
      </c>
      <c r="R14" s="522">
        <f t="shared" si="5"/>
        <v>0</v>
      </c>
      <c r="S14" s="118"/>
      <c r="T14" s="520">
        <f>'CLINs - Detail'!D230/'CLINs - Detail'!C230</f>
        <v>0</v>
      </c>
      <c r="U14" s="521">
        <f>'CLINs - Detail'!E230/'CLINs - Detail'!C230</f>
        <v>0</v>
      </c>
      <c r="V14" s="522">
        <f t="shared" si="6"/>
        <v>0</v>
      </c>
    </row>
    <row r="15" spans="1:25" x14ac:dyDescent="0.25">
      <c r="A15" s="552" t="s">
        <v>212</v>
      </c>
      <c r="B15" s="519" t="s">
        <v>77</v>
      </c>
      <c r="D15" s="520">
        <f>'CLINs - Detail'!D35/'CLINs - Detail'!C35</f>
        <v>0</v>
      </c>
      <c r="E15" s="521">
        <f>'CLINs - Detail'!E35/'CLINs - Detail'!C35</f>
        <v>0</v>
      </c>
      <c r="F15" s="522">
        <f t="shared" si="7"/>
        <v>0</v>
      </c>
      <c r="G15" s="118"/>
      <c r="H15" s="520">
        <f>'CLINs - Detail'!D84/'CLINs - Detail'!C84</f>
        <v>0</v>
      </c>
      <c r="I15" s="521">
        <f>'CLINs - Detail'!E84/'CLINs - Detail'!C84</f>
        <v>0</v>
      </c>
      <c r="J15" s="522">
        <f t="shared" si="8"/>
        <v>0</v>
      </c>
      <c r="K15" s="118"/>
      <c r="L15" s="520">
        <f>'CLINs - Detail'!D133/'CLINs - Detail'!C133</f>
        <v>0</v>
      </c>
      <c r="M15" s="521">
        <f>'CLINs - Detail'!E133/'CLINs - Detail'!C133</f>
        <v>0</v>
      </c>
      <c r="N15" s="522">
        <f t="shared" si="9"/>
        <v>0</v>
      </c>
      <c r="O15" s="157"/>
      <c r="P15" s="520">
        <f>'CLINs - Detail'!D182/'CLINs - Detail'!C182</f>
        <v>0</v>
      </c>
      <c r="Q15" s="521">
        <f>'CLINs - Detail'!E182/'CLINs - Detail'!C182</f>
        <v>0</v>
      </c>
      <c r="R15" s="522">
        <f t="shared" si="5"/>
        <v>0</v>
      </c>
      <c r="S15" s="118"/>
      <c r="T15" s="520">
        <f>'CLINs - Detail'!D231/'CLINs - Detail'!C231</f>
        <v>0</v>
      </c>
      <c r="U15" s="521">
        <f>'CLINs - Detail'!E231/'CLINs - Detail'!C231</f>
        <v>0</v>
      </c>
      <c r="V15" s="522">
        <f t="shared" si="6"/>
        <v>0</v>
      </c>
    </row>
    <row r="16" spans="1:25" x14ac:dyDescent="0.25">
      <c r="A16" s="552" t="s">
        <v>213</v>
      </c>
      <c r="B16" s="519" t="s">
        <v>77</v>
      </c>
      <c r="D16" s="520">
        <f>'CLINs - Detail'!D36/'CLINs - Detail'!C36</f>
        <v>0</v>
      </c>
      <c r="E16" s="521">
        <f>'CLINs - Detail'!E36/'CLINs - Detail'!C36</f>
        <v>0</v>
      </c>
      <c r="F16" s="522">
        <f t="shared" si="7"/>
        <v>0</v>
      </c>
      <c r="G16" s="118"/>
      <c r="H16" s="520">
        <f>'CLINs - Detail'!D85/'CLINs - Detail'!C85</f>
        <v>0</v>
      </c>
      <c r="I16" s="521">
        <f>'CLINs - Detail'!E85/'CLINs - Detail'!C85</f>
        <v>0</v>
      </c>
      <c r="J16" s="522">
        <f t="shared" si="8"/>
        <v>0</v>
      </c>
      <c r="K16" s="118"/>
      <c r="L16" s="520">
        <f>'CLINs - Detail'!D134/'CLINs - Detail'!C134</f>
        <v>0</v>
      </c>
      <c r="M16" s="521">
        <f>'CLINs - Detail'!E134/'CLINs - Detail'!C134</f>
        <v>0</v>
      </c>
      <c r="N16" s="522">
        <f t="shared" si="9"/>
        <v>0</v>
      </c>
      <c r="O16" s="157"/>
      <c r="P16" s="520">
        <f>'CLINs - Detail'!D183/'CLINs - Detail'!C183</f>
        <v>0</v>
      </c>
      <c r="Q16" s="521">
        <f>'CLINs - Detail'!E183/'CLINs - Detail'!C183</f>
        <v>0</v>
      </c>
      <c r="R16" s="522">
        <f t="shared" si="5"/>
        <v>0</v>
      </c>
      <c r="S16" s="118"/>
      <c r="T16" s="520">
        <f>'CLINs - Detail'!D232/'CLINs - Detail'!C232</f>
        <v>0</v>
      </c>
      <c r="U16" s="521">
        <f>'CLINs - Detail'!E232/'CLINs - Detail'!C232</f>
        <v>0</v>
      </c>
      <c r="V16" s="522">
        <f t="shared" si="6"/>
        <v>0</v>
      </c>
    </row>
    <row r="17" spans="1:22" ht="15.75" thickBot="1" x14ac:dyDescent="0.3">
      <c r="A17" s="553" t="s">
        <v>216</v>
      </c>
      <c r="B17" s="523" t="s">
        <v>77</v>
      </c>
      <c r="D17" s="524">
        <f>('CLINs - Detail'!D28+'CLINs - Detail'!D31+'CLINs - Detail'!D37)/('CLINs - Detail'!C28+'CLINs - Detail'!C31+'CLINs - Detail'!C37)</f>
        <v>0</v>
      </c>
      <c r="E17" s="525">
        <f>('CLINs - Detail'!E28+'CLINs - Detail'!E31+'CLINs - Detail'!E37)/('CLINs - Detail'!C28+'CLINs - Detail'!C31+'CLINs - Detail'!C37)</f>
        <v>0</v>
      </c>
      <c r="F17" s="526">
        <f t="shared" si="7"/>
        <v>0</v>
      </c>
      <c r="G17" s="118"/>
      <c r="H17" s="524">
        <f>('CLINs - Detail'!D77+'CLINs - Detail'!D80+'CLINs - Detail'!D86)/('CLINs - Detail'!C77+'CLINs - Detail'!C80+'CLINs - Detail'!C86)</f>
        <v>0</v>
      </c>
      <c r="I17" s="525">
        <f>('CLINs - Detail'!E77+'CLINs - Detail'!E80+'CLINs - Detail'!E86)/('CLINs - Detail'!C77+'CLINs - Detail'!C80+'CLINs - Detail'!C86)</f>
        <v>0</v>
      </c>
      <c r="J17" s="526">
        <f t="shared" si="8"/>
        <v>0</v>
      </c>
      <c r="K17" s="118"/>
      <c r="L17" s="524">
        <f>('CLINs - Detail'!D126+'CLINs - Detail'!D129+'CLINs - Detail'!D135)/('CLINs - Detail'!C126+'CLINs - Detail'!C129+'CLINs - Detail'!C135)</f>
        <v>0</v>
      </c>
      <c r="M17" s="525">
        <f>('CLINs - Detail'!E126+'CLINs - Detail'!E129+'CLINs - Detail'!E135)/('CLINs - Detail'!C126+'CLINs - Detail'!C129+'CLINs - Detail'!C135)</f>
        <v>0</v>
      </c>
      <c r="N17" s="526">
        <f t="shared" si="9"/>
        <v>0</v>
      </c>
      <c r="O17" s="157"/>
      <c r="P17" s="524">
        <f>('CLINs - Detail'!D175+'CLINs - Detail'!D178+'CLINs - Detail'!D184)/('CLINs - Detail'!C175+'CLINs - Detail'!C178+'CLINs - Detail'!C184)</f>
        <v>0</v>
      </c>
      <c r="Q17" s="525">
        <f>('CLINs - Detail'!E175+'CLINs - Detail'!E178+'CLINs - Detail'!E184)/('CLINs - Detail'!C175+'CLINs - Detail'!C178+'CLINs - Detail'!C184)</f>
        <v>0</v>
      </c>
      <c r="R17" s="526">
        <f t="shared" si="5"/>
        <v>0</v>
      </c>
      <c r="S17" s="118"/>
      <c r="T17" s="524">
        <f>('CLINs - Detail'!D224+'CLINs - Detail'!D227+'CLINs - Detail'!D233)/('CLINs - Detail'!C224+'CLINs - Detail'!C227+'CLINs - Detail'!C233)</f>
        <v>0</v>
      </c>
      <c r="U17" s="525">
        <f>('CLINs - Detail'!E224+'CLINs - Detail'!E227+'CLINs - Detail'!E233)/('CLINs - Detail'!C224+'CLINs - Detail'!C227+'CLINs - Detail'!C233)</f>
        <v>0</v>
      </c>
      <c r="V17" s="526">
        <f t="shared" si="6"/>
        <v>0</v>
      </c>
    </row>
  </sheetData>
  <mergeCells count="12">
    <mergeCell ref="P2:R2"/>
    <mergeCell ref="T2:V2"/>
    <mergeCell ref="D3:F3"/>
    <mergeCell ref="H3:J3"/>
    <mergeCell ref="L3:N3"/>
    <mergeCell ref="P3:R3"/>
    <mergeCell ref="T3:V3"/>
    <mergeCell ref="A2:A4"/>
    <mergeCell ref="B2:B4"/>
    <mergeCell ref="D2:F2"/>
    <mergeCell ref="H2:J2"/>
    <mergeCell ref="L2:N2"/>
  </mergeCells>
  <pageMargins left="0.7" right="0.7" top="0.75" bottom="0.75" header="0.3" footer="0.3"/>
  <pageSetup orientation="portrait" verticalDpi="597"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6EF9F-BD7D-49FB-8804-3735D26A1D49}">
  <dimension ref="A1:Z23"/>
  <sheetViews>
    <sheetView showGridLines="0" zoomScaleNormal="100" workbookViewId="0">
      <pane xSplit="3" topLeftCell="D1" activePane="topRight" state="frozen"/>
      <selection activeCell="G6" sqref="E6:G6"/>
      <selection pane="topRight" activeCell="J28" sqref="J28"/>
    </sheetView>
  </sheetViews>
  <sheetFormatPr defaultRowHeight="15" x14ac:dyDescent="0.25"/>
  <cols>
    <col min="1" max="1" width="5.7109375" style="8" customWidth="1"/>
    <col min="2" max="2" width="36.42578125" style="8" bestFit="1" customWidth="1"/>
    <col min="3" max="3" width="10.7109375" style="106" customWidth="1"/>
    <col min="4" max="4" width="1.7109375" customWidth="1"/>
    <col min="5" max="7" width="15.7109375" customWidth="1"/>
    <col min="8" max="8" width="1.7109375" customWidth="1"/>
    <col min="9" max="11" width="15.7109375" customWidth="1"/>
    <col min="12" max="12" width="1.7109375" customWidth="1"/>
    <col min="13" max="15" width="15.7109375" customWidth="1"/>
    <col min="16" max="16" width="1.7109375" customWidth="1"/>
    <col min="17" max="19" width="15.7109375" customWidth="1"/>
    <col min="20" max="20" width="1.7109375" customWidth="1"/>
    <col min="21" max="23" width="15.7109375" customWidth="1"/>
  </cols>
  <sheetData>
    <row r="1" spans="1:26" ht="24" thickBot="1" x14ac:dyDescent="0.4">
      <c r="A1" s="105"/>
      <c r="E1" s="193" t="s">
        <v>156</v>
      </c>
      <c r="F1" s="194"/>
      <c r="G1" s="195"/>
      <c r="H1" s="196"/>
      <c r="I1" s="196"/>
      <c r="J1" s="196"/>
      <c r="K1" s="196"/>
      <c r="L1" s="196"/>
      <c r="M1" s="196"/>
      <c r="N1" s="196"/>
      <c r="O1" s="196"/>
      <c r="P1" s="196"/>
      <c r="Q1" s="196"/>
      <c r="R1" s="196"/>
      <c r="S1" s="196"/>
      <c r="T1" s="196"/>
      <c r="U1" s="196"/>
      <c r="V1" s="196"/>
      <c r="W1" s="197"/>
    </row>
    <row r="2" spans="1:26" x14ac:dyDescent="0.25">
      <c r="A2" s="728" t="s">
        <v>36</v>
      </c>
      <c r="B2" s="728" t="s">
        <v>37</v>
      </c>
      <c r="C2" s="728" t="s">
        <v>47</v>
      </c>
      <c r="D2" s="8"/>
      <c r="E2" s="722" t="s">
        <v>48</v>
      </c>
      <c r="F2" s="723"/>
      <c r="G2" s="724"/>
      <c r="I2" s="722" t="s">
        <v>49</v>
      </c>
      <c r="J2" s="723"/>
      <c r="K2" s="724"/>
      <c r="M2" s="722" t="s">
        <v>50</v>
      </c>
      <c r="N2" s="723"/>
      <c r="O2" s="724"/>
      <c r="Q2" s="722" t="s">
        <v>51</v>
      </c>
      <c r="R2" s="723"/>
      <c r="S2" s="724"/>
      <c r="U2" s="722" t="s">
        <v>52</v>
      </c>
      <c r="V2" s="723"/>
      <c r="W2" s="724"/>
    </row>
    <row r="3" spans="1:26" x14ac:dyDescent="0.25">
      <c r="A3" s="729"/>
      <c r="B3" s="729"/>
      <c r="C3" s="729"/>
      <c r="E3" s="725" t="s">
        <v>154</v>
      </c>
      <c r="F3" s="726"/>
      <c r="G3" s="727"/>
      <c r="I3" s="725" t="s">
        <v>154</v>
      </c>
      <c r="J3" s="726"/>
      <c r="K3" s="727"/>
      <c r="M3" s="725" t="s">
        <v>154</v>
      </c>
      <c r="N3" s="726"/>
      <c r="O3" s="727"/>
      <c r="Q3" s="725" t="s">
        <v>154</v>
      </c>
      <c r="R3" s="726"/>
      <c r="S3" s="727"/>
      <c r="U3" s="725" t="s">
        <v>154</v>
      </c>
      <c r="V3" s="726"/>
      <c r="W3" s="727"/>
    </row>
    <row r="4" spans="1:26" ht="30.75" thickBot="1" x14ac:dyDescent="0.3">
      <c r="A4" s="730"/>
      <c r="B4" s="730"/>
      <c r="C4" s="730"/>
      <c r="E4" s="190" t="s">
        <v>157</v>
      </c>
      <c r="F4" s="191" t="s">
        <v>155</v>
      </c>
      <c r="G4" s="192" t="s">
        <v>158</v>
      </c>
      <c r="I4" s="190" t="s">
        <v>157</v>
      </c>
      <c r="J4" s="191" t="s">
        <v>155</v>
      </c>
      <c r="K4" s="192" t="s">
        <v>158</v>
      </c>
      <c r="M4" s="190" t="s">
        <v>157</v>
      </c>
      <c r="N4" s="191" t="s">
        <v>155</v>
      </c>
      <c r="O4" s="192" t="s">
        <v>158</v>
      </c>
      <c r="Q4" s="190" t="s">
        <v>157</v>
      </c>
      <c r="R4" s="191" t="s">
        <v>155</v>
      </c>
      <c r="S4" s="192" t="s">
        <v>158</v>
      </c>
      <c r="U4" s="190" t="s">
        <v>157</v>
      </c>
      <c r="V4" s="191" t="s">
        <v>155</v>
      </c>
      <c r="W4" s="192" t="s">
        <v>158</v>
      </c>
      <c r="X4" s="98"/>
      <c r="Y4" s="98"/>
      <c r="Z4" s="98"/>
    </row>
    <row r="5" spans="1:26" ht="15.75" thickBot="1" x14ac:dyDescent="0.3">
      <c r="A5" s="267"/>
      <c r="B5" s="268"/>
      <c r="C5" s="269"/>
      <c r="D5" s="172"/>
      <c r="E5" s="448"/>
      <c r="F5" s="332"/>
      <c r="G5" s="449"/>
      <c r="H5" s="172"/>
      <c r="I5" s="203"/>
      <c r="J5" s="173"/>
      <c r="K5" s="174"/>
      <c r="L5" s="172"/>
      <c r="M5" s="203"/>
      <c r="N5" s="173"/>
      <c r="O5" s="174"/>
      <c r="P5" s="172"/>
      <c r="Q5" s="203"/>
      <c r="R5" s="173"/>
      <c r="S5" s="174"/>
      <c r="T5" s="172"/>
      <c r="U5" s="203"/>
      <c r="V5" s="173"/>
      <c r="W5" s="174"/>
      <c r="X5" s="98"/>
      <c r="Y5" s="98"/>
      <c r="Z5" s="98"/>
    </row>
    <row r="6" spans="1:26" s="102" customFormat="1" x14ac:dyDescent="0.25">
      <c r="A6" s="329" t="s">
        <v>53</v>
      </c>
      <c r="B6" s="183" t="s">
        <v>54</v>
      </c>
      <c r="C6" s="184" t="s">
        <v>55</v>
      </c>
      <c r="E6" s="103">
        <f>$E$5*'Ordering Period 1'!T5</f>
        <v>0</v>
      </c>
      <c r="F6" s="140" t="str">
        <f>'Ordering Period 1'!AR5</f>
        <v/>
      </c>
      <c r="G6" s="141" t="e">
        <f t="shared" ref="G6:G14" si="0">E6+F6</f>
        <v>#VALUE!</v>
      </c>
      <c r="I6" s="103">
        <f>$I$5*'Ordering Period 2'!R5</f>
        <v>0</v>
      </c>
      <c r="J6" s="140" t="str">
        <f>'Ordering Period 2'!AP5</f>
        <v/>
      </c>
      <c r="K6" s="141" t="e">
        <f>I6+J6</f>
        <v>#VALUE!</v>
      </c>
      <c r="M6" s="103">
        <f>$M$5*'Ordering Period 3'!R5</f>
        <v>0</v>
      </c>
      <c r="N6" s="140" t="str">
        <f>'Ordering Period 3'!AP5</f>
        <v/>
      </c>
      <c r="O6" s="141" t="e">
        <f>M6+N6</f>
        <v>#VALUE!</v>
      </c>
      <c r="P6" s="1"/>
      <c r="Q6" s="103">
        <f>$Q$5*'Ordering Period 4'!R5</f>
        <v>0</v>
      </c>
      <c r="R6" s="140" t="str">
        <f>'Ordering Period 4'!AP5</f>
        <v/>
      </c>
      <c r="S6" s="141" t="e">
        <f>Q6+R6</f>
        <v>#VALUE!</v>
      </c>
      <c r="U6" s="103">
        <f>$U$5*'Ordering Period 5'!R5</f>
        <v>0</v>
      </c>
      <c r="V6" s="140" t="str">
        <f>'Ordering Period 5'!AP5</f>
        <v/>
      </c>
      <c r="W6" s="141" t="e">
        <f>U6+V6</f>
        <v>#VALUE!</v>
      </c>
    </row>
    <row r="7" spans="1:26" s="102" customFormat="1" x14ac:dyDescent="0.25">
      <c r="A7" s="330" t="s">
        <v>56</v>
      </c>
      <c r="B7" s="182" t="s">
        <v>57</v>
      </c>
      <c r="C7" s="185" t="s">
        <v>55</v>
      </c>
      <c r="E7" s="104">
        <f>$E$5*'Ordering Period 1'!T6</f>
        <v>0</v>
      </c>
      <c r="F7" s="139" t="str">
        <f>'Ordering Period 1'!AR6</f>
        <v/>
      </c>
      <c r="G7" s="142" t="e">
        <f t="shared" si="0"/>
        <v>#VALUE!</v>
      </c>
      <c r="I7" s="104">
        <f>$I$5*'Ordering Period 2'!R6</f>
        <v>0</v>
      </c>
      <c r="J7" s="139" t="str">
        <f>'Ordering Period 2'!AP6</f>
        <v/>
      </c>
      <c r="K7" s="142" t="e">
        <f t="shared" ref="K7:K14" si="1">I7+J7</f>
        <v>#VALUE!</v>
      </c>
      <c r="M7" s="104">
        <f>$M$5*'Ordering Period 3'!R6</f>
        <v>0</v>
      </c>
      <c r="N7" s="139" t="str">
        <f>'Ordering Period 3'!AP6</f>
        <v/>
      </c>
      <c r="O7" s="142" t="e">
        <f t="shared" ref="O7:O14" si="2">M7+N7</f>
        <v>#VALUE!</v>
      </c>
      <c r="P7" s="1"/>
      <c r="Q7" s="104">
        <f>$Q$5*'Ordering Period 4'!R6</f>
        <v>0</v>
      </c>
      <c r="R7" s="139" t="str">
        <f>'Ordering Period 4'!AP6</f>
        <v/>
      </c>
      <c r="S7" s="142" t="e">
        <f t="shared" ref="S7:S14" si="3">Q7+R7</f>
        <v>#VALUE!</v>
      </c>
      <c r="U7" s="104">
        <f>$U$5*'Ordering Period 5'!R6</f>
        <v>0</v>
      </c>
      <c r="V7" s="139" t="str">
        <f>'Ordering Period 5'!AP6</f>
        <v/>
      </c>
      <c r="W7" s="142" t="e">
        <f t="shared" ref="W7:W14" si="4">U7+V7</f>
        <v>#VALUE!</v>
      </c>
    </row>
    <row r="8" spans="1:26" s="102" customFormat="1" x14ac:dyDescent="0.25">
      <c r="A8" s="330" t="s">
        <v>58</v>
      </c>
      <c r="B8" s="182" t="s">
        <v>59</v>
      </c>
      <c r="C8" s="185" t="s">
        <v>55</v>
      </c>
      <c r="E8" s="104">
        <f>$E$5*'Ordering Period 1'!T8</f>
        <v>0</v>
      </c>
      <c r="F8" s="139" t="str">
        <f>'Ordering Period 1'!AR8</f>
        <v/>
      </c>
      <c r="G8" s="142" t="e">
        <f t="shared" si="0"/>
        <v>#VALUE!</v>
      </c>
      <c r="I8" s="104">
        <f>$I$5*'Ordering Period 2'!R8</f>
        <v>0</v>
      </c>
      <c r="J8" s="139" t="str">
        <f>'Ordering Period 2'!AP8</f>
        <v/>
      </c>
      <c r="K8" s="142" t="e">
        <f t="shared" si="1"/>
        <v>#VALUE!</v>
      </c>
      <c r="M8" s="104">
        <f>$M$5*'Ordering Period 3'!R8</f>
        <v>0</v>
      </c>
      <c r="N8" s="139" t="str">
        <f>'Ordering Period 3'!AP8</f>
        <v/>
      </c>
      <c r="O8" s="142" t="e">
        <f t="shared" si="2"/>
        <v>#VALUE!</v>
      </c>
      <c r="P8" s="1"/>
      <c r="Q8" s="104">
        <f>$Q$5*'Ordering Period 4'!R8</f>
        <v>0</v>
      </c>
      <c r="R8" s="139" t="str">
        <f>'Ordering Period 4'!AP8</f>
        <v/>
      </c>
      <c r="S8" s="142" t="e">
        <f t="shared" si="3"/>
        <v>#VALUE!</v>
      </c>
      <c r="U8" s="104">
        <f>$U$5*'Ordering Period 5'!R8</f>
        <v>0</v>
      </c>
      <c r="V8" s="139" t="str">
        <f>'Ordering Period 5'!AP8</f>
        <v/>
      </c>
      <c r="W8" s="142" t="e">
        <f t="shared" si="4"/>
        <v>#VALUE!</v>
      </c>
    </row>
    <row r="9" spans="1:26" s="102" customFormat="1" x14ac:dyDescent="0.25">
      <c r="A9" s="330" t="s">
        <v>60</v>
      </c>
      <c r="B9" s="182" t="s">
        <v>71</v>
      </c>
      <c r="C9" s="185" t="s">
        <v>55</v>
      </c>
      <c r="E9" s="104">
        <f>$E$5*'Ordering Period 1'!T9</f>
        <v>0</v>
      </c>
      <c r="F9" s="139" t="str">
        <f>'Ordering Period 1'!AR9</f>
        <v/>
      </c>
      <c r="G9" s="142" t="e">
        <f t="shared" si="0"/>
        <v>#VALUE!</v>
      </c>
      <c r="I9" s="104">
        <f>$I$5*'Ordering Period 2'!R9</f>
        <v>0</v>
      </c>
      <c r="J9" s="139" t="str">
        <f>'Ordering Period 2'!AP9</f>
        <v/>
      </c>
      <c r="K9" s="142" t="e">
        <f t="shared" si="1"/>
        <v>#VALUE!</v>
      </c>
      <c r="M9" s="104">
        <f>$M$5*'Ordering Period 3'!R9</f>
        <v>0</v>
      </c>
      <c r="N9" s="139" t="str">
        <f>'Ordering Period 3'!AP9</f>
        <v/>
      </c>
      <c r="O9" s="142" t="e">
        <f t="shared" si="2"/>
        <v>#VALUE!</v>
      </c>
      <c r="P9" s="1"/>
      <c r="Q9" s="104">
        <f>$Q$5*'Ordering Period 4'!R9</f>
        <v>0</v>
      </c>
      <c r="R9" s="139" t="str">
        <f>'Ordering Period 4'!AP9</f>
        <v/>
      </c>
      <c r="S9" s="142" t="e">
        <f t="shared" si="3"/>
        <v>#VALUE!</v>
      </c>
      <c r="U9" s="104">
        <f>$U$5*'Ordering Period 5'!R9</f>
        <v>0</v>
      </c>
      <c r="V9" s="139" t="str">
        <f>'Ordering Period 5'!AP9</f>
        <v/>
      </c>
      <c r="W9" s="142" t="e">
        <f t="shared" si="4"/>
        <v>#VALUE!</v>
      </c>
    </row>
    <row r="10" spans="1:26" s="102" customFormat="1" x14ac:dyDescent="0.25">
      <c r="A10" s="330" t="s">
        <v>61</v>
      </c>
      <c r="B10" s="182" t="s">
        <v>206</v>
      </c>
      <c r="C10" s="185" t="s">
        <v>55</v>
      </c>
      <c r="E10" s="104">
        <f>$E$5*'Ordering Period 1'!T10</f>
        <v>0</v>
      </c>
      <c r="F10" s="139" t="str">
        <f>'Ordering Period 1'!AR10</f>
        <v/>
      </c>
      <c r="G10" s="142" t="e">
        <f t="shared" si="0"/>
        <v>#VALUE!</v>
      </c>
      <c r="I10" s="104">
        <f>$I$5*'Ordering Period 2'!R10</f>
        <v>0</v>
      </c>
      <c r="J10" s="139" t="str">
        <f>'Ordering Period 2'!AP10</f>
        <v/>
      </c>
      <c r="K10" s="142" t="e">
        <f t="shared" si="1"/>
        <v>#VALUE!</v>
      </c>
      <c r="M10" s="104">
        <f>$M$5*'Ordering Period 3'!R10</f>
        <v>0</v>
      </c>
      <c r="N10" s="139" t="str">
        <f>'Ordering Period 3'!AP10</f>
        <v/>
      </c>
      <c r="O10" s="142" t="e">
        <f t="shared" si="2"/>
        <v>#VALUE!</v>
      </c>
      <c r="P10" s="1"/>
      <c r="Q10" s="104">
        <f>$Q$5*'Ordering Period 4'!R10</f>
        <v>0</v>
      </c>
      <c r="R10" s="139" t="str">
        <f>'Ordering Period 4'!AP10</f>
        <v/>
      </c>
      <c r="S10" s="142" t="e">
        <f t="shared" si="3"/>
        <v>#VALUE!</v>
      </c>
      <c r="U10" s="104">
        <f>$U$5*'Ordering Period 5'!R10</f>
        <v>0</v>
      </c>
      <c r="V10" s="139" t="str">
        <f>'Ordering Period 5'!AP10</f>
        <v/>
      </c>
      <c r="W10" s="142" t="e">
        <f t="shared" si="4"/>
        <v>#VALUE!</v>
      </c>
    </row>
    <row r="11" spans="1:26" s="102" customFormat="1" x14ac:dyDescent="0.25">
      <c r="A11" s="330" t="s">
        <v>62</v>
      </c>
      <c r="B11" s="182" t="s">
        <v>74</v>
      </c>
      <c r="C11" s="185" t="s">
        <v>55</v>
      </c>
      <c r="E11" s="104">
        <f>$E$5*'Ordering Period 1'!T11</f>
        <v>0</v>
      </c>
      <c r="F11" s="139" t="str">
        <f>'Ordering Period 1'!AR11</f>
        <v/>
      </c>
      <c r="G11" s="142" t="e">
        <f t="shared" si="0"/>
        <v>#VALUE!</v>
      </c>
      <c r="I11" s="104">
        <f>$I$5*'Ordering Period 2'!R11</f>
        <v>0</v>
      </c>
      <c r="J11" s="139" t="str">
        <f>'Ordering Period 2'!AP11</f>
        <v/>
      </c>
      <c r="K11" s="142" t="e">
        <f t="shared" si="1"/>
        <v>#VALUE!</v>
      </c>
      <c r="M11" s="104">
        <f>$M$5*'Ordering Period 3'!R11</f>
        <v>0</v>
      </c>
      <c r="N11" s="139" t="str">
        <f>'Ordering Period 3'!AP11</f>
        <v/>
      </c>
      <c r="O11" s="142" t="e">
        <f t="shared" si="2"/>
        <v>#VALUE!</v>
      </c>
      <c r="P11" s="1"/>
      <c r="Q11" s="104">
        <f>$Q$5*'Ordering Period 4'!R11</f>
        <v>0</v>
      </c>
      <c r="R11" s="139" t="str">
        <f>'Ordering Period 4'!AP11</f>
        <v/>
      </c>
      <c r="S11" s="142" t="e">
        <f t="shared" si="3"/>
        <v>#VALUE!</v>
      </c>
      <c r="U11" s="104">
        <f>$U$5*'Ordering Period 5'!R11</f>
        <v>0</v>
      </c>
      <c r="V11" s="139" t="str">
        <f>'Ordering Period 5'!AP11</f>
        <v/>
      </c>
      <c r="W11" s="142" t="e">
        <f t="shared" si="4"/>
        <v>#VALUE!</v>
      </c>
    </row>
    <row r="12" spans="1:26" s="102" customFormat="1" x14ac:dyDescent="0.25">
      <c r="A12" s="330" t="s">
        <v>63</v>
      </c>
      <c r="B12" s="182" t="s">
        <v>65</v>
      </c>
      <c r="C12" s="185" t="s">
        <v>55</v>
      </c>
      <c r="E12" s="104">
        <f>$E$5*'Ordering Period 1'!T12</f>
        <v>0</v>
      </c>
      <c r="F12" s="139" t="str">
        <f>'Ordering Period 1'!AR12</f>
        <v/>
      </c>
      <c r="G12" s="142" t="e">
        <f t="shared" si="0"/>
        <v>#VALUE!</v>
      </c>
      <c r="I12" s="104">
        <f>$I$5*'Ordering Period 2'!R12</f>
        <v>0</v>
      </c>
      <c r="J12" s="139" t="str">
        <f>'Ordering Period 2'!AP12</f>
        <v/>
      </c>
      <c r="K12" s="142" t="e">
        <f t="shared" si="1"/>
        <v>#VALUE!</v>
      </c>
      <c r="M12" s="104">
        <f>$M$5*'Ordering Period 3'!R12</f>
        <v>0</v>
      </c>
      <c r="N12" s="139" t="str">
        <f>'Ordering Period 3'!AP12</f>
        <v/>
      </c>
      <c r="O12" s="142" t="e">
        <f t="shared" si="2"/>
        <v>#VALUE!</v>
      </c>
      <c r="P12" s="1"/>
      <c r="Q12" s="104">
        <f>$Q$5*'Ordering Period 4'!R12</f>
        <v>0</v>
      </c>
      <c r="R12" s="139" t="str">
        <f>'Ordering Period 4'!AP12</f>
        <v/>
      </c>
      <c r="S12" s="142" t="e">
        <f t="shared" si="3"/>
        <v>#VALUE!</v>
      </c>
      <c r="U12" s="104">
        <f>$U$5*'Ordering Period 5'!R12</f>
        <v>0</v>
      </c>
      <c r="V12" s="139" t="str">
        <f>'Ordering Period 5'!AP12</f>
        <v/>
      </c>
      <c r="W12" s="142" t="e">
        <f t="shared" si="4"/>
        <v>#VALUE!</v>
      </c>
    </row>
    <row r="13" spans="1:26" s="102" customFormat="1" x14ac:dyDescent="0.25">
      <c r="A13" s="330" t="s">
        <v>64</v>
      </c>
      <c r="B13" s="182" t="s">
        <v>68</v>
      </c>
      <c r="C13" s="185" t="s">
        <v>55</v>
      </c>
      <c r="E13" s="104">
        <f>$E$5*'Ordering Period 1'!T13</f>
        <v>0</v>
      </c>
      <c r="F13" s="139" t="str">
        <f>'Ordering Period 1'!AR13</f>
        <v/>
      </c>
      <c r="G13" s="142" t="e">
        <f t="shared" si="0"/>
        <v>#VALUE!</v>
      </c>
      <c r="I13" s="104">
        <f>$I$5*'Ordering Period 2'!R13</f>
        <v>0</v>
      </c>
      <c r="J13" s="139" t="str">
        <f>'Ordering Period 2'!AP13</f>
        <v/>
      </c>
      <c r="K13" s="142" t="e">
        <f t="shared" si="1"/>
        <v>#VALUE!</v>
      </c>
      <c r="M13" s="104">
        <f>$M$5*'Ordering Period 3'!R13</f>
        <v>0</v>
      </c>
      <c r="N13" s="139" t="str">
        <f>'Ordering Period 3'!AP13</f>
        <v/>
      </c>
      <c r="O13" s="142" t="e">
        <f t="shared" si="2"/>
        <v>#VALUE!</v>
      </c>
      <c r="P13" s="1"/>
      <c r="Q13" s="104">
        <f>$Q$5*'Ordering Period 4'!R13</f>
        <v>0</v>
      </c>
      <c r="R13" s="139" t="str">
        <f>'Ordering Period 4'!AP13</f>
        <v/>
      </c>
      <c r="S13" s="142" t="e">
        <f t="shared" si="3"/>
        <v>#VALUE!</v>
      </c>
      <c r="U13" s="104">
        <f>$U$5*'Ordering Period 5'!R13</f>
        <v>0</v>
      </c>
      <c r="V13" s="139" t="str">
        <f>'Ordering Period 5'!AP13</f>
        <v/>
      </c>
      <c r="W13" s="142" t="e">
        <f t="shared" si="4"/>
        <v>#VALUE!</v>
      </c>
    </row>
    <row r="14" spans="1:26" s="102" customFormat="1" ht="15.75" thickBot="1" x14ac:dyDescent="0.3">
      <c r="A14" s="330" t="s">
        <v>66</v>
      </c>
      <c r="B14" s="550" t="s">
        <v>234</v>
      </c>
      <c r="C14" s="185" t="s">
        <v>55</v>
      </c>
      <c r="E14" s="450">
        <f>E5*'Ordering Period 1'!T19</f>
        <v>0</v>
      </c>
      <c r="F14" s="451" t="str">
        <f>'Ordering Period 1'!AR19</f>
        <v/>
      </c>
      <c r="G14" s="452" t="e">
        <f t="shared" si="0"/>
        <v>#VALUE!</v>
      </c>
      <c r="I14" s="450">
        <f>I5*'Ordering Period 2'!R19</f>
        <v>0</v>
      </c>
      <c r="J14" s="451" t="str">
        <f>'Ordering Period 2'!AP19</f>
        <v/>
      </c>
      <c r="K14" s="452" t="e">
        <f t="shared" si="1"/>
        <v>#VALUE!</v>
      </c>
      <c r="M14" s="450">
        <f>M5*'Ordering Period 3'!R19</f>
        <v>0</v>
      </c>
      <c r="N14" s="451" t="str">
        <f>'Ordering Period 3'!AP19</f>
        <v/>
      </c>
      <c r="O14" s="452" t="e">
        <f t="shared" si="2"/>
        <v>#VALUE!</v>
      </c>
      <c r="P14" s="1"/>
      <c r="Q14" s="450">
        <f>Q5*'Ordering Period 4'!R19</f>
        <v>0</v>
      </c>
      <c r="R14" s="451" t="str">
        <f>'Ordering Period 4'!AP19</f>
        <v/>
      </c>
      <c r="S14" s="452" t="e">
        <f t="shared" si="3"/>
        <v>#VALUE!</v>
      </c>
      <c r="U14" s="450">
        <f>U5*'Ordering Period 5'!R19</f>
        <v>0</v>
      </c>
      <c r="V14" s="451" t="str">
        <f>'Ordering Period 5'!AP19</f>
        <v/>
      </c>
      <c r="W14" s="452" t="e">
        <f t="shared" si="4"/>
        <v>#VALUE!</v>
      </c>
    </row>
    <row r="15" spans="1:26" s="102" customFormat="1" ht="15.75" thickBot="1" x14ac:dyDescent="0.3">
      <c r="A15" s="336"/>
      <c r="B15" s="337"/>
      <c r="C15" s="338"/>
      <c r="D15" s="334"/>
      <c r="E15" s="448"/>
      <c r="F15" s="332"/>
      <c r="G15" s="449"/>
      <c r="H15" s="172"/>
      <c r="I15" s="203"/>
      <c r="J15" s="173"/>
      <c r="K15" s="174"/>
      <c r="L15" s="172"/>
      <c r="M15" s="203"/>
      <c r="N15" s="173"/>
      <c r="O15" s="174"/>
      <c r="P15" s="172"/>
      <c r="Q15" s="203"/>
      <c r="R15" s="173"/>
      <c r="S15" s="174"/>
      <c r="T15" s="172"/>
      <c r="U15" s="203"/>
      <c r="V15" s="173"/>
      <c r="W15" s="174"/>
    </row>
    <row r="16" spans="1:26" s="102" customFormat="1" x14ac:dyDescent="0.25">
      <c r="A16" s="329" t="s">
        <v>67</v>
      </c>
      <c r="B16" s="183" t="s">
        <v>209</v>
      </c>
      <c r="C16" s="184" t="s">
        <v>77</v>
      </c>
      <c r="E16" s="359">
        <f>$E$15*'Ordering Period 1'!T23</f>
        <v>0</v>
      </c>
      <c r="F16" s="360" t="str">
        <f>'Ordering Period 1'!AR23</f>
        <v/>
      </c>
      <c r="G16" s="361" t="e">
        <f>E16+F16</f>
        <v>#VALUE!</v>
      </c>
      <c r="I16" s="359">
        <f>$I$15*'Ordering Period 2'!R23</f>
        <v>0</v>
      </c>
      <c r="J16" s="360" t="str">
        <f>'Ordering Period 2'!AP23</f>
        <v/>
      </c>
      <c r="K16" s="361" t="e">
        <f>I16+J16</f>
        <v>#VALUE!</v>
      </c>
      <c r="M16" s="359">
        <f>$M$15*'Ordering Period 3'!R23</f>
        <v>0</v>
      </c>
      <c r="N16" s="360" t="str">
        <f>'Ordering Period 3'!AP23</f>
        <v/>
      </c>
      <c r="O16" s="361" t="e">
        <f>M16+N16</f>
        <v>#VALUE!</v>
      </c>
      <c r="P16" s="1"/>
      <c r="Q16" s="359">
        <f>$Q$15*'Ordering Period 4'!R23</f>
        <v>0</v>
      </c>
      <c r="R16" s="360" t="str">
        <f>'Ordering Period 4'!AP23</f>
        <v/>
      </c>
      <c r="S16" s="361" t="e">
        <f>Q16+R16</f>
        <v>#VALUE!</v>
      </c>
      <c r="U16" s="359">
        <f>$U$15*'Ordering Period 5'!R23</f>
        <v>0</v>
      </c>
      <c r="V16" s="360" t="str">
        <f>'Ordering Period 5'!AP23</f>
        <v/>
      </c>
      <c r="W16" s="361" t="e">
        <f>U16+V16</f>
        <v>#VALUE!</v>
      </c>
    </row>
    <row r="17" spans="1:26" s="102" customFormat="1" x14ac:dyDescent="0.25">
      <c r="A17" s="330" t="s">
        <v>69</v>
      </c>
      <c r="B17" s="182" t="s">
        <v>59</v>
      </c>
      <c r="C17" s="185" t="s">
        <v>77</v>
      </c>
      <c r="E17" s="347">
        <f>$E$15*'Ordering Period 1'!T25</f>
        <v>0</v>
      </c>
      <c r="F17" s="343" t="str">
        <f>'Ordering Period 1'!AR25</f>
        <v/>
      </c>
      <c r="G17" s="344" t="e">
        <f t="shared" ref="G17:G23" si="5">E17+F17</f>
        <v>#VALUE!</v>
      </c>
      <c r="I17" s="347">
        <f>$I$15*'Ordering Period 2'!R25</f>
        <v>0</v>
      </c>
      <c r="J17" s="343" t="str">
        <f>'Ordering Period 2'!AP25</f>
        <v/>
      </c>
      <c r="K17" s="344" t="e">
        <f t="shared" ref="K17:K23" si="6">I17+J17</f>
        <v>#VALUE!</v>
      </c>
      <c r="M17" s="347">
        <f>$M$15*'Ordering Period 3'!R25</f>
        <v>0</v>
      </c>
      <c r="N17" s="343" t="str">
        <f>'Ordering Period 3'!AP25</f>
        <v/>
      </c>
      <c r="O17" s="344" t="e">
        <f t="shared" ref="O17:O23" si="7">M17+N17</f>
        <v>#VALUE!</v>
      </c>
      <c r="P17" s="1"/>
      <c r="Q17" s="347">
        <f>$Q$15*'Ordering Period 4'!R25</f>
        <v>0</v>
      </c>
      <c r="R17" s="343" t="str">
        <f>'Ordering Period 4'!AP25</f>
        <v/>
      </c>
      <c r="S17" s="344" t="e">
        <f t="shared" ref="S17:S23" si="8">Q17+R17</f>
        <v>#VALUE!</v>
      </c>
      <c r="U17" s="347">
        <f>$U$15*'Ordering Period 5'!R25</f>
        <v>0</v>
      </c>
      <c r="V17" s="343" t="str">
        <f>'Ordering Period 5'!AP25</f>
        <v/>
      </c>
      <c r="W17" s="344" t="e">
        <f t="shared" ref="W17:W23" si="9">U17+V17</f>
        <v>#VALUE!</v>
      </c>
    </row>
    <row r="18" spans="1:26" s="102" customFormat="1" x14ac:dyDescent="0.25">
      <c r="A18" s="330" t="s">
        <v>70</v>
      </c>
      <c r="B18" s="182" t="s">
        <v>71</v>
      </c>
      <c r="C18" s="185" t="s">
        <v>77</v>
      </c>
      <c r="E18" s="347">
        <f>$E$15*'Ordering Period 1'!T26</f>
        <v>0</v>
      </c>
      <c r="F18" s="343" t="str">
        <f>'Ordering Period 1'!AR26</f>
        <v/>
      </c>
      <c r="G18" s="344" t="e">
        <f t="shared" si="5"/>
        <v>#VALUE!</v>
      </c>
      <c r="I18" s="347">
        <f>$I$15*'Ordering Period 2'!R26</f>
        <v>0</v>
      </c>
      <c r="J18" s="343" t="str">
        <f>'Ordering Period 2'!AP26</f>
        <v/>
      </c>
      <c r="K18" s="344" t="e">
        <f t="shared" si="6"/>
        <v>#VALUE!</v>
      </c>
      <c r="M18" s="347">
        <f>$M$15*'Ordering Period 3'!R26</f>
        <v>0</v>
      </c>
      <c r="N18" s="343" t="str">
        <f>'Ordering Period 3'!AP26</f>
        <v/>
      </c>
      <c r="O18" s="344" t="e">
        <f t="shared" si="7"/>
        <v>#VALUE!</v>
      </c>
      <c r="P18" s="1"/>
      <c r="Q18" s="347">
        <f>$Q$15*'Ordering Period 4'!R26</f>
        <v>0</v>
      </c>
      <c r="R18" s="343" t="str">
        <f>'Ordering Period 4'!AP26</f>
        <v/>
      </c>
      <c r="S18" s="344" t="e">
        <f t="shared" si="8"/>
        <v>#VALUE!</v>
      </c>
      <c r="U18" s="347">
        <f>$U$15*'Ordering Period 5'!R26</f>
        <v>0</v>
      </c>
      <c r="V18" s="343" t="str">
        <f>'Ordering Period 5'!AP26</f>
        <v/>
      </c>
      <c r="W18" s="344" t="e">
        <f t="shared" si="9"/>
        <v>#VALUE!</v>
      </c>
    </row>
    <row r="19" spans="1:26" s="102" customFormat="1" x14ac:dyDescent="0.25">
      <c r="A19" s="330" t="s">
        <v>72</v>
      </c>
      <c r="B19" s="182" t="s">
        <v>206</v>
      </c>
      <c r="C19" s="185" t="s">
        <v>77</v>
      </c>
      <c r="E19" s="347">
        <f>$E$15*'Ordering Period 1'!T27</f>
        <v>0</v>
      </c>
      <c r="F19" s="343" t="str">
        <f>'Ordering Period 1'!AR27</f>
        <v/>
      </c>
      <c r="G19" s="344" t="e">
        <f t="shared" si="5"/>
        <v>#VALUE!</v>
      </c>
      <c r="I19" s="347">
        <f>$I$15*'Ordering Period 2'!R27</f>
        <v>0</v>
      </c>
      <c r="J19" s="343" t="str">
        <f>'Ordering Period 2'!AP27</f>
        <v/>
      </c>
      <c r="K19" s="344" t="e">
        <f t="shared" si="6"/>
        <v>#VALUE!</v>
      </c>
      <c r="M19" s="347">
        <f>$M$15*'Ordering Period 3'!R27</f>
        <v>0</v>
      </c>
      <c r="N19" s="343" t="str">
        <f>'Ordering Period 3'!AP27</f>
        <v/>
      </c>
      <c r="O19" s="344" t="e">
        <f t="shared" si="7"/>
        <v>#VALUE!</v>
      </c>
      <c r="P19" s="1"/>
      <c r="Q19" s="347">
        <f>$Q$15*'Ordering Period 4'!R27</f>
        <v>0</v>
      </c>
      <c r="R19" s="343" t="str">
        <f>'Ordering Period 4'!AP27</f>
        <v/>
      </c>
      <c r="S19" s="344" t="e">
        <f t="shared" si="8"/>
        <v>#VALUE!</v>
      </c>
      <c r="U19" s="347">
        <f>$U$15*'Ordering Period 5'!R27</f>
        <v>0</v>
      </c>
      <c r="V19" s="343" t="str">
        <f>'Ordering Period 5'!AP27</f>
        <v/>
      </c>
      <c r="W19" s="344" t="e">
        <f t="shared" si="9"/>
        <v>#VALUE!</v>
      </c>
    </row>
    <row r="20" spans="1:26" s="102" customFormat="1" x14ac:dyDescent="0.25">
      <c r="A20" s="330" t="s">
        <v>73</v>
      </c>
      <c r="B20" s="182" t="s">
        <v>74</v>
      </c>
      <c r="C20" s="185" t="s">
        <v>77</v>
      </c>
      <c r="E20" s="347">
        <f>$E$15*'Ordering Period 1'!T28</f>
        <v>0</v>
      </c>
      <c r="F20" s="343" t="str">
        <f>'Ordering Period 1'!AR28</f>
        <v/>
      </c>
      <c r="G20" s="344" t="e">
        <f t="shared" si="5"/>
        <v>#VALUE!</v>
      </c>
      <c r="I20" s="347">
        <f>$I$15*'Ordering Period 2'!R28</f>
        <v>0</v>
      </c>
      <c r="J20" s="343" t="str">
        <f>'Ordering Period 2'!AP28</f>
        <v/>
      </c>
      <c r="K20" s="344" t="e">
        <f t="shared" si="6"/>
        <v>#VALUE!</v>
      </c>
      <c r="M20" s="347">
        <f>$M$15*'Ordering Period 3'!R28</f>
        <v>0</v>
      </c>
      <c r="N20" s="343" t="str">
        <f>'Ordering Period 3'!AP28</f>
        <v/>
      </c>
      <c r="O20" s="344" t="e">
        <f t="shared" si="7"/>
        <v>#VALUE!</v>
      </c>
      <c r="P20" s="1"/>
      <c r="Q20" s="347">
        <f>$Q$15*'Ordering Period 4'!R28</f>
        <v>0</v>
      </c>
      <c r="R20" s="343" t="str">
        <f>'Ordering Period 4'!AP28</f>
        <v/>
      </c>
      <c r="S20" s="344" t="e">
        <f t="shared" si="8"/>
        <v>#VALUE!</v>
      </c>
      <c r="U20" s="347">
        <f>$U$15*'Ordering Period 5'!R28</f>
        <v>0</v>
      </c>
      <c r="V20" s="343" t="str">
        <f>'Ordering Period 5'!AP28</f>
        <v/>
      </c>
      <c r="W20" s="344" t="e">
        <f t="shared" si="9"/>
        <v>#VALUE!</v>
      </c>
    </row>
    <row r="21" spans="1:26" s="102" customFormat="1" x14ac:dyDescent="0.25">
      <c r="A21" s="330" t="s">
        <v>75</v>
      </c>
      <c r="B21" s="182" t="s">
        <v>65</v>
      </c>
      <c r="C21" s="185" t="s">
        <v>77</v>
      </c>
      <c r="E21" s="347">
        <f>$E$15*'Ordering Period 1'!T29</f>
        <v>0</v>
      </c>
      <c r="F21" s="343" t="str">
        <f>'Ordering Period 1'!AR29</f>
        <v/>
      </c>
      <c r="G21" s="344" t="e">
        <f t="shared" si="5"/>
        <v>#VALUE!</v>
      </c>
      <c r="I21" s="347">
        <f>$I$15*'Ordering Period 2'!R29</f>
        <v>0</v>
      </c>
      <c r="J21" s="343" t="str">
        <f>'Ordering Period 2'!AP29</f>
        <v/>
      </c>
      <c r="K21" s="344" t="e">
        <f t="shared" si="6"/>
        <v>#VALUE!</v>
      </c>
      <c r="M21" s="347">
        <f>$M$15*'Ordering Period 3'!R29</f>
        <v>0</v>
      </c>
      <c r="N21" s="343" t="str">
        <f>'Ordering Period 3'!AP29</f>
        <v/>
      </c>
      <c r="O21" s="344" t="e">
        <f t="shared" si="7"/>
        <v>#VALUE!</v>
      </c>
      <c r="P21" s="1"/>
      <c r="Q21" s="347">
        <f>$Q$15*'Ordering Period 4'!R29</f>
        <v>0</v>
      </c>
      <c r="R21" s="343" t="str">
        <f>'Ordering Period 4'!AP29</f>
        <v/>
      </c>
      <c r="S21" s="344" t="e">
        <f t="shared" si="8"/>
        <v>#VALUE!</v>
      </c>
      <c r="U21" s="347">
        <f>$U$15*'Ordering Period 5'!R29</f>
        <v>0</v>
      </c>
      <c r="V21" s="343" t="str">
        <f>'Ordering Period 5'!AP29</f>
        <v/>
      </c>
      <c r="W21" s="344" t="e">
        <f t="shared" si="9"/>
        <v>#VALUE!</v>
      </c>
    </row>
    <row r="22" spans="1:26" s="102" customFormat="1" x14ac:dyDescent="0.25">
      <c r="A22" s="330" t="s">
        <v>76</v>
      </c>
      <c r="B22" s="182" t="s">
        <v>210</v>
      </c>
      <c r="C22" s="185" t="s">
        <v>77</v>
      </c>
      <c r="E22" s="347">
        <f>$E$15*'Ordering Period 1'!T30</f>
        <v>0</v>
      </c>
      <c r="F22" s="343" t="str">
        <f>'Ordering Period 1'!AR30</f>
        <v/>
      </c>
      <c r="G22" s="344" t="e">
        <f t="shared" si="5"/>
        <v>#VALUE!</v>
      </c>
      <c r="I22" s="347">
        <f>$I$15*'Ordering Period 2'!R30</f>
        <v>0</v>
      </c>
      <c r="J22" s="343" t="str">
        <f>'Ordering Period 2'!AP30</f>
        <v/>
      </c>
      <c r="K22" s="344" t="e">
        <f t="shared" si="6"/>
        <v>#VALUE!</v>
      </c>
      <c r="M22" s="347">
        <f>$M$15*'Ordering Period 3'!R30</f>
        <v>0</v>
      </c>
      <c r="N22" s="343" t="str">
        <f>'Ordering Period 3'!AP30</f>
        <v/>
      </c>
      <c r="O22" s="344" t="e">
        <f t="shared" si="7"/>
        <v>#VALUE!</v>
      </c>
      <c r="P22" s="1"/>
      <c r="Q22" s="347">
        <f>$Q$15*'Ordering Period 4'!R30</f>
        <v>0</v>
      </c>
      <c r="R22" s="343" t="str">
        <f>'Ordering Period 4'!AP30</f>
        <v/>
      </c>
      <c r="S22" s="344" t="e">
        <f t="shared" si="8"/>
        <v>#VALUE!</v>
      </c>
      <c r="U22" s="347">
        <f>$U$15*'Ordering Period 5'!R30</f>
        <v>0</v>
      </c>
      <c r="V22" s="343" t="str">
        <f>'Ordering Period 5'!AP30</f>
        <v/>
      </c>
      <c r="W22" s="344" t="e">
        <f t="shared" si="9"/>
        <v>#VALUE!</v>
      </c>
    </row>
    <row r="23" spans="1:26" ht="15.75" thickBot="1" x14ac:dyDescent="0.3">
      <c r="A23" s="331" t="s">
        <v>78</v>
      </c>
      <c r="B23" s="551" t="s">
        <v>234</v>
      </c>
      <c r="C23" s="186" t="s">
        <v>77</v>
      </c>
      <c r="D23" s="102"/>
      <c r="E23" s="348">
        <f>E15*'Ordering Period 1'!T36</f>
        <v>0</v>
      </c>
      <c r="F23" s="345" t="str">
        <f>'Ordering Period 1'!AR36</f>
        <v/>
      </c>
      <c r="G23" s="346" t="e">
        <f t="shared" si="5"/>
        <v>#VALUE!</v>
      </c>
      <c r="H23" s="102"/>
      <c r="I23" s="348">
        <f>I15*'Ordering Period 2'!R36</f>
        <v>0</v>
      </c>
      <c r="J23" s="345" t="str">
        <f>'Ordering Period 2'!AP36</f>
        <v/>
      </c>
      <c r="K23" s="346" t="e">
        <f t="shared" si="6"/>
        <v>#VALUE!</v>
      </c>
      <c r="L23" s="102"/>
      <c r="M23" s="348">
        <f>M15*'Ordering Period 3'!R36</f>
        <v>0</v>
      </c>
      <c r="N23" s="345" t="str">
        <f>'Ordering Period 3'!AP36</f>
        <v/>
      </c>
      <c r="O23" s="346" t="e">
        <f t="shared" si="7"/>
        <v>#VALUE!</v>
      </c>
      <c r="P23" s="1"/>
      <c r="Q23" s="348">
        <f>Q15*'Ordering Period 4'!R36</f>
        <v>0</v>
      </c>
      <c r="R23" s="345" t="str">
        <f>'Ordering Period 4'!AP36</f>
        <v/>
      </c>
      <c r="S23" s="346" t="e">
        <f t="shared" si="8"/>
        <v>#VALUE!</v>
      </c>
      <c r="T23" s="102"/>
      <c r="U23" s="348">
        <f>U15*'Ordering Period 5'!R36</f>
        <v>0</v>
      </c>
      <c r="V23" s="345" t="str">
        <f>'Ordering Period 5'!AP36</f>
        <v/>
      </c>
      <c r="W23" s="346" t="e">
        <f t="shared" si="9"/>
        <v>#VALUE!</v>
      </c>
      <c r="X23" s="98"/>
      <c r="Y23" s="98"/>
      <c r="Z23" s="98"/>
    </row>
  </sheetData>
  <mergeCells count="13">
    <mergeCell ref="A2:A4"/>
    <mergeCell ref="B2:B4"/>
    <mergeCell ref="C2:C4"/>
    <mergeCell ref="E2:G2"/>
    <mergeCell ref="I2:K2"/>
    <mergeCell ref="Q2:S2"/>
    <mergeCell ref="U2:W2"/>
    <mergeCell ref="E3:G3"/>
    <mergeCell ref="I3:K3"/>
    <mergeCell ref="M3:O3"/>
    <mergeCell ref="Q3:S3"/>
    <mergeCell ref="U3:W3"/>
    <mergeCell ref="M2:O2"/>
  </mergeCells>
  <pageMargins left="0.7" right="0.7" top="0.75" bottom="0.75" header="0.3" footer="0.3"/>
  <pageSetup orientation="portrait" verticalDpi="597"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D1CC2-5E27-4087-838F-763A0B661A95}">
  <dimension ref="A1:Z23"/>
  <sheetViews>
    <sheetView showGridLines="0" zoomScaleNormal="100" workbookViewId="0">
      <pane xSplit="3" topLeftCell="D1" activePane="topRight" state="frozen"/>
      <selection activeCell="G6" sqref="E6:G6"/>
      <selection pane="topRight" activeCell="F29" sqref="F29"/>
    </sheetView>
  </sheetViews>
  <sheetFormatPr defaultRowHeight="15" x14ac:dyDescent="0.25"/>
  <cols>
    <col min="1" max="1" width="5.7109375" style="8" customWidth="1"/>
    <col min="2" max="2" width="36.42578125" style="8" bestFit="1" customWidth="1"/>
    <col min="3" max="3" width="10.7109375" style="106" customWidth="1"/>
    <col min="4" max="4" width="1.7109375" customWidth="1"/>
    <col min="5" max="7" width="15.7109375" customWidth="1"/>
    <col min="8" max="8" width="1.7109375" customWidth="1"/>
    <col min="9" max="11" width="15.7109375" customWidth="1"/>
    <col min="12" max="12" width="1.7109375" customWidth="1"/>
    <col min="13" max="15" width="15.7109375" customWidth="1"/>
    <col min="16" max="16" width="1.7109375" customWidth="1"/>
    <col min="17" max="19" width="15.7109375" customWidth="1"/>
    <col min="20" max="20" width="1.7109375" customWidth="1"/>
    <col min="21" max="23" width="15.7109375" customWidth="1"/>
  </cols>
  <sheetData>
    <row r="1" spans="1:26" ht="24" thickBot="1" x14ac:dyDescent="0.4">
      <c r="A1" s="105"/>
      <c r="E1" s="198" t="s">
        <v>159</v>
      </c>
      <c r="F1" s="199"/>
      <c r="G1" s="200"/>
      <c r="H1" s="201"/>
      <c r="I1" s="201"/>
      <c r="J1" s="201"/>
      <c r="K1" s="201"/>
      <c r="L1" s="201"/>
      <c r="M1" s="201"/>
      <c r="N1" s="201"/>
      <c r="O1" s="201"/>
      <c r="P1" s="201"/>
      <c r="Q1" s="201"/>
      <c r="R1" s="201"/>
      <c r="S1" s="201"/>
      <c r="T1" s="201"/>
      <c r="U1" s="201"/>
      <c r="V1" s="201"/>
      <c r="W1" s="202"/>
    </row>
    <row r="2" spans="1:26" x14ac:dyDescent="0.25">
      <c r="A2" s="728" t="s">
        <v>36</v>
      </c>
      <c r="B2" s="728" t="s">
        <v>37</v>
      </c>
      <c r="C2" s="728" t="s">
        <v>47</v>
      </c>
      <c r="D2" s="8"/>
      <c r="E2" s="722" t="s">
        <v>48</v>
      </c>
      <c r="F2" s="723"/>
      <c r="G2" s="724"/>
      <c r="I2" s="722" t="s">
        <v>49</v>
      </c>
      <c r="J2" s="723"/>
      <c r="K2" s="724"/>
      <c r="M2" s="722" t="s">
        <v>50</v>
      </c>
      <c r="N2" s="723"/>
      <c r="O2" s="724"/>
      <c r="Q2" s="722" t="s">
        <v>51</v>
      </c>
      <c r="R2" s="723"/>
      <c r="S2" s="724"/>
      <c r="U2" s="722" t="s">
        <v>52</v>
      </c>
      <c r="V2" s="723"/>
      <c r="W2" s="724"/>
    </row>
    <row r="3" spans="1:26" x14ac:dyDescent="0.25">
      <c r="A3" s="729"/>
      <c r="B3" s="729"/>
      <c r="C3" s="729"/>
      <c r="E3" s="725" t="s">
        <v>154</v>
      </c>
      <c r="F3" s="726"/>
      <c r="G3" s="727"/>
      <c r="I3" s="725" t="s">
        <v>154</v>
      </c>
      <c r="J3" s="726"/>
      <c r="K3" s="727"/>
      <c r="M3" s="725" t="s">
        <v>154</v>
      </c>
      <c r="N3" s="726"/>
      <c r="O3" s="727"/>
      <c r="Q3" s="725" t="s">
        <v>154</v>
      </c>
      <c r="R3" s="726"/>
      <c r="S3" s="727"/>
      <c r="U3" s="725" t="s">
        <v>154</v>
      </c>
      <c r="V3" s="726"/>
      <c r="W3" s="727"/>
    </row>
    <row r="4" spans="1:26" ht="30.75" thickBot="1" x14ac:dyDescent="0.3">
      <c r="A4" s="730"/>
      <c r="B4" s="730"/>
      <c r="C4" s="730"/>
      <c r="E4" s="190" t="s">
        <v>157</v>
      </c>
      <c r="F4" s="191" t="s">
        <v>155</v>
      </c>
      <c r="G4" s="192" t="s">
        <v>158</v>
      </c>
      <c r="I4" s="190" t="s">
        <v>157</v>
      </c>
      <c r="J4" s="191" t="s">
        <v>155</v>
      </c>
      <c r="K4" s="192" t="s">
        <v>158</v>
      </c>
      <c r="M4" s="190" t="s">
        <v>157</v>
      </c>
      <c r="N4" s="191" t="s">
        <v>155</v>
      </c>
      <c r="O4" s="192" t="s">
        <v>158</v>
      </c>
      <c r="Q4" s="190" t="s">
        <v>157</v>
      </c>
      <c r="R4" s="191" t="s">
        <v>155</v>
      </c>
      <c r="S4" s="192" t="s">
        <v>158</v>
      </c>
      <c r="U4" s="190" t="s">
        <v>157</v>
      </c>
      <c r="V4" s="191" t="s">
        <v>155</v>
      </c>
      <c r="W4" s="192" t="s">
        <v>158</v>
      </c>
      <c r="X4" s="98"/>
      <c r="Y4" s="98"/>
      <c r="Z4" s="98"/>
    </row>
    <row r="5" spans="1:26" ht="15.75" thickBot="1" x14ac:dyDescent="0.3">
      <c r="A5" s="267"/>
      <c r="B5" s="268"/>
      <c r="C5" s="269"/>
      <c r="D5" s="172"/>
      <c r="E5" s="448">
        <v>1.1000000000000001</v>
      </c>
      <c r="F5" s="332"/>
      <c r="G5" s="449"/>
      <c r="H5" s="172"/>
      <c r="I5" s="203">
        <v>1.1000000000000001</v>
      </c>
      <c r="J5" s="173"/>
      <c r="K5" s="174"/>
      <c r="L5" s="172"/>
      <c r="M5" s="203">
        <v>1.1000000000000001</v>
      </c>
      <c r="N5" s="173"/>
      <c r="O5" s="174"/>
      <c r="P5" s="172"/>
      <c r="Q5" s="203">
        <v>1.1000000000000001</v>
      </c>
      <c r="R5" s="173"/>
      <c r="S5" s="174"/>
      <c r="T5" s="172"/>
      <c r="U5" s="203">
        <v>1.1000000000000001</v>
      </c>
      <c r="V5" s="173"/>
      <c r="W5" s="174"/>
      <c r="X5" s="98"/>
      <c r="Y5" s="98"/>
      <c r="Z5" s="98"/>
    </row>
    <row r="6" spans="1:26" s="102" customFormat="1" x14ac:dyDescent="0.25">
      <c r="A6" s="329" t="s">
        <v>53</v>
      </c>
      <c r="B6" s="183" t="s">
        <v>54</v>
      </c>
      <c r="C6" s="184" t="s">
        <v>55</v>
      </c>
      <c r="E6" s="103">
        <f>$E$5*'Ordering Period 1'!AG5</f>
        <v>0</v>
      </c>
      <c r="F6" s="140" t="str">
        <f>'Ordering Period 1'!AR5</f>
        <v/>
      </c>
      <c r="G6" s="141" t="e">
        <f>E6+F6</f>
        <v>#VALUE!</v>
      </c>
      <c r="I6" s="103">
        <f>$I$5*'Ordering Period 2'!AE5</f>
        <v>0</v>
      </c>
      <c r="J6" s="140" t="str">
        <f>'Ordering Period 2'!AP5</f>
        <v/>
      </c>
      <c r="K6" s="141" t="e">
        <f>I6+J6</f>
        <v>#VALUE!</v>
      </c>
      <c r="M6" s="103">
        <f>$M$5*'Ordering Period 3'!AE5</f>
        <v>0</v>
      </c>
      <c r="N6" s="140" t="str">
        <f>'Ordering Period 3'!AP5</f>
        <v/>
      </c>
      <c r="O6" s="141" t="e">
        <f>M6+N6</f>
        <v>#VALUE!</v>
      </c>
      <c r="P6" s="1"/>
      <c r="Q6" s="103">
        <f>$Q$5*'Ordering Period 4'!AE5</f>
        <v>0</v>
      </c>
      <c r="R6" s="140" t="str">
        <f>'Ordering Period 4'!AP5</f>
        <v/>
      </c>
      <c r="S6" s="141" t="e">
        <f>Q6+R6</f>
        <v>#VALUE!</v>
      </c>
      <c r="U6" s="103">
        <f>$U$5*'Ordering Period 5'!AE5</f>
        <v>0</v>
      </c>
      <c r="V6" s="140" t="str">
        <f>'Ordering Period 5'!AP5</f>
        <v/>
      </c>
      <c r="W6" s="141" t="e">
        <f>U6+V6</f>
        <v>#VALUE!</v>
      </c>
    </row>
    <row r="7" spans="1:26" s="102" customFormat="1" x14ac:dyDescent="0.25">
      <c r="A7" s="330" t="s">
        <v>56</v>
      </c>
      <c r="B7" s="182" t="s">
        <v>57</v>
      </c>
      <c r="C7" s="185" t="s">
        <v>55</v>
      </c>
      <c r="E7" s="104">
        <f>$E$5*'Ordering Period 1'!AG6</f>
        <v>0</v>
      </c>
      <c r="F7" s="139" t="str">
        <f>'Ordering Period 1'!AR6</f>
        <v/>
      </c>
      <c r="G7" s="142" t="e">
        <f t="shared" ref="G7:G14" si="0">E7+F7</f>
        <v>#VALUE!</v>
      </c>
      <c r="I7" s="104">
        <f>$I$5*'Ordering Period 2'!AE6</f>
        <v>0</v>
      </c>
      <c r="J7" s="139" t="str">
        <f>'Ordering Period 2'!AP6</f>
        <v/>
      </c>
      <c r="K7" s="142" t="e">
        <f t="shared" ref="K7:K14" si="1">I7+J7</f>
        <v>#VALUE!</v>
      </c>
      <c r="M7" s="104">
        <f>$M$5*'Ordering Period 3'!AE6</f>
        <v>0</v>
      </c>
      <c r="N7" s="139" t="str">
        <f>'Ordering Period 3'!AP6</f>
        <v/>
      </c>
      <c r="O7" s="142" t="e">
        <f t="shared" ref="O7:O14" si="2">M7+N7</f>
        <v>#VALUE!</v>
      </c>
      <c r="P7" s="1"/>
      <c r="Q7" s="104">
        <f>$Q$5*'Ordering Period 4'!AE6</f>
        <v>0</v>
      </c>
      <c r="R7" s="139" t="str">
        <f>'Ordering Period 4'!AP6</f>
        <v/>
      </c>
      <c r="S7" s="142" t="e">
        <f t="shared" ref="S7:S14" si="3">Q7+R7</f>
        <v>#VALUE!</v>
      </c>
      <c r="U7" s="104">
        <f>$U$5*'Ordering Period 5'!AE6</f>
        <v>0</v>
      </c>
      <c r="V7" s="139" t="str">
        <f>'Ordering Period 5'!AP6</f>
        <v/>
      </c>
      <c r="W7" s="142" t="e">
        <f t="shared" ref="W7:W14" si="4">U7+V7</f>
        <v>#VALUE!</v>
      </c>
    </row>
    <row r="8" spans="1:26" s="102" customFormat="1" x14ac:dyDescent="0.25">
      <c r="A8" s="330" t="s">
        <v>58</v>
      </c>
      <c r="B8" s="182" t="s">
        <v>59</v>
      </c>
      <c r="C8" s="185" t="s">
        <v>55</v>
      </c>
      <c r="E8" s="104">
        <f>$E$5*'Ordering Period 1'!AG8</f>
        <v>0</v>
      </c>
      <c r="F8" s="139" t="str">
        <f>'Ordering Period 1'!AR8</f>
        <v/>
      </c>
      <c r="G8" s="142" t="e">
        <f t="shared" si="0"/>
        <v>#VALUE!</v>
      </c>
      <c r="I8" s="104">
        <f>$I$5*'Ordering Period 2'!AE8</f>
        <v>0</v>
      </c>
      <c r="J8" s="139" t="str">
        <f>'Ordering Period 2'!AP8</f>
        <v/>
      </c>
      <c r="K8" s="142" t="e">
        <f t="shared" si="1"/>
        <v>#VALUE!</v>
      </c>
      <c r="M8" s="104">
        <f>$M$5*'Ordering Period 3'!AE8</f>
        <v>0</v>
      </c>
      <c r="N8" s="139" t="str">
        <f>'Ordering Period 3'!AP8</f>
        <v/>
      </c>
      <c r="O8" s="142" t="e">
        <f t="shared" si="2"/>
        <v>#VALUE!</v>
      </c>
      <c r="P8" s="1"/>
      <c r="Q8" s="104">
        <f>$Q$5*'Ordering Period 4'!AE8</f>
        <v>0</v>
      </c>
      <c r="R8" s="139" t="str">
        <f>'Ordering Period 4'!AP8</f>
        <v/>
      </c>
      <c r="S8" s="142" t="e">
        <f t="shared" si="3"/>
        <v>#VALUE!</v>
      </c>
      <c r="U8" s="104">
        <f>$U$5*'Ordering Period 5'!AE8</f>
        <v>0</v>
      </c>
      <c r="V8" s="139" t="str">
        <f>'Ordering Period 5'!AP8</f>
        <v/>
      </c>
      <c r="W8" s="142" t="e">
        <f t="shared" si="4"/>
        <v>#VALUE!</v>
      </c>
    </row>
    <row r="9" spans="1:26" s="102" customFormat="1" x14ac:dyDescent="0.25">
      <c r="A9" s="330" t="s">
        <v>60</v>
      </c>
      <c r="B9" s="182" t="s">
        <v>71</v>
      </c>
      <c r="C9" s="185" t="s">
        <v>55</v>
      </c>
      <c r="E9" s="104">
        <f>$E$5*'Ordering Period 1'!AG9</f>
        <v>0</v>
      </c>
      <c r="F9" s="139" t="str">
        <f>'Ordering Period 1'!AR9</f>
        <v/>
      </c>
      <c r="G9" s="142" t="e">
        <f t="shared" si="0"/>
        <v>#VALUE!</v>
      </c>
      <c r="I9" s="104">
        <f>$I$5*'Ordering Period 2'!AE9</f>
        <v>0</v>
      </c>
      <c r="J9" s="139" t="str">
        <f>'Ordering Period 2'!AP9</f>
        <v/>
      </c>
      <c r="K9" s="142" t="e">
        <f t="shared" si="1"/>
        <v>#VALUE!</v>
      </c>
      <c r="M9" s="104">
        <f>$M$5*'Ordering Period 3'!AE9</f>
        <v>0</v>
      </c>
      <c r="N9" s="139" t="str">
        <f>'Ordering Period 3'!AP9</f>
        <v/>
      </c>
      <c r="O9" s="142" t="e">
        <f t="shared" si="2"/>
        <v>#VALUE!</v>
      </c>
      <c r="P9" s="1"/>
      <c r="Q9" s="104">
        <f>$Q$5*'Ordering Period 4'!AE9</f>
        <v>0</v>
      </c>
      <c r="R9" s="139" t="str">
        <f>'Ordering Period 4'!AP9</f>
        <v/>
      </c>
      <c r="S9" s="142" t="e">
        <f t="shared" si="3"/>
        <v>#VALUE!</v>
      </c>
      <c r="U9" s="104">
        <f>$U$5*'Ordering Period 5'!AE9</f>
        <v>0</v>
      </c>
      <c r="V9" s="139" t="str">
        <f>'Ordering Period 5'!AP9</f>
        <v/>
      </c>
      <c r="W9" s="142" t="e">
        <f t="shared" si="4"/>
        <v>#VALUE!</v>
      </c>
    </row>
    <row r="10" spans="1:26" s="102" customFormat="1" x14ac:dyDescent="0.25">
      <c r="A10" s="330" t="s">
        <v>61</v>
      </c>
      <c r="B10" s="182" t="s">
        <v>206</v>
      </c>
      <c r="C10" s="185" t="s">
        <v>55</v>
      </c>
      <c r="E10" s="104">
        <f>$E$5*'Ordering Period 1'!AG10</f>
        <v>0</v>
      </c>
      <c r="F10" s="139" t="str">
        <f>'Ordering Period 1'!AR10</f>
        <v/>
      </c>
      <c r="G10" s="142" t="e">
        <f t="shared" si="0"/>
        <v>#VALUE!</v>
      </c>
      <c r="I10" s="104">
        <f>$I$5*'Ordering Period 2'!AE10</f>
        <v>0</v>
      </c>
      <c r="J10" s="139" t="str">
        <f>'Ordering Period 2'!AP10</f>
        <v/>
      </c>
      <c r="K10" s="142" t="e">
        <f t="shared" si="1"/>
        <v>#VALUE!</v>
      </c>
      <c r="M10" s="104">
        <f>$M$5*'Ordering Period 3'!AE10</f>
        <v>0</v>
      </c>
      <c r="N10" s="139" t="str">
        <f>'Ordering Period 3'!AP10</f>
        <v/>
      </c>
      <c r="O10" s="142" t="e">
        <f t="shared" si="2"/>
        <v>#VALUE!</v>
      </c>
      <c r="P10" s="1"/>
      <c r="Q10" s="104">
        <f>$Q$5*'Ordering Period 4'!AE10</f>
        <v>0</v>
      </c>
      <c r="R10" s="139" t="str">
        <f>'Ordering Period 4'!AP10</f>
        <v/>
      </c>
      <c r="S10" s="142" t="e">
        <f t="shared" si="3"/>
        <v>#VALUE!</v>
      </c>
      <c r="U10" s="104">
        <f>$U$5*'Ordering Period 5'!AE10</f>
        <v>0</v>
      </c>
      <c r="V10" s="139" t="str">
        <f>'Ordering Period 5'!AP10</f>
        <v/>
      </c>
      <c r="W10" s="142" t="e">
        <f t="shared" si="4"/>
        <v>#VALUE!</v>
      </c>
    </row>
    <row r="11" spans="1:26" s="102" customFormat="1" x14ac:dyDescent="0.25">
      <c r="A11" s="330" t="s">
        <v>62</v>
      </c>
      <c r="B11" s="182" t="s">
        <v>74</v>
      </c>
      <c r="C11" s="185" t="s">
        <v>55</v>
      </c>
      <c r="E11" s="104">
        <f>$E$5*'Ordering Period 1'!AG11</f>
        <v>0</v>
      </c>
      <c r="F11" s="139" t="str">
        <f>'Ordering Period 1'!AR11</f>
        <v/>
      </c>
      <c r="G11" s="142" t="e">
        <f t="shared" si="0"/>
        <v>#VALUE!</v>
      </c>
      <c r="I11" s="104">
        <f>$I$5*'Ordering Period 2'!AE11</f>
        <v>0</v>
      </c>
      <c r="J11" s="139" t="str">
        <f>'Ordering Period 2'!AP11</f>
        <v/>
      </c>
      <c r="K11" s="142" t="e">
        <f t="shared" si="1"/>
        <v>#VALUE!</v>
      </c>
      <c r="M11" s="104">
        <f>$M$5*'Ordering Period 3'!AE11</f>
        <v>0</v>
      </c>
      <c r="N11" s="139" t="str">
        <f>'Ordering Period 3'!AP11</f>
        <v/>
      </c>
      <c r="O11" s="142" t="e">
        <f t="shared" si="2"/>
        <v>#VALUE!</v>
      </c>
      <c r="P11" s="1"/>
      <c r="Q11" s="104">
        <f>$Q$5*'Ordering Period 4'!AE11</f>
        <v>0</v>
      </c>
      <c r="R11" s="139" t="str">
        <f>'Ordering Period 4'!AP11</f>
        <v/>
      </c>
      <c r="S11" s="142" t="e">
        <f t="shared" si="3"/>
        <v>#VALUE!</v>
      </c>
      <c r="U11" s="104">
        <f>$U$5*'Ordering Period 5'!AE11</f>
        <v>0</v>
      </c>
      <c r="V11" s="139" t="str">
        <f>'Ordering Period 5'!AP11</f>
        <v/>
      </c>
      <c r="W11" s="142" t="e">
        <f t="shared" si="4"/>
        <v>#VALUE!</v>
      </c>
    </row>
    <row r="12" spans="1:26" s="102" customFormat="1" x14ac:dyDescent="0.25">
      <c r="A12" s="330" t="s">
        <v>63</v>
      </c>
      <c r="B12" s="182" t="s">
        <v>65</v>
      </c>
      <c r="C12" s="185" t="s">
        <v>55</v>
      </c>
      <c r="E12" s="104">
        <f>$E$5*'Ordering Period 1'!AG12</f>
        <v>0</v>
      </c>
      <c r="F12" s="139" t="str">
        <f>'Ordering Period 1'!AR12</f>
        <v/>
      </c>
      <c r="G12" s="142" t="e">
        <f t="shared" si="0"/>
        <v>#VALUE!</v>
      </c>
      <c r="I12" s="104">
        <f>$I$5*'Ordering Period 2'!AE12</f>
        <v>0</v>
      </c>
      <c r="J12" s="139" t="str">
        <f>'Ordering Period 2'!AP12</f>
        <v/>
      </c>
      <c r="K12" s="142" t="e">
        <f t="shared" si="1"/>
        <v>#VALUE!</v>
      </c>
      <c r="M12" s="104">
        <f>$M$5*'Ordering Period 3'!AE12</f>
        <v>0</v>
      </c>
      <c r="N12" s="139" t="str">
        <f>'Ordering Period 3'!AP12</f>
        <v/>
      </c>
      <c r="O12" s="142" t="e">
        <f t="shared" si="2"/>
        <v>#VALUE!</v>
      </c>
      <c r="P12" s="1"/>
      <c r="Q12" s="104">
        <f>$Q$5*'Ordering Period 4'!AE12</f>
        <v>0</v>
      </c>
      <c r="R12" s="139" t="str">
        <f>'Ordering Period 4'!AP12</f>
        <v/>
      </c>
      <c r="S12" s="142" t="e">
        <f t="shared" si="3"/>
        <v>#VALUE!</v>
      </c>
      <c r="U12" s="104">
        <f>$U$5*'Ordering Period 5'!AE12</f>
        <v>0</v>
      </c>
      <c r="V12" s="139" t="str">
        <f>'Ordering Period 5'!AP12</f>
        <v/>
      </c>
      <c r="W12" s="142" t="e">
        <f t="shared" si="4"/>
        <v>#VALUE!</v>
      </c>
    </row>
    <row r="13" spans="1:26" s="102" customFormat="1" x14ac:dyDescent="0.25">
      <c r="A13" s="330" t="s">
        <v>64</v>
      </c>
      <c r="B13" s="182" t="s">
        <v>68</v>
      </c>
      <c r="C13" s="185" t="s">
        <v>55</v>
      </c>
      <c r="E13" s="104">
        <f>$E$5*'Ordering Period 1'!AG13</f>
        <v>0</v>
      </c>
      <c r="F13" s="139" t="str">
        <f>'Ordering Period 1'!AR13</f>
        <v/>
      </c>
      <c r="G13" s="142" t="e">
        <f t="shared" si="0"/>
        <v>#VALUE!</v>
      </c>
      <c r="I13" s="104">
        <f>$I$5*'Ordering Period 2'!AE13</f>
        <v>0</v>
      </c>
      <c r="J13" s="139" t="str">
        <f>'Ordering Period 2'!AP13</f>
        <v/>
      </c>
      <c r="K13" s="142" t="e">
        <f t="shared" si="1"/>
        <v>#VALUE!</v>
      </c>
      <c r="M13" s="104">
        <f>$M$5*'Ordering Period 3'!AE13</f>
        <v>0</v>
      </c>
      <c r="N13" s="139" t="str">
        <f>'Ordering Period 3'!AP13</f>
        <v/>
      </c>
      <c r="O13" s="142" t="e">
        <f t="shared" si="2"/>
        <v>#VALUE!</v>
      </c>
      <c r="P13" s="1"/>
      <c r="Q13" s="104">
        <f>$Q$5*'Ordering Period 4'!AE13</f>
        <v>0</v>
      </c>
      <c r="R13" s="139" t="str">
        <f>'Ordering Period 4'!AP13</f>
        <v/>
      </c>
      <c r="S13" s="142" t="e">
        <f t="shared" si="3"/>
        <v>#VALUE!</v>
      </c>
      <c r="U13" s="104">
        <f>$U$5*'Ordering Period 5'!AE13</f>
        <v>0</v>
      </c>
      <c r="V13" s="139" t="str">
        <f>'Ordering Period 5'!AP13</f>
        <v/>
      </c>
      <c r="W13" s="142" t="e">
        <f t="shared" si="4"/>
        <v>#VALUE!</v>
      </c>
    </row>
    <row r="14" spans="1:26" s="102" customFormat="1" ht="15.75" thickBot="1" x14ac:dyDescent="0.3">
      <c r="A14" s="330" t="s">
        <v>66</v>
      </c>
      <c r="B14" s="550" t="s">
        <v>234</v>
      </c>
      <c r="C14" s="185" t="s">
        <v>55</v>
      </c>
      <c r="E14" s="450">
        <f>E5*'Ordering Period 1'!AG19</f>
        <v>0</v>
      </c>
      <c r="F14" s="451" t="str">
        <f>'Ordering Period 1'!AR19</f>
        <v/>
      </c>
      <c r="G14" s="452" t="e">
        <f t="shared" si="0"/>
        <v>#VALUE!</v>
      </c>
      <c r="I14" s="450">
        <f>'Ordering Period 2'!AE19</f>
        <v>0</v>
      </c>
      <c r="J14" s="451" t="str">
        <f>'Ordering Period 2'!AP19</f>
        <v/>
      </c>
      <c r="K14" s="452" t="e">
        <f t="shared" si="1"/>
        <v>#VALUE!</v>
      </c>
      <c r="M14" s="450">
        <f>M5*'Ordering Period 3'!AE19</f>
        <v>0</v>
      </c>
      <c r="N14" s="451" t="str">
        <f>'Ordering Period 3'!AP19</f>
        <v/>
      </c>
      <c r="O14" s="452" t="e">
        <f t="shared" si="2"/>
        <v>#VALUE!</v>
      </c>
      <c r="P14" s="1"/>
      <c r="Q14" s="450">
        <f>Q5*'Ordering Period 4'!AE19</f>
        <v>0</v>
      </c>
      <c r="R14" s="451" t="str">
        <f>'Ordering Period 4'!AP19</f>
        <v/>
      </c>
      <c r="S14" s="452" t="e">
        <f t="shared" si="3"/>
        <v>#VALUE!</v>
      </c>
      <c r="U14" s="450">
        <f>U5*'Ordering Period 5'!AE19</f>
        <v>0</v>
      </c>
      <c r="V14" s="451" t="str">
        <f>'Ordering Period 5'!AP19</f>
        <v/>
      </c>
      <c r="W14" s="452" t="e">
        <f t="shared" si="4"/>
        <v>#VALUE!</v>
      </c>
    </row>
    <row r="15" spans="1:26" s="102" customFormat="1" ht="15.75" thickBot="1" x14ac:dyDescent="0.3">
      <c r="A15" s="336"/>
      <c r="B15" s="337"/>
      <c r="C15" s="338"/>
      <c r="D15" s="334"/>
      <c r="E15" s="448">
        <v>1.2</v>
      </c>
      <c r="F15" s="453"/>
      <c r="G15" s="454"/>
      <c r="H15" s="334"/>
      <c r="I15" s="448">
        <v>1.2</v>
      </c>
      <c r="J15" s="453"/>
      <c r="K15" s="454"/>
      <c r="L15" s="334"/>
      <c r="M15" s="448">
        <v>1.2</v>
      </c>
      <c r="N15" s="453"/>
      <c r="O15" s="454"/>
      <c r="P15" s="335"/>
      <c r="Q15" s="448">
        <v>1.2</v>
      </c>
      <c r="R15" s="453"/>
      <c r="S15" s="454"/>
      <c r="T15" s="334"/>
      <c r="U15" s="448">
        <v>1.2</v>
      </c>
      <c r="V15" s="453"/>
      <c r="W15" s="454"/>
    </row>
    <row r="16" spans="1:26" s="102" customFormat="1" x14ac:dyDescent="0.25">
      <c r="A16" s="329" t="s">
        <v>67</v>
      </c>
      <c r="B16" s="183" t="s">
        <v>209</v>
      </c>
      <c r="C16" s="184" t="s">
        <v>77</v>
      </c>
      <c r="E16" s="359">
        <f>$E$15*'Ordering Period 1'!AG23</f>
        <v>0</v>
      </c>
      <c r="F16" s="360" t="str">
        <f>'Ordering Period 1'!AR23</f>
        <v/>
      </c>
      <c r="G16" s="361" t="e">
        <f>E16+F16</f>
        <v>#VALUE!</v>
      </c>
      <c r="I16" s="359">
        <f>$I$15*'Ordering Period 2'!AE23</f>
        <v>0</v>
      </c>
      <c r="J16" s="360" t="str">
        <f>'Ordering Period 2'!AP23</f>
        <v/>
      </c>
      <c r="K16" s="361" t="e">
        <f>I16+J16</f>
        <v>#VALUE!</v>
      </c>
      <c r="M16" s="359">
        <f>$M$15*'Ordering Period 3'!AE23</f>
        <v>0</v>
      </c>
      <c r="N16" s="360" t="str">
        <f>'Ordering Period 3'!AP23</f>
        <v/>
      </c>
      <c r="O16" s="361" t="e">
        <f>M16+N16</f>
        <v>#VALUE!</v>
      </c>
      <c r="P16" s="1"/>
      <c r="Q16" s="359">
        <f>$Q$15*'Ordering Period 4'!AE23</f>
        <v>0</v>
      </c>
      <c r="R16" s="360" t="str">
        <f>'Ordering Period 4'!AP23</f>
        <v/>
      </c>
      <c r="S16" s="361" t="e">
        <f>Q16+R16</f>
        <v>#VALUE!</v>
      </c>
      <c r="U16" s="359">
        <f>$U$15*'Ordering Period 5'!AE23</f>
        <v>0</v>
      </c>
      <c r="V16" s="360" t="str">
        <f>'Ordering Period 5'!AP23</f>
        <v/>
      </c>
      <c r="W16" s="361" t="e">
        <f>U16+V16</f>
        <v>#VALUE!</v>
      </c>
    </row>
    <row r="17" spans="1:26" s="102" customFormat="1" x14ac:dyDescent="0.25">
      <c r="A17" s="330" t="s">
        <v>69</v>
      </c>
      <c r="B17" s="182" t="s">
        <v>59</v>
      </c>
      <c r="C17" s="185" t="s">
        <v>77</v>
      </c>
      <c r="E17" s="347">
        <f>$E$15*'Ordering Period 1'!AG25</f>
        <v>0</v>
      </c>
      <c r="F17" s="343" t="str">
        <f>'Ordering Period 1'!AR25</f>
        <v/>
      </c>
      <c r="G17" s="344" t="e">
        <f t="shared" ref="G17:G23" si="5">E17+F17</f>
        <v>#VALUE!</v>
      </c>
      <c r="I17" s="347">
        <f>$I$15*'Ordering Period 2'!AE25</f>
        <v>0</v>
      </c>
      <c r="J17" s="343" t="str">
        <f>'Ordering Period 2'!AP25</f>
        <v/>
      </c>
      <c r="K17" s="344" t="e">
        <f t="shared" ref="K17:K23" si="6">I17+J17</f>
        <v>#VALUE!</v>
      </c>
      <c r="M17" s="347">
        <f>$M$15*'Ordering Period 3'!AE25</f>
        <v>0</v>
      </c>
      <c r="N17" s="343" t="str">
        <f>'Ordering Period 3'!AP25</f>
        <v/>
      </c>
      <c r="O17" s="344" t="e">
        <f t="shared" ref="O17:O23" si="7">M17+N17</f>
        <v>#VALUE!</v>
      </c>
      <c r="P17" s="1"/>
      <c r="Q17" s="347">
        <f>$Q$15*'Ordering Period 4'!AE25</f>
        <v>0</v>
      </c>
      <c r="R17" s="343" t="str">
        <f>'Ordering Period 4'!AP25</f>
        <v/>
      </c>
      <c r="S17" s="344" t="e">
        <f t="shared" ref="S17:S23" si="8">Q17+R17</f>
        <v>#VALUE!</v>
      </c>
      <c r="U17" s="347">
        <f>$U$15*'Ordering Period 5'!AE25</f>
        <v>0</v>
      </c>
      <c r="V17" s="343" t="str">
        <f>'Ordering Period 5'!AP25</f>
        <v/>
      </c>
      <c r="W17" s="344" t="e">
        <f t="shared" ref="W17:W23" si="9">U17+V17</f>
        <v>#VALUE!</v>
      </c>
    </row>
    <row r="18" spans="1:26" s="102" customFormat="1" x14ac:dyDescent="0.25">
      <c r="A18" s="330" t="s">
        <v>70</v>
      </c>
      <c r="B18" s="182" t="s">
        <v>71</v>
      </c>
      <c r="C18" s="185" t="s">
        <v>77</v>
      </c>
      <c r="E18" s="347">
        <f>$E$15*'Ordering Period 1'!AG26</f>
        <v>0</v>
      </c>
      <c r="F18" s="343" t="str">
        <f>'Ordering Period 1'!AR26</f>
        <v/>
      </c>
      <c r="G18" s="344" t="e">
        <f t="shared" si="5"/>
        <v>#VALUE!</v>
      </c>
      <c r="I18" s="347">
        <f>$I$15*'Ordering Period 2'!AE26</f>
        <v>0</v>
      </c>
      <c r="J18" s="343" t="str">
        <f>'Ordering Period 2'!AP26</f>
        <v/>
      </c>
      <c r="K18" s="344" t="e">
        <f t="shared" si="6"/>
        <v>#VALUE!</v>
      </c>
      <c r="M18" s="347">
        <f>$M$15*'Ordering Period 3'!AE26</f>
        <v>0</v>
      </c>
      <c r="N18" s="343" t="str">
        <f>'Ordering Period 3'!AP26</f>
        <v/>
      </c>
      <c r="O18" s="344" t="e">
        <f t="shared" si="7"/>
        <v>#VALUE!</v>
      </c>
      <c r="P18" s="1"/>
      <c r="Q18" s="347">
        <f>$Q$15*'Ordering Period 4'!AE26</f>
        <v>0</v>
      </c>
      <c r="R18" s="343" t="str">
        <f>'Ordering Period 4'!AP26</f>
        <v/>
      </c>
      <c r="S18" s="344" t="e">
        <f t="shared" si="8"/>
        <v>#VALUE!</v>
      </c>
      <c r="U18" s="347">
        <f>$U$15*'Ordering Period 5'!AE26</f>
        <v>0</v>
      </c>
      <c r="V18" s="343" t="str">
        <f>'Ordering Period 5'!AP26</f>
        <v/>
      </c>
      <c r="W18" s="344" t="e">
        <f t="shared" si="9"/>
        <v>#VALUE!</v>
      </c>
    </row>
    <row r="19" spans="1:26" s="102" customFormat="1" x14ac:dyDescent="0.25">
      <c r="A19" s="330" t="s">
        <v>72</v>
      </c>
      <c r="B19" s="182" t="s">
        <v>206</v>
      </c>
      <c r="C19" s="185" t="s">
        <v>77</v>
      </c>
      <c r="E19" s="347">
        <f>$E$15*'Ordering Period 1'!AG27</f>
        <v>0</v>
      </c>
      <c r="F19" s="343" t="str">
        <f>'Ordering Period 1'!AR27</f>
        <v/>
      </c>
      <c r="G19" s="344" t="e">
        <f t="shared" si="5"/>
        <v>#VALUE!</v>
      </c>
      <c r="I19" s="347">
        <f>$I$15*'Ordering Period 2'!AE27</f>
        <v>0</v>
      </c>
      <c r="J19" s="343" t="str">
        <f>'Ordering Period 2'!AP27</f>
        <v/>
      </c>
      <c r="K19" s="344" t="e">
        <f t="shared" si="6"/>
        <v>#VALUE!</v>
      </c>
      <c r="M19" s="347">
        <f>$M$15*'Ordering Period 3'!AE27</f>
        <v>0</v>
      </c>
      <c r="N19" s="343" t="str">
        <f>'Ordering Period 3'!AP27</f>
        <v/>
      </c>
      <c r="O19" s="344" t="e">
        <f t="shared" si="7"/>
        <v>#VALUE!</v>
      </c>
      <c r="P19" s="1"/>
      <c r="Q19" s="347">
        <f>$Q$15*'Ordering Period 4'!AE27</f>
        <v>0</v>
      </c>
      <c r="R19" s="343" t="str">
        <f>'Ordering Period 4'!AP27</f>
        <v/>
      </c>
      <c r="S19" s="344" t="e">
        <f t="shared" si="8"/>
        <v>#VALUE!</v>
      </c>
      <c r="U19" s="347">
        <f>$U$15*'Ordering Period 5'!AE27</f>
        <v>0</v>
      </c>
      <c r="V19" s="343" t="str">
        <f>'Ordering Period 5'!AP27</f>
        <v/>
      </c>
      <c r="W19" s="344" t="e">
        <f t="shared" si="9"/>
        <v>#VALUE!</v>
      </c>
    </row>
    <row r="20" spans="1:26" s="102" customFormat="1" x14ac:dyDescent="0.25">
      <c r="A20" s="330" t="s">
        <v>73</v>
      </c>
      <c r="B20" s="182" t="s">
        <v>74</v>
      </c>
      <c r="C20" s="185" t="s">
        <v>77</v>
      </c>
      <c r="E20" s="347">
        <f>$E$15*'Ordering Period 1'!AG28</f>
        <v>0</v>
      </c>
      <c r="F20" s="343" t="str">
        <f>'Ordering Period 1'!AR28</f>
        <v/>
      </c>
      <c r="G20" s="344" t="e">
        <f t="shared" si="5"/>
        <v>#VALUE!</v>
      </c>
      <c r="I20" s="347">
        <f>$I$15*'Ordering Period 2'!AE28</f>
        <v>0</v>
      </c>
      <c r="J20" s="343" t="str">
        <f>'Ordering Period 2'!AP28</f>
        <v/>
      </c>
      <c r="K20" s="344" t="e">
        <f t="shared" si="6"/>
        <v>#VALUE!</v>
      </c>
      <c r="M20" s="347">
        <f>$M$15*'Ordering Period 3'!AE28</f>
        <v>0</v>
      </c>
      <c r="N20" s="343" t="str">
        <f>'Ordering Period 3'!AP28</f>
        <v/>
      </c>
      <c r="O20" s="344" t="e">
        <f t="shared" si="7"/>
        <v>#VALUE!</v>
      </c>
      <c r="P20" s="1"/>
      <c r="Q20" s="347">
        <f>$Q$15*'Ordering Period 4'!AE28</f>
        <v>0</v>
      </c>
      <c r="R20" s="343" t="str">
        <f>'Ordering Period 4'!AP28</f>
        <v/>
      </c>
      <c r="S20" s="344" t="e">
        <f t="shared" si="8"/>
        <v>#VALUE!</v>
      </c>
      <c r="U20" s="347">
        <f>$U$15*'Ordering Period 5'!AE28</f>
        <v>0</v>
      </c>
      <c r="V20" s="343" t="str">
        <f>'Ordering Period 5'!AP28</f>
        <v/>
      </c>
      <c r="W20" s="344" t="e">
        <f t="shared" si="9"/>
        <v>#VALUE!</v>
      </c>
    </row>
    <row r="21" spans="1:26" s="102" customFormat="1" x14ac:dyDescent="0.25">
      <c r="A21" s="330" t="s">
        <v>75</v>
      </c>
      <c r="B21" s="182" t="s">
        <v>65</v>
      </c>
      <c r="C21" s="185" t="s">
        <v>77</v>
      </c>
      <c r="E21" s="347">
        <f>$E$15*'Ordering Period 1'!AG29</f>
        <v>0</v>
      </c>
      <c r="F21" s="343" t="str">
        <f>'Ordering Period 1'!AR29</f>
        <v/>
      </c>
      <c r="G21" s="344" t="e">
        <f t="shared" si="5"/>
        <v>#VALUE!</v>
      </c>
      <c r="I21" s="347">
        <f>$I$15*'Ordering Period 2'!AE29</f>
        <v>0</v>
      </c>
      <c r="J21" s="343" t="str">
        <f>'Ordering Period 2'!AP29</f>
        <v/>
      </c>
      <c r="K21" s="344" t="e">
        <f t="shared" si="6"/>
        <v>#VALUE!</v>
      </c>
      <c r="M21" s="347">
        <f>$M$15*'Ordering Period 3'!AE29</f>
        <v>0</v>
      </c>
      <c r="N21" s="343" t="str">
        <f>'Ordering Period 3'!AP29</f>
        <v/>
      </c>
      <c r="O21" s="344" t="e">
        <f t="shared" si="7"/>
        <v>#VALUE!</v>
      </c>
      <c r="P21" s="1"/>
      <c r="Q21" s="347">
        <f>$Q$15*'Ordering Period 4'!AE29</f>
        <v>0</v>
      </c>
      <c r="R21" s="343" t="str">
        <f>'Ordering Period 4'!AP29</f>
        <v/>
      </c>
      <c r="S21" s="344" t="e">
        <f t="shared" si="8"/>
        <v>#VALUE!</v>
      </c>
      <c r="U21" s="347">
        <f>$U$15*'Ordering Period 5'!AE29</f>
        <v>0</v>
      </c>
      <c r="V21" s="343" t="str">
        <f>'Ordering Period 5'!AP29</f>
        <v/>
      </c>
      <c r="W21" s="344" t="e">
        <f t="shared" si="9"/>
        <v>#VALUE!</v>
      </c>
    </row>
    <row r="22" spans="1:26" s="102" customFormat="1" x14ac:dyDescent="0.25">
      <c r="A22" s="330" t="s">
        <v>76</v>
      </c>
      <c r="B22" s="182" t="s">
        <v>210</v>
      </c>
      <c r="C22" s="185" t="s">
        <v>77</v>
      </c>
      <c r="E22" s="347">
        <f>$E$15*'Ordering Period 1'!AG30</f>
        <v>0</v>
      </c>
      <c r="F22" s="343" t="str">
        <f>'Ordering Period 1'!AR30</f>
        <v/>
      </c>
      <c r="G22" s="344" t="e">
        <f t="shared" si="5"/>
        <v>#VALUE!</v>
      </c>
      <c r="I22" s="347">
        <f>$I$15*'Ordering Period 2'!AE30</f>
        <v>0</v>
      </c>
      <c r="J22" s="343" t="str">
        <f>'Ordering Period 2'!AP30</f>
        <v/>
      </c>
      <c r="K22" s="344" t="e">
        <f t="shared" si="6"/>
        <v>#VALUE!</v>
      </c>
      <c r="M22" s="347">
        <f>$M$15*'Ordering Period 3'!AE30</f>
        <v>0</v>
      </c>
      <c r="N22" s="343" t="str">
        <f>'Ordering Period 3'!AP30</f>
        <v/>
      </c>
      <c r="O22" s="344" t="e">
        <f t="shared" si="7"/>
        <v>#VALUE!</v>
      </c>
      <c r="P22" s="1"/>
      <c r="Q22" s="347">
        <f>$Q$15*'Ordering Period 4'!AE30</f>
        <v>0</v>
      </c>
      <c r="R22" s="343" t="str">
        <f>'Ordering Period 4'!AP30</f>
        <v/>
      </c>
      <c r="S22" s="344" t="e">
        <f t="shared" si="8"/>
        <v>#VALUE!</v>
      </c>
      <c r="U22" s="347">
        <f>$U$15*'Ordering Period 5'!AE30</f>
        <v>0</v>
      </c>
      <c r="V22" s="343" t="str">
        <f>'Ordering Period 5'!AP30</f>
        <v/>
      </c>
      <c r="W22" s="344" t="e">
        <f t="shared" si="9"/>
        <v>#VALUE!</v>
      </c>
    </row>
    <row r="23" spans="1:26" ht="15.75" thickBot="1" x14ac:dyDescent="0.3">
      <c r="A23" s="331" t="s">
        <v>78</v>
      </c>
      <c r="B23" s="551" t="s">
        <v>234</v>
      </c>
      <c r="C23" s="186" t="s">
        <v>77</v>
      </c>
      <c r="D23" s="102"/>
      <c r="E23" s="348">
        <f>$E$15*'Ordering Period 1'!AG31</f>
        <v>0</v>
      </c>
      <c r="F23" s="345" t="str">
        <f>'Ordering Period 1'!AR31</f>
        <v/>
      </c>
      <c r="G23" s="346" t="e">
        <f t="shared" si="5"/>
        <v>#VALUE!</v>
      </c>
      <c r="H23" s="102"/>
      <c r="I23" s="348">
        <f>I15*'Ordering Period 2'!AE36</f>
        <v>0</v>
      </c>
      <c r="J23" s="345" t="str">
        <f>'Ordering Period 2'!AP36</f>
        <v/>
      </c>
      <c r="K23" s="346" t="e">
        <f t="shared" si="6"/>
        <v>#VALUE!</v>
      </c>
      <c r="L23" s="102"/>
      <c r="M23" s="348">
        <f>M15*'Ordering Period 3'!AE36</f>
        <v>0</v>
      </c>
      <c r="N23" s="345" t="str">
        <f>'Ordering Period 3'!AP36</f>
        <v/>
      </c>
      <c r="O23" s="346" t="e">
        <f t="shared" si="7"/>
        <v>#VALUE!</v>
      </c>
      <c r="P23" s="1"/>
      <c r="Q23" s="348">
        <f>Q15*'Ordering Period 4'!AE36</f>
        <v>0</v>
      </c>
      <c r="R23" s="345" t="str">
        <f>'Ordering Period 4'!AP36</f>
        <v/>
      </c>
      <c r="S23" s="346" t="e">
        <f t="shared" si="8"/>
        <v>#VALUE!</v>
      </c>
      <c r="T23" s="102"/>
      <c r="U23" s="348">
        <f>U15*'Ordering Period 5'!AE36</f>
        <v>0</v>
      </c>
      <c r="V23" s="345" t="str">
        <f>'Ordering Period 5'!AP36</f>
        <v/>
      </c>
      <c r="W23" s="346" t="e">
        <f t="shared" si="9"/>
        <v>#VALUE!</v>
      </c>
      <c r="X23" s="98"/>
      <c r="Y23" s="98"/>
      <c r="Z23" s="98"/>
    </row>
  </sheetData>
  <mergeCells count="13">
    <mergeCell ref="Q2:S2"/>
    <mergeCell ref="U2:W2"/>
    <mergeCell ref="E3:G3"/>
    <mergeCell ref="I3:K3"/>
    <mergeCell ref="M3:O3"/>
    <mergeCell ref="Q3:S3"/>
    <mergeCell ref="U3:W3"/>
    <mergeCell ref="I2:K2"/>
    <mergeCell ref="A2:A4"/>
    <mergeCell ref="B2:B4"/>
    <mergeCell ref="C2:C4"/>
    <mergeCell ref="E2:G2"/>
    <mergeCell ref="M2:O2"/>
  </mergeCells>
  <pageMargins left="0.7" right="0.7" top="0.75" bottom="0.75" header="0.3" footer="0.3"/>
  <pageSetup orientation="portrait" verticalDpi="597"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2874F-8818-4CFA-9BEF-7356F1F7F192}">
  <dimension ref="A1:I96"/>
  <sheetViews>
    <sheetView topLeftCell="A60" zoomScaleNormal="100" workbookViewId="0">
      <selection activeCell="H83" sqref="H83"/>
    </sheetView>
  </sheetViews>
  <sheetFormatPr defaultColWidth="9.140625" defaultRowHeight="15" x14ac:dyDescent="0.25"/>
  <cols>
    <col min="1" max="1" width="28.28515625" style="11" customWidth="1"/>
    <col min="2" max="2" width="13.7109375" style="11" customWidth="1"/>
    <col min="3" max="5" width="26.28515625" style="11" customWidth="1"/>
    <col min="6" max="6" width="6.140625" style="458" bestFit="1" customWidth="1"/>
    <col min="7" max="7" width="20.7109375" style="9" customWidth="1"/>
    <col min="8" max="8" width="19.28515625" style="9" customWidth="1"/>
    <col min="9" max="16384" width="9.140625" style="9"/>
  </cols>
  <sheetData>
    <row r="1" spans="1:9" x14ac:dyDescent="0.25">
      <c r="A1" s="578" t="s">
        <v>48</v>
      </c>
      <c r="B1" s="579"/>
      <c r="C1" s="579"/>
      <c r="D1" s="579"/>
      <c r="E1" s="579"/>
      <c r="F1" s="456"/>
      <c r="G1"/>
    </row>
    <row r="2" spans="1:9" x14ac:dyDescent="0.25">
      <c r="A2" s="580" t="s">
        <v>241</v>
      </c>
      <c r="B2" s="581" t="s">
        <v>188</v>
      </c>
      <c r="C2" s="581" t="s">
        <v>99</v>
      </c>
      <c r="D2" s="581" t="s">
        <v>100</v>
      </c>
      <c r="E2" s="581" t="s">
        <v>118</v>
      </c>
      <c r="F2" s="456"/>
      <c r="G2"/>
    </row>
    <row r="3" spans="1:9" x14ac:dyDescent="0.25">
      <c r="A3" s="609" t="s">
        <v>42</v>
      </c>
      <c r="B3" s="610">
        <f>'CLINs - Detail'!C5</f>
        <v>19114.698266026175</v>
      </c>
      <c r="C3" s="611">
        <f>'CLINs - Detail'!D5</f>
        <v>0</v>
      </c>
      <c r="D3" s="611">
        <f>'CLINs - Detail'!E5</f>
        <v>0</v>
      </c>
      <c r="E3" s="611">
        <f>C3+D3</f>
        <v>0</v>
      </c>
    </row>
    <row r="4" spans="1:9" x14ac:dyDescent="0.25">
      <c r="A4" s="116" t="s">
        <v>250</v>
      </c>
      <c r="B4" s="575">
        <f>SUM('CLINs - Detail'!C7:C11)+SUM('CLINs - Detail'!C27:C28)</f>
        <v>81962.120925263866</v>
      </c>
      <c r="C4" s="576">
        <f>SUM('CLINs - Detail'!D7:D11)+SUM('CLINs - Detail'!D27:D28)</f>
        <v>0</v>
      </c>
      <c r="D4" s="576">
        <f>SUM('CLINs - Detail'!E7:E11)+SUM('CLINs - Detail'!E27:E28)</f>
        <v>0</v>
      </c>
      <c r="E4" s="576">
        <f>C4+D4</f>
        <v>0</v>
      </c>
      <c r="F4" s="460"/>
      <c r="G4"/>
      <c r="I4" s="49"/>
    </row>
    <row r="5" spans="1:9" x14ac:dyDescent="0.25">
      <c r="A5" s="116" t="s">
        <v>251</v>
      </c>
      <c r="B5" s="575"/>
      <c r="C5" s="576">
        <f>'CLINs - Detail'!D40</f>
        <v>1577309.4282369376</v>
      </c>
      <c r="D5" s="614"/>
      <c r="E5" s="576">
        <f>C5</f>
        <v>1577309.4282369376</v>
      </c>
      <c r="F5" s="460"/>
      <c r="G5"/>
      <c r="I5" s="49"/>
    </row>
    <row r="6" spans="1:9" x14ac:dyDescent="0.25">
      <c r="A6" s="116" t="s">
        <v>252</v>
      </c>
      <c r="B6" s="575"/>
      <c r="C6" s="576">
        <f>'CLINs - Detail'!D45</f>
        <v>379366.4758911244</v>
      </c>
      <c r="D6" s="614"/>
      <c r="E6" s="576">
        <f>C6</f>
        <v>379366.4758911244</v>
      </c>
      <c r="F6" s="460"/>
      <c r="G6"/>
      <c r="I6" s="49"/>
    </row>
    <row r="7" spans="1:9" x14ac:dyDescent="0.25">
      <c r="A7" s="609" t="s">
        <v>265</v>
      </c>
      <c r="B7" s="610">
        <f>B4</f>
        <v>81962.120925263866</v>
      </c>
      <c r="C7" s="611">
        <f>SUM(C4:C6)</f>
        <v>1956675.9041280621</v>
      </c>
      <c r="D7" s="611">
        <f>D4</f>
        <v>0</v>
      </c>
      <c r="E7" s="611">
        <f>SUM(E4:E6)</f>
        <v>1956675.9041280621</v>
      </c>
      <c r="F7" s="460"/>
      <c r="G7"/>
      <c r="I7" s="49"/>
    </row>
    <row r="8" spans="1:9" s="118" customFormat="1" x14ac:dyDescent="0.25">
      <c r="A8" s="582" t="s">
        <v>253</v>
      </c>
      <c r="B8" s="575">
        <f>SUM('CLINs - Detail'!C13:C17)+SUM('CLINs - Detail'!C30:C31)</f>
        <v>145757.69018246947</v>
      </c>
      <c r="C8" s="576">
        <f>SUM('CLINs - Detail'!D13:D17)+SUM('CLINs - Detail'!D30:D31)</f>
        <v>0</v>
      </c>
      <c r="D8" s="576">
        <f>SUM('CLINs - Detail'!E13:E17)+SUM('CLINs - Detail'!E30:E31)</f>
        <v>0</v>
      </c>
      <c r="E8" s="576">
        <f>C8+D8</f>
        <v>0</v>
      </c>
      <c r="F8" s="461"/>
      <c r="I8" s="49"/>
    </row>
    <row r="9" spans="1:9" s="118" customFormat="1" x14ac:dyDescent="0.25">
      <c r="A9" s="582" t="s">
        <v>254</v>
      </c>
      <c r="B9" s="43"/>
      <c r="C9" s="577">
        <f>'CLINs - Detail'!D41</f>
        <v>2730675.0985066346</v>
      </c>
      <c r="D9" s="614"/>
      <c r="E9" s="576">
        <f>C9</f>
        <v>2730675.0985066346</v>
      </c>
      <c r="F9" s="461"/>
      <c r="I9" s="49"/>
    </row>
    <row r="10" spans="1:9" s="118" customFormat="1" x14ac:dyDescent="0.25">
      <c r="A10" s="116" t="s">
        <v>255</v>
      </c>
      <c r="B10" s="43"/>
      <c r="C10" s="577">
        <f>'CLINs - Detail'!D46</f>
        <v>656768.14604603872</v>
      </c>
      <c r="D10" s="614"/>
      <c r="E10" s="576">
        <f>C10</f>
        <v>656768.14604603872</v>
      </c>
      <c r="F10" s="461"/>
      <c r="I10" s="49"/>
    </row>
    <row r="11" spans="1:9" s="118" customFormat="1" x14ac:dyDescent="0.25">
      <c r="A11" s="609" t="s">
        <v>266</v>
      </c>
      <c r="B11" s="612">
        <f>B8</f>
        <v>145757.69018246947</v>
      </c>
      <c r="C11" s="611">
        <f>SUM(C8:C10)</f>
        <v>3387443.2445526733</v>
      </c>
      <c r="D11" s="611">
        <f>D8</f>
        <v>0</v>
      </c>
      <c r="E11" s="611">
        <f>SUM(E8:E10)</f>
        <v>3387443.2445526733</v>
      </c>
      <c r="F11" s="461"/>
      <c r="I11" s="49"/>
    </row>
    <row r="12" spans="1:9" s="118" customFormat="1" x14ac:dyDescent="0.25">
      <c r="A12" s="116" t="s">
        <v>256</v>
      </c>
      <c r="B12" s="575">
        <f>SUM('CLINs - Detail'!C19:C23)+SUM('CLINs - Detail'!C33:C37)</f>
        <v>70443.466844634968</v>
      </c>
      <c r="C12" s="576">
        <f>SUM('CLINs - Detail'!D19:D23)+SUM('CLINs - Detail'!D33:D37)</f>
        <v>0</v>
      </c>
      <c r="D12" s="576">
        <f>SUM('CLINs - Detail'!E19:E23)+SUM('CLINs - Detail'!E33:E37)</f>
        <v>0</v>
      </c>
      <c r="E12" s="576">
        <f>C12+D12</f>
        <v>0</v>
      </c>
      <c r="F12" s="461"/>
      <c r="I12" s="49"/>
    </row>
    <row r="13" spans="1:9" s="118" customFormat="1" x14ac:dyDescent="0.25">
      <c r="A13" s="116" t="s">
        <v>257</v>
      </c>
      <c r="B13" s="43"/>
      <c r="C13" s="577">
        <f>'CLINs - Detail'!D42</f>
        <v>3619851.5732564274</v>
      </c>
      <c r="D13" s="614"/>
      <c r="E13" s="576">
        <f>C13</f>
        <v>3619851.5732564274</v>
      </c>
      <c r="F13" s="461"/>
      <c r="I13" s="49"/>
    </row>
    <row r="14" spans="1:9" s="118" customFormat="1" x14ac:dyDescent="0.25">
      <c r="A14" s="582" t="s">
        <v>258</v>
      </c>
      <c r="B14" s="43"/>
      <c r="C14" s="577">
        <f>'CLINs - Detail'!D47</f>
        <v>870628.36879774788</v>
      </c>
      <c r="D14" s="614"/>
      <c r="E14" s="576">
        <f>C14</f>
        <v>870628.36879774788</v>
      </c>
      <c r="F14" s="461"/>
      <c r="I14" s="49"/>
    </row>
    <row r="15" spans="1:9" s="118" customFormat="1" x14ac:dyDescent="0.25">
      <c r="A15" s="613" t="s">
        <v>267</v>
      </c>
      <c r="B15" s="612">
        <f>B12</f>
        <v>70443.466844634968</v>
      </c>
      <c r="C15" s="611">
        <f>SUM(C12:C14)</f>
        <v>4490479.9420541748</v>
      </c>
      <c r="D15" s="611">
        <f>D12</f>
        <v>0</v>
      </c>
      <c r="E15" s="611">
        <f>SUM(E12:E14)</f>
        <v>4490479.9420541748</v>
      </c>
      <c r="F15" s="461"/>
      <c r="I15" s="49"/>
    </row>
    <row r="16" spans="1:9" s="234" customFormat="1" x14ac:dyDescent="0.25">
      <c r="A16" s="583" t="s">
        <v>166</v>
      </c>
      <c r="B16" s="584">
        <f>B3+B7+B11+B15</f>
        <v>317277.97621839447</v>
      </c>
      <c r="C16" s="585">
        <f>C3+C7+C11+C15</f>
        <v>9834599.0907349102</v>
      </c>
      <c r="D16" s="585">
        <f t="shared" ref="D16:E16" si="0">D3+D7+D11+D15</f>
        <v>0</v>
      </c>
      <c r="E16" s="585">
        <f t="shared" si="0"/>
        <v>9834599.0907349102</v>
      </c>
      <c r="F16" s="292"/>
      <c r="G16" s="283">
        <f>'CLINs - Detail'!F49</f>
        <v>9834599.0907349102</v>
      </c>
      <c r="H16" s="283">
        <f>E16-G16</f>
        <v>0</v>
      </c>
    </row>
    <row r="17" spans="1:8" x14ac:dyDescent="0.25">
      <c r="A17" s="586" t="s">
        <v>49</v>
      </c>
      <c r="B17" s="587"/>
      <c r="C17" s="587"/>
      <c r="D17" s="587"/>
      <c r="E17" s="587"/>
    </row>
    <row r="18" spans="1:8" x14ac:dyDescent="0.25">
      <c r="A18" s="588" t="s">
        <v>241</v>
      </c>
      <c r="B18" s="589" t="s">
        <v>188</v>
      </c>
      <c r="C18" s="589" t="s">
        <v>99</v>
      </c>
      <c r="D18" s="589" t="s">
        <v>100</v>
      </c>
      <c r="E18" s="589" t="s">
        <v>118</v>
      </c>
    </row>
    <row r="19" spans="1:8" x14ac:dyDescent="0.25">
      <c r="A19" s="609" t="s">
        <v>42</v>
      </c>
      <c r="B19" s="610">
        <f>'CLINs - Detail'!C54</f>
        <v>19114.698266026175</v>
      </c>
      <c r="C19" s="611">
        <f>'CLINs - Detail'!D54</f>
        <v>0</v>
      </c>
      <c r="D19" s="611">
        <f>'CLINs - Detail'!E54</f>
        <v>0</v>
      </c>
      <c r="E19" s="611">
        <f>C19+D19</f>
        <v>0</v>
      </c>
    </row>
    <row r="20" spans="1:8" x14ac:dyDescent="0.25">
      <c r="A20" s="116" t="s">
        <v>250</v>
      </c>
      <c r="B20" s="575">
        <f>SUM('CLINs - Detail'!C56:C60)+SUM('CLINs - Detail'!C76:C77)</f>
        <v>81962.120925263866</v>
      </c>
      <c r="C20" s="576">
        <f>SUM('CLINs - Detail'!D56:D60)+SUM('CLINs - Detail'!D76:D77)</f>
        <v>0</v>
      </c>
      <c r="D20" s="576">
        <f>SUM('CLINs - Detail'!E56:E60)+SUM('CLINs - Detail'!E76:E77)</f>
        <v>0</v>
      </c>
      <c r="E20" s="576">
        <f>C20+D20</f>
        <v>0</v>
      </c>
    </row>
    <row r="21" spans="1:8" x14ac:dyDescent="0.25">
      <c r="A21" s="116" t="s">
        <v>251</v>
      </c>
      <c r="B21" s="575"/>
      <c r="C21" s="576">
        <f>'CLINs - Detail'!D89</f>
        <v>1577309.4282369376</v>
      </c>
      <c r="D21" s="614"/>
      <c r="E21" s="576">
        <f>C21</f>
        <v>1577309.4282369376</v>
      </c>
    </row>
    <row r="22" spans="1:8" x14ac:dyDescent="0.25">
      <c r="A22" s="116" t="s">
        <v>252</v>
      </c>
      <c r="B22" s="575"/>
      <c r="C22" s="576">
        <f>'CLINs - Detail'!D94</f>
        <v>379366.4758911244</v>
      </c>
      <c r="D22" s="614"/>
      <c r="E22" s="576">
        <f>C22</f>
        <v>379366.4758911244</v>
      </c>
    </row>
    <row r="23" spans="1:8" x14ac:dyDescent="0.25">
      <c r="A23" s="609" t="s">
        <v>265</v>
      </c>
      <c r="B23" s="610">
        <f>B20</f>
        <v>81962.120925263866</v>
      </c>
      <c r="C23" s="611">
        <f>SUM(C20:C22)</f>
        <v>1956675.9041280621</v>
      </c>
      <c r="D23" s="611">
        <f>D20</f>
        <v>0</v>
      </c>
      <c r="E23" s="611">
        <f>SUM(E20:E22)</f>
        <v>1956675.9041280621</v>
      </c>
    </row>
    <row r="24" spans="1:8" x14ac:dyDescent="0.25">
      <c r="A24" s="582" t="s">
        <v>253</v>
      </c>
      <c r="B24" s="575">
        <f>SUM('CLINs - Detail'!C62:C66)+SUM('CLINs - Detail'!C79:C80)</f>
        <v>145757.69018246947</v>
      </c>
      <c r="C24" s="576">
        <f>SUM('CLINs - Detail'!D62:D66)+SUM('CLINs - Detail'!D79:D80)</f>
        <v>0</v>
      </c>
      <c r="D24" s="576">
        <f>SUM('CLINs - Detail'!E62:E66)+SUM('CLINs - Detail'!E79:E80)</f>
        <v>0</v>
      </c>
      <c r="E24" s="576">
        <f>C24+D24</f>
        <v>0</v>
      </c>
    </row>
    <row r="25" spans="1:8" x14ac:dyDescent="0.25">
      <c r="A25" s="582" t="s">
        <v>254</v>
      </c>
      <c r="B25" s="43"/>
      <c r="C25" s="577">
        <f>'CLINs - Detail'!D90</f>
        <v>2730675.0985066346</v>
      </c>
      <c r="D25" s="614"/>
      <c r="E25" s="576">
        <f>C25</f>
        <v>2730675.0985066346</v>
      </c>
    </row>
    <row r="26" spans="1:8" x14ac:dyDescent="0.25">
      <c r="A26" s="116" t="s">
        <v>255</v>
      </c>
      <c r="B26" s="43"/>
      <c r="C26" s="577">
        <f>'CLINs - Detail'!D95</f>
        <v>656768.14604603872</v>
      </c>
      <c r="D26" s="614"/>
      <c r="E26" s="576">
        <f>C26</f>
        <v>656768.14604603872</v>
      </c>
    </row>
    <row r="27" spans="1:8" x14ac:dyDescent="0.25">
      <c r="A27" s="609" t="s">
        <v>266</v>
      </c>
      <c r="B27" s="612">
        <f>B24</f>
        <v>145757.69018246947</v>
      </c>
      <c r="C27" s="611">
        <f>SUM(C24:C26)</f>
        <v>3387443.2445526733</v>
      </c>
      <c r="D27" s="611">
        <f>D24</f>
        <v>0</v>
      </c>
      <c r="E27" s="611">
        <f>SUM(E24:E26)</f>
        <v>3387443.2445526733</v>
      </c>
    </row>
    <row r="28" spans="1:8" x14ac:dyDescent="0.25">
      <c r="A28" s="116" t="s">
        <v>256</v>
      </c>
      <c r="B28" s="575">
        <f>SUM('CLINs - Detail'!C68:C72)+SUM('CLINs - Detail'!C82:C86)</f>
        <v>70443.466844634968</v>
      </c>
      <c r="C28" s="576">
        <f>SUM('CLINs - Detail'!D68:D72)+SUM('CLINs - Detail'!D82:D86)</f>
        <v>0</v>
      </c>
      <c r="D28" s="576">
        <f>SUM('CLINs - Detail'!E68:E72)+SUM('CLINs - Detail'!E82:E86)</f>
        <v>0</v>
      </c>
      <c r="E28" s="576">
        <f>C28+D28</f>
        <v>0</v>
      </c>
    </row>
    <row r="29" spans="1:8" x14ac:dyDescent="0.25">
      <c r="A29" s="116" t="s">
        <v>257</v>
      </c>
      <c r="B29" s="43"/>
      <c r="C29" s="577">
        <f>'CLINs - Detail'!D91</f>
        <v>3619851.5732564274</v>
      </c>
      <c r="D29" s="614"/>
      <c r="E29" s="576">
        <f>C29</f>
        <v>3619851.5732564274</v>
      </c>
    </row>
    <row r="30" spans="1:8" x14ac:dyDescent="0.25">
      <c r="A30" s="582" t="s">
        <v>258</v>
      </c>
      <c r="B30" s="43"/>
      <c r="C30" s="577">
        <f>'CLINs - Detail'!D96</f>
        <v>870628.36879774788</v>
      </c>
      <c r="D30" s="614"/>
      <c r="E30" s="576">
        <f>C30</f>
        <v>870628.36879774788</v>
      </c>
    </row>
    <row r="31" spans="1:8" x14ac:dyDescent="0.25">
      <c r="A31" s="613" t="s">
        <v>267</v>
      </c>
      <c r="B31" s="612">
        <f>B28</f>
        <v>70443.466844634968</v>
      </c>
      <c r="C31" s="611">
        <f>SUM(C28:C30)</f>
        <v>4490479.9420541748</v>
      </c>
      <c r="D31" s="611">
        <f>D28</f>
        <v>0</v>
      </c>
      <c r="E31" s="611">
        <f>SUM(E28:E30)</f>
        <v>4490479.9420541748</v>
      </c>
    </row>
    <row r="32" spans="1:8" x14ac:dyDescent="0.25">
      <c r="A32" s="590" t="s">
        <v>178</v>
      </c>
      <c r="B32" s="591">
        <f>B19+B23+B27+B31</f>
        <v>317277.97621839447</v>
      </c>
      <c r="C32" s="592">
        <f>C19+C23+C27+C31</f>
        <v>9834599.0907349102</v>
      </c>
      <c r="D32" s="592">
        <f t="shared" ref="D32" si="1">D19+D23+D27+D31</f>
        <v>0</v>
      </c>
      <c r="E32" s="592">
        <f t="shared" ref="E32" si="2">E19+E23+E27+E31</f>
        <v>9834599.0907349102</v>
      </c>
      <c r="G32" s="283">
        <f>'CLINs - Detail'!F98</f>
        <v>9834599.0907349102</v>
      </c>
      <c r="H32" s="283">
        <f>E32-G32</f>
        <v>0</v>
      </c>
    </row>
    <row r="33" spans="1:8" x14ac:dyDescent="0.25">
      <c r="A33" s="578" t="s">
        <v>50</v>
      </c>
      <c r="B33" s="579"/>
      <c r="C33" s="579"/>
      <c r="D33" s="579"/>
      <c r="E33" s="579"/>
    </row>
    <row r="34" spans="1:8" x14ac:dyDescent="0.25">
      <c r="A34" s="580" t="s">
        <v>241</v>
      </c>
      <c r="B34" s="581" t="s">
        <v>188</v>
      </c>
      <c r="C34" s="581" t="s">
        <v>99</v>
      </c>
      <c r="D34" s="581" t="s">
        <v>100</v>
      </c>
      <c r="E34" s="581" t="s">
        <v>118</v>
      </c>
    </row>
    <row r="35" spans="1:8" x14ac:dyDescent="0.25">
      <c r="A35" s="609" t="s">
        <v>42</v>
      </c>
      <c r="B35" s="610">
        <f>'CLINs - Detail'!C103</f>
        <v>19114.698266026175</v>
      </c>
      <c r="C35" s="611">
        <f>'CLINs - Detail'!D103</f>
        <v>0</v>
      </c>
      <c r="D35" s="611">
        <f>'CLINs - Detail'!E103</f>
        <v>0</v>
      </c>
      <c r="E35" s="611">
        <f>C35+D35</f>
        <v>0</v>
      </c>
    </row>
    <row r="36" spans="1:8" x14ac:dyDescent="0.25">
      <c r="A36" s="116" t="s">
        <v>250</v>
      </c>
      <c r="B36" s="575">
        <f>SUM('CLINs - Detail'!C105:C109)+SUM('CLINs - Detail'!C125:C126)</f>
        <v>81962.120925263866</v>
      </c>
      <c r="C36" s="576">
        <f>SUM('CLINs - Detail'!D105:D109)+SUM('CLINs - Detail'!D125:D126)</f>
        <v>0</v>
      </c>
      <c r="D36" s="576">
        <f>SUM('CLINs - Detail'!E105:E109)+SUM('CLINs - Detail'!E125:E126)</f>
        <v>0</v>
      </c>
      <c r="E36" s="576">
        <f>C36+D36</f>
        <v>0</v>
      </c>
    </row>
    <row r="37" spans="1:8" x14ac:dyDescent="0.25">
      <c r="A37" s="116" t="s">
        <v>251</v>
      </c>
      <c r="B37" s="575"/>
      <c r="C37" s="576">
        <f>'CLINs - Detail'!D138</f>
        <v>1577309.4282369376</v>
      </c>
      <c r="D37" s="614"/>
      <c r="E37" s="576">
        <f>C37</f>
        <v>1577309.4282369376</v>
      </c>
    </row>
    <row r="38" spans="1:8" x14ac:dyDescent="0.25">
      <c r="A38" s="116" t="s">
        <v>252</v>
      </c>
      <c r="B38" s="575"/>
      <c r="C38" s="576">
        <f>'CLINs - Detail'!D143</f>
        <v>379366.4758911244</v>
      </c>
      <c r="D38" s="614"/>
      <c r="E38" s="576">
        <f>C38</f>
        <v>379366.4758911244</v>
      </c>
    </row>
    <row r="39" spans="1:8" x14ac:dyDescent="0.25">
      <c r="A39" s="609" t="s">
        <v>265</v>
      </c>
      <c r="B39" s="610">
        <f>B36</f>
        <v>81962.120925263866</v>
      </c>
      <c r="C39" s="611">
        <f>SUM(C36:C38)</f>
        <v>1956675.9041280621</v>
      </c>
      <c r="D39" s="611">
        <f>D36</f>
        <v>0</v>
      </c>
      <c r="E39" s="611">
        <f>SUM(E36:E38)</f>
        <v>1956675.9041280621</v>
      </c>
    </row>
    <row r="40" spans="1:8" x14ac:dyDescent="0.25">
      <c r="A40" s="582" t="s">
        <v>253</v>
      </c>
      <c r="B40" s="575">
        <f>SUM('CLINs - Detail'!C111:C115)+SUM('CLINs - Detail'!C128:C129)</f>
        <v>145757.69018246947</v>
      </c>
      <c r="C40" s="576">
        <f>SUM('CLINs - Detail'!D111:D115)+SUM('CLINs - Detail'!D128:D129)</f>
        <v>0</v>
      </c>
      <c r="D40" s="576">
        <f>SUM('CLINs - Detail'!E111:E115)+SUM('CLINs - Detail'!E128:E129)</f>
        <v>0</v>
      </c>
      <c r="E40" s="576">
        <f>C40+D40</f>
        <v>0</v>
      </c>
    </row>
    <row r="41" spans="1:8" x14ac:dyDescent="0.25">
      <c r="A41" s="582" t="s">
        <v>254</v>
      </c>
      <c r="B41" s="43"/>
      <c r="C41" s="577">
        <f>'CLINs - Detail'!D139</f>
        <v>2730675.0985066346</v>
      </c>
      <c r="D41" s="614"/>
      <c r="E41" s="576">
        <f>C41</f>
        <v>2730675.0985066346</v>
      </c>
    </row>
    <row r="42" spans="1:8" x14ac:dyDescent="0.25">
      <c r="A42" s="116" t="s">
        <v>255</v>
      </c>
      <c r="B42" s="43"/>
      <c r="C42" s="577">
        <f>'CLINs - Detail'!D144</f>
        <v>656768.14604603872</v>
      </c>
      <c r="D42" s="614"/>
      <c r="E42" s="576">
        <f>C42</f>
        <v>656768.14604603872</v>
      </c>
    </row>
    <row r="43" spans="1:8" x14ac:dyDescent="0.25">
      <c r="A43" s="609" t="s">
        <v>266</v>
      </c>
      <c r="B43" s="612">
        <f>B40</f>
        <v>145757.69018246947</v>
      </c>
      <c r="C43" s="611">
        <f>SUM(C40:C42)</f>
        <v>3387443.2445526733</v>
      </c>
      <c r="D43" s="611">
        <f>D40</f>
        <v>0</v>
      </c>
      <c r="E43" s="611">
        <f>SUM(E40:E42)</f>
        <v>3387443.2445526733</v>
      </c>
    </row>
    <row r="44" spans="1:8" x14ac:dyDescent="0.25">
      <c r="A44" s="116" t="s">
        <v>256</v>
      </c>
      <c r="B44" s="575">
        <f>SUM('CLINs - Detail'!C117:C121)+SUM('CLINs - Detail'!C131:C135)</f>
        <v>70443.466844634968</v>
      </c>
      <c r="C44" s="576">
        <f>SUM('CLINs - Detail'!D117:D121)+SUM('CLINs - Detail'!D131:D135)</f>
        <v>0</v>
      </c>
      <c r="D44" s="576">
        <f>SUM('CLINs - Detail'!E117:E121)+SUM('CLINs - Detail'!E131:E135)</f>
        <v>0</v>
      </c>
      <c r="E44" s="576">
        <f>C44+D44</f>
        <v>0</v>
      </c>
    </row>
    <row r="45" spans="1:8" x14ac:dyDescent="0.25">
      <c r="A45" s="116" t="s">
        <v>257</v>
      </c>
      <c r="B45" s="43"/>
      <c r="C45" s="577">
        <f>'CLINs - Detail'!D140</f>
        <v>3619851.5732564274</v>
      </c>
      <c r="D45" s="614"/>
      <c r="E45" s="576">
        <f>C45</f>
        <v>3619851.5732564274</v>
      </c>
    </row>
    <row r="46" spans="1:8" x14ac:dyDescent="0.25">
      <c r="A46" s="582" t="s">
        <v>258</v>
      </c>
      <c r="B46" s="43"/>
      <c r="C46" s="577">
        <f>'CLINs - Detail'!D145</f>
        <v>870628.36879774788</v>
      </c>
      <c r="D46" s="614"/>
      <c r="E46" s="576">
        <f>C46</f>
        <v>870628.36879774788</v>
      </c>
    </row>
    <row r="47" spans="1:8" x14ac:dyDescent="0.25">
      <c r="A47" s="613" t="s">
        <v>267</v>
      </c>
      <c r="B47" s="612">
        <f>B44</f>
        <v>70443.466844634968</v>
      </c>
      <c r="C47" s="611">
        <f>SUM(C44:C46)</f>
        <v>4490479.9420541748</v>
      </c>
      <c r="D47" s="611">
        <f>D44</f>
        <v>0</v>
      </c>
      <c r="E47" s="611">
        <f>SUM(E44:E46)</f>
        <v>4490479.9420541748</v>
      </c>
    </row>
    <row r="48" spans="1:8" x14ac:dyDescent="0.25">
      <c r="A48" s="583" t="s">
        <v>177</v>
      </c>
      <c r="B48" s="584">
        <f>B35+B39+B43+B47</f>
        <v>317277.97621839447</v>
      </c>
      <c r="C48" s="585">
        <f>C35+C39+C43+C47</f>
        <v>9834599.0907349102</v>
      </c>
      <c r="D48" s="585">
        <f t="shared" ref="D48" si="3">D35+D39+D43+D47</f>
        <v>0</v>
      </c>
      <c r="E48" s="585">
        <f t="shared" ref="E48" si="4">E35+E39+E43+E47</f>
        <v>9834599.0907349102</v>
      </c>
      <c r="G48" s="283">
        <f>'CLINs - Detail'!F147</f>
        <v>9834599.0907349102</v>
      </c>
      <c r="H48" s="283">
        <f>E48-G48</f>
        <v>0</v>
      </c>
    </row>
    <row r="49" spans="1:8" x14ac:dyDescent="0.25">
      <c r="A49" s="586" t="s">
        <v>51</v>
      </c>
      <c r="B49" s="587"/>
      <c r="C49" s="587"/>
      <c r="D49" s="587"/>
      <c r="E49" s="587"/>
    </row>
    <row r="50" spans="1:8" x14ac:dyDescent="0.25">
      <c r="A50" s="588" t="s">
        <v>241</v>
      </c>
      <c r="B50" s="589" t="s">
        <v>188</v>
      </c>
      <c r="C50" s="589" t="s">
        <v>99</v>
      </c>
      <c r="D50" s="589" t="s">
        <v>100</v>
      </c>
      <c r="E50" s="589" t="s">
        <v>118</v>
      </c>
    </row>
    <row r="51" spans="1:8" x14ac:dyDescent="0.25">
      <c r="A51" s="609" t="s">
        <v>42</v>
      </c>
      <c r="B51" s="610">
        <f>'CLINs - Detail'!C152</f>
        <v>19114.698266026175</v>
      </c>
      <c r="C51" s="611">
        <f>'CLINs - Detail'!D152</f>
        <v>0</v>
      </c>
      <c r="D51" s="611">
        <f>'CLINs - Detail'!E152</f>
        <v>0</v>
      </c>
      <c r="E51" s="611">
        <f>C51+D51</f>
        <v>0</v>
      </c>
    </row>
    <row r="52" spans="1:8" x14ac:dyDescent="0.25">
      <c r="A52" s="116" t="s">
        <v>250</v>
      </c>
      <c r="B52" s="575">
        <f>SUM('CLINs - Detail'!C154:C158)+SUM('CLINs - Detail'!C174:C175)</f>
        <v>81962.120925263866</v>
      </c>
      <c r="C52" s="576">
        <f>SUM('CLINs - Detail'!D154:D158)+SUM('CLINs - Detail'!D174:D175)</f>
        <v>0</v>
      </c>
      <c r="D52" s="576">
        <f>SUM('CLINs - Detail'!E154:E158)+SUM('CLINs - Detail'!E174:E175)</f>
        <v>0</v>
      </c>
      <c r="E52" s="576">
        <f>C52+D52</f>
        <v>0</v>
      </c>
    </row>
    <row r="53" spans="1:8" x14ac:dyDescent="0.25">
      <c r="A53" s="116" t="s">
        <v>251</v>
      </c>
      <c r="B53" s="575"/>
      <c r="C53" s="576">
        <f>'CLINs - Detail'!D187</f>
        <v>1577309.4282369376</v>
      </c>
      <c r="D53" s="614"/>
      <c r="E53" s="576">
        <f>C53</f>
        <v>1577309.4282369376</v>
      </c>
    </row>
    <row r="54" spans="1:8" x14ac:dyDescent="0.25">
      <c r="A54" s="116" t="s">
        <v>252</v>
      </c>
      <c r="B54" s="575"/>
      <c r="C54" s="576">
        <f>'CLINs - Detail'!D192</f>
        <v>379366.4758911244</v>
      </c>
      <c r="D54" s="614"/>
      <c r="E54" s="576">
        <f>C54</f>
        <v>379366.4758911244</v>
      </c>
    </row>
    <row r="55" spans="1:8" x14ac:dyDescent="0.25">
      <c r="A55" s="609" t="s">
        <v>265</v>
      </c>
      <c r="B55" s="610">
        <f>B52</f>
        <v>81962.120925263866</v>
      </c>
      <c r="C55" s="611">
        <f>SUM(C52:C54)</f>
        <v>1956675.9041280621</v>
      </c>
      <c r="D55" s="611">
        <f>D52</f>
        <v>0</v>
      </c>
      <c r="E55" s="611">
        <f>SUM(E52:E54)</f>
        <v>1956675.9041280621</v>
      </c>
    </row>
    <row r="56" spans="1:8" x14ac:dyDescent="0.25">
      <c r="A56" s="582" t="s">
        <v>253</v>
      </c>
      <c r="B56" s="575">
        <f>SUM('CLINs - Detail'!C160:C164)+SUM('CLINs - Detail'!C177:C178)</f>
        <v>145757.69018246947</v>
      </c>
      <c r="C56" s="576">
        <f>SUM('CLINs - Detail'!D160:D164)+SUM('CLINs - Detail'!D177:D178)</f>
        <v>0</v>
      </c>
      <c r="D56" s="576">
        <f>SUM('CLINs - Detail'!E160:E164)+SUM('CLINs - Detail'!E177:E178)</f>
        <v>0</v>
      </c>
      <c r="E56" s="576">
        <f>C56+D56</f>
        <v>0</v>
      </c>
    </row>
    <row r="57" spans="1:8" x14ac:dyDescent="0.25">
      <c r="A57" s="582" t="s">
        <v>254</v>
      </c>
      <c r="B57" s="43"/>
      <c r="C57" s="577">
        <f>'CLINs - Detail'!D188</f>
        <v>2730675.0985066346</v>
      </c>
      <c r="D57" s="614"/>
      <c r="E57" s="576">
        <f>C57</f>
        <v>2730675.0985066346</v>
      </c>
    </row>
    <row r="58" spans="1:8" x14ac:dyDescent="0.25">
      <c r="A58" s="116" t="s">
        <v>255</v>
      </c>
      <c r="B58" s="43"/>
      <c r="C58" s="577">
        <f>'CLINs - Detail'!D193</f>
        <v>656768.14604603872</v>
      </c>
      <c r="D58" s="614"/>
      <c r="E58" s="576">
        <f>C58</f>
        <v>656768.14604603872</v>
      </c>
    </row>
    <row r="59" spans="1:8" x14ac:dyDescent="0.25">
      <c r="A59" s="609" t="s">
        <v>266</v>
      </c>
      <c r="B59" s="612">
        <f>B56</f>
        <v>145757.69018246947</v>
      </c>
      <c r="C59" s="611">
        <f>SUM(C56:C58)</f>
        <v>3387443.2445526733</v>
      </c>
      <c r="D59" s="611">
        <f>D56</f>
        <v>0</v>
      </c>
      <c r="E59" s="611">
        <f>SUM(E56:E58)</f>
        <v>3387443.2445526733</v>
      </c>
    </row>
    <row r="60" spans="1:8" x14ac:dyDescent="0.25">
      <c r="A60" s="116" t="s">
        <v>256</v>
      </c>
      <c r="B60" s="575">
        <f>SUM('CLINs - Detail'!C166:C170)+SUM('CLINs - Detail'!C180:C184)</f>
        <v>70443.466844634968</v>
      </c>
      <c r="C60" s="576">
        <f>SUM('CLINs - Detail'!D166:D170)+SUM('CLINs - Detail'!D180:D184)</f>
        <v>0</v>
      </c>
      <c r="D60" s="576">
        <f>SUM('CLINs - Detail'!E166:E170)+SUM('CLINs - Detail'!E180:E184)</f>
        <v>0</v>
      </c>
      <c r="E60" s="576">
        <f>C60+D60</f>
        <v>0</v>
      </c>
    </row>
    <row r="61" spans="1:8" x14ac:dyDescent="0.25">
      <c r="A61" s="116" t="s">
        <v>257</v>
      </c>
      <c r="B61" s="43"/>
      <c r="C61" s="577">
        <f>'CLINs - Detail'!D189</f>
        <v>3619851.5732564274</v>
      </c>
      <c r="D61" s="614"/>
      <c r="E61" s="576">
        <f>C61</f>
        <v>3619851.5732564274</v>
      </c>
    </row>
    <row r="62" spans="1:8" x14ac:dyDescent="0.25">
      <c r="A62" s="582" t="s">
        <v>258</v>
      </c>
      <c r="B62" s="43"/>
      <c r="C62" s="577">
        <f>'CLINs - Detail'!D194</f>
        <v>870628.36879774788</v>
      </c>
      <c r="D62" s="614"/>
      <c r="E62" s="576">
        <f>C62</f>
        <v>870628.36879774788</v>
      </c>
    </row>
    <row r="63" spans="1:8" x14ac:dyDescent="0.25">
      <c r="A63" s="613" t="s">
        <v>267</v>
      </c>
      <c r="B63" s="612">
        <f>B60</f>
        <v>70443.466844634968</v>
      </c>
      <c r="C63" s="611">
        <f>SUM(C60:C62)</f>
        <v>4490479.9420541748</v>
      </c>
      <c r="D63" s="611">
        <f>D60</f>
        <v>0</v>
      </c>
      <c r="E63" s="611">
        <f>SUM(E60:E62)</f>
        <v>4490479.9420541748</v>
      </c>
    </row>
    <row r="64" spans="1:8" x14ac:dyDescent="0.25">
      <c r="A64" s="590" t="s">
        <v>176</v>
      </c>
      <c r="B64" s="591">
        <f>B51+B55+B59+B63</f>
        <v>317277.97621839447</v>
      </c>
      <c r="C64" s="592">
        <f>C51+C55+C59+C63</f>
        <v>9834599.0907349102</v>
      </c>
      <c r="D64" s="592">
        <f t="shared" ref="D64" si="5">D51+D55+D59+D63</f>
        <v>0</v>
      </c>
      <c r="E64" s="592">
        <f t="shared" ref="E64" si="6">E51+E55+E59+E63</f>
        <v>9834599.0907349102</v>
      </c>
      <c r="G64" s="283">
        <f>'CLINs - Detail'!F196</f>
        <v>9834599.0907349102</v>
      </c>
      <c r="H64" s="283">
        <f>E64-G64</f>
        <v>0</v>
      </c>
    </row>
    <row r="65" spans="1:8" x14ac:dyDescent="0.25">
      <c r="A65" s="578" t="s">
        <v>52</v>
      </c>
      <c r="B65" s="579"/>
      <c r="C65" s="579"/>
      <c r="D65" s="579"/>
      <c r="E65" s="579"/>
    </row>
    <row r="66" spans="1:8" x14ac:dyDescent="0.25">
      <c r="A66" s="580" t="s">
        <v>241</v>
      </c>
      <c r="B66" s="581" t="s">
        <v>188</v>
      </c>
      <c r="C66" s="581" t="s">
        <v>99</v>
      </c>
      <c r="D66" s="581" t="s">
        <v>100</v>
      </c>
      <c r="E66" s="581" t="s">
        <v>118</v>
      </c>
    </row>
    <row r="67" spans="1:8" x14ac:dyDescent="0.25">
      <c r="A67" s="609" t="s">
        <v>42</v>
      </c>
      <c r="B67" s="610">
        <f>'CLINs - Detail'!C201</f>
        <v>19114.698266026175</v>
      </c>
      <c r="C67" s="610">
        <f>'CLINs - Detail'!D201</f>
        <v>0</v>
      </c>
      <c r="D67" s="610">
        <f>'CLINs - Detail'!E201</f>
        <v>0</v>
      </c>
      <c r="E67" s="611">
        <f>C67+D67</f>
        <v>0</v>
      </c>
    </row>
    <row r="68" spans="1:8" x14ac:dyDescent="0.25">
      <c r="A68" s="116" t="s">
        <v>250</v>
      </c>
      <c r="B68" s="575">
        <f>SUM('CLINs - Detail'!C203:C207)+SUM('CLINs - Detail'!C223:C224)</f>
        <v>81962.120925263866</v>
      </c>
      <c r="C68" s="576">
        <f>SUM('CLINs - Detail'!D203:D207)+SUM('CLINs - Detail'!D223:D224)</f>
        <v>0</v>
      </c>
      <c r="D68" s="576">
        <f>SUM('CLINs - Detail'!E203:E207)+SUM('CLINs - Detail'!E223:E224)</f>
        <v>0</v>
      </c>
      <c r="E68" s="576">
        <f>C68+D68</f>
        <v>0</v>
      </c>
    </row>
    <row r="69" spans="1:8" x14ac:dyDescent="0.25">
      <c r="A69" s="116" t="s">
        <v>251</v>
      </c>
      <c r="B69" s="575"/>
      <c r="C69" s="576">
        <f>'CLINs - Detail'!D236</f>
        <v>1577309.4282369376</v>
      </c>
      <c r="D69" s="614"/>
      <c r="E69" s="576">
        <f>C69</f>
        <v>1577309.4282369376</v>
      </c>
    </row>
    <row r="70" spans="1:8" x14ac:dyDescent="0.25">
      <c r="A70" s="116" t="s">
        <v>252</v>
      </c>
      <c r="B70" s="575"/>
      <c r="C70" s="576">
        <f>'CLINs - Detail'!D241</f>
        <v>379366.4758911244</v>
      </c>
      <c r="D70" s="614"/>
      <c r="E70" s="576">
        <f>C70</f>
        <v>379366.4758911244</v>
      </c>
    </row>
    <row r="71" spans="1:8" x14ac:dyDescent="0.25">
      <c r="A71" s="609" t="s">
        <v>265</v>
      </c>
      <c r="B71" s="610">
        <f>B68</f>
        <v>81962.120925263866</v>
      </c>
      <c r="C71" s="611">
        <f>SUM(C68:C70)</f>
        <v>1956675.9041280621</v>
      </c>
      <c r="D71" s="611">
        <f>D68</f>
        <v>0</v>
      </c>
      <c r="E71" s="611">
        <f>SUM(E68:E70)</f>
        <v>1956675.9041280621</v>
      </c>
    </row>
    <row r="72" spans="1:8" x14ac:dyDescent="0.25">
      <c r="A72" s="582" t="s">
        <v>253</v>
      </c>
      <c r="B72" s="575">
        <f>SUM('CLINs - Detail'!C209:C213)+SUM('CLINs - Detail'!C226:C227)</f>
        <v>145757.69018246947</v>
      </c>
      <c r="C72" s="576">
        <f>SUM('CLINs - Detail'!D209:D213)+SUM('CLINs - Detail'!D226:D227)</f>
        <v>0</v>
      </c>
      <c r="D72" s="576">
        <f>SUM('CLINs - Detail'!E209:E213)+SUM('CLINs - Detail'!E226:E227)</f>
        <v>0</v>
      </c>
      <c r="E72" s="576">
        <f>C72+D72</f>
        <v>0</v>
      </c>
    </row>
    <row r="73" spans="1:8" x14ac:dyDescent="0.25">
      <c r="A73" s="582" t="s">
        <v>254</v>
      </c>
      <c r="B73" s="43"/>
      <c r="C73" s="577">
        <f>'CLINs - Detail'!D237</f>
        <v>2730675.0985066346</v>
      </c>
      <c r="D73" s="614"/>
      <c r="E73" s="576">
        <f>C73</f>
        <v>2730675.0985066346</v>
      </c>
    </row>
    <row r="74" spans="1:8" x14ac:dyDescent="0.25">
      <c r="A74" s="116" t="s">
        <v>255</v>
      </c>
      <c r="B74" s="43"/>
      <c r="C74" s="577">
        <f>'CLINs - Detail'!D242</f>
        <v>656768.14604603872</v>
      </c>
      <c r="D74" s="614"/>
      <c r="E74" s="576">
        <f>C74</f>
        <v>656768.14604603872</v>
      </c>
    </row>
    <row r="75" spans="1:8" x14ac:dyDescent="0.25">
      <c r="A75" s="609" t="s">
        <v>266</v>
      </c>
      <c r="B75" s="612">
        <f>B72</f>
        <v>145757.69018246947</v>
      </c>
      <c r="C75" s="611">
        <f>SUM(C72:C74)</f>
        <v>3387443.2445526733</v>
      </c>
      <c r="D75" s="611">
        <f>D72</f>
        <v>0</v>
      </c>
      <c r="E75" s="611">
        <f>SUM(E72:E74)</f>
        <v>3387443.2445526733</v>
      </c>
    </row>
    <row r="76" spans="1:8" x14ac:dyDescent="0.25">
      <c r="A76" s="116" t="s">
        <v>256</v>
      </c>
      <c r="B76" s="575">
        <f>SUM('CLINs - Detail'!C215:C219)+SUM('CLINs - Detail'!C229:C233)</f>
        <v>70443.466844634968</v>
      </c>
      <c r="C76" s="576">
        <f>SUM('CLINs - Detail'!D215:D219)+SUM('CLINs - Detail'!D229:D233)</f>
        <v>0</v>
      </c>
      <c r="D76" s="576">
        <f>SUM('CLINs - Detail'!E215:E219)+SUM('CLINs - Detail'!E229:E233)</f>
        <v>0</v>
      </c>
      <c r="E76" s="576">
        <f>C76+D76</f>
        <v>0</v>
      </c>
    </row>
    <row r="77" spans="1:8" x14ac:dyDescent="0.25">
      <c r="A77" s="116" t="s">
        <v>257</v>
      </c>
      <c r="B77" s="43"/>
      <c r="C77" s="577">
        <f>'CLINs - Detail'!D238</f>
        <v>3619851.5732564274</v>
      </c>
      <c r="D77" s="614"/>
      <c r="E77" s="576">
        <f>C77</f>
        <v>3619851.5732564274</v>
      </c>
    </row>
    <row r="78" spans="1:8" x14ac:dyDescent="0.25">
      <c r="A78" s="582" t="s">
        <v>258</v>
      </c>
      <c r="B78" s="43"/>
      <c r="C78" s="577">
        <f>'CLINs - Detail'!D243</f>
        <v>870628.36879774788</v>
      </c>
      <c r="D78" s="614"/>
      <c r="E78" s="576">
        <f>C78</f>
        <v>870628.36879774788</v>
      </c>
    </row>
    <row r="79" spans="1:8" x14ac:dyDescent="0.25">
      <c r="A79" s="613" t="s">
        <v>267</v>
      </c>
      <c r="B79" s="612">
        <f>B76</f>
        <v>70443.466844634968</v>
      </c>
      <c r="C79" s="611">
        <f>SUM(C76:C78)</f>
        <v>4490479.9420541748</v>
      </c>
      <c r="D79" s="611">
        <f>D76</f>
        <v>0</v>
      </c>
      <c r="E79" s="611">
        <f>SUM(E76:E78)</f>
        <v>4490479.9420541748</v>
      </c>
    </row>
    <row r="80" spans="1:8" x14ac:dyDescent="0.25">
      <c r="A80" s="583" t="s">
        <v>175</v>
      </c>
      <c r="B80" s="584">
        <f>B67+B71+B75+B79</f>
        <v>317277.97621839447</v>
      </c>
      <c r="C80" s="585">
        <f>C67+C71+C75+C79</f>
        <v>9834599.0907349102</v>
      </c>
      <c r="D80" s="585">
        <f t="shared" ref="D80" si="7">D67+D71+D75+D79</f>
        <v>0</v>
      </c>
      <c r="E80" s="585">
        <f t="shared" ref="E80" si="8">E67+E71+E75+E79</f>
        <v>9834599.0907349102</v>
      </c>
      <c r="G80" s="283">
        <f>'CLINs - Detail'!F245</f>
        <v>9834599.0907349102</v>
      </c>
      <c r="H80" s="283">
        <f>E80-G80</f>
        <v>0</v>
      </c>
    </row>
    <row r="81" spans="1:8" x14ac:dyDescent="0.25">
      <c r="A81" s="586" t="s">
        <v>118</v>
      </c>
      <c r="B81" s="587"/>
      <c r="C81" s="587"/>
      <c r="D81" s="587"/>
      <c r="E81" s="587"/>
    </row>
    <row r="82" spans="1:8" x14ac:dyDescent="0.25">
      <c r="A82" s="588" t="s">
        <v>241</v>
      </c>
      <c r="B82" s="589" t="s">
        <v>188</v>
      </c>
      <c r="C82" s="589" t="s">
        <v>99</v>
      </c>
      <c r="D82" s="589" t="s">
        <v>100</v>
      </c>
      <c r="E82" s="589" t="s">
        <v>118</v>
      </c>
    </row>
    <row r="83" spans="1:8" x14ac:dyDescent="0.25">
      <c r="A83" s="609" t="s">
        <v>42</v>
      </c>
      <c r="B83" s="610">
        <f>B3+B19+B35+B51+B67</f>
        <v>95573.49133013087</v>
      </c>
      <c r="C83" s="611">
        <f>C3+C19+C35+C51+C67</f>
        <v>0</v>
      </c>
      <c r="D83" s="611">
        <f t="shared" ref="D83:E83" si="9">D3+D19+D35+D51+D67</f>
        <v>0</v>
      </c>
      <c r="E83" s="611">
        <f t="shared" si="9"/>
        <v>0</v>
      </c>
    </row>
    <row r="84" spans="1:8" x14ac:dyDescent="0.25">
      <c r="A84" s="116" t="s">
        <v>250</v>
      </c>
      <c r="B84" s="575">
        <f t="shared" ref="B84:D96" si="10">B4+B20+B36+B52+B68</f>
        <v>409810.60462631931</v>
      </c>
      <c r="C84" s="576">
        <f t="shared" si="10"/>
        <v>0</v>
      </c>
      <c r="D84" s="576">
        <f t="shared" si="10"/>
        <v>0</v>
      </c>
      <c r="E84" s="576">
        <f t="shared" ref="E84" si="11">E4+E20+E36+E52+E68</f>
        <v>0</v>
      </c>
    </row>
    <row r="85" spans="1:8" x14ac:dyDescent="0.25">
      <c r="A85" s="116" t="s">
        <v>251</v>
      </c>
      <c r="B85" s="575">
        <f t="shared" si="10"/>
        <v>0</v>
      </c>
      <c r="C85" s="576">
        <f t="shared" si="10"/>
        <v>7886547.1411846876</v>
      </c>
      <c r="D85" s="614"/>
      <c r="E85" s="576">
        <f t="shared" ref="E85" si="12">E5+E21+E37+E53+E69</f>
        <v>7886547.1411846876</v>
      </c>
    </row>
    <row r="86" spans="1:8" x14ac:dyDescent="0.25">
      <c r="A86" s="116" t="s">
        <v>252</v>
      </c>
      <c r="B86" s="575">
        <f t="shared" si="10"/>
        <v>0</v>
      </c>
      <c r="C86" s="576">
        <f t="shared" si="10"/>
        <v>1896832.3794556221</v>
      </c>
      <c r="D86" s="614"/>
      <c r="E86" s="576">
        <f t="shared" ref="E86" si="13">E6+E22+E38+E54+E70</f>
        <v>1896832.3794556221</v>
      </c>
    </row>
    <row r="87" spans="1:8" x14ac:dyDescent="0.25">
      <c r="A87" s="609" t="s">
        <v>265</v>
      </c>
      <c r="B87" s="610">
        <f>B7+B23+B39+B55+B71</f>
        <v>409810.60462631931</v>
      </c>
      <c r="C87" s="611">
        <f>C7+C23+C39+C55+C71</f>
        <v>9783379.5206403099</v>
      </c>
      <c r="D87" s="611">
        <f t="shared" ref="D87:E87" si="14">D7+D23+D39+D55+D71</f>
        <v>0</v>
      </c>
      <c r="E87" s="611">
        <f t="shared" si="14"/>
        <v>9783379.5206403099</v>
      </c>
    </row>
    <row r="88" spans="1:8" x14ac:dyDescent="0.25">
      <c r="A88" s="582" t="s">
        <v>253</v>
      </c>
      <c r="B88" s="575">
        <f t="shared" ref="B88:E88" si="15">B8+B24+B40+B56+B72</f>
        <v>728788.4509123473</v>
      </c>
      <c r="C88" s="576">
        <f t="shared" si="15"/>
        <v>0</v>
      </c>
      <c r="D88" s="576">
        <f t="shared" si="15"/>
        <v>0</v>
      </c>
      <c r="E88" s="576">
        <f t="shared" si="15"/>
        <v>0</v>
      </c>
    </row>
    <row r="89" spans="1:8" x14ac:dyDescent="0.25">
      <c r="A89" s="582" t="s">
        <v>254</v>
      </c>
      <c r="B89" s="43">
        <f t="shared" si="10"/>
        <v>0</v>
      </c>
      <c r="C89" s="576">
        <f t="shared" si="10"/>
        <v>13653375.492533173</v>
      </c>
      <c r="D89" s="614"/>
      <c r="E89" s="576">
        <f t="shared" ref="E89" si="16">E9+E25+E41+E57+E73</f>
        <v>13653375.492533173</v>
      </c>
    </row>
    <row r="90" spans="1:8" x14ac:dyDescent="0.25">
      <c r="A90" s="116" t="s">
        <v>255</v>
      </c>
      <c r="B90" s="43">
        <f t="shared" si="10"/>
        <v>0</v>
      </c>
      <c r="C90" s="576">
        <f t="shared" si="10"/>
        <v>3283840.7302301936</v>
      </c>
      <c r="D90" s="614"/>
      <c r="E90" s="576">
        <f t="shared" ref="E90" si="17">E10+E26+E42+E58+E74</f>
        <v>3283840.7302301936</v>
      </c>
    </row>
    <row r="91" spans="1:8" x14ac:dyDescent="0.25">
      <c r="A91" s="609" t="s">
        <v>266</v>
      </c>
      <c r="B91" s="612">
        <f>B11+B27+B43+B59+B75</f>
        <v>728788.4509123473</v>
      </c>
      <c r="C91" s="611">
        <f>C11+C27+C43+C59+C75</f>
        <v>16937216.222763367</v>
      </c>
      <c r="D91" s="611">
        <f t="shared" ref="D91:E91" si="18">D11+D27+D43+D59+D75</f>
        <v>0</v>
      </c>
      <c r="E91" s="611">
        <f t="shared" si="18"/>
        <v>16937216.222763367</v>
      </c>
    </row>
    <row r="92" spans="1:8" x14ac:dyDescent="0.25">
      <c r="A92" s="116" t="s">
        <v>256</v>
      </c>
      <c r="B92" s="575">
        <f t="shared" ref="B92:E92" si="19">B12+B28+B44+B60+B76</f>
        <v>352217.33422317484</v>
      </c>
      <c r="C92" s="576">
        <f t="shared" si="19"/>
        <v>0</v>
      </c>
      <c r="D92" s="576">
        <f t="shared" si="19"/>
        <v>0</v>
      </c>
      <c r="E92" s="576">
        <f t="shared" si="19"/>
        <v>0</v>
      </c>
    </row>
    <row r="93" spans="1:8" x14ac:dyDescent="0.25">
      <c r="A93" s="116" t="s">
        <v>257</v>
      </c>
      <c r="B93" s="43">
        <f t="shared" si="10"/>
        <v>0</v>
      </c>
      <c r="C93" s="576">
        <f t="shared" si="10"/>
        <v>18099257.866282135</v>
      </c>
      <c r="D93" s="614"/>
      <c r="E93" s="576">
        <f t="shared" ref="E93" si="20">E13+E29+E45+E61+E77</f>
        <v>18099257.866282135</v>
      </c>
    </row>
    <row r="94" spans="1:8" x14ac:dyDescent="0.25">
      <c r="A94" s="582" t="s">
        <v>258</v>
      </c>
      <c r="B94" s="43">
        <f t="shared" si="10"/>
        <v>0</v>
      </c>
      <c r="C94" s="576">
        <f t="shared" si="10"/>
        <v>4353141.843988739</v>
      </c>
      <c r="D94" s="614"/>
      <c r="E94" s="576">
        <f t="shared" ref="E94" si="21">E14+E30+E46+E62+E78</f>
        <v>4353141.843988739</v>
      </c>
    </row>
    <row r="95" spans="1:8" x14ac:dyDescent="0.25">
      <c r="A95" s="613" t="s">
        <v>267</v>
      </c>
      <c r="B95" s="612">
        <f t="shared" si="10"/>
        <v>352217.33422317484</v>
      </c>
      <c r="C95" s="611">
        <f t="shared" si="10"/>
        <v>22452399.710270874</v>
      </c>
      <c r="D95" s="611">
        <f t="shared" ref="D95" si="22">SUM(D92:D94)</f>
        <v>0</v>
      </c>
      <c r="E95" s="611">
        <f t="shared" ref="E95" si="23">E15+E31+E47+E63+E79</f>
        <v>22452399.710270874</v>
      </c>
    </row>
    <row r="96" spans="1:8" x14ac:dyDescent="0.25">
      <c r="A96" s="590" t="s">
        <v>163</v>
      </c>
      <c r="B96" s="591">
        <f t="shared" si="10"/>
        <v>1586389.8810919723</v>
      </c>
      <c r="C96" s="592">
        <f t="shared" si="10"/>
        <v>49172995.453674555</v>
      </c>
      <c r="D96" s="592">
        <f>D93</f>
        <v>0</v>
      </c>
      <c r="E96" s="592">
        <f t="shared" ref="E96" si="24">E16+E32+E48+E64+E80</f>
        <v>49172995.453674555</v>
      </c>
      <c r="G96" s="283">
        <f>'CLINs - Detail'!F294</f>
        <v>49172995.453674555</v>
      </c>
      <c r="H96" s="283">
        <f>E96-G96</f>
        <v>0</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A1:J294"/>
  <sheetViews>
    <sheetView topLeftCell="A261" zoomScaleNormal="100" workbookViewId="0">
      <selection activeCell="I282" sqref="I282"/>
    </sheetView>
  </sheetViews>
  <sheetFormatPr defaultColWidth="9.140625" defaultRowHeight="15" x14ac:dyDescent="0.25"/>
  <cols>
    <col min="1" max="1" width="10.85546875" style="9" customWidth="1"/>
    <col min="2" max="2" width="62.140625" style="9" bestFit="1" customWidth="1"/>
    <col min="3" max="3" width="13.7109375" style="9" customWidth="1"/>
    <col min="4" max="6" width="26.28515625" style="9" customWidth="1"/>
    <col min="7" max="7" width="6.140625" style="458" bestFit="1" customWidth="1"/>
    <col min="8" max="8" width="20.7109375" style="9" customWidth="1"/>
    <col min="9" max="9" width="22.5703125" style="9" customWidth="1"/>
    <col min="10" max="16384" width="9.140625" style="9"/>
  </cols>
  <sheetData>
    <row r="1" spans="1:10" x14ac:dyDescent="0.25">
      <c r="A1" s="595" t="s">
        <v>48</v>
      </c>
      <c r="B1" s="596"/>
      <c r="C1" s="597"/>
      <c r="D1" s="597"/>
      <c r="E1" s="597"/>
      <c r="F1" s="597"/>
      <c r="G1" s="456"/>
      <c r="H1"/>
    </row>
    <row r="2" spans="1:10" x14ac:dyDescent="0.25">
      <c r="A2" s="281" t="s">
        <v>162</v>
      </c>
      <c r="B2" s="281" t="s">
        <v>161</v>
      </c>
      <c r="C2" s="282" t="s">
        <v>188</v>
      </c>
      <c r="D2" s="282" t="s">
        <v>99</v>
      </c>
      <c r="E2" s="282" t="s">
        <v>100</v>
      </c>
      <c r="F2" s="282" t="s">
        <v>118</v>
      </c>
      <c r="G2" s="456"/>
      <c r="H2"/>
    </row>
    <row r="3" spans="1:10" s="15" customFormat="1" x14ac:dyDescent="0.25">
      <c r="A3" s="370"/>
      <c r="B3" s="294" t="s">
        <v>217</v>
      </c>
      <c r="C3" s="295"/>
      <c r="D3" s="295"/>
      <c r="E3" s="295"/>
      <c r="F3" s="296"/>
      <c r="G3" s="457"/>
      <c r="H3" s="172"/>
    </row>
    <row r="4" spans="1:10" s="15" customFormat="1" x14ac:dyDescent="0.25">
      <c r="A4" s="234" t="s">
        <v>259</v>
      </c>
      <c r="B4" s="491"/>
      <c r="C4" s="593"/>
      <c r="D4" s="593"/>
      <c r="E4" s="593"/>
      <c r="F4" s="594"/>
      <c r="G4" s="457"/>
      <c r="H4" s="172"/>
    </row>
    <row r="5" spans="1:10" s="15" customFormat="1" x14ac:dyDescent="0.25">
      <c r="A5" s="333"/>
      <c r="B5" s="172" t="s">
        <v>42</v>
      </c>
      <c r="C5" s="285">
        <f>'Ordering Period 1'!F5</f>
        <v>19114.698266026175</v>
      </c>
      <c r="D5" s="286">
        <f>'Ordering Period 1'!W5+'Ordering Period 1'!AJ5</f>
        <v>0</v>
      </c>
      <c r="E5" s="286">
        <f>'Ordering Period 1'!X5+'Ordering Period 1'!AK5</f>
        <v>0</v>
      </c>
      <c r="F5" s="286">
        <f>D5+E5</f>
        <v>0</v>
      </c>
      <c r="G5" s="457"/>
      <c r="H5" s="172"/>
    </row>
    <row r="6" spans="1:10" x14ac:dyDescent="0.25">
      <c r="A6" s="234" t="s">
        <v>211</v>
      </c>
      <c r="C6" s="285"/>
      <c r="D6" s="286"/>
      <c r="E6" s="286"/>
    </row>
    <row r="7" spans="1:10" x14ac:dyDescent="0.25">
      <c r="A7" s="333"/>
      <c r="B7" s="172" t="s">
        <v>43</v>
      </c>
      <c r="C7" s="285">
        <f>'Ordering Period 1'!$F$6*G7</f>
        <v>2143.2069039054986</v>
      </c>
      <c r="D7" s="286">
        <f>('Ordering Period 1'!$W$6+'Ordering Period 1'!$AJ$6)*G7</f>
        <v>0</v>
      </c>
      <c r="E7" s="286">
        <f>('Ordering Period 1'!$X$6+'Ordering Period 1'!$AK$6)*G7</f>
        <v>0</v>
      </c>
      <c r="F7" s="286">
        <f t="shared" ref="F7:F23" si="0">D7+E7</f>
        <v>0</v>
      </c>
      <c r="G7" s="459">
        <v>5.4455003902690105E-2</v>
      </c>
      <c r="H7" s="459"/>
      <c r="I7" s="459"/>
      <c r="J7" s="49"/>
    </row>
    <row r="8" spans="1:10" x14ac:dyDescent="0.25">
      <c r="A8" s="373"/>
      <c r="B8" s="15" t="s">
        <v>205</v>
      </c>
      <c r="C8" s="48">
        <f>SUM('Ordering Period 1'!$F$8:$F$12)*G8</f>
        <v>49017.31063192484</v>
      </c>
      <c r="D8" s="286">
        <f>(SUM('Ordering Period 1'!$W$8:$W$12)+SUM('Ordering Period 1'!$AJ$8:$AJ$12))*G8</f>
        <v>0</v>
      </c>
      <c r="E8" s="286">
        <f>(SUM('Ordering Period 1'!$X$8:$X$12)+SUM('Ordering Period 1'!$AK$8:$AK$12))*G8</f>
        <v>0</v>
      </c>
      <c r="F8" s="286">
        <f t="shared" si="0"/>
        <v>0</v>
      </c>
      <c r="G8" s="459">
        <v>0.4398368968039556</v>
      </c>
      <c r="H8" s="459"/>
      <c r="I8" s="459"/>
      <c r="J8" s="49"/>
    </row>
    <row r="9" spans="1:10" x14ac:dyDescent="0.25">
      <c r="A9" s="333"/>
      <c r="B9" s="172" t="s">
        <v>212</v>
      </c>
      <c r="C9" s="285">
        <f>'Ordering Period 1'!$F$13*G9</f>
        <v>3914.752130559275</v>
      </c>
      <c r="D9" s="286">
        <f>('Ordering Period 1'!$W$13+'Ordering Period 1'!$AJ$13)*G9</f>
        <v>0</v>
      </c>
      <c r="E9" s="286">
        <f>('Ordering Period 1'!$X$13+'Ordering Period 1'!$AK$13)*G9</f>
        <v>0</v>
      </c>
      <c r="F9" s="286">
        <f t="shared" si="0"/>
        <v>0</v>
      </c>
      <c r="G9" s="459">
        <v>8.2893482777239208E-2</v>
      </c>
      <c r="H9" s="459"/>
      <c r="I9" s="459"/>
      <c r="J9" s="49"/>
    </row>
    <row r="10" spans="1:10" x14ac:dyDescent="0.25">
      <c r="A10" s="333"/>
      <c r="B10" s="307" t="s">
        <v>213</v>
      </c>
      <c r="C10" s="48">
        <f>SUM('Ordering Period 1'!$F$14:$F$17)*G10</f>
        <v>9624.5668972408585</v>
      </c>
      <c r="D10" s="286">
        <f>(SUM('Ordering Period 1'!$W$14:$W$17)+SUM('Ordering Period 1'!$AJ$14:$AJ$17))*G10</f>
        <v>0</v>
      </c>
      <c r="E10" s="286">
        <f>(SUM('Ordering Period 1'!$X$14:$X$17)+SUM('Ordering Period 1'!$AK$14:$AK$17))*G10</f>
        <v>0</v>
      </c>
      <c r="F10" s="286">
        <f t="shared" si="0"/>
        <v>0</v>
      </c>
      <c r="G10" s="459">
        <v>0.37134398879263891</v>
      </c>
      <c r="H10" s="459"/>
      <c r="I10" s="459"/>
      <c r="J10" s="49"/>
    </row>
    <row r="11" spans="1:10" x14ac:dyDescent="0.25">
      <c r="A11" s="333"/>
      <c r="B11" s="455" t="s">
        <v>216</v>
      </c>
      <c r="C11" s="285">
        <f>SUM('Ordering Period 1'!$F$18:$F$21)*G11</f>
        <v>11399.669608753975</v>
      </c>
      <c r="D11" s="286">
        <f>(SUM('Ordering Period 1'!$W$18:$W$21)+SUM('Ordering Period 1'!$AJ$18:$AJ$21))*G11</f>
        <v>0</v>
      </c>
      <c r="E11" s="286">
        <f>(SUM('Ordering Period 1'!$X$18:$X$21)+SUM('Ordering Period 1'!$AK$18:$AK$21))*G11</f>
        <v>0</v>
      </c>
      <c r="F11" s="286">
        <f t="shared" si="0"/>
        <v>0</v>
      </c>
      <c r="G11" s="459">
        <v>0.31400245267420601</v>
      </c>
      <c r="H11" s="459"/>
      <c r="I11" s="459"/>
      <c r="J11" s="49"/>
    </row>
    <row r="12" spans="1:10" x14ac:dyDescent="0.25">
      <c r="A12" s="491" t="s">
        <v>214</v>
      </c>
      <c r="B12" s="172"/>
      <c r="C12" s="285"/>
      <c r="D12" s="286"/>
      <c r="E12" s="286"/>
      <c r="F12" s="286"/>
      <c r="G12" s="460"/>
      <c r="H12"/>
      <c r="J12" s="49"/>
    </row>
    <row r="13" spans="1:10" x14ac:dyDescent="0.25">
      <c r="A13" s="333"/>
      <c r="B13" s="172" t="s">
        <v>43</v>
      </c>
      <c r="C13" s="285">
        <f>'Ordering Period 1'!$F$6*G13</f>
        <v>30507.897176409075</v>
      </c>
      <c r="D13" s="286">
        <f>('Ordering Period 1'!$W$6+'Ordering Period 1'!$AJ$6)*G13</f>
        <v>0</v>
      </c>
      <c r="E13" s="286">
        <f>('Ordering Period 1'!$X$6+'Ordering Period 1'!$AK$6)*G13</f>
        <v>0</v>
      </c>
      <c r="F13" s="286">
        <f t="shared" si="0"/>
        <v>0</v>
      </c>
      <c r="G13" s="459">
        <v>0.77515038644979906</v>
      </c>
      <c r="H13"/>
      <c r="J13" s="49"/>
    </row>
    <row r="14" spans="1:10" x14ac:dyDescent="0.25">
      <c r="A14" s="373"/>
      <c r="B14" s="15" t="s">
        <v>205</v>
      </c>
      <c r="C14" s="48">
        <f>SUM('Ordering Period 1'!$F$8:$F$12)*G14</f>
        <v>56697.745338110632</v>
      </c>
      <c r="D14" s="286">
        <f>(SUM('Ordering Period 1'!$W$8:$W$12)+SUM('Ordering Period 1'!$AJ$8:$AJ$12))*G14</f>
        <v>0</v>
      </c>
      <c r="E14" s="286">
        <f>(SUM('Ordering Period 1'!$X$8:$X$12)+SUM('Ordering Period 1'!$AK$8:$AK$12))*G14</f>
        <v>0</v>
      </c>
      <c r="F14" s="286">
        <f t="shared" si="0"/>
        <v>0</v>
      </c>
      <c r="G14" s="459">
        <v>0.50875415325323103</v>
      </c>
      <c r="H14"/>
      <c r="J14" s="49"/>
    </row>
    <row r="15" spans="1:10" x14ac:dyDescent="0.25">
      <c r="A15" s="333"/>
      <c r="B15" s="172" t="s">
        <v>212</v>
      </c>
      <c r="C15" s="285">
        <f>'Ordering Period 1'!$F$13*G15</f>
        <v>20879.144133985385</v>
      </c>
      <c r="D15" s="286">
        <f>('Ordering Period 1'!$W$13+'Ordering Period 1'!$AJ$13)*G15</f>
        <v>0</v>
      </c>
      <c r="E15" s="286">
        <f>('Ordering Period 1'!$X$13+'Ordering Period 1'!$AK$13)*G15</f>
        <v>0</v>
      </c>
      <c r="F15" s="286">
        <f t="shared" si="0"/>
        <v>0</v>
      </c>
      <c r="G15" s="459">
        <v>0.44210844440532998</v>
      </c>
      <c r="H15"/>
      <c r="J15" s="49"/>
    </row>
    <row r="16" spans="1:10" x14ac:dyDescent="0.25">
      <c r="A16" s="333"/>
      <c r="B16" s="307" t="s">
        <v>213</v>
      </c>
      <c r="C16" s="48">
        <f>SUM('Ordering Period 1'!$F$14:$F$17)*G16</f>
        <v>11394.388963961475</v>
      </c>
      <c r="D16" s="286">
        <f>(SUM('Ordering Period 1'!$W$14:$W$17)+SUM('Ordering Period 1'!$AJ$14:$AJ$17))*G16</f>
        <v>0</v>
      </c>
      <c r="E16" s="286">
        <f>(SUM('Ordering Period 1'!$X$14:$X$17)+SUM('Ordering Period 1'!$AK$14:$AK$17))*G16</f>
        <v>0</v>
      </c>
      <c r="F16" s="286">
        <f t="shared" si="0"/>
        <v>0</v>
      </c>
      <c r="G16" s="459">
        <v>0.43962890932217186</v>
      </c>
      <c r="H16"/>
      <c r="J16" s="49"/>
    </row>
    <row r="17" spans="1:10" s="118" customFormat="1" x14ac:dyDescent="0.25">
      <c r="A17" s="333"/>
      <c r="B17" s="455" t="s">
        <v>216</v>
      </c>
      <c r="C17" s="285">
        <f>SUM('Ordering Period 1'!$F$18:$F$21)*G17</f>
        <v>14103.622604866579</v>
      </c>
      <c r="D17" s="284">
        <f>(SUM('Ordering Period 1'!$W$18:$W$21)+SUM('Ordering Period 1'!$AJ$18:$AJ$21))*G17</f>
        <v>0</v>
      </c>
      <c r="E17" s="284">
        <f>(SUM('Ordering Period 1'!$X$18:$X$21)+SUM('Ordering Period 1'!$AK$18:$AK$21))*G17</f>
        <v>0</v>
      </c>
      <c r="F17" s="286">
        <f t="shared" si="0"/>
        <v>0</v>
      </c>
      <c r="G17" s="459">
        <v>0.38848249480131553</v>
      </c>
      <c r="J17" s="49"/>
    </row>
    <row r="18" spans="1:10" s="118" customFormat="1" x14ac:dyDescent="0.25">
      <c r="A18" s="491" t="s">
        <v>215</v>
      </c>
      <c r="B18" s="172"/>
      <c r="C18" s="48"/>
      <c r="D18" s="284"/>
      <c r="E18" s="284"/>
      <c r="F18" s="286"/>
      <c r="G18" s="461"/>
      <c r="J18" s="49"/>
    </row>
    <row r="19" spans="1:10" s="118" customFormat="1" x14ac:dyDescent="0.25">
      <c r="A19" s="333"/>
      <c r="B19" s="172" t="s">
        <v>43</v>
      </c>
      <c r="C19" s="285">
        <f>'Ordering Period 1'!$F$6*G19</f>
        <v>6706.2873494126652</v>
      </c>
      <c r="D19" s="284">
        <f>('Ordering Period 1'!$W$6+'Ordering Period 1'!$AJ$6)*G19</f>
        <v>0</v>
      </c>
      <c r="E19" s="284">
        <f>('Ordering Period 1'!$X$6+'Ordering Period 1'!$AK$6)*G19</f>
        <v>0</v>
      </c>
      <c r="F19" s="286">
        <f t="shared" si="0"/>
        <v>0</v>
      </c>
      <c r="G19" s="459">
        <v>0.17039460964751096</v>
      </c>
      <c r="J19" s="49"/>
    </row>
    <row r="20" spans="1:10" s="118" customFormat="1" x14ac:dyDescent="0.25">
      <c r="A20" s="333"/>
      <c r="B20" s="15" t="s">
        <v>205</v>
      </c>
      <c r="C20" s="48">
        <f>SUM('Ordering Period 1'!$F$8:$F$12)*G20</f>
        <v>5729.2339203892307</v>
      </c>
      <c r="D20" s="284">
        <f>(SUM('Ordering Period 1'!$W$8:$W$12)+SUM('Ordering Period 1'!$AJ$8:$AJ$12))*G20</f>
        <v>0</v>
      </c>
      <c r="E20" s="284">
        <f>(SUM('Ordering Period 1'!$X$8:$X$12)+SUM('Ordering Period 1'!$AK$8:$AK$12))*G20</f>
        <v>0</v>
      </c>
      <c r="F20" s="286">
        <f t="shared" si="0"/>
        <v>0</v>
      </c>
      <c r="G20" s="459">
        <v>5.140894994281342E-2</v>
      </c>
      <c r="J20" s="49"/>
    </row>
    <row r="21" spans="1:10" s="118" customFormat="1" x14ac:dyDescent="0.25">
      <c r="A21" s="333"/>
      <c r="B21" s="172" t="s">
        <v>212</v>
      </c>
      <c r="C21" s="285">
        <f>'Ordering Period 1'!$F$13*G21</f>
        <v>22432.399451361529</v>
      </c>
      <c r="D21" s="284">
        <f>('Ordering Period 1'!$W$13+'Ordering Period 1'!$AJ$13)*G21</f>
        <v>0</v>
      </c>
      <c r="E21" s="284">
        <f>('Ordering Period 1'!$X$13+'Ordering Period 1'!$AK$13)*G21</f>
        <v>0</v>
      </c>
      <c r="F21" s="286">
        <f t="shared" si="0"/>
        <v>0</v>
      </c>
      <c r="G21" s="459">
        <v>0.47499807281743089</v>
      </c>
      <c r="J21" s="49"/>
    </row>
    <row r="22" spans="1:10" s="118" customFormat="1" x14ac:dyDescent="0.25">
      <c r="A22" s="333"/>
      <c r="B22" s="307" t="s">
        <v>213</v>
      </c>
      <c r="C22" s="48">
        <f>SUM('Ordering Period 1'!$F$14:$F$17)*G22</f>
        <v>4899.2417876500986</v>
      </c>
      <c r="D22" s="284">
        <f>(SUM('Ordering Period 1'!$W$14:$W$17)+SUM('Ordering Period 1'!$AJ$14:$AJ$17))*G22</f>
        <v>0</v>
      </c>
      <c r="E22" s="284">
        <f>(SUM('Ordering Period 1'!$X$14:$X$17)+SUM('Ordering Period 1'!$AK$14:$AK$17))*G22</f>
        <v>0</v>
      </c>
      <c r="F22" s="286">
        <f t="shared" si="0"/>
        <v>0</v>
      </c>
      <c r="G22" s="459">
        <v>0.18902710188518915</v>
      </c>
      <c r="J22" s="49"/>
    </row>
    <row r="23" spans="1:10" s="118" customFormat="1" x14ac:dyDescent="0.25">
      <c r="A23" s="333"/>
      <c r="B23" s="455" t="s">
        <v>216</v>
      </c>
      <c r="C23" s="285">
        <f>SUM('Ordering Period 1'!$F$18:$F$21)*G23</f>
        <v>10801.104493056542</v>
      </c>
      <c r="D23" s="284">
        <f>(SUM('Ordering Period 1'!$W$18:$W$21)+SUM('Ordering Period 1'!$AJ$18:$AJ$21))*G23</f>
        <v>0</v>
      </c>
      <c r="E23" s="284">
        <f>(SUM('Ordering Period 1'!$X$18:$X$21)+SUM('Ordering Period 1'!$AK$18:$AK$21))*G23</f>
        <v>0</v>
      </c>
      <c r="F23" s="286">
        <f t="shared" si="0"/>
        <v>0</v>
      </c>
      <c r="G23" s="459">
        <v>0.29751505252447857</v>
      </c>
      <c r="J23" s="49"/>
    </row>
    <row r="24" spans="1:10" s="118" customFormat="1" x14ac:dyDescent="0.25">
      <c r="A24" s="371"/>
      <c r="B24" s="298" t="s">
        <v>164</v>
      </c>
      <c r="C24" s="287">
        <f>SUM(C4:C23)</f>
        <v>279365.26965761383</v>
      </c>
      <c r="D24" s="288">
        <f>SUM(D4:D23)</f>
        <v>0</v>
      </c>
      <c r="E24" s="288">
        <f>SUM(E4:E23)</f>
        <v>0</v>
      </c>
      <c r="F24" s="289">
        <f>SUM(F4:F23)</f>
        <v>0</v>
      </c>
      <c r="G24" s="462"/>
    </row>
    <row r="25" spans="1:10" x14ac:dyDescent="0.25">
      <c r="A25" s="372"/>
      <c r="B25" s="297" t="s">
        <v>218</v>
      </c>
      <c r="C25" s="293"/>
      <c r="D25" s="293"/>
      <c r="E25" s="293"/>
      <c r="F25" s="293"/>
      <c r="G25" s="462"/>
    </row>
    <row r="26" spans="1:10" x14ac:dyDescent="0.25">
      <c r="A26" s="492" t="s">
        <v>211</v>
      </c>
      <c r="C26" s="48"/>
      <c r="D26" s="284"/>
      <c r="E26" s="284"/>
      <c r="F26" s="286"/>
      <c r="G26" s="462"/>
    </row>
    <row r="27" spans="1:10" x14ac:dyDescent="0.25">
      <c r="A27" s="373"/>
      <c r="B27" s="9" t="s">
        <v>43</v>
      </c>
      <c r="C27" s="48">
        <f>'Ordering Period 1'!$F$23*G27</f>
        <v>350.79529738630163</v>
      </c>
      <c r="D27" s="284">
        <f>('Ordering Period 1'!$W$23+'Ordering Period 1'!$AJ$23)*G27</f>
        <v>0</v>
      </c>
      <c r="E27" s="284">
        <f>('Ordering Period 1'!$X$23+'Ordering Period 1'!$AK$23)*G27</f>
        <v>0</v>
      </c>
      <c r="F27" s="286">
        <f>D27+E27</f>
        <v>0</v>
      </c>
      <c r="G27" s="459">
        <v>5.6784039588844884E-2</v>
      </c>
      <c r="H27" s="459"/>
      <c r="I27" s="459"/>
    </row>
    <row r="28" spans="1:10" x14ac:dyDescent="0.25">
      <c r="A28" s="373"/>
      <c r="B28" s="455" t="s">
        <v>216</v>
      </c>
      <c r="C28" s="48">
        <f>SUM('Ordering Period 1'!$F$35:$F$38)*G28</f>
        <v>5511.8194554931106</v>
      </c>
      <c r="D28" s="284">
        <f>(SUM('Ordering Period 1'!$W$35:$W$38)+SUM('Ordering Period 1'!$AJ$35:$AJ$38))*G28</f>
        <v>0</v>
      </c>
      <c r="E28" s="284">
        <f>(SUM('Ordering Period 1'!$X$35:$X$38)+SUM('Ordering Period 1'!$AK$35:$AK$38))*G28</f>
        <v>0</v>
      </c>
      <c r="F28" s="286">
        <f t="shared" ref="F28:F37" si="1">D28+E28</f>
        <v>0</v>
      </c>
      <c r="G28" s="459">
        <v>0.35580099510649138</v>
      </c>
      <c r="H28" s="459"/>
      <c r="I28" s="459"/>
    </row>
    <row r="29" spans="1:10" x14ac:dyDescent="0.25">
      <c r="A29" s="492" t="s">
        <v>214</v>
      </c>
      <c r="C29" s="48"/>
      <c r="D29" s="284"/>
      <c r="E29" s="284"/>
      <c r="F29" s="286"/>
      <c r="G29" s="461"/>
    </row>
    <row r="30" spans="1:10" x14ac:dyDescent="0.25">
      <c r="A30" s="373"/>
      <c r="B30" s="9" t="s">
        <v>43</v>
      </c>
      <c r="C30" s="48">
        <f>'Ordering Period 1'!$F$23*G30</f>
        <v>5356.7902939192654</v>
      </c>
      <c r="D30" s="284">
        <f>('Ordering Period 1'!$W$23+'Ordering Period 1'!$AJ$23)*G30</f>
        <v>0</v>
      </c>
      <c r="E30" s="284">
        <f>('Ordering Period 1'!$X$23+'Ordering Period 1'!$AK$23)*G30</f>
        <v>0</v>
      </c>
      <c r="F30" s="286">
        <f t="shared" si="1"/>
        <v>0</v>
      </c>
      <c r="G30" s="459">
        <v>0.8671159345220163</v>
      </c>
    </row>
    <row r="31" spans="1:10" x14ac:dyDescent="0.25">
      <c r="A31" s="373"/>
      <c r="B31" s="455" t="s">
        <v>216</v>
      </c>
      <c r="C31" s="48">
        <f>SUM('Ordering Period 1'!$F$35:$F$38)*G31</f>
        <v>6818.1016712170331</v>
      </c>
      <c r="D31" s="284">
        <f>(SUM('Ordering Period 1'!$W$35:$W$38)+SUM('Ordering Period 1'!$AJ$35:$AJ$38))*G31</f>
        <v>0</v>
      </c>
      <c r="E31" s="284">
        <f>(SUM('Ordering Period 1'!$X$35:$X$38)+SUM('Ordering Period 1'!$AK$35:$AK$38))*G31</f>
        <v>0</v>
      </c>
      <c r="F31" s="286">
        <f t="shared" si="1"/>
        <v>0</v>
      </c>
      <c r="G31" s="459">
        <v>0.44012460475979476</v>
      </c>
    </row>
    <row r="32" spans="1:10" x14ac:dyDescent="0.25">
      <c r="A32" s="492" t="s">
        <v>215</v>
      </c>
      <c r="C32" s="48"/>
      <c r="D32" s="284"/>
      <c r="E32" s="284"/>
      <c r="F32" s="286"/>
      <c r="G32" s="461"/>
    </row>
    <row r="33" spans="1:7" x14ac:dyDescent="0.25">
      <c r="A33" s="373"/>
      <c r="B33" s="9" t="s">
        <v>43</v>
      </c>
      <c r="C33" s="48">
        <f>'Ordering Period 1'!$F$23*G33</f>
        <v>470.12384828870182</v>
      </c>
      <c r="D33" s="284">
        <f>('Ordering Period 1'!$W$23+'Ordering Period 1'!$AJ$23)*G33</f>
        <v>0</v>
      </c>
      <c r="E33" s="284">
        <f>('Ordering Period 1'!$X$23+'Ordering Period 1'!$AK$23)*G33</f>
        <v>0</v>
      </c>
      <c r="F33" s="286">
        <f t="shared" si="1"/>
        <v>0</v>
      </c>
      <c r="G33" s="459">
        <v>7.6100025889138945E-2</v>
      </c>
    </row>
    <row r="34" spans="1:7" x14ac:dyDescent="0.25">
      <c r="A34" s="373"/>
      <c r="B34" s="172" t="s">
        <v>205</v>
      </c>
      <c r="C34" s="48">
        <f>SUM('Ordering Period 1'!F25:F29)</f>
        <v>6804.5993827264738</v>
      </c>
      <c r="D34" s="284">
        <f>(SUM('Ordering Period 1'!$W$25:$W$29)+SUM('Ordering Period 1'!$AJ$25:$AJ$29))</f>
        <v>0</v>
      </c>
      <c r="E34" s="284">
        <f>(SUM('Ordering Period 1'!$X$25:$X$29)+SUM('Ordering Period 1'!$AK$25:$AK$29))</f>
        <v>0</v>
      </c>
      <c r="F34" s="286">
        <f t="shared" si="1"/>
        <v>0</v>
      </c>
      <c r="G34" s="459">
        <v>1</v>
      </c>
    </row>
    <row r="35" spans="1:7" x14ac:dyDescent="0.25">
      <c r="A35" s="373"/>
      <c r="B35" s="172" t="s">
        <v>212</v>
      </c>
      <c r="C35" s="48">
        <f>'Ordering Period 1'!$F$30</f>
        <v>3764.1996585337838</v>
      </c>
      <c r="D35" s="284">
        <f>('Ordering Period 1'!$W$30+'Ordering Period 1'!$AJ$30)</f>
        <v>0</v>
      </c>
      <c r="E35" s="284">
        <f>('Ordering Period 1'!$X$30+'Ordering Period 1'!$AK$30)</f>
        <v>0</v>
      </c>
      <c r="F35" s="286">
        <f t="shared" si="1"/>
        <v>0</v>
      </c>
      <c r="G35" s="459">
        <v>1</v>
      </c>
    </row>
    <row r="36" spans="1:7" x14ac:dyDescent="0.25">
      <c r="A36" s="373"/>
      <c r="B36" s="9" t="s">
        <v>213</v>
      </c>
      <c r="C36" s="48">
        <f>SUM('Ordering Period 1'!$F$31:$F$34)</f>
        <v>5674.8994852062524</v>
      </c>
      <c r="D36" s="284">
        <f>(SUM('Ordering Period 1'!$W$31:$W$34)+SUM('Ordering Period 1'!$AJ$31:$AJ$34))</f>
        <v>0</v>
      </c>
      <c r="E36" s="284">
        <f>(SUM('Ordering Period 1'!$X$31:$X$34)+SUM('Ordering Period 1'!$AK$31:$AK$34))</f>
        <v>0</v>
      </c>
      <c r="F36" s="286">
        <f t="shared" si="1"/>
        <v>0</v>
      </c>
      <c r="G36" s="459">
        <v>1</v>
      </c>
    </row>
    <row r="37" spans="1:7" x14ac:dyDescent="0.25">
      <c r="A37" s="373"/>
      <c r="B37" s="455" t="s">
        <v>216</v>
      </c>
      <c r="C37" s="48">
        <f>SUM('Ordering Period 1'!$F$35:$F$38)*G37</f>
        <v>3161.3774680096958</v>
      </c>
      <c r="D37" s="284">
        <f>(SUM('Ordering Period 1'!$W$35:$W$38)+SUM('Ordering Period 1'!$AJ$35:$AJ$38))*G37</f>
        <v>0</v>
      </c>
      <c r="E37" s="284">
        <f>(SUM('Ordering Period 1'!$X$35:$X$38)+SUM('Ordering Period 1'!$AK$35:$AK$38))*G37</f>
        <v>0</v>
      </c>
      <c r="F37" s="286">
        <f t="shared" si="1"/>
        <v>0</v>
      </c>
      <c r="G37" s="459">
        <v>0.20407440013371386</v>
      </c>
    </row>
    <row r="38" spans="1:7" s="234" customFormat="1" x14ac:dyDescent="0.25">
      <c r="A38" s="374"/>
      <c r="B38" s="299" t="s">
        <v>165</v>
      </c>
      <c r="C38" s="287">
        <f>SUM(C26:C37)</f>
        <v>37912.706560780622</v>
      </c>
      <c r="D38" s="289">
        <f>SUM(D26:D37)</f>
        <v>0</v>
      </c>
      <c r="E38" s="289">
        <f>SUM(E26:E37)</f>
        <v>0</v>
      </c>
      <c r="F38" s="289">
        <f>SUM(F26:F37)</f>
        <v>0</v>
      </c>
      <c r="G38" s="463"/>
    </row>
    <row r="39" spans="1:7" x14ac:dyDescent="0.25">
      <c r="A39" s="372"/>
      <c r="B39" s="297" t="s">
        <v>260</v>
      </c>
      <c r="C39" s="293"/>
      <c r="D39" s="293"/>
      <c r="E39" s="293"/>
      <c r="F39" s="293"/>
    </row>
    <row r="40" spans="1:7" s="117" customFormat="1" x14ac:dyDescent="0.25">
      <c r="A40" s="374" t="s">
        <v>211</v>
      </c>
      <c r="B40" s="117" t="s">
        <v>242</v>
      </c>
      <c r="D40" s="284">
        <f>'Ordering Period 1'!$F$60*G40</f>
        <v>1577309.4282369376</v>
      </c>
      <c r="E40" s="290"/>
      <c r="F40" s="291">
        <f>D40</f>
        <v>1577309.4282369376</v>
      </c>
      <c r="G40" s="459">
        <v>0.19895838011042352</v>
      </c>
    </row>
    <row r="41" spans="1:7" s="117" customFormat="1" x14ac:dyDescent="0.25">
      <c r="A41" s="374" t="s">
        <v>214</v>
      </c>
      <c r="B41" s="117" t="s">
        <v>242</v>
      </c>
      <c r="D41" s="284">
        <f>'Ordering Period 1'!$F$60*G41</f>
        <v>2730675.0985066346</v>
      </c>
      <c r="E41" s="290"/>
      <c r="F41" s="291">
        <f t="shared" ref="F41:F42" si="2">D41</f>
        <v>2730675.0985066346</v>
      </c>
      <c r="G41" s="459">
        <v>0.34444141680812934</v>
      </c>
    </row>
    <row r="42" spans="1:7" s="117" customFormat="1" x14ac:dyDescent="0.25">
      <c r="A42" s="374" t="s">
        <v>215</v>
      </c>
      <c r="B42" s="117" t="s">
        <v>242</v>
      </c>
      <c r="D42" s="284">
        <f>'Ordering Period 1'!$F$60*G42</f>
        <v>3619851.5732564274</v>
      </c>
      <c r="E42" s="290"/>
      <c r="F42" s="291">
        <f t="shared" si="2"/>
        <v>3619851.5732564274</v>
      </c>
      <c r="G42" s="459">
        <v>0.45660020308144711</v>
      </c>
    </row>
    <row r="43" spans="1:7" s="117" customFormat="1" x14ac:dyDescent="0.25">
      <c r="A43" s="375"/>
      <c r="B43" s="299" t="s">
        <v>244</v>
      </c>
      <c r="D43" s="288">
        <f>SUM(D40:D42)</f>
        <v>7927836.0999999996</v>
      </c>
      <c r="E43" s="290"/>
      <c r="F43" s="464">
        <f>SUM(F40:F42)</f>
        <v>7927836.0999999996</v>
      </c>
      <c r="G43" s="459"/>
    </row>
    <row r="44" spans="1:7" x14ac:dyDescent="0.25">
      <c r="A44" s="372"/>
      <c r="B44" s="297" t="s">
        <v>261</v>
      </c>
      <c r="C44" s="293"/>
      <c r="D44" s="293"/>
      <c r="E44" s="293"/>
      <c r="F44" s="293"/>
    </row>
    <row r="45" spans="1:7" s="117" customFormat="1" x14ac:dyDescent="0.25">
      <c r="A45" s="374" t="s">
        <v>211</v>
      </c>
      <c r="B45" s="117" t="s">
        <v>245</v>
      </c>
      <c r="D45" s="284">
        <f>'Ordering Period 1'!$F$67*'CLINs - Detail'!G45</f>
        <v>379366.4758911244</v>
      </c>
      <c r="E45" s="290"/>
      <c r="F45" s="291">
        <f>D45</f>
        <v>379366.4758911244</v>
      </c>
      <c r="G45" s="459">
        <v>0.19895838011042352</v>
      </c>
    </row>
    <row r="46" spans="1:7" s="117" customFormat="1" x14ac:dyDescent="0.25">
      <c r="A46" s="374" t="s">
        <v>214</v>
      </c>
      <c r="B46" s="117" t="s">
        <v>245</v>
      </c>
      <c r="D46" s="284">
        <f>'Ordering Period 1'!$F$67*'CLINs - Detail'!G46</f>
        <v>656768.14604603872</v>
      </c>
      <c r="E46" s="290"/>
      <c r="F46" s="291">
        <f t="shared" ref="F46:F47" si="3">D46</f>
        <v>656768.14604603872</v>
      </c>
      <c r="G46" s="459">
        <v>0.34444141680812934</v>
      </c>
    </row>
    <row r="47" spans="1:7" s="117" customFormat="1" x14ac:dyDescent="0.25">
      <c r="A47" s="374" t="s">
        <v>215</v>
      </c>
      <c r="B47" s="117" t="s">
        <v>245</v>
      </c>
      <c r="D47" s="284">
        <f>'Ordering Period 1'!$F$67*'CLINs - Detail'!G47</f>
        <v>870628.36879774788</v>
      </c>
      <c r="E47" s="290"/>
      <c r="F47" s="291">
        <f t="shared" si="3"/>
        <v>870628.36879774788</v>
      </c>
      <c r="G47" s="459">
        <v>0.45660020308144711</v>
      </c>
    </row>
    <row r="48" spans="1:7" s="117" customFormat="1" x14ac:dyDescent="0.25">
      <c r="A48" s="375"/>
      <c r="B48" s="299" t="s">
        <v>262</v>
      </c>
      <c r="D48" s="288">
        <f>SUM(D45:D47)</f>
        <v>1906762.9907349111</v>
      </c>
      <c r="E48" s="290"/>
      <c r="F48" s="464">
        <f>SUM(F45:F47)</f>
        <v>1906762.9907349111</v>
      </c>
      <c r="G48" s="459"/>
    </row>
    <row r="49" spans="1:9" s="234" customFormat="1" x14ac:dyDescent="0.25">
      <c r="A49" s="598"/>
      <c r="B49" s="599" t="s">
        <v>166</v>
      </c>
      <c r="C49" s="600">
        <f>C24+C38</f>
        <v>317277.97621839447</v>
      </c>
      <c r="D49" s="601">
        <f>D24+D38+D43+D48</f>
        <v>9834599.0907349102</v>
      </c>
      <c r="E49" s="601">
        <f>E24+E38</f>
        <v>0</v>
      </c>
      <c r="F49" s="601">
        <f>F24+F38+F43+F48</f>
        <v>9834599.0907349102</v>
      </c>
      <c r="G49" s="292"/>
      <c r="H49" s="283">
        <f>'Ordering Period 1'!F70</f>
        <v>9834599.0907349102</v>
      </c>
      <c r="I49" s="283">
        <f>F49-H49</f>
        <v>0</v>
      </c>
    </row>
    <row r="50" spans="1:9" x14ac:dyDescent="0.25">
      <c r="A50" s="606" t="s">
        <v>49</v>
      </c>
      <c r="B50" s="607"/>
      <c r="C50" s="608"/>
      <c r="D50" s="608"/>
      <c r="E50" s="608"/>
      <c r="F50" s="608"/>
      <c r="G50" s="456"/>
      <c r="H50"/>
    </row>
    <row r="51" spans="1:9" x14ac:dyDescent="0.25">
      <c r="A51" s="281" t="s">
        <v>162</v>
      </c>
      <c r="B51" s="281" t="s">
        <v>161</v>
      </c>
      <c r="C51" s="282" t="s">
        <v>188</v>
      </c>
      <c r="D51" s="282" t="s">
        <v>99</v>
      </c>
      <c r="E51" s="282" t="s">
        <v>100</v>
      </c>
      <c r="F51" s="282" t="s">
        <v>118</v>
      </c>
      <c r="G51" s="456"/>
      <c r="H51"/>
    </row>
    <row r="52" spans="1:9" x14ac:dyDescent="0.25">
      <c r="A52" s="370"/>
      <c r="B52" s="294" t="s">
        <v>217</v>
      </c>
      <c r="C52" s="295"/>
      <c r="D52" s="295"/>
      <c r="E52" s="295"/>
      <c r="F52" s="296"/>
      <c r="G52" s="457"/>
      <c r="H52" s="172"/>
      <c r="I52" s="15"/>
    </row>
    <row r="53" spans="1:9" s="15" customFormat="1" x14ac:dyDescent="0.25">
      <c r="A53" s="234" t="s">
        <v>259</v>
      </c>
      <c r="B53" s="491"/>
      <c r="C53" s="285"/>
      <c r="D53" s="286"/>
      <c r="E53" s="286"/>
      <c r="F53" s="286"/>
      <c r="G53" s="457"/>
      <c r="H53" s="172"/>
    </row>
    <row r="54" spans="1:9" s="15" customFormat="1" x14ac:dyDescent="0.25">
      <c r="A54" s="333"/>
      <c r="B54" s="172" t="s">
        <v>42</v>
      </c>
      <c r="C54" s="285">
        <f>'Ordering Period 2'!F5</f>
        <v>19114.698266026175</v>
      </c>
      <c r="D54" s="286">
        <f>'Ordering Period 2'!U5+'Ordering Period 2'!AH5</f>
        <v>0</v>
      </c>
      <c r="E54" s="286">
        <f>'Ordering Period 2'!V5+'Ordering Period 2'!AI5</f>
        <v>0</v>
      </c>
      <c r="F54" s="286">
        <f>D54+E54</f>
        <v>0</v>
      </c>
      <c r="G54" s="457"/>
      <c r="H54" s="172"/>
    </row>
    <row r="55" spans="1:9" x14ac:dyDescent="0.25">
      <c r="A55" s="234" t="s">
        <v>211</v>
      </c>
      <c r="C55" s="285"/>
      <c r="D55" s="286"/>
      <c r="E55" s="286"/>
    </row>
    <row r="56" spans="1:9" x14ac:dyDescent="0.25">
      <c r="A56" s="333"/>
      <c r="B56" s="172" t="s">
        <v>43</v>
      </c>
      <c r="C56" s="285">
        <f>'Ordering Period 2'!$F$6*G56</f>
        <v>2143.2069039054986</v>
      </c>
      <c r="D56" s="286">
        <f>('Ordering Period 2'!$U$6+'Ordering Period 2'!$AH$6)*G56</f>
        <v>0</v>
      </c>
      <c r="E56" s="286">
        <f>('Ordering Period 2'!$V$6+'Ordering Period 2'!$AI$6)*G56</f>
        <v>0</v>
      </c>
      <c r="F56" s="286">
        <f t="shared" ref="F56:F60" si="4">D56+E56</f>
        <v>0</v>
      </c>
      <c r="G56" s="459">
        <v>5.4455003902690105E-2</v>
      </c>
      <c r="H56" s="459"/>
      <c r="I56" s="459"/>
    </row>
    <row r="57" spans="1:9" x14ac:dyDescent="0.25">
      <c r="A57" s="333"/>
      <c r="B57" s="15" t="s">
        <v>205</v>
      </c>
      <c r="C57" s="285">
        <f>SUM('Ordering Period 2'!$F$8:$F$12)*G57</f>
        <v>49017.31063192484</v>
      </c>
      <c r="D57" s="286">
        <f>(SUM('Ordering Period 2'!$U$8:$U$12)+SUM('Ordering Period 2'!$AH$8:$AH$12))*G57</f>
        <v>0</v>
      </c>
      <c r="E57" s="286">
        <f>(SUM('Ordering Period 2'!$V$8:$V$12)+SUM('Ordering Period 2'!$AI$8:$AI$12))*G57</f>
        <v>0</v>
      </c>
      <c r="F57" s="286">
        <f t="shared" si="4"/>
        <v>0</v>
      </c>
      <c r="G57" s="459">
        <v>0.4398368968039556</v>
      </c>
      <c r="H57" s="459"/>
      <c r="I57" s="459"/>
    </row>
    <row r="58" spans="1:9" x14ac:dyDescent="0.25">
      <c r="A58" s="333"/>
      <c r="B58" s="172" t="s">
        <v>212</v>
      </c>
      <c r="C58" s="285">
        <f>'Ordering Period 2'!$F$13*G58</f>
        <v>3914.752130559275</v>
      </c>
      <c r="D58" s="286">
        <f>('Ordering Period 2'!$U$13+'Ordering Period 2'!$AH$13)*G58</f>
        <v>0</v>
      </c>
      <c r="E58" s="286">
        <f>('Ordering Period 2'!$V$13+'Ordering Period 2'!$AI$13)*G58</f>
        <v>0</v>
      </c>
      <c r="F58" s="286">
        <f t="shared" si="4"/>
        <v>0</v>
      </c>
      <c r="G58" s="459">
        <v>8.2893482777239208E-2</v>
      </c>
      <c r="H58" s="459"/>
      <c r="I58" s="459"/>
    </row>
    <row r="59" spans="1:9" x14ac:dyDescent="0.25">
      <c r="A59" s="333"/>
      <c r="B59" s="307" t="s">
        <v>213</v>
      </c>
      <c r="C59" s="285">
        <f>SUM('Ordering Period 2'!$F$14:$F$17)*G59</f>
        <v>9624.5668972408585</v>
      </c>
      <c r="D59" s="286">
        <f>(SUM('Ordering Period 2'!$U$14:$U$17)+SUM('Ordering Period 2'!$AH$14:$AH$17))*G59</f>
        <v>0</v>
      </c>
      <c r="E59" s="286">
        <f>(SUM('Ordering Period 2'!$V$14:$V$17)+SUM('Ordering Period 2'!$AI$14:$AI$17))*G59</f>
        <v>0</v>
      </c>
      <c r="F59" s="286">
        <f t="shared" si="4"/>
        <v>0</v>
      </c>
      <c r="G59" s="459">
        <v>0.37134398879263891</v>
      </c>
      <c r="H59" s="459"/>
      <c r="I59" s="459"/>
    </row>
    <row r="60" spans="1:9" x14ac:dyDescent="0.25">
      <c r="A60" s="333"/>
      <c r="B60" s="455" t="s">
        <v>216</v>
      </c>
      <c r="C60" s="285">
        <f>SUM('Ordering Period 2'!$F$18:$F$21)*G60</f>
        <v>11399.669608753975</v>
      </c>
      <c r="D60" s="286">
        <f>(SUM('Ordering Period 2'!$U$18:$U$21)+SUM('Ordering Period 2'!$AH$18:$AH$21))*G60</f>
        <v>0</v>
      </c>
      <c r="E60" s="286">
        <f>(SUM('Ordering Period 2'!$V$18:$V$21)+SUM('Ordering Period 2'!$AI$18:$AI$21))*G60</f>
        <v>0</v>
      </c>
      <c r="F60" s="286">
        <f t="shared" si="4"/>
        <v>0</v>
      </c>
      <c r="G60" s="459">
        <v>0.31400245267420601</v>
      </c>
      <c r="H60" s="459"/>
      <c r="I60" s="459"/>
    </row>
    <row r="61" spans="1:9" x14ac:dyDescent="0.25">
      <c r="A61" s="491" t="s">
        <v>214</v>
      </c>
      <c r="B61" s="172"/>
      <c r="C61" s="285"/>
      <c r="D61" s="286"/>
      <c r="E61" s="286"/>
      <c r="F61" s="286"/>
      <c r="G61" s="460"/>
      <c r="H61"/>
    </row>
    <row r="62" spans="1:9" x14ac:dyDescent="0.25">
      <c r="A62" s="333"/>
      <c r="B62" s="172" t="s">
        <v>43</v>
      </c>
      <c r="C62" s="285">
        <f>'Ordering Period 2'!$F$6*G62</f>
        <v>30507.897176409075</v>
      </c>
      <c r="D62" s="286">
        <f>('Ordering Period 2'!$U$6+'Ordering Period 2'!$AH$6)*G62</f>
        <v>0</v>
      </c>
      <c r="E62" s="286">
        <f>('Ordering Period 2'!$V$6+'Ordering Period 2'!$AI$6)*G62</f>
        <v>0</v>
      </c>
      <c r="F62" s="286">
        <f t="shared" ref="F62:F66" si="5">D62+E62</f>
        <v>0</v>
      </c>
      <c r="G62" s="459">
        <v>0.77515038644979906</v>
      </c>
      <c r="H62"/>
    </row>
    <row r="63" spans="1:9" x14ac:dyDescent="0.25">
      <c r="A63" s="333"/>
      <c r="B63" s="15" t="s">
        <v>205</v>
      </c>
      <c r="C63" s="285">
        <f>SUM('Ordering Period 2'!$F$8:$F$12)*G63</f>
        <v>56697.745338110632</v>
      </c>
      <c r="D63" s="286">
        <f>(SUM('Ordering Period 2'!$U$8:$U$12)+SUM('Ordering Period 2'!$AH$8:$AH$12))*G63</f>
        <v>0</v>
      </c>
      <c r="E63" s="286">
        <f>(SUM('Ordering Period 2'!$V$8:$V$12)+SUM('Ordering Period 2'!$AI$8:$AI$12))*G63</f>
        <v>0</v>
      </c>
      <c r="F63" s="286">
        <f t="shared" si="5"/>
        <v>0</v>
      </c>
      <c r="G63" s="459">
        <v>0.50875415325323103</v>
      </c>
      <c r="H63"/>
    </row>
    <row r="64" spans="1:9" x14ac:dyDescent="0.25">
      <c r="A64" s="333"/>
      <c r="B64" s="172" t="s">
        <v>212</v>
      </c>
      <c r="C64" s="285">
        <f>'Ordering Period 2'!$F$13*G64</f>
        <v>20879.144133985385</v>
      </c>
      <c r="D64" s="286">
        <f>('Ordering Period 2'!$U$13+'Ordering Period 2'!$AH$13)*G64</f>
        <v>0</v>
      </c>
      <c r="E64" s="286">
        <f>('Ordering Period 2'!$V$13+'Ordering Period 2'!$AI$13)*G64</f>
        <v>0</v>
      </c>
      <c r="F64" s="286">
        <f t="shared" si="5"/>
        <v>0</v>
      </c>
      <c r="G64" s="459">
        <v>0.44210844440532998</v>
      </c>
      <c r="H64"/>
    </row>
    <row r="65" spans="1:9" x14ac:dyDescent="0.25">
      <c r="A65" s="333"/>
      <c r="B65" s="307" t="s">
        <v>213</v>
      </c>
      <c r="C65" s="285">
        <f>SUM('Ordering Period 2'!$F$14:$F$17)*G65</f>
        <v>11394.388963961475</v>
      </c>
      <c r="D65" s="286">
        <f>(SUM('Ordering Period 2'!$U$14:$U$17)+SUM('Ordering Period 2'!$AH$14:$AH$17))*G65</f>
        <v>0</v>
      </c>
      <c r="E65" s="286">
        <f>(SUM('Ordering Period 2'!$V$14:$V$17)+SUM('Ordering Period 2'!$AI$14:$AI$17))*G65</f>
        <v>0</v>
      </c>
      <c r="F65" s="286">
        <f t="shared" si="5"/>
        <v>0</v>
      </c>
      <c r="G65" s="459">
        <v>0.43962890932217186</v>
      </c>
      <c r="H65"/>
    </row>
    <row r="66" spans="1:9" x14ac:dyDescent="0.25">
      <c r="A66" s="333"/>
      <c r="B66" s="455" t="s">
        <v>216</v>
      </c>
      <c r="C66" s="285">
        <f>SUM('Ordering Period 2'!$F$18:$F$21)*G66</f>
        <v>14103.622604866579</v>
      </c>
      <c r="D66" s="286">
        <f>(SUM('Ordering Period 2'!$U$18:$U$21)+SUM('Ordering Period 2'!$AH$18:$AH$21))*G66</f>
        <v>0</v>
      </c>
      <c r="E66" s="286">
        <f>(SUM('Ordering Period 2'!$V$18:$V$21)+SUM('Ordering Period 2'!$AI$18:$AI$21))*G66</f>
        <v>0</v>
      </c>
      <c r="F66" s="286">
        <f t="shared" si="5"/>
        <v>0</v>
      </c>
      <c r="G66" s="459">
        <v>0.38848249480131553</v>
      </c>
      <c r="H66" s="118"/>
      <c r="I66" s="118"/>
    </row>
    <row r="67" spans="1:9" x14ac:dyDescent="0.25">
      <c r="A67" s="491" t="s">
        <v>215</v>
      </c>
      <c r="B67" s="172"/>
      <c r="C67" s="48"/>
      <c r="D67" s="284"/>
      <c r="E67" s="284"/>
      <c r="F67" s="286"/>
      <c r="G67" s="461"/>
      <c r="H67" s="118"/>
      <c r="I67" s="118"/>
    </row>
    <row r="68" spans="1:9" x14ac:dyDescent="0.25">
      <c r="A68" s="333"/>
      <c r="B68" s="172" t="s">
        <v>43</v>
      </c>
      <c r="C68" s="285">
        <f>'Ordering Period 2'!$F$6*G68</f>
        <v>6706.2873494126652</v>
      </c>
      <c r="D68" s="286">
        <f>('Ordering Period 2'!$U$6+'Ordering Period 2'!$AH$6)*G68</f>
        <v>0</v>
      </c>
      <c r="E68" s="286">
        <f>('Ordering Period 2'!$V$6+'Ordering Period 2'!$AI$6)*G68</f>
        <v>0</v>
      </c>
      <c r="F68" s="286">
        <f t="shared" ref="F68:F72" si="6">D68+E68</f>
        <v>0</v>
      </c>
      <c r="G68" s="459">
        <v>0.17039460964751096</v>
      </c>
      <c r="H68" s="118"/>
      <c r="I68" s="118"/>
    </row>
    <row r="69" spans="1:9" x14ac:dyDescent="0.25">
      <c r="A69" s="333"/>
      <c r="B69" s="15" t="s">
        <v>205</v>
      </c>
      <c r="C69" s="285">
        <f>SUM('Ordering Period 2'!$F$8:$F$12)*G69</f>
        <v>5729.2339203892307</v>
      </c>
      <c r="D69" s="286">
        <f>(SUM('Ordering Period 2'!$U$8:$U$12)+SUM('Ordering Period 2'!$AH$8:$AH$12))*G69</f>
        <v>0</v>
      </c>
      <c r="E69" s="286">
        <f>(SUM('Ordering Period 2'!$V$8:$V$12)+SUM('Ordering Period 2'!$AI$8:$AI$12))*G69</f>
        <v>0</v>
      </c>
      <c r="F69" s="286">
        <f t="shared" si="6"/>
        <v>0</v>
      </c>
      <c r="G69" s="459">
        <v>5.140894994281342E-2</v>
      </c>
      <c r="H69" s="118"/>
      <c r="I69" s="118"/>
    </row>
    <row r="70" spans="1:9" x14ac:dyDescent="0.25">
      <c r="A70" s="333"/>
      <c r="B70" s="172" t="s">
        <v>212</v>
      </c>
      <c r="C70" s="285">
        <f>'Ordering Period 2'!$F$13*G70</f>
        <v>22432.399451361529</v>
      </c>
      <c r="D70" s="286">
        <f>('Ordering Period 2'!$U$13+'Ordering Period 2'!$AH$13)*G70</f>
        <v>0</v>
      </c>
      <c r="E70" s="286">
        <f>('Ordering Period 2'!$V$13+'Ordering Period 2'!$AI$13)*G70</f>
        <v>0</v>
      </c>
      <c r="F70" s="286">
        <f t="shared" si="6"/>
        <v>0</v>
      </c>
      <c r="G70" s="459">
        <v>0.47499807281743089</v>
      </c>
      <c r="H70" s="118"/>
      <c r="I70" s="118"/>
    </row>
    <row r="71" spans="1:9" x14ac:dyDescent="0.25">
      <c r="A71" s="333"/>
      <c r="B71" s="307" t="s">
        <v>213</v>
      </c>
      <c r="C71" s="285">
        <f>SUM('Ordering Period 2'!$F$14:$F$17)*G71</f>
        <v>4899.2417876500986</v>
      </c>
      <c r="D71" s="286">
        <f>(SUM('Ordering Period 2'!$U$14:$U$17)+SUM('Ordering Period 2'!$AH$14:$AH$17))*G71</f>
        <v>0</v>
      </c>
      <c r="E71" s="286">
        <f>(SUM('Ordering Period 2'!$V$14:$V$17)+SUM('Ordering Period 2'!$AI$14:$AI$17))*G71</f>
        <v>0</v>
      </c>
      <c r="F71" s="286">
        <f t="shared" si="6"/>
        <v>0</v>
      </c>
      <c r="G71" s="459">
        <v>0.18902710188518915</v>
      </c>
      <c r="H71" s="118"/>
      <c r="I71" s="118"/>
    </row>
    <row r="72" spans="1:9" x14ac:dyDescent="0.25">
      <c r="A72" s="333"/>
      <c r="B72" s="455" t="s">
        <v>216</v>
      </c>
      <c r="C72" s="285">
        <f>SUM('Ordering Period 2'!$F$18:$F$21)*G72</f>
        <v>10801.104493056542</v>
      </c>
      <c r="D72" s="286">
        <f>(SUM('Ordering Period 2'!$U$18:$U$21)+SUM('Ordering Period 2'!$AH$18:$AH$21))*G72</f>
        <v>0</v>
      </c>
      <c r="E72" s="286">
        <f>(SUM('Ordering Period 2'!$V$18:$V$21)+SUM('Ordering Period 2'!$AI$18:$AI$21))*G72</f>
        <v>0</v>
      </c>
      <c r="F72" s="286">
        <f t="shared" si="6"/>
        <v>0</v>
      </c>
      <c r="G72" s="459">
        <v>0.29751505252447857</v>
      </c>
      <c r="H72" s="118"/>
      <c r="I72" s="118"/>
    </row>
    <row r="73" spans="1:9" x14ac:dyDescent="0.25">
      <c r="A73" s="371"/>
      <c r="B73" s="298" t="s">
        <v>164</v>
      </c>
      <c r="C73" s="287">
        <f>SUM(C53:C72)</f>
        <v>279365.26965761383</v>
      </c>
      <c r="D73" s="288">
        <f>SUM(D53:D72)</f>
        <v>0</v>
      </c>
      <c r="E73" s="288">
        <f>SUM(E53:E72)</f>
        <v>0</v>
      </c>
      <c r="F73" s="289">
        <f>SUM(F53:F72)</f>
        <v>0</v>
      </c>
      <c r="G73" s="462"/>
      <c r="H73" s="118"/>
      <c r="I73" s="118"/>
    </row>
    <row r="74" spans="1:9" x14ac:dyDescent="0.25">
      <c r="A74" s="372"/>
      <c r="B74" s="297" t="s">
        <v>218</v>
      </c>
      <c r="C74" s="293"/>
      <c r="D74" s="293"/>
      <c r="E74" s="293"/>
      <c r="F74" s="293"/>
      <c r="G74" s="462"/>
    </row>
    <row r="75" spans="1:9" x14ac:dyDescent="0.25">
      <c r="A75" s="492" t="s">
        <v>211</v>
      </c>
      <c r="C75" s="48"/>
      <c r="D75" s="284"/>
      <c r="E75" s="284"/>
      <c r="F75" s="286"/>
      <c r="G75" s="462"/>
    </row>
    <row r="76" spans="1:9" x14ac:dyDescent="0.25">
      <c r="A76" s="373"/>
      <c r="B76" s="9" t="s">
        <v>43</v>
      </c>
      <c r="C76" s="48">
        <f>'Ordering Period 2'!$F$23*G76</f>
        <v>350.79529738630163</v>
      </c>
      <c r="D76" s="284">
        <f>('Ordering Period 2'!$U$23+'Ordering Period 2'!$AH$23)*G76</f>
        <v>0</v>
      </c>
      <c r="E76" s="284">
        <f>('Ordering Period 2'!$V$23+'Ordering Period 2'!$AI$23)*G76</f>
        <v>0</v>
      </c>
      <c r="F76" s="286">
        <f>D76+E76</f>
        <v>0</v>
      </c>
      <c r="G76" s="459">
        <v>5.6784039588844884E-2</v>
      </c>
      <c r="H76" s="459"/>
      <c r="I76" s="459"/>
    </row>
    <row r="77" spans="1:9" x14ac:dyDescent="0.25">
      <c r="A77" s="373"/>
      <c r="B77" s="455" t="s">
        <v>216</v>
      </c>
      <c r="C77" s="48">
        <f>SUM('Ordering Period 2'!$F$35:$F$38)*G77</f>
        <v>5511.8194554931106</v>
      </c>
      <c r="D77" s="284">
        <f>(SUM('Ordering Period 2'!$U$35:$U$38)+SUM('Ordering Period 2'!$AH$35:$AH$38))*G77</f>
        <v>0</v>
      </c>
      <c r="E77" s="284">
        <f>(SUM('Ordering Period 2'!$V$35:$V$38)+SUM('Ordering Period 2'!$AI$35:$AI$38))*G77</f>
        <v>0</v>
      </c>
      <c r="F77" s="286">
        <f t="shared" ref="F77" si="7">D77+E77</f>
        <v>0</v>
      </c>
      <c r="G77" s="459">
        <v>0.35580099510649138</v>
      </c>
      <c r="H77" s="459"/>
      <c r="I77" s="459"/>
    </row>
    <row r="78" spans="1:9" x14ac:dyDescent="0.25">
      <c r="A78" s="492" t="s">
        <v>214</v>
      </c>
      <c r="C78" s="48"/>
      <c r="D78" s="284"/>
      <c r="E78" s="284"/>
      <c r="F78" s="286"/>
      <c r="G78" s="461"/>
    </row>
    <row r="79" spans="1:9" x14ac:dyDescent="0.25">
      <c r="A79" s="373"/>
      <c r="B79" s="9" t="s">
        <v>43</v>
      </c>
      <c r="C79" s="48">
        <f>'Ordering Period 2'!$F$23*G79</f>
        <v>5356.7902939192654</v>
      </c>
      <c r="D79" s="284">
        <f>('Ordering Period 2'!$U$23+'Ordering Period 2'!$AH$23)*G79</f>
        <v>0</v>
      </c>
      <c r="E79" s="284">
        <f>('Ordering Period 2'!$V$23+'Ordering Period 2'!$AI$23)*G79</f>
        <v>0</v>
      </c>
      <c r="F79" s="286">
        <f t="shared" ref="F79:F80" si="8">D79+E79</f>
        <v>0</v>
      </c>
      <c r="G79" s="459">
        <v>0.8671159345220163</v>
      </c>
    </row>
    <row r="80" spans="1:9" x14ac:dyDescent="0.25">
      <c r="A80" s="373"/>
      <c r="B80" s="455" t="s">
        <v>216</v>
      </c>
      <c r="C80" s="48">
        <f>SUM('Ordering Period 2'!$F$35:$F$38)*G80</f>
        <v>6818.1016712170331</v>
      </c>
      <c r="D80" s="284">
        <f>(SUM('Ordering Period 2'!$U$35:$U$38)+SUM('Ordering Period 2'!$AH$35:$AH$38))*G80</f>
        <v>0</v>
      </c>
      <c r="E80" s="284">
        <f>(SUM('Ordering Period 2'!$V$35:$V$38)+SUM('Ordering Period 2'!$AI$35:$AI$38))*G80</f>
        <v>0</v>
      </c>
      <c r="F80" s="286">
        <f t="shared" si="8"/>
        <v>0</v>
      </c>
      <c r="G80" s="459">
        <v>0.44012460475979476</v>
      </c>
    </row>
    <row r="81" spans="1:9" x14ac:dyDescent="0.25">
      <c r="A81" s="492" t="s">
        <v>215</v>
      </c>
      <c r="C81" s="48"/>
      <c r="D81" s="284"/>
      <c r="E81" s="284"/>
      <c r="F81" s="286"/>
      <c r="G81" s="461"/>
    </row>
    <row r="82" spans="1:9" x14ac:dyDescent="0.25">
      <c r="A82" s="373"/>
      <c r="B82" s="9" t="s">
        <v>43</v>
      </c>
      <c r="C82" s="48">
        <f>'Ordering Period 2'!$F$23*G82</f>
        <v>470.12384828870182</v>
      </c>
      <c r="D82" s="284">
        <f>('Ordering Period 2'!$U$23+'Ordering Period 2'!$AH$23)*G82</f>
        <v>0</v>
      </c>
      <c r="E82" s="284">
        <f>('Ordering Period 2'!$V$23+'Ordering Period 2'!$AI$23)*G82</f>
        <v>0</v>
      </c>
      <c r="F82" s="286">
        <f t="shared" ref="F82:F86" si="9">D82+E82</f>
        <v>0</v>
      </c>
      <c r="G82" s="459">
        <v>7.6100025889138945E-2</v>
      </c>
    </row>
    <row r="83" spans="1:9" x14ac:dyDescent="0.25">
      <c r="A83" s="373"/>
      <c r="B83" s="172" t="s">
        <v>205</v>
      </c>
      <c r="C83" s="48">
        <f>SUM('Ordering Period 2'!$F$25:$F$29)</f>
        <v>6804.5993827264738</v>
      </c>
      <c r="D83" s="284">
        <f>SUM('Ordering Period 2'!$U$25:$U$29)+SUM('Ordering Period 2'!$AH$25:$AH$29)</f>
        <v>0</v>
      </c>
      <c r="E83" s="284">
        <f>SUM('Ordering Period 2'!$V$25:$V$29)+SUM('Ordering Period 2'!$AI$25:$AI$29)</f>
        <v>0</v>
      </c>
      <c r="F83" s="286">
        <f t="shared" si="9"/>
        <v>0</v>
      </c>
      <c r="G83" s="459">
        <v>1</v>
      </c>
    </row>
    <row r="84" spans="1:9" x14ac:dyDescent="0.25">
      <c r="A84" s="373"/>
      <c r="B84" s="172" t="s">
        <v>212</v>
      </c>
      <c r="C84" s="48">
        <f>'Ordering Period 2'!$F$30</f>
        <v>3764.1996585337838</v>
      </c>
      <c r="D84" s="284">
        <f>'Ordering Period 2'!$U$30+'Ordering Period 2'!$AH$30</f>
        <v>0</v>
      </c>
      <c r="E84" s="284">
        <f>'Ordering Period 2'!$V$30+'Ordering Period 2'!$AI$30</f>
        <v>0</v>
      </c>
      <c r="F84" s="286">
        <f t="shared" si="9"/>
        <v>0</v>
      </c>
      <c r="G84" s="459">
        <v>1</v>
      </c>
    </row>
    <row r="85" spans="1:9" x14ac:dyDescent="0.25">
      <c r="A85" s="373"/>
      <c r="B85" s="9" t="s">
        <v>213</v>
      </c>
      <c r="C85" s="48">
        <f>SUM('Ordering Period 2'!$F$31:$F$34)</f>
        <v>5674.8994852062524</v>
      </c>
      <c r="D85" s="284">
        <f>SUM('Ordering Period 2'!$U$31:$U$34)+SUM('Ordering Period 2'!$AH$31:$AH$34)</f>
        <v>0</v>
      </c>
      <c r="E85" s="284">
        <f>SUM('Ordering Period 2'!$V$31:$V$34)+SUM('Ordering Period 2'!$AI$31:$AI$34)</f>
        <v>0</v>
      </c>
      <c r="F85" s="286">
        <f t="shared" si="9"/>
        <v>0</v>
      </c>
      <c r="G85" s="459">
        <v>1</v>
      </c>
    </row>
    <row r="86" spans="1:9" x14ac:dyDescent="0.25">
      <c r="A86" s="373"/>
      <c r="B86" s="455" t="s">
        <v>216</v>
      </c>
      <c r="C86" s="48">
        <f>SUM('Ordering Period 2'!$F$35:$F$38)*G86</f>
        <v>3161.3774680096958</v>
      </c>
      <c r="D86" s="284">
        <f>(SUM('Ordering Period 2'!$U$35:$U$38)+SUM('Ordering Period 2'!$AH$35:$AH$38))*G86</f>
        <v>0</v>
      </c>
      <c r="E86" s="284">
        <f>(SUM('Ordering Period 2'!$V$35:$V$38)+SUM('Ordering Period 2'!$AI$35:$AI$38))*G86</f>
        <v>0</v>
      </c>
      <c r="F86" s="286">
        <f t="shared" si="9"/>
        <v>0</v>
      </c>
      <c r="G86" s="459">
        <v>0.20407440013371386</v>
      </c>
    </row>
    <row r="87" spans="1:9" x14ac:dyDescent="0.25">
      <c r="A87" s="374"/>
      <c r="B87" s="299" t="s">
        <v>165</v>
      </c>
      <c r="C87" s="287">
        <f>SUM(C75:C86)</f>
        <v>37912.706560780622</v>
      </c>
      <c r="D87" s="289">
        <f>SUM(D75:D86)</f>
        <v>0</v>
      </c>
      <c r="E87" s="289">
        <f>SUM(E75:E86)</f>
        <v>0</v>
      </c>
      <c r="F87" s="289">
        <f>SUM(F75:F86)</f>
        <v>0</v>
      </c>
      <c r="G87" s="463"/>
      <c r="H87" s="234"/>
      <c r="I87" s="234"/>
    </row>
    <row r="88" spans="1:9" x14ac:dyDescent="0.25">
      <c r="A88" s="372"/>
      <c r="B88" s="297" t="s">
        <v>260</v>
      </c>
      <c r="C88" s="293"/>
      <c r="D88" s="293"/>
      <c r="E88" s="293"/>
      <c r="F88" s="293"/>
    </row>
    <row r="89" spans="1:9" x14ac:dyDescent="0.25">
      <c r="A89" s="374" t="s">
        <v>211</v>
      </c>
      <c r="B89" s="117" t="s">
        <v>242</v>
      </c>
      <c r="C89" s="117"/>
      <c r="D89" s="284">
        <f>'Ordering Period 2'!$F$60*'CLINs - Detail'!G89</f>
        <v>1577309.4282369376</v>
      </c>
      <c r="E89" s="290"/>
      <c r="F89" s="291">
        <f>D89</f>
        <v>1577309.4282369376</v>
      </c>
      <c r="G89" s="459">
        <v>0.19895838011042352</v>
      </c>
      <c r="H89" s="117"/>
      <c r="I89" s="117"/>
    </row>
    <row r="90" spans="1:9" x14ac:dyDescent="0.25">
      <c r="A90" s="374" t="s">
        <v>214</v>
      </c>
      <c r="B90" s="117" t="s">
        <v>242</v>
      </c>
      <c r="C90" s="117"/>
      <c r="D90" s="284">
        <f>'Ordering Period 2'!$F$60*'CLINs - Detail'!G90</f>
        <v>2730675.0985066346</v>
      </c>
      <c r="E90" s="290"/>
      <c r="F90" s="291">
        <f t="shared" ref="F90:F91" si="10">D90</f>
        <v>2730675.0985066346</v>
      </c>
      <c r="G90" s="459">
        <v>0.34444141680812934</v>
      </c>
      <c r="H90" s="117"/>
      <c r="I90" s="117"/>
    </row>
    <row r="91" spans="1:9" x14ac:dyDescent="0.25">
      <c r="A91" s="374" t="s">
        <v>215</v>
      </c>
      <c r="B91" s="117" t="s">
        <v>242</v>
      </c>
      <c r="C91" s="117"/>
      <c r="D91" s="284">
        <f>'Ordering Period 2'!$F$60*'CLINs - Detail'!G91</f>
        <v>3619851.5732564274</v>
      </c>
      <c r="E91" s="290"/>
      <c r="F91" s="291">
        <f t="shared" si="10"/>
        <v>3619851.5732564274</v>
      </c>
      <c r="G91" s="459">
        <v>0.45660020308144711</v>
      </c>
      <c r="H91" s="117"/>
      <c r="I91" s="117"/>
    </row>
    <row r="92" spans="1:9" x14ac:dyDescent="0.25">
      <c r="A92" s="375"/>
      <c r="B92" s="299" t="s">
        <v>244</v>
      </c>
      <c r="C92" s="117"/>
      <c r="D92" s="288">
        <f>SUM(D89:D91)</f>
        <v>7927836.0999999996</v>
      </c>
      <c r="E92" s="290"/>
      <c r="F92" s="464">
        <f>SUM(F89:F91)</f>
        <v>7927836.0999999996</v>
      </c>
      <c r="G92" s="459"/>
      <c r="H92" s="117"/>
      <c r="I92" s="117"/>
    </row>
    <row r="93" spans="1:9" x14ac:dyDescent="0.25">
      <c r="A93" s="372"/>
      <c r="B93" s="297" t="s">
        <v>261</v>
      </c>
      <c r="C93" s="293"/>
      <c r="D93" s="293"/>
      <c r="E93" s="293"/>
      <c r="F93" s="293"/>
    </row>
    <row r="94" spans="1:9" x14ac:dyDescent="0.25">
      <c r="A94" s="374" t="s">
        <v>211</v>
      </c>
      <c r="B94" s="117" t="s">
        <v>245</v>
      </c>
      <c r="C94" s="117"/>
      <c r="D94" s="284">
        <f>'Ordering Period 2'!$F$67*'CLINs - Detail'!G94</f>
        <v>379366.4758911244</v>
      </c>
      <c r="E94" s="290"/>
      <c r="F94" s="291">
        <f>D94</f>
        <v>379366.4758911244</v>
      </c>
      <c r="G94" s="459">
        <v>0.19895838011042352</v>
      </c>
      <c r="H94" s="117"/>
      <c r="I94" s="117"/>
    </row>
    <row r="95" spans="1:9" x14ac:dyDescent="0.25">
      <c r="A95" s="374" t="s">
        <v>214</v>
      </c>
      <c r="B95" s="117" t="s">
        <v>245</v>
      </c>
      <c r="C95" s="117"/>
      <c r="D95" s="284">
        <f>'Ordering Period 2'!$F$67*'CLINs - Detail'!G95</f>
        <v>656768.14604603872</v>
      </c>
      <c r="E95" s="290"/>
      <c r="F95" s="291">
        <f t="shared" ref="F95:F96" si="11">D95</f>
        <v>656768.14604603872</v>
      </c>
      <c r="G95" s="459">
        <v>0.34444141680812934</v>
      </c>
      <c r="H95" s="117"/>
      <c r="I95" s="117"/>
    </row>
    <row r="96" spans="1:9" x14ac:dyDescent="0.25">
      <c r="A96" s="374" t="s">
        <v>215</v>
      </c>
      <c r="B96" s="117" t="s">
        <v>245</v>
      </c>
      <c r="C96" s="117"/>
      <c r="D96" s="284">
        <f>'Ordering Period 2'!$F$67*'CLINs - Detail'!G96</f>
        <v>870628.36879774788</v>
      </c>
      <c r="E96" s="290"/>
      <c r="F96" s="291">
        <f t="shared" si="11"/>
        <v>870628.36879774788</v>
      </c>
      <c r="G96" s="459">
        <v>0.45660020308144711</v>
      </c>
      <c r="H96" s="117"/>
      <c r="I96" s="117"/>
    </row>
    <row r="97" spans="1:9" x14ac:dyDescent="0.25">
      <c r="A97" s="375"/>
      <c r="B97" s="299" t="s">
        <v>262</v>
      </c>
      <c r="C97" s="117"/>
      <c r="D97" s="284">
        <f>SUM(D94:D96)</f>
        <v>1906762.9907349111</v>
      </c>
      <c r="E97" s="290"/>
      <c r="F97" s="464">
        <f>SUM(F94:F96)</f>
        <v>1906762.9907349111</v>
      </c>
      <c r="G97" s="459"/>
      <c r="H97" s="117"/>
      <c r="I97" s="117"/>
    </row>
    <row r="98" spans="1:9" x14ac:dyDescent="0.25">
      <c r="A98" s="602"/>
      <c r="B98" s="603" t="s">
        <v>178</v>
      </c>
      <c r="C98" s="604">
        <f>C73+C87</f>
        <v>317277.97621839447</v>
      </c>
      <c r="D98" s="605">
        <f>D73+D87+D92+D97</f>
        <v>9834599.0907349102</v>
      </c>
      <c r="E98" s="605">
        <f>E73+E87</f>
        <v>0</v>
      </c>
      <c r="F98" s="605">
        <f>F73+F87+F92+F97</f>
        <v>9834599.0907349102</v>
      </c>
      <c r="G98" s="292"/>
      <c r="H98" s="292">
        <f>'Ordering Period 2'!F70</f>
        <v>9834599.0907349102</v>
      </c>
      <c r="I98" s="283">
        <f>F98-H98</f>
        <v>0</v>
      </c>
    </row>
    <row r="99" spans="1:9" x14ac:dyDescent="0.25">
      <c r="A99" s="595" t="s">
        <v>50</v>
      </c>
      <c r="B99" s="596"/>
      <c r="C99" s="597"/>
      <c r="D99" s="597"/>
      <c r="E99" s="597"/>
      <c r="F99" s="597"/>
      <c r="G99" s="456"/>
      <c r="H99"/>
    </row>
    <row r="100" spans="1:9" x14ac:dyDescent="0.25">
      <c r="A100" s="281" t="s">
        <v>162</v>
      </c>
      <c r="B100" s="281" t="s">
        <v>161</v>
      </c>
      <c r="C100" s="282" t="s">
        <v>188</v>
      </c>
      <c r="D100" s="282" t="s">
        <v>99</v>
      </c>
      <c r="E100" s="282" t="s">
        <v>100</v>
      </c>
      <c r="F100" s="282" t="s">
        <v>118</v>
      </c>
      <c r="G100" s="456"/>
      <c r="H100"/>
    </row>
    <row r="101" spans="1:9" x14ac:dyDescent="0.25">
      <c r="A101" s="370"/>
      <c r="B101" s="294" t="s">
        <v>217</v>
      </c>
      <c r="C101" s="295"/>
      <c r="D101" s="295"/>
      <c r="E101" s="295"/>
      <c r="F101" s="296"/>
      <c r="G101" s="457"/>
      <c r="H101" s="172"/>
      <c r="I101" s="15"/>
    </row>
    <row r="102" spans="1:9" s="15" customFormat="1" x14ac:dyDescent="0.25">
      <c r="A102" s="234" t="s">
        <v>259</v>
      </c>
      <c r="B102" s="491"/>
      <c r="C102" s="593"/>
      <c r="D102" s="593"/>
      <c r="E102" s="593"/>
      <c r="F102" s="594"/>
      <c r="G102" s="457"/>
      <c r="H102" s="172"/>
    </row>
    <row r="103" spans="1:9" s="15" customFormat="1" x14ac:dyDescent="0.25">
      <c r="A103" s="333"/>
      <c r="B103" s="172" t="s">
        <v>42</v>
      </c>
      <c r="C103" s="285">
        <f>'Ordering Period 3'!F5</f>
        <v>19114.698266026175</v>
      </c>
      <c r="D103" s="286">
        <f>'Ordering Period 3'!U5+'Ordering Period 3'!AH5</f>
        <v>0</v>
      </c>
      <c r="E103" s="286">
        <f>'Ordering Period 3'!V5+'Ordering Period 3'!AI5</f>
        <v>0</v>
      </c>
      <c r="F103" s="286">
        <f>D103+E103</f>
        <v>0</v>
      </c>
      <c r="G103" s="457"/>
      <c r="H103" s="172"/>
    </row>
    <row r="104" spans="1:9" x14ac:dyDescent="0.25">
      <c r="A104" s="234" t="s">
        <v>211</v>
      </c>
      <c r="C104" s="285"/>
      <c r="D104" s="286"/>
      <c r="E104" s="286"/>
    </row>
    <row r="105" spans="1:9" x14ac:dyDescent="0.25">
      <c r="A105" s="333"/>
      <c r="B105" s="172" t="s">
        <v>43</v>
      </c>
      <c r="C105" s="285">
        <f>'Ordering Period 3'!$F$6*G105</f>
        <v>2143.2069039054986</v>
      </c>
      <c r="D105" s="286">
        <f>('Ordering Period 3'!$U$6+'Ordering Period 3'!$AH$6)*G105</f>
        <v>0</v>
      </c>
      <c r="E105" s="286">
        <f>('Ordering Period 3'!$V$6+'Ordering Period 3'!$AI$6)*G105</f>
        <v>0</v>
      </c>
      <c r="F105" s="286">
        <f t="shared" ref="F105:F109" si="12">D105+E105</f>
        <v>0</v>
      </c>
      <c r="G105" s="459">
        <v>5.4455003902690105E-2</v>
      </c>
      <c r="H105" s="459"/>
      <c r="I105" s="459"/>
    </row>
    <row r="106" spans="1:9" x14ac:dyDescent="0.25">
      <c r="A106" s="333"/>
      <c r="B106" s="15" t="s">
        <v>205</v>
      </c>
      <c r="C106" s="285">
        <f>SUM('Ordering Period 3'!$F$8:$F$12)*G106</f>
        <v>49017.31063192484</v>
      </c>
      <c r="D106" s="286">
        <f>(SUM('Ordering Period 3'!$U$8:$U$12)+SUM('Ordering Period 3'!$AH$8:$AH$12))*G106</f>
        <v>0</v>
      </c>
      <c r="E106" s="286">
        <f>(SUM('Ordering Period 3'!$V$8:$V$12)+SUM('Ordering Period 3'!$AI$8:$AI$12))*G106</f>
        <v>0</v>
      </c>
      <c r="F106" s="286">
        <f t="shared" si="12"/>
        <v>0</v>
      </c>
      <c r="G106" s="459">
        <v>0.4398368968039556</v>
      </c>
      <c r="H106" s="459"/>
      <c r="I106" s="459"/>
    </row>
    <row r="107" spans="1:9" x14ac:dyDescent="0.25">
      <c r="A107" s="333"/>
      <c r="B107" s="172" t="s">
        <v>212</v>
      </c>
      <c r="C107" s="285">
        <f>'Ordering Period 3'!$F$13*G107</f>
        <v>3914.752130559275</v>
      </c>
      <c r="D107" s="286">
        <f>('Ordering Period 3'!$U$13+'Ordering Period 3'!$AH$13)*G107</f>
        <v>0</v>
      </c>
      <c r="E107" s="286">
        <f>('Ordering Period 3'!$V$13+'Ordering Period 3'!$AI$13)*G107</f>
        <v>0</v>
      </c>
      <c r="F107" s="286">
        <f t="shared" si="12"/>
        <v>0</v>
      </c>
      <c r="G107" s="459">
        <v>8.2893482777239208E-2</v>
      </c>
      <c r="H107" s="459"/>
      <c r="I107" s="459"/>
    </row>
    <row r="108" spans="1:9" x14ac:dyDescent="0.25">
      <c r="A108" s="333"/>
      <c r="B108" s="307" t="s">
        <v>213</v>
      </c>
      <c r="C108" s="285">
        <f>SUM('Ordering Period 3'!$F$14:$F$17)*G108</f>
        <v>9624.5668972408585</v>
      </c>
      <c r="D108" s="286">
        <f>(SUM('Ordering Period 3'!$U$14:$U$17)+SUM('Ordering Period 3'!$AH$14:$AH$17))*G108</f>
        <v>0</v>
      </c>
      <c r="E108" s="286">
        <f>(SUM('Ordering Period 3'!$V$14:$V$17)+SUM('Ordering Period 3'!$AI$14:$AI$17))*G108</f>
        <v>0</v>
      </c>
      <c r="F108" s="286">
        <f t="shared" si="12"/>
        <v>0</v>
      </c>
      <c r="G108" s="459">
        <v>0.37134398879263891</v>
      </c>
      <c r="H108" s="459"/>
      <c r="I108" s="459"/>
    </row>
    <row r="109" spans="1:9" x14ac:dyDescent="0.25">
      <c r="A109" s="333"/>
      <c r="B109" s="455" t="s">
        <v>216</v>
      </c>
      <c r="C109" s="285">
        <f>SUM('Ordering Period 3'!$F$18:$F$21)*G109</f>
        <v>11399.669608753975</v>
      </c>
      <c r="D109" s="286">
        <f>(SUM('Ordering Period 3'!$U$18:$U$21)+SUM('Ordering Period 3'!$AH$18:$AH$21))*G109</f>
        <v>0</v>
      </c>
      <c r="E109" s="286">
        <f>(SUM('Ordering Period 3'!$V$18:$V$21)+SUM('Ordering Period 3'!$AI$18:$AI$21))*G109</f>
        <v>0</v>
      </c>
      <c r="F109" s="286">
        <f t="shared" si="12"/>
        <v>0</v>
      </c>
      <c r="G109" s="459">
        <v>0.31400245267420601</v>
      </c>
      <c r="H109" s="459"/>
      <c r="I109" s="459"/>
    </row>
    <row r="110" spans="1:9" x14ac:dyDescent="0.25">
      <c r="A110" s="491" t="s">
        <v>214</v>
      </c>
      <c r="B110" s="172"/>
      <c r="C110" s="285"/>
      <c r="D110" s="286"/>
      <c r="E110" s="286"/>
      <c r="F110" s="286"/>
      <c r="G110" s="460"/>
      <c r="H110"/>
    </row>
    <row r="111" spans="1:9" x14ac:dyDescent="0.25">
      <c r="A111" s="333"/>
      <c r="B111" s="172" t="s">
        <v>43</v>
      </c>
      <c r="C111" s="285">
        <f>'Ordering Period 3'!$F$6*G111</f>
        <v>30507.897176409075</v>
      </c>
      <c r="D111" s="286">
        <f>('Ordering Period 3'!$U$6+'Ordering Period 3'!$AH$6)*G111</f>
        <v>0</v>
      </c>
      <c r="E111" s="286">
        <f>('Ordering Period 3'!$V$6+'Ordering Period 3'!$AI$6)*G111</f>
        <v>0</v>
      </c>
      <c r="F111" s="286">
        <f t="shared" ref="F111:F115" si="13">D111+E111</f>
        <v>0</v>
      </c>
      <c r="G111" s="459">
        <v>0.77515038644979906</v>
      </c>
      <c r="H111"/>
    </row>
    <row r="112" spans="1:9" x14ac:dyDescent="0.25">
      <c r="A112" s="333"/>
      <c r="B112" s="15" t="s">
        <v>205</v>
      </c>
      <c r="C112" s="285">
        <f>SUM('Ordering Period 3'!$F$8:$F$12)*G112</f>
        <v>56697.745338110632</v>
      </c>
      <c r="D112" s="286">
        <f>(SUM('Ordering Period 3'!$U$8:$U$12)+SUM('Ordering Period 3'!$AH$8:$AH$12))*G112</f>
        <v>0</v>
      </c>
      <c r="E112" s="286">
        <f>(SUM('Ordering Period 3'!$V$8:$V$12)+SUM('Ordering Period 3'!$AI$8:$AI$12))*G112</f>
        <v>0</v>
      </c>
      <c r="F112" s="286">
        <f t="shared" si="13"/>
        <v>0</v>
      </c>
      <c r="G112" s="459">
        <v>0.50875415325323103</v>
      </c>
      <c r="H112"/>
    </row>
    <row r="113" spans="1:9" x14ac:dyDescent="0.25">
      <c r="A113" s="333"/>
      <c r="B113" s="172" t="s">
        <v>212</v>
      </c>
      <c r="C113" s="285">
        <f>'Ordering Period 3'!$F$13*G113</f>
        <v>20879.144133985385</v>
      </c>
      <c r="D113" s="286">
        <f>('Ordering Period 3'!$U$13+'Ordering Period 3'!$AH$13)*G113</f>
        <v>0</v>
      </c>
      <c r="E113" s="286">
        <f>('Ordering Period 3'!$V$13+'Ordering Period 3'!$AI$13)*G113</f>
        <v>0</v>
      </c>
      <c r="F113" s="286">
        <f t="shared" si="13"/>
        <v>0</v>
      </c>
      <c r="G113" s="459">
        <v>0.44210844440532998</v>
      </c>
      <c r="H113"/>
    </row>
    <row r="114" spans="1:9" x14ac:dyDescent="0.25">
      <c r="A114" s="333"/>
      <c r="B114" s="307" t="s">
        <v>213</v>
      </c>
      <c r="C114" s="285">
        <f>SUM('Ordering Period 3'!$F$14:$F$17)*G114</f>
        <v>11394.388963961475</v>
      </c>
      <c r="D114" s="286">
        <f>(SUM('Ordering Period 3'!$U$14:$U$17)+SUM('Ordering Period 3'!$AH$14:$AH$17))*G114</f>
        <v>0</v>
      </c>
      <c r="E114" s="286">
        <f>(SUM('Ordering Period 3'!$V$14:$V$17)+SUM('Ordering Period 3'!$AI$14:$AI$17))*G114</f>
        <v>0</v>
      </c>
      <c r="F114" s="286">
        <f t="shared" si="13"/>
        <v>0</v>
      </c>
      <c r="G114" s="459">
        <v>0.43962890932217186</v>
      </c>
      <c r="H114"/>
    </row>
    <row r="115" spans="1:9" x14ac:dyDescent="0.25">
      <c r="A115" s="333"/>
      <c r="B115" s="455" t="s">
        <v>216</v>
      </c>
      <c r="C115" s="285">
        <f>SUM('Ordering Period 3'!$F$18:$F$21)*G115</f>
        <v>14103.622604866579</v>
      </c>
      <c r="D115" s="286">
        <f>(SUM('Ordering Period 3'!$U$18:$U$21)+SUM('Ordering Period 3'!$AH$18:$AH$21))*G115</f>
        <v>0</v>
      </c>
      <c r="E115" s="286">
        <f>(SUM('Ordering Period 3'!$V$18:$V$21)+SUM('Ordering Period 3'!$AI$18:$AI$21))*G115</f>
        <v>0</v>
      </c>
      <c r="F115" s="286">
        <f t="shared" si="13"/>
        <v>0</v>
      </c>
      <c r="G115" s="459">
        <v>0.38848249480131553</v>
      </c>
      <c r="H115" s="118"/>
      <c r="I115" s="118"/>
    </row>
    <row r="116" spans="1:9" x14ac:dyDescent="0.25">
      <c r="A116" s="491" t="s">
        <v>215</v>
      </c>
      <c r="B116" s="172"/>
      <c r="C116" s="48"/>
      <c r="D116" s="284"/>
      <c r="E116" s="284"/>
      <c r="F116" s="286"/>
      <c r="G116" s="461"/>
      <c r="H116" s="118"/>
      <c r="I116" s="118"/>
    </row>
    <row r="117" spans="1:9" x14ac:dyDescent="0.25">
      <c r="A117" s="333"/>
      <c r="B117" s="172" t="s">
        <v>43</v>
      </c>
      <c r="C117" s="285">
        <f>'Ordering Period 3'!$F$6*G117</f>
        <v>6706.2873494126652</v>
      </c>
      <c r="D117" s="286">
        <f>('Ordering Period 3'!$U$6+'Ordering Period 3'!$AH$6)*G117</f>
        <v>0</v>
      </c>
      <c r="E117" s="286">
        <f>('Ordering Period 3'!$V$6+'Ordering Period 3'!$AI$6)*G117</f>
        <v>0</v>
      </c>
      <c r="F117" s="286">
        <f t="shared" ref="F117:F121" si="14">D117+E117</f>
        <v>0</v>
      </c>
      <c r="G117" s="459">
        <v>0.17039460964751096</v>
      </c>
      <c r="H117" s="118"/>
      <c r="I117" s="118"/>
    </row>
    <row r="118" spans="1:9" x14ac:dyDescent="0.25">
      <c r="A118" s="333"/>
      <c r="B118" s="15" t="s">
        <v>205</v>
      </c>
      <c r="C118" s="285">
        <f>SUM('Ordering Period 3'!$F$8:$F$12)*G118</f>
        <v>5729.2339203892307</v>
      </c>
      <c r="D118" s="286">
        <f>(SUM('Ordering Period 3'!$U$8:$U$12)+SUM('Ordering Period 3'!$AH$8:$AH$12))*G118</f>
        <v>0</v>
      </c>
      <c r="E118" s="286">
        <f>(SUM('Ordering Period 3'!$V$8:$V$12)+SUM('Ordering Period 3'!$AI$8:$AI$12))*G118</f>
        <v>0</v>
      </c>
      <c r="F118" s="286">
        <f t="shared" si="14"/>
        <v>0</v>
      </c>
      <c r="G118" s="459">
        <v>5.140894994281342E-2</v>
      </c>
      <c r="H118" s="118"/>
      <c r="I118" s="118"/>
    </row>
    <row r="119" spans="1:9" x14ac:dyDescent="0.25">
      <c r="A119" s="333"/>
      <c r="B119" s="172" t="s">
        <v>212</v>
      </c>
      <c r="C119" s="285">
        <f>'Ordering Period 3'!$F$13*G119</f>
        <v>22432.399451361529</v>
      </c>
      <c r="D119" s="286">
        <f>('Ordering Period 3'!$U$13+'Ordering Period 3'!$AH$13)*G119</f>
        <v>0</v>
      </c>
      <c r="E119" s="286">
        <f>('Ordering Period 3'!$V$13+'Ordering Period 3'!$AI$13)*G119</f>
        <v>0</v>
      </c>
      <c r="F119" s="286">
        <f t="shared" si="14"/>
        <v>0</v>
      </c>
      <c r="G119" s="459">
        <v>0.47499807281743089</v>
      </c>
      <c r="H119" s="118"/>
      <c r="I119" s="118"/>
    </row>
    <row r="120" spans="1:9" x14ac:dyDescent="0.25">
      <c r="A120" s="333"/>
      <c r="B120" s="307" t="s">
        <v>213</v>
      </c>
      <c r="C120" s="285">
        <f>SUM('Ordering Period 3'!$F$14:$F$17)*G120</f>
        <v>4899.2417876500986</v>
      </c>
      <c r="D120" s="286">
        <f>(SUM('Ordering Period 3'!$U$14:$U$17)+SUM('Ordering Period 3'!$AH$14:$AH$17))*G120</f>
        <v>0</v>
      </c>
      <c r="E120" s="286">
        <f>(SUM('Ordering Period 3'!$V$14:$V$17)+SUM('Ordering Period 3'!$AI$14:$AI$17))*G120</f>
        <v>0</v>
      </c>
      <c r="F120" s="286">
        <f t="shared" si="14"/>
        <v>0</v>
      </c>
      <c r="G120" s="459">
        <v>0.18902710188518915</v>
      </c>
      <c r="H120" s="118"/>
      <c r="I120" s="118"/>
    </row>
    <row r="121" spans="1:9" x14ac:dyDescent="0.25">
      <c r="A121" s="333"/>
      <c r="B121" s="455" t="s">
        <v>216</v>
      </c>
      <c r="C121" s="285">
        <f>SUM('Ordering Period 3'!$F$18:$F$21)*G121</f>
        <v>10801.104493056542</v>
      </c>
      <c r="D121" s="286">
        <f>(SUM('Ordering Period 3'!$U$18:$U$21)+SUM('Ordering Period 3'!$AH$18:$AH$21))*G121</f>
        <v>0</v>
      </c>
      <c r="E121" s="286">
        <f>(SUM('Ordering Period 3'!$V$18:$V$21)+SUM('Ordering Period 3'!$AI$18:$AI$21))*G121</f>
        <v>0</v>
      </c>
      <c r="F121" s="286">
        <f t="shared" si="14"/>
        <v>0</v>
      </c>
      <c r="G121" s="459">
        <v>0.29751505252447857</v>
      </c>
      <c r="H121" s="118"/>
      <c r="I121" s="118"/>
    </row>
    <row r="122" spans="1:9" x14ac:dyDescent="0.25">
      <c r="A122" s="371"/>
      <c r="B122" s="298" t="s">
        <v>164</v>
      </c>
      <c r="C122" s="287">
        <f>SUM(C102:C121)</f>
        <v>279365.26965761383</v>
      </c>
      <c r="D122" s="288">
        <f>SUM(D102:D121)</f>
        <v>0</v>
      </c>
      <c r="E122" s="288">
        <f>SUM(E102:E121)</f>
        <v>0</v>
      </c>
      <c r="F122" s="289">
        <f>SUM(F102:F121)</f>
        <v>0</v>
      </c>
      <c r="G122" s="462"/>
      <c r="H122" s="118"/>
      <c r="I122" s="118"/>
    </row>
    <row r="123" spans="1:9" x14ac:dyDescent="0.25">
      <c r="A123" s="372"/>
      <c r="B123" s="297" t="s">
        <v>218</v>
      </c>
      <c r="C123" s="293"/>
      <c r="D123" s="293"/>
      <c r="E123" s="293"/>
      <c r="F123" s="293"/>
      <c r="G123" s="462"/>
    </row>
    <row r="124" spans="1:9" x14ac:dyDescent="0.25">
      <c r="A124" s="492" t="s">
        <v>211</v>
      </c>
      <c r="C124" s="48"/>
      <c r="D124" s="284"/>
      <c r="E124" s="284"/>
      <c r="F124" s="286"/>
      <c r="G124" s="462"/>
    </row>
    <row r="125" spans="1:9" x14ac:dyDescent="0.25">
      <c r="A125" s="373"/>
      <c r="B125" s="9" t="s">
        <v>43</v>
      </c>
      <c r="C125" s="48">
        <f>'Ordering Period 3'!$F$23*G125</f>
        <v>350.79529738630163</v>
      </c>
      <c r="D125" s="284">
        <f>('Ordering Period 3'!$U$23+'Ordering Period 3'!$AH$23)*G125</f>
        <v>0</v>
      </c>
      <c r="E125" s="284">
        <f>('Ordering Period 3'!$V$23+'Ordering Period 3'!$AI$23)*G125</f>
        <v>0</v>
      </c>
      <c r="F125" s="286">
        <f>D125+E125</f>
        <v>0</v>
      </c>
      <c r="G125" s="459">
        <v>5.6784039588844884E-2</v>
      </c>
      <c r="H125" s="459"/>
      <c r="I125" s="459"/>
    </row>
    <row r="126" spans="1:9" x14ac:dyDescent="0.25">
      <c r="A126" s="373"/>
      <c r="B126" s="455" t="s">
        <v>216</v>
      </c>
      <c r="C126" s="48">
        <f>SUM('Ordering Period 3'!$F$35:$F$38)*G126</f>
        <v>5511.8194554931106</v>
      </c>
      <c r="D126" s="284">
        <f>(SUM('Ordering Period 3'!$U$35:$U$38)+SUM('Ordering Period 3'!$AH$35:$AH$38))*G126</f>
        <v>0</v>
      </c>
      <c r="E126" s="284">
        <f>(SUM('Ordering Period 3'!$V$35:$V$38)+SUM('Ordering Period 3'!$AI$35:$AI$38))*G126</f>
        <v>0</v>
      </c>
      <c r="F126" s="286">
        <f t="shared" ref="F126" si="15">D126+E126</f>
        <v>0</v>
      </c>
      <c r="G126" s="459">
        <v>0.35580099510649138</v>
      </c>
      <c r="H126" s="459"/>
      <c r="I126" s="459"/>
    </row>
    <row r="127" spans="1:9" x14ac:dyDescent="0.25">
      <c r="A127" s="492" t="s">
        <v>214</v>
      </c>
      <c r="C127" s="48"/>
      <c r="D127" s="284"/>
      <c r="E127" s="284"/>
      <c r="F127" s="286"/>
      <c r="G127" s="461"/>
    </row>
    <row r="128" spans="1:9" x14ac:dyDescent="0.25">
      <c r="A128" s="373"/>
      <c r="B128" s="9" t="s">
        <v>43</v>
      </c>
      <c r="C128" s="48">
        <f>'Ordering Period 3'!$F$23*G128</f>
        <v>5356.7902939192654</v>
      </c>
      <c r="D128" s="284">
        <f>('Ordering Period 3'!$U$23+'Ordering Period 3'!$AH$23)*G128</f>
        <v>0</v>
      </c>
      <c r="E128" s="284">
        <f>('Ordering Period 3'!$V$23+'Ordering Period 3'!$AI$23)*G128</f>
        <v>0</v>
      </c>
      <c r="F128" s="286">
        <f t="shared" ref="F128:F129" si="16">D128+E128</f>
        <v>0</v>
      </c>
      <c r="G128" s="459">
        <v>0.8671159345220163</v>
      </c>
    </row>
    <row r="129" spans="1:9" x14ac:dyDescent="0.25">
      <c r="A129" s="373"/>
      <c r="B129" s="455" t="s">
        <v>216</v>
      </c>
      <c r="C129" s="48">
        <f>SUM('Ordering Period 3'!$F$35:$F$38)*G129</f>
        <v>6818.1016712170331</v>
      </c>
      <c r="D129" s="284">
        <f>(SUM('Ordering Period 3'!$U$35:$U$38)+SUM('Ordering Period 3'!$AH$35:$AH$38))*G129</f>
        <v>0</v>
      </c>
      <c r="E129" s="284">
        <f>(SUM('Ordering Period 3'!$V$35:$V$38)+SUM('Ordering Period 3'!$AI$35:$AI$38))*G129</f>
        <v>0</v>
      </c>
      <c r="F129" s="286">
        <f t="shared" si="16"/>
        <v>0</v>
      </c>
      <c r="G129" s="459">
        <v>0.44012460475979476</v>
      </c>
    </row>
    <row r="130" spans="1:9" x14ac:dyDescent="0.25">
      <c r="A130" s="492" t="s">
        <v>215</v>
      </c>
      <c r="C130" s="48"/>
      <c r="D130" s="284"/>
      <c r="E130" s="284"/>
      <c r="F130" s="286"/>
      <c r="G130" s="461"/>
    </row>
    <row r="131" spans="1:9" x14ac:dyDescent="0.25">
      <c r="A131" s="373"/>
      <c r="B131" s="9" t="s">
        <v>43</v>
      </c>
      <c r="C131" s="48">
        <f>'Ordering Period 3'!$F$23*G131</f>
        <v>470.12384828870182</v>
      </c>
      <c r="D131" s="284">
        <f>('Ordering Period 3'!$U$23+'Ordering Period 3'!$AH$23)*G131</f>
        <v>0</v>
      </c>
      <c r="E131" s="284">
        <f>('Ordering Period 3'!$V$23+'Ordering Period 3'!$AI$23)*G131</f>
        <v>0</v>
      </c>
      <c r="F131" s="286">
        <f t="shared" ref="F131:F135" si="17">D131+E131</f>
        <v>0</v>
      </c>
      <c r="G131" s="459">
        <v>7.6100025889138945E-2</v>
      </c>
    </row>
    <row r="132" spans="1:9" x14ac:dyDescent="0.25">
      <c r="A132" s="373"/>
      <c r="B132" s="172" t="s">
        <v>205</v>
      </c>
      <c r="C132" s="48">
        <f>SUM('Ordering Period 3'!$F$25:$F$29)</f>
        <v>6804.5993827264738</v>
      </c>
      <c r="D132" s="284">
        <f>SUM('Ordering Period 3'!$U$25:$U$29)+SUM('Ordering Period 3'!$AH$25:$AH$29)</f>
        <v>0</v>
      </c>
      <c r="E132" s="284">
        <f>SUM('Ordering Period 3'!$V$25:$V$29)+SUM('Ordering Period 3'!$AI$25:$AI$29)</f>
        <v>0</v>
      </c>
      <c r="F132" s="286">
        <f t="shared" si="17"/>
        <v>0</v>
      </c>
      <c r="G132" s="459">
        <v>1</v>
      </c>
    </row>
    <row r="133" spans="1:9" x14ac:dyDescent="0.25">
      <c r="A133" s="373"/>
      <c r="B133" s="172" t="s">
        <v>212</v>
      </c>
      <c r="C133" s="48">
        <f>'Ordering Period 3'!$F$30</f>
        <v>3764.1996585337838</v>
      </c>
      <c r="D133" s="284">
        <f>'Ordering Period 3'!$U$30+'Ordering Period 3'!$AH$30</f>
        <v>0</v>
      </c>
      <c r="E133" s="284">
        <f>'Ordering Period 3'!$V$30+'Ordering Period 3'!$AI$30</f>
        <v>0</v>
      </c>
      <c r="F133" s="286">
        <f t="shared" si="17"/>
        <v>0</v>
      </c>
      <c r="G133" s="459">
        <v>1</v>
      </c>
    </row>
    <row r="134" spans="1:9" x14ac:dyDescent="0.25">
      <c r="A134" s="373"/>
      <c r="B134" s="9" t="s">
        <v>213</v>
      </c>
      <c r="C134" s="48">
        <f>SUM('Ordering Period 3'!$F$31:$F$34)</f>
        <v>5674.8994852062524</v>
      </c>
      <c r="D134" s="284">
        <f>SUM('Ordering Period 3'!$U$31:$U$34)+SUM('Ordering Period 3'!$AH$31:$AH$34)</f>
        <v>0</v>
      </c>
      <c r="E134" s="284">
        <f>SUM('Ordering Period 3'!$V$31:$V$34)+SUM('Ordering Period 3'!$AI$31:$AI$34)</f>
        <v>0</v>
      </c>
      <c r="F134" s="286">
        <f t="shared" si="17"/>
        <v>0</v>
      </c>
      <c r="G134" s="459">
        <v>1</v>
      </c>
    </row>
    <row r="135" spans="1:9" x14ac:dyDescent="0.25">
      <c r="A135" s="373"/>
      <c r="B135" s="455" t="s">
        <v>216</v>
      </c>
      <c r="C135" s="48">
        <f>SUM('Ordering Period 3'!$F$35:$F$38)*G135</f>
        <v>3161.3774680096958</v>
      </c>
      <c r="D135" s="284">
        <f>(SUM('Ordering Period 3'!$U$35:$U$38)+SUM('Ordering Period 3'!$AH$35:$AH$38))*G135</f>
        <v>0</v>
      </c>
      <c r="E135" s="284">
        <f>(SUM('Ordering Period 3'!$V$35:$V$38)+SUM('Ordering Period 3'!$AI$35:$AI$38))*G135</f>
        <v>0</v>
      </c>
      <c r="F135" s="286">
        <f t="shared" si="17"/>
        <v>0</v>
      </c>
      <c r="G135" s="459">
        <v>0.20407440013371386</v>
      </c>
    </row>
    <row r="136" spans="1:9" x14ac:dyDescent="0.25">
      <c r="A136" s="374"/>
      <c r="B136" s="299" t="s">
        <v>165</v>
      </c>
      <c r="C136" s="287">
        <f>SUM(C124:C135)</f>
        <v>37912.706560780622</v>
      </c>
      <c r="D136" s="289">
        <f>SUM(D124:D135)</f>
        <v>0</v>
      </c>
      <c r="E136" s="289">
        <f>SUM(E124:E135)</f>
        <v>0</v>
      </c>
      <c r="F136" s="289">
        <f>SUM(F124:F135)</f>
        <v>0</v>
      </c>
      <c r="G136" s="463"/>
      <c r="H136" s="234"/>
      <c r="I136" s="234"/>
    </row>
    <row r="137" spans="1:9" x14ac:dyDescent="0.25">
      <c r="A137" s="372"/>
      <c r="B137" s="297" t="s">
        <v>260</v>
      </c>
      <c r="C137" s="293"/>
      <c r="D137" s="293"/>
      <c r="E137" s="293"/>
      <c r="F137" s="293"/>
    </row>
    <row r="138" spans="1:9" x14ac:dyDescent="0.25">
      <c r="A138" s="374" t="s">
        <v>211</v>
      </c>
      <c r="B138" s="117" t="s">
        <v>242</v>
      </c>
      <c r="C138" s="117"/>
      <c r="D138" s="284">
        <f>'Ordering Period 3'!$F$60*'CLINs - Detail'!G138</f>
        <v>1577309.4282369376</v>
      </c>
      <c r="E138" s="290"/>
      <c r="F138" s="291">
        <f>D138</f>
        <v>1577309.4282369376</v>
      </c>
      <c r="G138" s="459">
        <v>0.19895838011042352</v>
      </c>
      <c r="H138" s="117"/>
      <c r="I138" s="117"/>
    </row>
    <row r="139" spans="1:9" x14ac:dyDescent="0.25">
      <c r="A139" s="374" t="s">
        <v>214</v>
      </c>
      <c r="B139" s="117" t="s">
        <v>242</v>
      </c>
      <c r="C139" s="117"/>
      <c r="D139" s="284">
        <f>'Ordering Period 3'!$F$60*'CLINs - Detail'!G139</f>
        <v>2730675.0985066346</v>
      </c>
      <c r="E139" s="290"/>
      <c r="F139" s="291">
        <f t="shared" ref="F139:F140" si="18">D139</f>
        <v>2730675.0985066346</v>
      </c>
      <c r="G139" s="459">
        <v>0.34444141680812934</v>
      </c>
      <c r="H139" s="117"/>
      <c r="I139" s="117"/>
    </row>
    <row r="140" spans="1:9" x14ac:dyDescent="0.25">
      <c r="A140" s="374" t="s">
        <v>215</v>
      </c>
      <c r="B140" s="117" t="s">
        <v>242</v>
      </c>
      <c r="C140" s="117"/>
      <c r="D140" s="284">
        <f>'Ordering Period 3'!$F$60*'CLINs - Detail'!G140</f>
        <v>3619851.5732564274</v>
      </c>
      <c r="E140" s="290"/>
      <c r="F140" s="291">
        <f t="shared" si="18"/>
        <v>3619851.5732564274</v>
      </c>
      <c r="G140" s="459">
        <v>0.45660020308144711</v>
      </c>
      <c r="H140" s="117"/>
      <c r="I140" s="117"/>
    </row>
    <row r="141" spans="1:9" x14ac:dyDescent="0.25">
      <c r="A141" s="375"/>
      <c r="B141" s="299" t="s">
        <v>244</v>
      </c>
      <c r="C141" s="117"/>
      <c r="D141" s="288">
        <f>SUM(D138:D140)</f>
        <v>7927836.0999999996</v>
      </c>
      <c r="E141" s="290"/>
      <c r="F141" s="464">
        <f>SUM(F138:F140)</f>
        <v>7927836.0999999996</v>
      </c>
      <c r="G141" s="459"/>
      <c r="H141" s="117"/>
      <c r="I141" s="117"/>
    </row>
    <row r="142" spans="1:9" x14ac:dyDescent="0.25">
      <c r="A142" s="372"/>
      <c r="B142" s="297" t="s">
        <v>261</v>
      </c>
      <c r="C142" s="293"/>
      <c r="D142" s="293"/>
      <c r="E142" s="293"/>
      <c r="F142" s="293"/>
    </row>
    <row r="143" spans="1:9" x14ac:dyDescent="0.25">
      <c r="A143" s="374" t="s">
        <v>211</v>
      </c>
      <c r="B143" s="117" t="s">
        <v>245</v>
      </c>
      <c r="C143" s="117"/>
      <c r="D143" s="284">
        <f>'Ordering Period 3'!$F$67*'CLINs - Detail'!G143</f>
        <v>379366.4758911244</v>
      </c>
      <c r="E143" s="290"/>
      <c r="F143" s="291">
        <f>D143</f>
        <v>379366.4758911244</v>
      </c>
      <c r="G143" s="459">
        <v>0.19895838011042352</v>
      </c>
      <c r="H143" s="117"/>
      <c r="I143" s="117"/>
    </row>
    <row r="144" spans="1:9" x14ac:dyDescent="0.25">
      <c r="A144" s="374" t="s">
        <v>214</v>
      </c>
      <c r="B144" s="117" t="s">
        <v>245</v>
      </c>
      <c r="C144" s="117"/>
      <c r="D144" s="284">
        <f>'Ordering Period 3'!$F$67*'CLINs - Detail'!G144</f>
        <v>656768.14604603872</v>
      </c>
      <c r="E144" s="290"/>
      <c r="F144" s="291">
        <f t="shared" ref="F144:F145" si="19">D144</f>
        <v>656768.14604603872</v>
      </c>
      <c r="G144" s="459">
        <v>0.34444141680812934</v>
      </c>
      <c r="H144" s="117"/>
      <c r="I144" s="117"/>
    </row>
    <row r="145" spans="1:9" x14ac:dyDescent="0.25">
      <c r="A145" s="374" t="s">
        <v>215</v>
      </c>
      <c r="B145" s="117" t="s">
        <v>245</v>
      </c>
      <c r="C145" s="117"/>
      <c r="D145" s="284">
        <f>'Ordering Period 3'!$F$67*'CLINs - Detail'!G145</f>
        <v>870628.36879774788</v>
      </c>
      <c r="E145" s="290"/>
      <c r="F145" s="291">
        <f t="shared" si="19"/>
        <v>870628.36879774788</v>
      </c>
      <c r="G145" s="459">
        <v>0.45660020308144711</v>
      </c>
      <c r="H145" s="117"/>
      <c r="I145" s="117"/>
    </row>
    <row r="146" spans="1:9" x14ac:dyDescent="0.25">
      <c r="A146" s="375"/>
      <c r="B146" s="299" t="s">
        <v>262</v>
      </c>
      <c r="C146" s="117"/>
      <c r="D146" s="288">
        <f>SUM(D143:D145)</f>
        <v>1906762.9907349111</v>
      </c>
      <c r="E146" s="290"/>
      <c r="F146" s="464">
        <f>SUM(F143:F145)</f>
        <v>1906762.9907349111</v>
      </c>
      <c r="G146" s="459"/>
      <c r="H146" s="117"/>
      <c r="I146" s="117"/>
    </row>
    <row r="147" spans="1:9" x14ac:dyDescent="0.25">
      <c r="A147" s="598"/>
      <c r="B147" s="599" t="s">
        <v>177</v>
      </c>
      <c r="C147" s="600">
        <f>C122+C136</f>
        <v>317277.97621839447</v>
      </c>
      <c r="D147" s="601">
        <f>D122+D136+D141+D146</f>
        <v>9834599.0907349102</v>
      </c>
      <c r="E147" s="601">
        <f>E122+E136</f>
        <v>0</v>
      </c>
      <c r="F147" s="601">
        <f>F122+F136+F141+F146</f>
        <v>9834599.0907349102</v>
      </c>
      <c r="G147" s="292"/>
      <c r="H147" s="292">
        <f>'Ordering Period 3'!F70</f>
        <v>9834599.0907349102</v>
      </c>
      <c r="I147" s="283">
        <f>F147-H147</f>
        <v>0</v>
      </c>
    </row>
    <row r="148" spans="1:9" x14ac:dyDescent="0.25">
      <c r="A148" s="606" t="s">
        <v>51</v>
      </c>
      <c r="B148" s="607"/>
      <c r="C148" s="608"/>
      <c r="D148" s="608"/>
      <c r="E148" s="608"/>
      <c r="F148" s="608"/>
      <c r="G148" s="456"/>
      <c r="H148"/>
    </row>
    <row r="149" spans="1:9" x14ac:dyDescent="0.25">
      <c r="A149" s="281" t="s">
        <v>162</v>
      </c>
      <c r="B149" s="281" t="s">
        <v>161</v>
      </c>
      <c r="C149" s="282" t="s">
        <v>188</v>
      </c>
      <c r="D149" s="282" t="s">
        <v>99</v>
      </c>
      <c r="E149" s="282" t="s">
        <v>100</v>
      </c>
      <c r="F149" s="282" t="s">
        <v>118</v>
      </c>
      <c r="G149" s="456"/>
      <c r="H149"/>
    </row>
    <row r="150" spans="1:9" x14ac:dyDescent="0.25">
      <c r="A150" s="370"/>
      <c r="B150" s="294" t="s">
        <v>217</v>
      </c>
      <c r="C150" s="295"/>
      <c r="D150" s="295"/>
      <c r="E150" s="295"/>
      <c r="F150" s="296"/>
      <c r="G150" s="457"/>
      <c r="H150" s="172"/>
      <c r="I150" s="15"/>
    </row>
    <row r="151" spans="1:9" s="15" customFormat="1" x14ac:dyDescent="0.25">
      <c r="A151" s="234" t="s">
        <v>259</v>
      </c>
      <c r="B151" s="491"/>
      <c r="C151" s="593"/>
      <c r="D151" s="593"/>
      <c r="E151" s="593"/>
      <c r="F151" s="594"/>
      <c r="G151" s="457"/>
      <c r="H151" s="172"/>
    </row>
    <row r="152" spans="1:9" s="15" customFormat="1" x14ac:dyDescent="0.25">
      <c r="A152" s="333"/>
      <c r="B152" s="172" t="s">
        <v>42</v>
      </c>
      <c r="C152" s="285">
        <f>'Ordering Period 4'!F5</f>
        <v>19114.698266026175</v>
      </c>
      <c r="D152" s="286">
        <f>'Ordering Period 4'!U5+'Ordering Period 4'!AH5</f>
        <v>0</v>
      </c>
      <c r="E152" s="286">
        <f>'Ordering Period 4'!V5+'Ordering Period 4'!AI5</f>
        <v>0</v>
      </c>
      <c r="F152" s="286">
        <f>D152+E152</f>
        <v>0</v>
      </c>
      <c r="G152" s="457"/>
      <c r="H152" s="172"/>
    </row>
    <row r="153" spans="1:9" x14ac:dyDescent="0.25">
      <c r="A153" s="234" t="s">
        <v>211</v>
      </c>
      <c r="C153" s="285"/>
      <c r="D153" s="286"/>
      <c r="E153" s="286"/>
    </row>
    <row r="154" spans="1:9" x14ac:dyDescent="0.25">
      <c r="A154" s="333"/>
      <c r="B154" s="172" t="s">
        <v>43</v>
      </c>
      <c r="C154" s="285">
        <f>'Ordering Period 4'!$F$6*G154</f>
        <v>2143.2069039054986</v>
      </c>
      <c r="D154" s="286">
        <f>('Ordering Period 4'!$U$6+'Ordering Period 4'!$AH$6)*G154</f>
        <v>0</v>
      </c>
      <c r="E154" s="286">
        <f>('Ordering Period 4'!$V$6+'Ordering Period 4'!$AI$6)*G154</f>
        <v>0</v>
      </c>
      <c r="F154" s="286">
        <f t="shared" ref="F154:F158" si="20">D154+E154</f>
        <v>0</v>
      </c>
      <c r="G154" s="459">
        <v>5.4455003902690105E-2</v>
      </c>
      <c r="H154" s="459"/>
      <c r="I154" s="459"/>
    </row>
    <row r="155" spans="1:9" x14ac:dyDescent="0.25">
      <c r="A155" s="333"/>
      <c r="B155" s="15" t="s">
        <v>205</v>
      </c>
      <c r="C155" s="285">
        <f>SUM('Ordering Period 4'!$F$8:$F$12)*G155</f>
        <v>49017.31063192484</v>
      </c>
      <c r="D155" s="286">
        <f>(SUM('Ordering Period 4'!$U$8:$U$12)+SUM('Ordering Period 4'!$AH$8:$AH$12))*G155</f>
        <v>0</v>
      </c>
      <c r="E155" s="286">
        <f>(SUM('Ordering Period 4'!$V$8:$V$12)+SUM('Ordering Period 4'!$AI$8:$AI$12))*G155</f>
        <v>0</v>
      </c>
      <c r="F155" s="286">
        <f t="shared" si="20"/>
        <v>0</v>
      </c>
      <c r="G155" s="459">
        <v>0.4398368968039556</v>
      </c>
      <c r="H155" s="459"/>
      <c r="I155" s="459"/>
    </row>
    <row r="156" spans="1:9" x14ac:dyDescent="0.25">
      <c r="A156" s="333"/>
      <c r="B156" s="172" t="s">
        <v>212</v>
      </c>
      <c r="C156" s="285">
        <f>'Ordering Period 4'!$F$13*G156</f>
        <v>3914.752130559275</v>
      </c>
      <c r="D156" s="286">
        <f>('Ordering Period 4'!$U$13+'Ordering Period 4'!$AH$13)*G156</f>
        <v>0</v>
      </c>
      <c r="E156" s="286">
        <f>('Ordering Period 4'!$V$13+'Ordering Period 4'!$AI$13)*G156</f>
        <v>0</v>
      </c>
      <c r="F156" s="286">
        <f t="shared" si="20"/>
        <v>0</v>
      </c>
      <c r="G156" s="459">
        <v>8.2893482777239208E-2</v>
      </c>
      <c r="H156" s="459"/>
      <c r="I156" s="459"/>
    </row>
    <row r="157" spans="1:9" x14ac:dyDescent="0.25">
      <c r="A157" s="333"/>
      <c r="B157" s="307" t="s">
        <v>213</v>
      </c>
      <c r="C157" s="285">
        <f>SUM('Ordering Period 4'!$F$14:$F$17)*G157</f>
        <v>9624.5668972408585</v>
      </c>
      <c r="D157" s="286">
        <f>(SUM('Ordering Period 4'!$U$14:$U$17)+SUM('Ordering Period 4'!$AH$14:$AH$17))*G157</f>
        <v>0</v>
      </c>
      <c r="E157" s="286">
        <f>(SUM('Ordering Period 4'!$V$14:$V$17)+SUM('Ordering Period 4'!$AI$14:$AI$17))*G157</f>
        <v>0</v>
      </c>
      <c r="F157" s="286">
        <f t="shared" si="20"/>
        <v>0</v>
      </c>
      <c r="G157" s="459">
        <v>0.37134398879263891</v>
      </c>
      <c r="H157" s="459"/>
      <c r="I157" s="459"/>
    </row>
    <row r="158" spans="1:9" x14ac:dyDescent="0.25">
      <c r="A158" s="333"/>
      <c r="B158" s="455" t="s">
        <v>216</v>
      </c>
      <c r="C158" s="285">
        <f>SUM('Ordering Period 4'!$F$18:$F$21)*G158</f>
        <v>11399.669608753975</v>
      </c>
      <c r="D158" s="286">
        <f>(SUM('Ordering Period 4'!$U$18:$U$21)+SUM('Ordering Period 4'!$AH$18:$AH$21))*G158</f>
        <v>0</v>
      </c>
      <c r="E158" s="286">
        <f>(SUM('Ordering Period 4'!$V$18:$V$21)+SUM('Ordering Period 4'!$AI$18:$AI$21))*G158</f>
        <v>0</v>
      </c>
      <c r="F158" s="286">
        <f t="shared" si="20"/>
        <v>0</v>
      </c>
      <c r="G158" s="459">
        <v>0.31400245267420601</v>
      </c>
      <c r="H158" s="459"/>
      <c r="I158" s="459"/>
    </row>
    <row r="159" spans="1:9" x14ac:dyDescent="0.25">
      <c r="A159" s="491" t="s">
        <v>214</v>
      </c>
      <c r="B159" s="172"/>
      <c r="C159" s="285"/>
      <c r="D159" s="286"/>
      <c r="E159" s="286"/>
      <c r="F159" s="286"/>
      <c r="G159" s="460"/>
      <c r="H159"/>
    </row>
    <row r="160" spans="1:9" x14ac:dyDescent="0.25">
      <c r="A160" s="333"/>
      <c r="B160" s="172" t="s">
        <v>43</v>
      </c>
      <c r="C160" s="285">
        <f>'Ordering Period 4'!$F$6*G160</f>
        <v>30507.897176409075</v>
      </c>
      <c r="D160" s="286">
        <f>('Ordering Period 4'!$U$6+'Ordering Period 4'!$AH$6)*G160</f>
        <v>0</v>
      </c>
      <c r="E160" s="286">
        <f>('Ordering Period 4'!$V$6+'Ordering Period 4'!$AI$6)*G160</f>
        <v>0</v>
      </c>
      <c r="F160" s="286">
        <f t="shared" ref="F160:F164" si="21">D160+E160</f>
        <v>0</v>
      </c>
      <c r="G160" s="459">
        <v>0.77515038644979906</v>
      </c>
      <c r="H160"/>
    </row>
    <row r="161" spans="1:9" x14ac:dyDescent="0.25">
      <c r="A161" s="333"/>
      <c r="B161" s="15" t="s">
        <v>205</v>
      </c>
      <c r="C161" s="285">
        <f>SUM('Ordering Period 4'!$F$8:$F$12)*G161</f>
        <v>56697.745338110632</v>
      </c>
      <c r="D161" s="286">
        <f>(SUM('Ordering Period 4'!$U$8:$U$12)+SUM('Ordering Period 4'!$AH$8:$AH$12))*G161</f>
        <v>0</v>
      </c>
      <c r="E161" s="286">
        <f>(SUM('Ordering Period 4'!$V$8:$V$12)+SUM('Ordering Period 4'!$AI$8:$AI$12))*G161</f>
        <v>0</v>
      </c>
      <c r="F161" s="286">
        <f t="shared" si="21"/>
        <v>0</v>
      </c>
      <c r="G161" s="459">
        <v>0.50875415325323103</v>
      </c>
      <c r="H161"/>
    </row>
    <row r="162" spans="1:9" x14ac:dyDescent="0.25">
      <c r="A162" s="333"/>
      <c r="B162" s="172" t="s">
        <v>212</v>
      </c>
      <c r="C162" s="285">
        <f>'Ordering Period 4'!$F$13*G162</f>
        <v>20879.144133985385</v>
      </c>
      <c r="D162" s="286">
        <f>('Ordering Period 4'!$U$13+'Ordering Period 4'!$AH$13)*G162</f>
        <v>0</v>
      </c>
      <c r="E162" s="286">
        <f>('Ordering Period 4'!$V$13+'Ordering Period 4'!$AI$13)*G162</f>
        <v>0</v>
      </c>
      <c r="F162" s="286">
        <f t="shared" si="21"/>
        <v>0</v>
      </c>
      <c r="G162" s="459">
        <v>0.44210844440532998</v>
      </c>
      <c r="H162"/>
    </row>
    <row r="163" spans="1:9" x14ac:dyDescent="0.25">
      <c r="A163" s="333"/>
      <c r="B163" s="307" t="s">
        <v>213</v>
      </c>
      <c r="C163" s="285">
        <f>SUM('Ordering Period 4'!$F$14:$F$17)*G163</f>
        <v>11394.388963961475</v>
      </c>
      <c r="D163" s="286">
        <f>(SUM('Ordering Period 4'!$U$14:$U$17)+SUM('Ordering Period 4'!$AH$14:$AH$17))*G163</f>
        <v>0</v>
      </c>
      <c r="E163" s="286">
        <f>(SUM('Ordering Period 4'!$V$14:$V$17)+SUM('Ordering Period 4'!$AI$14:$AI$17))*G163</f>
        <v>0</v>
      </c>
      <c r="F163" s="286">
        <f t="shared" si="21"/>
        <v>0</v>
      </c>
      <c r="G163" s="459">
        <v>0.43962890932217186</v>
      </c>
      <c r="H163"/>
    </row>
    <row r="164" spans="1:9" x14ac:dyDescent="0.25">
      <c r="A164" s="333"/>
      <c r="B164" s="455" t="s">
        <v>216</v>
      </c>
      <c r="C164" s="285">
        <f>SUM('Ordering Period 4'!$F$18:$F$21)*G164</f>
        <v>14103.622604866579</v>
      </c>
      <c r="D164" s="286">
        <f>(SUM('Ordering Period 4'!$U$18:$U$21)+SUM('Ordering Period 4'!$AH$18:$AH$21))*G164</f>
        <v>0</v>
      </c>
      <c r="E164" s="286">
        <f>(SUM('Ordering Period 4'!$V$18:$V$21)+SUM('Ordering Period 4'!$AI$18:$AI$21))*G164</f>
        <v>0</v>
      </c>
      <c r="F164" s="286">
        <f t="shared" si="21"/>
        <v>0</v>
      </c>
      <c r="G164" s="459">
        <v>0.38848249480131553</v>
      </c>
      <c r="H164" s="118"/>
      <c r="I164" s="118"/>
    </row>
    <row r="165" spans="1:9" x14ac:dyDescent="0.25">
      <c r="A165" s="491" t="s">
        <v>215</v>
      </c>
      <c r="B165" s="172"/>
      <c r="C165" s="48"/>
      <c r="D165" s="284"/>
      <c r="E165" s="284"/>
      <c r="F165" s="286"/>
      <c r="G165" s="461"/>
      <c r="H165" s="118"/>
      <c r="I165" s="118"/>
    </row>
    <row r="166" spans="1:9" x14ac:dyDescent="0.25">
      <c r="A166" s="333"/>
      <c r="B166" s="172" t="s">
        <v>43</v>
      </c>
      <c r="C166" s="285">
        <f>'Ordering Period 4'!$F$6*G166</f>
        <v>6706.2873494126652</v>
      </c>
      <c r="D166" s="286">
        <f>('Ordering Period 4'!$U$6+'Ordering Period 4'!$AH$6)*G166</f>
        <v>0</v>
      </c>
      <c r="E166" s="286">
        <f>('Ordering Period 4'!$V$6+'Ordering Period 4'!$AI$6)*G166</f>
        <v>0</v>
      </c>
      <c r="F166" s="286">
        <f t="shared" ref="F166:F170" si="22">D166+E166</f>
        <v>0</v>
      </c>
      <c r="G166" s="459">
        <v>0.17039460964751096</v>
      </c>
      <c r="H166" s="118"/>
      <c r="I166" s="118"/>
    </row>
    <row r="167" spans="1:9" x14ac:dyDescent="0.25">
      <c r="A167" s="333"/>
      <c r="B167" s="15" t="s">
        <v>205</v>
      </c>
      <c r="C167" s="285">
        <f>SUM('Ordering Period 4'!$F$8:$F$12)*G167</f>
        <v>5729.2339203892307</v>
      </c>
      <c r="D167" s="286">
        <f>(SUM('Ordering Period 4'!$U$8:$U$12)+SUM('Ordering Period 4'!$AH$8:$AH$12))*G167</f>
        <v>0</v>
      </c>
      <c r="E167" s="286">
        <f>(SUM('Ordering Period 4'!$V$8:$V$12)+SUM('Ordering Period 4'!$AI$8:$AI$12))*G167</f>
        <v>0</v>
      </c>
      <c r="F167" s="286">
        <f t="shared" si="22"/>
        <v>0</v>
      </c>
      <c r="G167" s="459">
        <v>5.140894994281342E-2</v>
      </c>
      <c r="H167" s="118"/>
      <c r="I167" s="118"/>
    </row>
    <row r="168" spans="1:9" x14ac:dyDescent="0.25">
      <c r="A168" s="333"/>
      <c r="B168" s="172" t="s">
        <v>212</v>
      </c>
      <c r="C168" s="285">
        <f>'Ordering Period 4'!$F$13*G168</f>
        <v>22432.399451361529</v>
      </c>
      <c r="D168" s="286">
        <f>('Ordering Period 4'!$U$13+'Ordering Period 4'!$AH$13)*G168</f>
        <v>0</v>
      </c>
      <c r="E168" s="286">
        <f>('Ordering Period 4'!$V$13+'Ordering Period 4'!$AI$13)*G168</f>
        <v>0</v>
      </c>
      <c r="F168" s="286">
        <f t="shared" si="22"/>
        <v>0</v>
      </c>
      <c r="G168" s="459">
        <v>0.47499807281743089</v>
      </c>
      <c r="H168" s="118"/>
      <c r="I168" s="118"/>
    </row>
    <row r="169" spans="1:9" x14ac:dyDescent="0.25">
      <c r="A169" s="333"/>
      <c r="B169" s="307" t="s">
        <v>213</v>
      </c>
      <c r="C169" s="285">
        <f>SUM('Ordering Period 4'!$F$14:$F$17)*G169</f>
        <v>4899.2417876500986</v>
      </c>
      <c r="D169" s="286">
        <f>(SUM('Ordering Period 4'!$U$14:$U$17)+SUM('Ordering Period 4'!$AH$14:$AH$17))*G169</f>
        <v>0</v>
      </c>
      <c r="E169" s="286">
        <f>(SUM('Ordering Period 4'!$V$14:$V$17)+SUM('Ordering Period 4'!$AI$14:$AI$17))*G169</f>
        <v>0</v>
      </c>
      <c r="F169" s="286">
        <f t="shared" si="22"/>
        <v>0</v>
      </c>
      <c r="G169" s="459">
        <v>0.18902710188518915</v>
      </c>
      <c r="H169" s="118"/>
      <c r="I169" s="118"/>
    </row>
    <row r="170" spans="1:9" x14ac:dyDescent="0.25">
      <c r="A170" s="333"/>
      <c r="B170" s="455" t="s">
        <v>216</v>
      </c>
      <c r="C170" s="285">
        <f>SUM('Ordering Period 4'!$F$18:$F$21)*G170</f>
        <v>10801.104493056542</v>
      </c>
      <c r="D170" s="286">
        <f>(SUM('Ordering Period 4'!$U$18:$U$21)+SUM('Ordering Period 4'!$AH$18:$AH$21))*G170</f>
        <v>0</v>
      </c>
      <c r="E170" s="286">
        <f>(SUM('Ordering Period 4'!$V$18:$V$21)+SUM('Ordering Period 4'!$AI$18:$AI$21))*G170</f>
        <v>0</v>
      </c>
      <c r="F170" s="286">
        <f t="shared" si="22"/>
        <v>0</v>
      </c>
      <c r="G170" s="459">
        <v>0.29751505252447857</v>
      </c>
      <c r="H170" s="118"/>
      <c r="I170" s="118"/>
    </row>
    <row r="171" spans="1:9" x14ac:dyDescent="0.25">
      <c r="A171" s="371"/>
      <c r="B171" s="298" t="s">
        <v>164</v>
      </c>
      <c r="C171" s="287">
        <f>SUM(C151:C170)</f>
        <v>279365.26965761383</v>
      </c>
      <c r="D171" s="288">
        <f>SUM(D151:D170)</f>
        <v>0</v>
      </c>
      <c r="E171" s="288">
        <f>SUM(E151:E170)</f>
        <v>0</v>
      </c>
      <c r="F171" s="289">
        <f>SUM(F151:F170)</f>
        <v>0</v>
      </c>
      <c r="G171" s="462"/>
      <c r="H171" s="118"/>
      <c r="I171" s="118"/>
    </row>
    <row r="172" spans="1:9" x14ac:dyDescent="0.25">
      <c r="A172" s="372"/>
      <c r="B172" s="297" t="s">
        <v>218</v>
      </c>
      <c r="C172" s="293"/>
      <c r="D172" s="293"/>
      <c r="E172" s="293"/>
      <c r="F172" s="293"/>
      <c r="G172" s="462"/>
    </row>
    <row r="173" spans="1:9" x14ac:dyDescent="0.25">
      <c r="A173" s="492" t="s">
        <v>211</v>
      </c>
      <c r="C173" s="48"/>
      <c r="D173" s="284"/>
      <c r="E173" s="284"/>
      <c r="F173" s="286"/>
      <c r="G173" s="462"/>
    </row>
    <row r="174" spans="1:9" x14ac:dyDescent="0.25">
      <c r="A174" s="373"/>
      <c r="B174" s="9" t="s">
        <v>43</v>
      </c>
      <c r="C174" s="48">
        <f>'Ordering Period 4'!$F$23*G174</f>
        <v>350.79529738630163</v>
      </c>
      <c r="D174" s="284">
        <f>('Ordering Period 4'!$U$23+'Ordering Period 4'!$AH$23)*G174</f>
        <v>0</v>
      </c>
      <c r="E174" s="284">
        <f>('Ordering Period 4'!$V$23+'Ordering Period 4'!$AI$23)*G174</f>
        <v>0</v>
      </c>
      <c r="F174" s="286">
        <f>D174+E174</f>
        <v>0</v>
      </c>
      <c r="G174" s="459">
        <v>5.6784039588844884E-2</v>
      </c>
      <c r="H174" s="459"/>
      <c r="I174" s="459"/>
    </row>
    <row r="175" spans="1:9" x14ac:dyDescent="0.25">
      <c r="A175" s="373"/>
      <c r="B175" s="455" t="s">
        <v>216</v>
      </c>
      <c r="C175" s="48">
        <f>SUM('Ordering Period 4'!$F$35:$F$38)*G175</f>
        <v>5511.8194554931106</v>
      </c>
      <c r="D175" s="284">
        <f>(SUM('Ordering Period 4'!$U$35:$U$38)+SUM('Ordering Period 4'!$AH$35:$AH$38))*G175</f>
        <v>0</v>
      </c>
      <c r="E175" s="284">
        <f>(SUM('Ordering Period 4'!$V$35:$V$38)+SUM('Ordering Period 4'!$AI$35:$AI$38))*G175</f>
        <v>0</v>
      </c>
      <c r="F175" s="286">
        <f t="shared" ref="F175" si="23">D175+E175</f>
        <v>0</v>
      </c>
      <c r="G175" s="459">
        <v>0.35580099510649138</v>
      </c>
      <c r="H175" s="459"/>
      <c r="I175" s="459"/>
    </row>
    <row r="176" spans="1:9" x14ac:dyDescent="0.25">
      <c r="A176" s="492" t="s">
        <v>214</v>
      </c>
      <c r="C176" s="48"/>
      <c r="D176" s="284"/>
      <c r="E176" s="284"/>
      <c r="F176" s="286"/>
      <c r="G176" s="461"/>
    </row>
    <row r="177" spans="1:9" x14ac:dyDescent="0.25">
      <c r="A177" s="373"/>
      <c r="B177" s="9" t="s">
        <v>43</v>
      </c>
      <c r="C177" s="48">
        <f>'Ordering Period 4'!$F$23*G177</f>
        <v>5356.7902939192654</v>
      </c>
      <c r="D177" s="284">
        <f>('Ordering Period 4'!$U$23+'Ordering Period 4'!$AH$23)*G177</f>
        <v>0</v>
      </c>
      <c r="E177" s="284">
        <f>('Ordering Period 4'!$V$23+'Ordering Period 4'!$AI$23)*G177</f>
        <v>0</v>
      </c>
      <c r="F177" s="286">
        <f t="shared" ref="F177:F178" si="24">D177+E177</f>
        <v>0</v>
      </c>
      <c r="G177" s="459">
        <v>0.8671159345220163</v>
      </c>
    </row>
    <row r="178" spans="1:9" x14ac:dyDescent="0.25">
      <c r="A178" s="373"/>
      <c r="B178" s="455" t="s">
        <v>216</v>
      </c>
      <c r="C178" s="48">
        <f>SUM('Ordering Period 4'!$F$35:$F$38)*G178</f>
        <v>6818.1016712170331</v>
      </c>
      <c r="D178" s="284">
        <f>(SUM('Ordering Period 4'!$U$35:$U$38)+SUM('Ordering Period 4'!$AH$35:$AH$38))*G178</f>
        <v>0</v>
      </c>
      <c r="E178" s="284">
        <f>(SUM('Ordering Period 4'!$V$35:$V$38)+SUM('Ordering Period 4'!$AI$35:$AI$38))*G178</f>
        <v>0</v>
      </c>
      <c r="F178" s="286">
        <f t="shared" si="24"/>
        <v>0</v>
      </c>
      <c r="G178" s="459">
        <v>0.44012460475979476</v>
      </c>
    </row>
    <row r="179" spans="1:9" x14ac:dyDescent="0.25">
      <c r="A179" s="492" t="s">
        <v>215</v>
      </c>
      <c r="C179" s="48"/>
      <c r="D179" s="284"/>
      <c r="E179" s="284"/>
      <c r="F179" s="286"/>
      <c r="G179" s="461"/>
    </row>
    <row r="180" spans="1:9" x14ac:dyDescent="0.25">
      <c r="A180" s="373"/>
      <c r="B180" s="9" t="s">
        <v>43</v>
      </c>
      <c r="C180" s="48">
        <f>'Ordering Period 4'!$F$23*G180</f>
        <v>470.12384828870182</v>
      </c>
      <c r="D180" s="284">
        <f>('Ordering Period 4'!$U$23+'Ordering Period 4'!$AH$23)*G180</f>
        <v>0</v>
      </c>
      <c r="E180" s="284">
        <f>('Ordering Period 4'!$V$23+'Ordering Period 4'!$AI$23)*G180</f>
        <v>0</v>
      </c>
      <c r="F180" s="286">
        <f t="shared" ref="F180:F184" si="25">D180+E180</f>
        <v>0</v>
      </c>
      <c r="G180" s="459">
        <v>7.6100025889138945E-2</v>
      </c>
    </row>
    <row r="181" spans="1:9" x14ac:dyDescent="0.25">
      <c r="A181" s="373"/>
      <c r="B181" s="172" t="s">
        <v>205</v>
      </c>
      <c r="C181" s="48">
        <f>SUM('Ordering Period 4'!$F$25:$F$29)</f>
        <v>6804.5993827264738</v>
      </c>
      <c r="D181" s="284">
        <f>SUM('Ordering Period 4'!$U$25:$U$29)+SUM('Ordering Period 4'!$AH$25:$AH$29)</f>
        <v>0</v>
      </c>
      <c r="E181" s="284">
        <f>SUM('Ordering Period 4'!$V$25:$V$29)+SUM('Ordering Period 4'!$AI$25:$AI$29)</f>
        <v>0</v>
      </c>
      <c r="F181" s="286">
        <f t="shared" si="25"/>
        <v>0</v>
      </c>
      <c r="G181" s="459">
        <v>1</v>
      </c>
    </row>
    <row r="182" spans="1:9" x14ac:dyDescent="0.25">
      <c r="A182" s="373"/>
      <c r="B182" s="172" t="s">
        <v>212</v>
      </c>
      <c r="C182" s="48">
        <f>'Ordering Period 4'!$F$30</f>
        <v>3764.1996585337838</v>
      </c>
      <c r="D182" s="284">
        <f>'Ordering Period 4'!$U$30+'Ordering Period 4'!$AH$30</f>
        <v>0</v>
      </c>
      <c r="E182" s="284">
        <f>'Ordering Period 4'!$V$30+'Ordering Period 4'!$AI$30</f>
        <v>0</v>
      </c>
      <c r="F182" s="286">
        <f t="shared" si="25"/>
        <v>0</v>
      </c>
      <c r="G182" s="459">
        <v>1</v>
      </c>
    </row>
    <row r="183" spans="1:9" x14ac:dyDescent="0.25">
      <c r="A183" s="373"/>
      <c r="B183" s="9" t="s">
        <v>213</v>
      </c>
      <c r="C183" s="48">
        <f>SUM('Ordering Period 4'!$F$31:$F$34)</f>
        <v>5674.8994852062524</v>
      </c>
      <c r="D183" s="284">
        <f>SUM('Ordering Period 4'!$U$31:$U$34)+SUM('Ordering Period 4'!$AH$31:$AH$34)</f>
        <v>0</v>
      </c>
      <c r="E183" s="284">
        <f>SUM('Ordering Period 4'!$V$31:$V$34)+SUM('Ordering Period 4'!$AI$31:$AI$34)</f>
        <v>0</v>
      </c>
      <c r="F183" s="286">
        <f t="shared" si="25"/>
        <v>0</v>
      </c>
      <c r="G183" s="459">
        <v>1</v>
      </c>
    </row>
    <row r="184" spans="1:9" x14ac:dyDescent="0.25">
      <c r="A184" s="373"/>
      <c r="B184" s="455" t="s">
        <v>216</v>
      </c>
      <c r="C184" s="48">
        <f>SUM('Ordering Period 4'!$F$35:$F$38)*G184</f>
        <v>3161.3774680096958</v>
      </c>
      <c r="D184" s="284">
        <f>(SUM('Ordering Period 4'!$U$35:$U$38)+SUM('Ordering Period 4'!$AH$35:$AH$38))*G184</f>
        <v>0</v>
      </c>
      <c r="E184" s="284">
        <f>(SUM('Ordering Period 4'!$V$35:$V$38)+SUM('Ordering Period 4'!$AI$35:$AI$38))*G184</f>
        <v>0</v>
      </c>
      <c r="F184" s="286">
        <f t="shared" si="25"/>
        <v>0</v>
      </c>
      <c r="G184" s="459">
        <v>0.20407440013371386</v>
      </c>
    </row>
    <row r="185" spans="1:9" x14ac:dyDescent="0.25">
      <c r="A185" s="374"/>
      <c r="B185" s="299" t="s">
        <v>165</v>
      </c>
      <c r="C185" s="287">
        <f>SUM(C173:C184)</f>
        <v>37912.706560780622</v>
      </c>
      <c r="D185" s="289">
        <f>SUM(D173:D184)</f>
        <v>0</v>
      </c>
      <c r="E185" s="289">
        <f>SUM(E173:E184)</f>
        <v>0</v>
      </c>
      <c r="F185" s="289">
        <f>SUM(F173:F184)</f>
        <v>0</v>
      </c>
      <c r="G185" s="463"/>
      <c r="H185" s="234"/>
      <c r="I185" s="234"/>
    </row>
    <row r="186" spans="1:9" x14ac:dyDescent="0.25">
      <c r="A186" s="372"/>
      <c r="B186" s="297" t="s">
        <v>260</v>
      </c>
      <c r="C186" s="293"/>
      <c r="D186" s="293"/>
      <c r="E186" s="293"/>
      <c r="F186" s="293"/>
    </row>
    <row r="187" spans="1:9" x14ac:dyDescent="0.25">
      <c r="A187" s="374" t="s">
        <v>211</v>
      </c>
      <c r="B187" s="117" t="s">
        <v>242</v>
      </c>
      <c r="C187" s="117"/>
      <c r="D187" s="284">
        <f>'Ordering Period 4'!$F$60*'CLINs - Detail'!G187</f>
        <v>1577309.4282369376</v>
      </c>
      <c r="E187" s="290"/>
      <c r="F187" s="291">
        <f>D187</f>
        <v>1577309.4282369376</v>
      </c>
      <c r="G187" s="459">
        <v>0.19895838011042352</v>
      </c>
      <c r="H187" s="117"/>
      <c r="I187" s="117"/>
    </row>
    <row r="188" spans="1:9" x14ac:dyDescent="0.25">
      <c r="A188" s="374" t="s">
        <v>214</v>
      </c>
      <c r="B188" s="117" t="s">
        <v>242</v>
      </c>
      <c r="C188" s="117"/>
      <c r="D188" s="284">
        <f>'Ordering Period 4'!$F$60*'CLINs - Detail'!G188</f>
        <v>2730675.0985066346</v>
      </c>
      <c r="E188" s="290"/>
      <c r="F188" s="291">
        <f t="shared" ref="F188:F189" si="26">D188</f>
        <v>2730675.0985066346</v>
      </c>
      <c r="G188" s="459">
        <v>0.34444141680812934</v>
      </c>
      <c r="H188" s="117"/>
      <c r="I188" s="117"/>
    </row>
    <row r="189" spans="1:9" x14ac:dyDescent="0.25">
      <c r="A189" s="374" t="s">
        <v>215</v>
      </c>
      <c r="B189" s="117" t="s">
        <v>242</v>
      </c>
      <c r="C189" s="117"/>
      <c r="D189" s="284">
        <f>'Ordering Period 4'!$F$60*'CLINs - Detail'!G189</f>
        <v>3619851.5732564274</v>
      </c>
      <c r="E189" s="290"/>
      <c r="F189" s="291">
        <f t="shared" si="26"/>
        <v>3619851.5732564274</v>
      </c>
      <c r="G189" s="459">
        <v>0.45660020308144711</v>
      </c>
      <c r="H189" s="117"/>
      <c r="I189" s="117"/>
    </row>
    <row r="190" spans="1:9" x14ac:dyDescent="0.25">
      <c r="A190" s="375"/>
      <c r="B190" s="299" t="s">
        <v>244</v>
      </c>
      <c r="C190" s="117"/>
      <c r="D190" s="288">
        <f>SUM(D187:D189)</f>
        <v>7927836.0999999996</v>
      </c>
      <c r="E190" s="290"/>
      <c r="F190" s="464">
        <f>SUM(F187:F189)</f>
        <v>7927836.0999999996</v>
      </c>
      <c r="G190" s="459"/>
      <c r="H190" s="117"/>
      <c r="I190" s="117"/>
    </row>
    <row r="191" spans="1:9" x14ac:dyDescent="0.25">
      <c r="A191" s="372"/>
      <c r="B191" s="297" t="s">
        <v>261</v>
      </c>
      <c r="C191" s="293"/>
      <c r="D191" s="293"/>
      <c r="E191" s="293"/>
      <c r="F191" s="293"/>
    </row>
    <row r="192" spans="1:9" x14ac:dyDescent="0.25">
      <c r="A192" s="374" t="s">
        <v>211</v>
      </c>
      <c r="B192" s="117" t="s">
        <v>245</v>
      </c>
      <c r="C192" s="117"/>
      <c r="D192" s="284">
        <f>'Ordering Period 4'!$F$67*'CLINs - Detail'!G192</f>
        <v>379366.4758911244</v>
      </c>
      <c r="E192" s="290"/>
      <c r="F192" s="291">
        <f>D192</f>
        <v>379366.4758911244</v>
      </c>
      <c r="G192" s="459">
        <v>0.19895838011042352</v>
      </c>
      <c r="H192" s="117"/>
      <c r="I192" s="117"/>
    </row>
    <row r="193" spans="1:9" x14ac:dyDescent="0.25">
      <c r="A193" s="374" t="s">
        <v>214</v>
      </c>
      <c r="B193" s="117" t="s">
        <v>245</v>
      </c>
      <c r="C193" s="117"/>
      <c r="D193" s="284">
        <f>'Ordering Period 4'!$F$67*'CLINs - Detail'!G193</f>
        <v>656768.14604603872</v>
      </c>
      <c r="E193" s="290"/>
      <c r="F193" s="291">
        <f t="shared" ref="F193:F194" si="27">D193</f>
        <v>656768.14604603872</v>
      </c>
      <c r="G193" s="459">
        <v>0.34444141680812934</v>
      </c>
      <c r="H193" s="117"/>
      <c r="I193" s="117"/>
    </row>
    <row r="194" spans="1:9" x14ac:dyDescent="0.25">
      <c r="A194" s="374" t="s">
        <v>215</v>
      </c>
      <c r="B194" s="117" t="s">
        <v>245</v>
      </c>
      <c r="C194" s="117"/>
      <c r="D194" s="284">
        <f>'Ordering Period 4'!$F$67*'CLINs - Detail'!G194</f>
        <v>870628.36879774788</v>
      </c>
      <c r="E194" s="290"/>
      <c r="F194" s="291">
        <f t="shared" si="27"/>
        <v>870628.36879774788</v>
      </c>
      <c r="G194" s="459">
        <v>0.45660020308144711</v>
      </c>
      <c r="H194" s="117"/>
      <c r="I194" s="117"/>
    </row>
    <row r="195" spans="1:9" x14ac:dyDescent="0.25">
      <c r="A195" s="375"/>
      <c r="B195" s="299" t="s">
        <v>262</v>
      </c>
      <c r="C195" s="117"/>
      <c r="D195" s="288">
        <f>SUM(D192:D194)</f>
        <v>1906762.9907349111</v>
      </c>
      <c r="E195" s="290"/>
      <c r="F195" s="464">
        <f>SUM(F192:F194)</f>
        <v>1906762.9907349111</v>
      </c>
      <c r="G195" s="459"/>
      <c r="H195" s="117"/>
      <c r="I195" s="117"/>
    </row>
    <row r="196" spans="1:9" x14ac:dyDescent="0.25">
      <c r="A196" s="602"/>
      <c r="B196" s="603" t="s">
        <v>176</v>
      </c>
      <c r="C196" s="604">
        <f>C171+C185</f>
        <v>317277.97621839447</v>
      </c>
      <c r="D196" s="605">
        <f>D171+D185+D190+D195</f>
        <v>9834599.0907349102</v>
      </c>
      <c r="E196" s="605">
        <f>E171+E185</f>
        <v>0</v>
      </c>
      <c r="F196" s="605">
        <f>F171+F185+F190+F195</f>
        <v>9834599.0907349102</v>
      </c>
      <c r="G196" s="292"/>
      <c r="H196" s="292">
        <f>'Ordering Period 4'!F70</f>
        <v>9834599.0907349102</v>
      </c>
      <c r="I196" s="283">
        <f>F196-H196</f>
        <v>0</v>
      </c>
    </row>
    <row r="197" spans="1:9" x14ac:dyDescent="0.25">
      <c r="A197" s="595" t="s">
        <v>52</v>
      </c>
      <c r="B197" s="596"/>
      <c r="C197" s="597"/>
      <c r="D197" s="597"/>
      <c r="E197" s="597"/>
      <c r="F197" s="597"/>
      <c r="G197" s="456"/>
      <c r="H197"/>
    </row>
    <row r="198" spans="1:9" x14ac:dyDescent="0.25">
      <c r="A198" s="281" t="s">
        <v>162</v>
      </c>
      <c r="B198" s="281" t="s">
        <v>161</v>
      </c>
      <c r="C198" s="282" t="s">
        <v>188</v>
      </c>
      <c r="D198" s="282" t="s">
        <v>99</v>
      </c>
      <c r="E198" s="282" t="s">
        <v>100</v>
      </c>
      <c r="F198" s="282" t="s">
        <v>118</v>
      </c>
      <c r="G198" s="456"/>
      <c r="H198"/>
    </row>
    <row r="199" spans="1:9" x14ac:dyDescent="0.25">
      <c r="A199" s="370"/>
      <c r="B199" s="294" t="s">
        <v>217</v>
      </c>
      <c r="C199" s="295"/>
      <c r="D199" s="295"/>
      <c r="E199" s="295"/>
      <c r="F199" s="296"/>
      <c r="G199" s="457"/>
      <c r="H199" s="172"/>
      <c r="I199" s="15"/>
    </row>
    <row r="200" spans="1:9" s="15" customFormat="1" x14ac:dyDescent="0.25">
      <c r="A200" s="234" t="s">
        <v>259</v>
      </c>
      <c r="B200" s="491"/>
      <c r="C200" s="593"/>
      <c r="D200" s="593"/>
      <c r="E200" s="593"/>
      <c r="F200" s="594"/>
      <c r="G200" s="457"/>
      <c r="H200" s="172"/>
    </row>
    <row r="201" spans="1:9" s="15" customFormat="1" x14ac:dyDescent="0.25">
      <c r="A201" s="333"/>
      <c r="B201" s="172" t="s">
        <v>42</v>
      </c>
      <c r="C201" s="285">
        <f>'Ordering Period 5'!F5</f>
        <v>19114.698266026175</v>
      </c>
      <c r="D201" s="286">
        <f>'Ordering Period 5'!U5+'Ordering Period 5'!AH5</f>
        <v>0</v>
      </c>
      <c r="E201" s="286">
        <f>'Ordering Period 5'!V5+'Ordering Period 5'!AI5</f>
        <v>0</v>
      </c>
      <c r="F201" s="286">
        <f>D201+E201</f>
        <v>0</v>
      </c>
      <c r="G201" s="457"/>
      <c r="H201" s="172"/>
    </row>
    <row r="202" spans="1:9" x14ac:dyDescent="0.25">
      <c r="A202" s="234" t="s">
        <v>211</v>
      </c>
      <c r="C202" s="285"/>
      <c r="D202" s="286"/>
      <c r="E202" s="286"/>
    </row>
    <row r="203" spans="1:9" x14ac:dyDescent="0.25">
      <c r="A203" s="333"/>
      <c r="B203" s="172" t="s">
        <v>43</v>
      </c>
      <c r="C203" s="285">
        <f>'Ordering Period 5'!$F$6*G203</f>
        <v>2143.2069039054986</v>
      </c>
      <c r="D203" s="286">
        <f>('Ordering Period 5'!$U$6+'Ordering Period 5'!$AH$6)*G203</f>
        <v>0</v>
      </c>
      <c r="E203" s="286">
        <f>('Ordering Period 5'!$V$6+'Ordering Period 5'!$AI$6)*G203</f>
        <v>0</v>
      </c>
      <c r="F203" s="286">
        <f t="shared" ref="F203:F207" si="28">D203+E203</f>
        <v>0</v>
      </c>
      <c r="G203" s="459">
        <v>5.4455003902690105E-2</v>
      </c>
      <c r="H203" s="459"/>
      <c r="I203" s="459"/>
    </row>
    <row r="204" spans="1:9" x14ac:dyDescent="0.25">
      <c r="A204" s="333"/>
      <c r="B204" s="15" t="s">
        <v>205</v>
      </c>
      <c r="C204" s="285">
        <f>SUM('Ordering Period 5'!$F$8:$F$12)*G204</f>
        <v>49017.31063192484</v>
      </c>
      <c r="D204" s="286">
        <f>(SUM('Ordering Period 5'!$U$8:$U$12)+SUM('Ordering Period 5'!$AH$8:$AH$12))*G204</f>
        <v>0</v>
      </c>
      <c r="E204" s="286">
        <f>(SUM('Ordering Period 5'!$V$8:$V$12)+SUM('Ordering Period 5'!$AI$8:$AI$12))*G204</f>
        <v>0</v>
      </c>
      <c r="F204" s="286">
        <f t="shared" si="28"/>
        <v>0</v>
      </c>
      <c r="G204" s="459">
        <v>0.4398368968039556</v>
      </c>
      <c r="H204" s="459"/>
      <c r="I204" s="459"/>
    </row>
    <row r="205" spans="1:9" x14ac:dyDescent="0.25">
      <c r="A205" s="333"/>
      <c r="B205" s="172" t="s">
        <v>212</v>
      </c>
      <c r="C205" s="285">
        <f>'Ordering Period 5'!$F$13*G205</f>
        <v>3914.752130559275</v>
      </c>
      <c r="D205" s="286">
        <f>('Ordering Period 5'!$U$13+'Ordering Period 5'!$AH$13)*G205</f>
        <v>0</v>
      </c>
      <c r="E205" s="286">
        <f>('Ordering Period 5'!$V$13+'Ordering Period 5'!$AI$13)*G205</f>
        <v>0</v>
      </c>
      <c r="F205" s="286">
        <f t="shared" si="28"/>
        <v>0</v>
      </c>
      <c r="G205" s="459">
        <v>8.2893482777239208E-2</v>
      </c>
      <c r="H205" s="459"/>
      <c r="I205" s="459"/>
    </row>
    <row r="206" spans="1:9" x14ac:dyDescent="0.25">
      <c r="A206" s="333"/>
      <c r="B206" s="307" t="s">
        <v>213</v>
      </c>
      <c r="C206" s="285">
        <f>SUM('Ordering Period 5'!$F$14:$F$17)*G206</f>
        <v>9624.5668972408585</v>
      </c>
      <c r="D206" s="286">
        <f>(SUM('Ordering Period 5'!$U$14:$U$17)+SUM('Ordering Period 5'!$AH$14:$AH$17))*G206</f>
        <v>0</v>
      </c>
      <c r="E206" s="286">
        <f>(SUM('Ordering Period 5'!$V$14:$V$17)+SUM('Ordering Period 5'!$AI$14:$AI$17))*G206</f>
        <v>0</v>
      </c>
      <c r="F206" s="286">
        <f t="shared" si="28"/>
        <v>0</v>
      </c>
      <c r="G206" s="459">
        <v>0.37134398879263891</v>
      </c>
      <c r="H206" s="459"/>
      <c r="I206" s="459"/>
    </row>
    <row r="207" spans="1:9" x14ac:dyDescent="0.25">
      <c r="A207" s="333"/>
      <c r="B207" s="455" t="s">
        <v>216</v>
      </c>
      <c r="C207" s="285">
        <f>SUM('Ordering Period 5'!$F$18:$F$21)*G207</f>
        <v>11399.669608753975</v>
      </c>
      <c r="D207" s="286">
        <f>(SUM('Ordering Period 5'!$U$18:$U$21)+SUM('Ordering Period 5'!$AH$18:$AH$21))*G207</f>
        <v>0</v>
      </c>
      <c r="E207" s="286">
        <f>(SUM('Ordering Period 5'!$V$18:$V$21)+SUM('Ordering Period 5'!$AI$18:$AI$21))*G207</f>
        <v>0</v>
      </c>
      <c r="F207" s="286">
        <f t="shared" si="28"/>
        <v>0</v>
      </c>
      <c r="G207" s="459">
        <v>0.31400245267420601</v>
      </c>
      <c r="H207" s="459"/>
      <c r="I207" s="459"/>
    </row>
    <row r="208" spans="1:9" x14ac:dyDescent="0.25">
      <c r="A208" s="491" t="s">
        <v>214</v>
      </c>
      <c r="B208" s="172"/>
      <c r="C208" s="285"/>
      <c r="D208" s="286"/>
      <c r="E208" s="286"/>
      <c r="F208" s="286"/>
      <c r="G208" s="460"/>
      <c r="H208"/>
    </row>
    <row r="209" spans="1:9" x14ac:dyDescent="0.25">
      <c r="A209" s="333"/>
      <c r="B209" s="172" t="s">
        <v>43</v>
      </c>
      <c r="C209" s="285">
        <f>'Ordering Period 5'!$F$6*G209</f>
        <v>30507.897176409075</v>
      </c>
      <c r="D209" s="286">
        <f>('Ordering Period 5'!$U$6+'Ordering Period 5'!$AH$6)*G209</f>
        <v>0</v>
      </c>
      <c r="E209" s="286">
        <f>('Ordering Period 5'!$V$6+'Ordering Period 5'!$AI$6)*G209</f>
        <v>0</v>
      </c>
      <c r="F209" s="286">
        <f t="shared" ref="F209:F213" si="29">D209+E209</f>
        <v>0</v>
      </c>
      <c r="G209" s="459">
        <v>0.77515038644979906</v>
      </c>
      <c r="H209"/>
    </row>
    <row r="210" spans="1:9" x14ac:dyDescent="0.25">
      <c r="A210" s="333"/>
      <c r="B210" s="15" t="s">
        <v>205</v>
      </c>
      <c r="C210" s="285">
        <f>SUM('Ordering Period 5'!$F$8:$F$12)*G210</f>
        <v>56697.745338110632</v>
      </c>
      <c r="D210" s="286">
        <f>(SUM('Ordering Period 5'!$U$8:$U$12)+SUM('Ordering Period 5'!$AH$8:$AH$12))*G210</f>
        <v>0</v>
      </c>
      <c r="E210" s="286">
        <f>(SUM('Ordering Period 5'!$V$8:$V$12)+SUM('Ordering Period 5'!$AI$8:$AI$12))*G210</f>
        <v>0</v>
      </c>
      <c r="F210" s="286">
        <f t="shared" si="29"/>
        <v>0</v>
      </c>
      <c r="G210" s="459">
        <v>0.50875415325323103</v>
      </c>
      <c r="H210"/>
    </row>
    <row r="211" spans="1:9" x14ac:dyDescent="0.25">
      <c r="A211" s="333"/>
      <c r="B211" s="172" t="s">
        <v>212</v>
      </c>
      <c r="C211" s="285">
        <f>'Ordering Period 5'!$F$13*G211</f>
        <v>20879.144133985385</v>
      </c>
      <c r="D211" s="286">
        <f>('Ordering Period 5'!$U$13+'Ordering Period 5'!$AH$13)*G211</f>
        <v>0</v>
      </c>
      <c r="E211" s="286">
        <f>('Ordering Period 5'!$V$13+'Ordering Period 5'!$AI$13)*G211</f>
        <v>0</v>
      </c>
      <c r="F211" s="286">
        <f t="shared" si="29"/>
        <v>0</v>
      </c>
      <c r="G211" s="459">
        <v>0.44210844440532998</v>
      </c>
      <c r="H211"/>
    </row>
    <row r="212" spans="1:9" x14ac:dyDescent="0.25">
      <c r="A212" s="333"/>
      <c r="B212" s="307" t="s">
        <v>213</v>
      </c>
      <c r="C212" s="285">
        <f>SUM('Ordering Period 5'!$F$14:$F$17)*G212</f>
        <v>11394.388963961475</v>
      </c>
      <c r="D212" s="286">
        <f>(SUM('Ordering Period 5'!$U$14:$U$17)+SUM('Ordering Period 5'!$AH$14:$AH$17))*G212</f>
        <v>0</v>
      </c>
      <c r="E212" s="286">
        <f>(SUM('Ordering Period 5'!$V$14:$V$17)+SUM('Ordering Period 5'!$AI$14:$AI$17))*G212</f>
        <v>0</v>
      </c>
      <c r="F212" s="286">
        <f t="shared" si="29"/>
        <v>0</v>
      </c>
      <c r="G212" s="459">
        <v>0.43962890932217186</v>
      </c>
      <c r="H212"/>
    </row>
    <row r="213" spans="1:9" x14ac:dyDescent="0.25">
      <c r="A213" s="333"/>
      <c r="B213" s="455" t="s">
        <v>216</v>
      </c>
      <c r="C213" s="285">
        <f>SUM('Ordering Period 5'!$F$18:$F$21)*G213</f>
        <v>14103.622604866579</v>
      </c>
      <c r="D213" s="286">
        <f>(SUM('Ordering Period 5'!$U$18:$U$21)+SUM('Ordering Period 5'!$AH$18:$AH$21))*G213</f>
        <v>0</v>
      </c>
      <c r="E213" s="286">
        <f>(SUM('Ordering Period 5'!$V$18:$V$21)+SUM('Ordering Period 5'!$AI$18:$AI$21))*G213</f>
        <v>0</v>
      </c>
      <c r="F213" s="286">
        <f t="shared" si="29"/>
        <v>0</v>
      </c>
      <c r="G213" s="459">
        <v>0.38848249480131553</v>
      </c>
      <c r="H213" s="118"/>
      <c r="I213" s="118"/>
    </row>
    <row r="214" spans="1:9" x14ac:dyDescent="0.25">
      <c r="A214" s="491" t="s">
        <v>215</v>
      </c>
      <c r="B214" s="172"/>
      <c r="C214" s="48"/>
      <c r="D214" s="284"/>
      <c r="E214" s="284"/>
      <c r="F214" s="286"/>
      <c r="G214" s="461"/>
      <c r="H214" s="118"/>
      <c r="I214" s="118"/>
    </row>
    <row r="215" spans="1:9" x14ac:dyDescent="0.25">
      <c r="A215" s="333"/>
      <c r="B215" s="172" t="s">
        <v>43</v>
      </c>
      <c r="C215" s="285">
        <f>'Ordering Period 5'!$F$6*G215</f>
        <v>6706.2873494126652</v>
      </c>
      <c r="D215" s="286">
        <f>('Ordering Period 5'!$U$6+'Ordering Period 5'!$AH$6)*G215</f>
        <v>0</v>
      </c>
      <c r="E215" s="286">
        <f>('Ordering Period 5'!$V$6+'Ordering Period 5'!$AI$6)*G215</f>
        <v>0</v>
      </c>
      <c r="F215" s="286">
        <f t="shared" ref="F215:F219" si="30">D215+E215</f>
        <v>0</v>
      </c>
      <c r="G215" s="459">
        <v>0.17039460964751096</v>
      </c>
      <c r="H215" s="118"/>
      <c r="I215" s="118"/>
    </row>
    <row r="216" spans="1:9" x14ac:dyDescent="0.25">
      <c r="A216" s="333"/>
      <c r="B216" s="15" t="s">
        <v>205</v>
      </c>
      <c r="C216" s="285">
        <f>SUM('Ordering Period 5'!$F$8:$F$12)*G216</f>
        <v>5729.2339203892307</v>
      </c>
      <c r="D216" s="286">
        <f>(SUM('Ordering Period 5'!$U$8:$U$12)+SUM('Ordering Period 5'!$AH$8:$AH$12))*G216</f>
        <v>0</v>
      </c>
      <c r="E216" s="286">
        <f>(SUM('Ordering Period 5'!$V$8:$V$12)+SUM('Ordering Period 5'!$AI$8:$AI$12))*G216</f>
        <v>0</v>
      </c>
      <c r="F216" s="286">
        <f t="shared" si="30"/>
        <v>0</v>
      </c>
      <c r="G216" s="459">
        <v>5.140894994281342E-2</v>
      </c>
      <c r="H216" s="118"/>
      <c r="I216" s="118"/>
    </row>
    <row r="217" spans="1:9" x14ac:dyDescent="0.25">
      <c r="A217" s="333"/>
      <c r="B217" s="172" t="s">
        <v>212</v>
      </c>
      <c r="C217" s="285">
        <f>'Ordering Period 5'!$F$13*G217</f>
        <v>22432.399451361529</v>
      </c>
      <c r="D217" s="286">
        <f>('Ordering Period 5'!$U$13+'Ordering Period 5'!$AH$13)*G217</f>
        <v>0</v>
      </c>
      <c r="E217" s="286">
        <f>('Ordering Period 5'!$V$13+'Ordering Period 5'!$AI$13)*G217</f>
        <v>0</v>
      </c>
      <c r="F217" s="286">
        <f t="shared" si="30"/>
        <v>0</v>
      </c>
      <c r="G217" s="459">
        <v>0.47499807281743089</v>
      </c>
      <c r="H217" s="118"/>
      <c r="I217" s="118"/>
    </row>
    <row r="218" spans="1:9" x14ac:dyDescent="0.25">
      <c r="A218" s="333"/>
      <c r="B218" s="307" t="s">
        <v>213</v>
      </c>
      <c r="C218" s="285">
        <f>SUM('Ordering Period 5'!$F$14:$F$17)*G218</f>
        <v>4899.2417876500986</v>
      </c>
      <c r="D218" s="286">
        <f>(SUM('Ordering Period 5'!$U$14:$U$17)+SUM('Ordering Period 5'!$AH$14:$AH$17))*G218</f>
        <v>0</v>
      </c>
      <c r="E218" s="286">
        <f>(SUM('Ordering Period 5'!$V$14:$V$17)+SUM('Ordering Period 5'!$AI$14:$AI$17))*G218</f>
        <v>0</v>
      </c>
      <c r="F218" s="286">
        <f t="shared" si="30"/>
        <v>0</v>
      </c>
      <c r="G218" s="459">
        <v>0.18902710188518915</v>
      </c>
      <c r="H218" s="118"/>
      <c r="I218" s="118"/>
    </row>
    <row r="219" spans="1:9" x14ac:dyDescent="0.25">
      <c r="A219" s="333"/>
      <c r="B219" s="455" t="s">
        <v>216</v>
      </c>
      <c r="C219" s="285">
        <f>SUM('Ordering Period 5'!$F$18:$F$21)*G219</f>
        <v>10801.104493056542</v>
      </c>
      <c r="D219" s="286">
        <f>(SUM('Ordering Period 5'!$U$18:$U$21)+SUM('Ordering Period 5'!$AH$18:$AH$21))*G219</f>
        <v>0</v>
      </c>
      <c r="E219" s="286">
        <f>(SUM('Ordering Period 5'!$V$18:$V$21)+SUM('Ordering Period 5'!$AI$18:$AI$21))*G219</f>
        <v>0</v>
      </c>
      <c r="F219" s="286">
        <f t="shared" si="30"/>
        <v>0</v>
      </c>
      <c r="G219" s="459">
        <v>0.29751505252447857</v>
      </c>
      <c r="H219" s="118"/>
      <c r="I219" s="118"/>
    </row>
    <row r="220" spans="1:9" x14ac:dyDescent="0.25">
      <c r="A220" s="371"/>
      <c r="B220" s="298" t="s">
        <v>164</v>
      </c>
      <c r="C220" s="287">
        <f>SUM(C200:C219)</f>
        <v>279365.26965761383</v>
      </c>
      <c r="D220" s="288">
        <f>SUM(D200:D219)</f>
        <v>0</v>
      </c>
      <c r="E220" s="288">
        <f>SUM(E200:E219)</f>
        <v>0</v>
      </c>
      <c r="F220" s="289">
        <f>SUM(F200:F219)</f>
        <v>0</v>
      </c>
      <c r="G220" s="462"/>
      <c r="H220" s="118"/>
      <c r="I220" s="118"/>
    </row>
    <row r="221" spans="1:9" x14ac:dyDescent="0.25">
      <c r="A221" s="372"/>
      <c r="B221" s="297" t="s">
        <v>218</v>
      </c>
      <c r="C221" s="293"/>
      <c r="D221" s="293"/>
      <c r="E221" s="293"/>
      <c r="F221" s="293"/>
      <c r="G221" s="462"/>
    </row>
    <row r="222" spans="1:9" x14ac:dyDescent="0.25">
      <c r="A222" s="492" t="s">
        <v>211</v>
      </c>
      <c r="C222" s="48"/>
      <c r="D222" s="284"/>
      <c r="E222" s="284"/>
      <c r="F222" s="286"/>
      <c r="G222" s="462"/>
    </row>
    <row r="223" spans="1:9" x14ac:dyDescent="0.25">
      <c r="A223" s="373"/>
      <c r="B223" s="9" t="s">
        <v>43</v>
      </c>
      <c r="C223" s="48">
        <f>'Ordering Period 5'!$F$23*G223</f>
        <v>350.79529738630163</v>
      </c>
      <c r="D223" s="284">
        <f>('Ordering Period 5'!$U$23+'Ordering Period 5'!$AH$23)*G223</f>
        <v>0</v>
      </c>
      <c r="E223" s="284">
        <f>('Ordering Period 5'!$V$23+'Ordering Period 5'!$AI$23)*G223</f>
        <v>0</v>
      </c>
      <c r="F223" s="286">
        <f>D223+E223</f>
        <v>0</v>
      </c>
      <c r="G223" s="459">
        <v>5.6784039588844884E-2</v>
      </c>
      <c r="H223" s="459"/>
      <c r="I223" s="459"/>
    </row>
    <row r="224" spans="1:9" x14ac:dyDescent="0.25">
      <c r="A224" s="373"/>
      <c r="B224" s="455" t="s">
        <v>216</v>
      </c>
      <c r="C224" s="48">
        <f>SUM('Ordering Period 5'!$F$35:$F$38)*G224</f>
        <v>5511.8194554931106</v>
      </c>
      <c r="D224" s="284">
        <f>(SUM('Ordering Period 5'!$U$35:$U$38)+SUM('Ordering Period 5'!$AH$35:$AH$38))*G224</f>
        <v>0</v>
      </c>
      <c r="E224" s="284">
        <f>(SUM('Ordering Period 5'!$V$35:$V$38)+SUM('Ordering Period 5'!$AI$35:$AI$38))*G224</f>
        <v>0</v>
      </c>
      <c r="F224" s="286">
        <f t="shared" ref="F224" si="31">D224+E224</f>
        <v>0</v>
      </c>
      <c r="G224" s="459">
        <v>0.35580099510649138</v>
      </c>
      <c r="H224" s="459"/>
      <c r="I224" s="459"/>
    </row>
    <row r="225" spans="1:9" x14ac:dyDescent="0.25">
      <c r="A225" s="492" t="s">
        <v>214</v>
      </c>
      <c r="C225" s="48"/>
      <c r="D225" s="284"/>
      <c r="E225" s="284"/>
      <c r="F225" s="286"/>
      <c r="G225" s="461"/>
    </row>
    <row r="226" spans="1:9" x14ac:dyDescent="0.25">
      <c r="A226" s="373"/>
      <c r="B226" s="9" t="s">
        <v>43</v>
      </c>
      <c r="C226" s="48">
        <f>'Ordering Period 5'!$F$23*G226</f>
        <v>5356.7902939192654</v>
      </c>
      <c r="D226" s="284">
        <f>('Ordering Period 5'!$U$23+'Ordering Period 5'!$AH$23)*G226</f>
        <v>0</v>
      </c>
      <c r="E226" s="284">
        <f>('Ordering Period 5'!$V$23+'Ordering Period 5'!$AI$23)*G226</f>
        <v>0</v>
      </c>
      <c r="F226" s="286">
        <f t="shared" ref="F226:F227" si="32">D226+E226</f>
        <v>0</v>
      </c>
      <c r="G226" s="459">
        <v>0.8671159345220163</v>
      </c>
    </row>
    <row r="227" spans="1:9" x14ac:dyDescent="0.25">
      <c r="A227" s="373"/>
      <c r="B227" s="455" t="s">
        <v>216</v>
      </c>
      <c r="C227" s="48">
        <f>SUM('Ordering Period 5'!$F$35:$F$38)*G227</f>
        <v>6818.1016712170331</v>
      </c>
      <c r="D227" s="284">
        <f>(SUM('Ordering Period 5'!$U$35:$U$38)+SUM('Ordering Period 5'!$AH$35:$AH$38))*G227</f>
        <v>0</v>
      </c>
      <c r="E227" s="284">
        <f>(SUM('Ordering Period 5'!$V$35:$V$38)+SUM('Ordering Period 5'!$AI$35:$AI$38))*G227</f>
        <v>0</v>
      </c>
      <c r="F227" s="286">
        <f t="shared" si="32"/>
        <v>0</v>
      </c>
      <c r="G227" s="459">
        <v>0.44012460475979476</v>
      </c>
    </row>
    <row r="228" spans="1:9" x14ac:dyDescent="0.25">
      <c r="A228" s="492" t="s">
        <v>215</v>
      </c>
      <c r="C228" s="48"/>
      <c r="D228" s="284"/>
      <c r="E228" s="284"/>
      <c r="F228" s="286"/>
      <c r="G228" s="461"/>
    </row>
    <row r="229" spans="1:9" x14ac:dyDescent="0.25">
      <c r="A229" s="373"/>
      <c r="B229" s="9" t="s">
        <v>43</v>
      </c>
      <c r="C229" s="48">
        <f>'Ordering Period 5'!$F$23*G229</f>
        <v>470.12384828870182</v>
      </c>
      <c r="D229" s="284">
        <f>('Ordering Period 5'!$U$23+'Ordering Period 5'!$AH$23)*G229</f>
        <v>0</v>
      </c>
      <c r="E229" s="284">
        <f>('Ordering Period 5'!$V$23+'Ordering Period 5'!$AI$23)*G229</f>
        <v>0</v>
      </c>
      <c r="F229" s="286">
        <f t="shared" ref="F229:F233" si="33">D229+E229</f>
        <v>0</v>
      </c>
      <c r="G229" s="459">
        <v>7.6100025889138945E-2</v>
      </c>
    </row>
    <row r="230" spans="1:9" x14ac:dyDescent="0.25">
      <c r="A230" s="373"/>
      <c r="B230" s="172" t="s">
        <v>205</v>
      </c>
      <c r="C230" s="48">
        <f>SUM('Ordering Period 5'!$F$25:$F$29)</f>
        <v>6804.5993827264738</v>
      </c>
      <c r="D230" s="284">
        <f>SUM('Ordering Period 5'!$U$25:$U$29)+SUM('Ordering Period 5'!$AH$25:$AH$29)</f>
        <v>0</v>
      </c>
      <c r="E230" s="284">
        <f>SUM('Ordering Period 5'!$V$25:$V$29)+SUM('Ordering Period 5'!$AI$25:$AI$29)</f>
        <v>0</v>
      </c>
      <c r="F230" s="286">
        <f t="shared" si="33"/>
        <v>0</v>
      </c>
      <c r="G230" s="459">
        <v>1</v>
      </c>
    </row>
    <row r="231" spans="1:9" x14ac:dyDescent="0.25">
      <c r="A231" s="373"/>
      <c r="B231" s="172" t="s">
        <v>212</v>
      </c>
      <c r="C231" s="48">
        <f>'Ordering Period 5'!$F$30</f>
        <v>3764.1996585337838</v>
      </c>
      <c r="D231" s="284">
        <f>'Ordering Period 5'!$U$30+'Ordering Period 5'!$AH$30</f>
        <v>0</v>
      </c>
      <c r="E231" s="284">
        <f>'Ordering Period 5'!$V$30+'Ordering Period 5'!$AI$30</f>
        <v>0</v>
      </c>
      <c r="F231" s="286">
        <f t="shared" si="33"/>
        <v>0</v>
      </c>
      <c r="G231" s="459">
        <v>1</v>
      </c>
    </row>
    <row r="232" spans="1:9" x14ac:dyDescent="0.25">
      <c r="A232" s="373"/>
      <c r="B232" s="9" t="s">
        <v>213</v>
      </c>
      <c r="C232" s="48">
        <f>SUM('Ordering Period 5'!$F$31:$F$34)</f>
        <v>5674.8994852062524</v>
      </c>
      <c r="D232" s="284">
        <f>SUM('Ordering Period 5'!$U$31:$U$34)+SUM('Ordering Period 5'!$AH$31:$AH$34)</f>
        <v>0</v>
      </c>
      <c r="E232" s="284">
        <f>SUM('Ordering Period 5'!$V$31:$V$34)+SUM('Ordering Period 5'!$AI$31:$AI$34)</f>
        <v>0</v>
      </c>
      <c r="F232" s="286">
        <f t="shared" si="33"/>
        <v>0</v>
      </c>
      <c r="G232" s="459">
        <v>1</v>
      </c>
    </row>
    <row r="233" spans="1:9" x14ac:dyDescent="0.25">
      <c r="A233" s="373"/>
      <c r="B233" s="455" t="s">
        <v>216</v>
      </c>
      <c r="C233" s="48">
        <f>SUM('Ordering Period 5'!$F$35:$F$38)*G233</f>
        <v>3161.3774680096958</v>
      </c>
      <c r="D233" s="284">
        <f>(SUM('Ordering Period 5'!$U$35:$U$38)+SUM('Ordering Period 5'!$AH$35:$AH$38))*G233</f>
        <v>0</v>
      </c>
      <c r="E233" s="284">
        <f>(SUM('Ordering Period 5'!$V$35:$V$38)+SUM('Ordering Period 5'!$AI$35:$AI$38))*G233</f>
        <v>0</v>
      </c>
      <c r="F233" s="286">
        <f t="shared" si="33"/>
        <v>0</v>
      </c>
      <c r="G233" s="459">
        <v>0.20407440013371386</v>
      </c>
    </row>
    <row r="234" spans="1:9" x14ac:dyDescent="0.25">
      <c r="A234" s="374"/>
      <c r="B234" s="299" t="s">
        <v>165</v>
      </c>
      <c r="C234" s="287">
        <f>SUM(C222:C233)</f>
        <v>37912.706560780622</v>
      </c>
      <c r="D234" s="289">
        <f>SUM(D222:D233)</f>
        <v>0</v>
      </c>
      <c r="E234" s="289">
        <f>SUM(E222:E233)</f>
        <v>0</v>
      </c>
      <c r="F234" s="289">
        <f>SUM(F222:F233)</f>
        <v>0</v>
      </c>
      <c r="G234" s="463"/>
      <c r="H234" s="234"/>
      <c r="I234" s="234"/>
    </row>
    <row r="235" spans="1:9" x14ac:dyDescent="0.25">
      <c r="A235" s="372"/>
      <c r="B235" s="297" t="s">
        <v>260</v>
      </c>
      <c r="C235" s="293"/>
      <c r="D235" s="293"/>
      <c r="E235" s="293"/>
      <c r="F235" s="293"/>
    </row>
    <row r="236" spans="1:9" x14ac:dyDescent="0.25">
      <c r="A236" s="374" t="s">
        <v>211</v>
      </c>
      <c r="B236" s="117" t="s">
        <v>242</v>
      </c>
      <c r="C236" s="117"/>
      <c r="D236" s="284">
        <f>'Ordering Period 5'!$F$60*'CLINs - Detail'!G236</f>
        <v>1577309.4282369376</v>
      </c>
      <c r="E236" s="290"/>
      <c r="F236" s="291">
        <f>D236</f>
        <v>1577309.4282369376</v>
      </c>
      <c r="G236" s="459">
        <v>0.19895838011042352</v>
      </c>
      <c r="H236" s="117"/>
      <c r="I236" s="117"/>
    </row>
    <row r="237" spans="1:9" x14ac:dyDescent="0.25">
      <c r="A237" s="374" t="s">
        <v>214</v>
      </c>
      <c r="B237" s="117" t="s">
        <v>242</v>
      </c>
      <c r="C237" s="117"/>
      <c r="D237" s="284">
        <f>'Ordering Period 5'!$F$60*'CLINs - Detail'!G237</f>
        <v>2730675.0985066346</v>
      </c>
      <c r="E237" s="290"/>
      <c r="F237" s="291">
        <f t="shared" ref="F237:F238" si="34">D237</f>
        <v>2730675.0985066346</v>
      </c>
      <c r="G237" s="459">
        <v>0.34444141680812934</v>
      </c>
      <c r="H237" s="117"/>
      <c r="I237" s="117"/>
    </row>
    <row r="238" spans="1:9" x14ac:dyDescent="0.25">
      <c r="A238" s="374" t="s">
        <v>215</v>
      </c>
      <c r="B238" s="117" t="s">
        <v>242</v>
      </c>
      <c r="C238" s="117"/>
      <c r="D238" s="284">
        <f>'Ordering Period 5'!$F$60*'CLINs - Detail'!G238</f>
        <v>3619851.5732564274</v>
      </c>
      <c r="E238" s="290"/>
      <c r="F238" s="291">
        <f t="shared" si="34"/>
        <v>3619851.5732564274</v>
      </c>
      <c r="G238" s="459">
        <v>0.45660020308144711</v>
      </c>
      <c r="H238" s="117"/>
      <c r="I238" s="117"/>
    </row>
    <row r="239" spans="1:9" x14ac:dyDescent="0.25">
      <c r="A239" s="375"/>
      <c r="B239" s="299" t="s">
        <v>244</v>
      </c>
      <c r="C239" s="117"/>
      <c r="D239" s="288">
        <f>SUM(D236:D238)</f>
        <v>7927836.0999999996</v>
      </c>
      <c r="E239" s="290"/>
      <c r="F239" s="464">
        <f>SUM(F236:F238)</f>
        <v>7927836.0999999996</v>
      </c>
      <c r="G239" s="459"/>
      <c r="H239" s="117"/>
      <c r="I239" s="117"/>
    </row>
    <row r="240" spans="1:9" x14ac:dyDescent="0.25">
      <c r="A240" s="372"/>
      <c r="B240" s="297" t="s">
        <v>261</v>
      </c>
      <c r="C240" s="293"/>
      <c r="D240" s="293"/>
      <c r="E240" s="293"/>
      <c r="F240" s="293"/>
    </row>
    <row r="241" spans="1:9" x14ac:dyDescent="0.25">
      <c r="A241" s="374" t="s">
        <v>211</v>
      </c>
      <c r="B241" s="117" t="s">
        <v>245</v>
      </c>
      <c r="C241" s="117"/>
      <c r="D241" s="284">
        <f>'Ordering Period 5'!$F$67*'CLINs - Detail'!G241</f>
        <v>379366.4758911244</v>
      </c>
      <c r="E241" s="290"/>
      <c r="F241" s="291">
        <f>D241</f>
        <v>379366.4758911244</v>
      </c>
      <c r="G241" s="459">
        <v>0.19895838011042352</v>
      </c>
      <c r="H241" s="117"/>
      <c r="I241" s="117"/>
    </row>
    <row r="242" spans="1:9" x14ac:dyDescent="0.25">
      <c r="A242" s="374" t="s">
        <v>214</v>
      </c>
      <c r="B242" s="117" t="s">
        <v>245</v>
      </c>
      <c r="C242" s="117"/>
      <c r="D242" s="284">
        <f>'Ordering Period 5'!$F$67*'CLINs - Detail'!G242</f>
        <v>656768.14604603872</v>
      </c>
      <c r="E242" s="290"/>
      <c r="F242" s="291">
        <f t="shared" ref="F242:F243" si="35">D242</f>
        <v>656768.14604603872</v>
      </c>
      <c r="G242" s="459">
        <v>0.34444141680812934</v>
      </c>
      <c r="H242" s="117"/>
      <c r="I242" s="117"/>
    </row>
    <row r="243" spans="1:9" x14ac:dyDescent="0.25">
      <c r="A243" s="374" t="s">
        <v>215</v>
      </c>
      <c r="B243" s="117" t="s">
        <v>245</v>
      </c>
      <c r="C243" s="117"/>
      <c r="D243" s="284">
        <f>'Ordering Period 5'!$F$67*'CLINs - Detail'!G243</f>
        <v>870628.36879774788</v>
      </c>
      <c r="E243" s="290"/>
      <c r="F243" s="291">
        <f t="shared" si="35"/>
        <v>870628.36879774788</v>
      </c>
      <c r="G243" s="459">
        <v>0.45660020308144711</v>
      </c>
      <c r="H243" s="117"/>
      <c r="I243" s="117"/>
    </row>
    <row r="244" spans="1:9" x14ac:dyDescent="0.25">
      <c r="A244" s="375"/>
      <c r="B244" s="299" t="s">
        <v>262</v>
      </c>
      <c r="C244" s="117"/>
      <c r="D244" s="288">
        <f>SUM(D241:D243)</f>
        <v>1906762.9907349111</v>
      </c>
      <c r="E244" s="290"/>
      <c r="F244" s="464">
        <f>SUM(F241:F243)</f>
        <v>1906762.9907349111</v>
      </c>
      <c r="G244" s="459"/>
      <c r="H244" s="117"/>
      <c r="I244" s="117"/>
    </row>
    <row r="245" spans="1:9" x14ac:dyDescent="0.25">
      <c r="A245" s="598"/>
      <c r="B245" s="599" t="s">
        <v>175</v>
      </c>
      <c r="C245" s="600">
        <f>C220+C234</f>
        <v>317277.97621839447</v>
      </c>
      <c r="D245" s="601">
        <f>D220+D234+D239+D244</f>
        <v>9834599.0907349102</v>
      </c>
      <c r="E245" s="601">
        <f>E220+E234</f>
        <v>0</v>
      </c>
      <c r="F245" s="601">
        <f>F220+F234+F239+F244</f>
        <v>9834599.0907349102</v>
      </c>
      <c r="G245" s="292"/>
      <c r="H245" s="292">
        <f>'Ordering Period 5'!F70</f>
        <v>9834599.0907349102</v>
      </c>
      <c r="I245" s="283">
        <f>F245-H245</f>
        <v>0</v>
      </c>
    </row>
    <row r="246" spans="1:9" x14ac:dyDescent="0.25">
      <c r="A246" s="606" t="s">
        <v>163</v>
      </c>
      <c r="B246" s="607"/>
      <c r="C246" s="608"/>
      <c r="D246" s="608"/>
      <c r="E246" s="608"/>
      <c r="F246" s="608"/>
      <c r="G246" s="456"/>
      <c r="H246"/>
    </row>
    <row r="247" spans="1:9" x14ac:dyDescent="0.25">
      <c r="A247" s="281" t="s">
        <v>162</v>
      </c>
      <c r="B247" s="281" t="s">
        <v>161</v>
      </c>
      <c r="C247" s="282" t="s">
        <v>188</v>
      </c>
      <c r="D247" s="282" t="s">
        <v>99</v>
      </c>
      <c r="E247" s="282" t="s">
        <v>100</v>
      </c>
      <c r="F247" s="282" t="s">
        <v>118</v>
      </c>
      <c r="G247" s="456"/>
      <c r="H247"/>
    </row>
    <row r="248" spans="1:9" x14ac:dyDescent="0.25">
      <c r="A248" s="370"/>
      <c r="B248" s="294" t="s">
        <v>217</v>
      </c>
      <c r="C248" s="295"/>
      <c r="D248" s="295"/>
      <c r="E248" s="295"/>
      <c r="F248" s="296"/>
      <c r="G248" s="457"/>
      <c r="H248" s="172"/>
      <c r="I248" s="15"/>
    </row>
    <row r="249" spans="1:9" s="15" customFormat="1" x14ac:dyDescent="0.25">
      <c r="A249" s="234" t="s">
        <v>259</v>
      </c>
      <c r="B249" s="491"/>
      <c r="C249" s="593"/>
      <c r="D249" s="593"/>
      <c r="E249" s="593"/>
      <c r="F249" s="594"/>
      <c r="G249" s="457"/>
      <c r="H249" s="172"/>
    </row>
    <row r="250" spans="1:9" s="15" customFormat="1" x14ac:dyDescent="0.25">
      <c r="A250" s="333"/>
      <c r="B250" s="172" t="s">
        <v>42</v>
      </c>
      <c r="C250" s="285">
        <f>C5+C54+C103+C152+C201</f>
        <v>95573.49133013087</v>
      </c>
      <c r="D250" s="286">
        <f>D5+D54+D103+D152+D201</f>
        <v>0</v>
      </c>
      <c r="E250" s="286">
        <f>E5+E54+E103+E152+E201</f>
        <v>0</v>
      </c>
      <c r="F250" s="286">
        <f t="shared" ref="F250:F256" si="36">D250+E250</f>
        <v>0</v>
      </c>
      <c r="G250" s="457"/>
      <c r="H250" s="172"/>
    </row>
    <row r="251" spans="1:9" x14ac:dyDescent="0.25">
      <c r="A251" s="234" t="s">
        <v>211</v>
      </c>
      <c r="C251" s="285"/>
      <c r="D251" s="286"/>
      <c r="E251" s="286"/>
      <c r="F251" s="286"/>
    </row>
    <row r="252" spans="1:9" x14ac:dyDescent="0.25">
      <c r="A252" s="493"/>
      <c r="B252" s="172" t="s">
        <v>43</v>
      </c>
      <c r="C252" s="285">
        <f t="shared" ref="C252:E256" si="37">C7+C56+C105+C154+C203</f>
        <v>10716.034519527493</v>
      </c>
      <c r="D252" s="286">
        <f t="shared" si="37"/>
        <v>0</v>
      </c>
      <c r="E252" s="286">
        <f t="shared" si="37"/>
        <v>0</v>
      </c>
      <c r="F252" s="286">
        <f t="shared" si="36"/>
        <v>0</v>
      </c>
      <c r="G252" s="459"/>
      <c r="H252" s="459"/>
      <c r="I252" s="459"/>
    </row>
    <row r="253" spans="1:9" x14ac:dyDescent="0.25">
      <c r="A253" s="493"/>
      <c r="B253" s="15" t="s">
        <v>205</v>
      </c>
      <c r="C253" s="285">
        <f t="shared" si="37"/>
        <v>245086.55315962419</v>
      </c>
      <c r="D253" s="286">
        <f t="shared" si="37"/>
        <v>0</v>
      </c>
      <c r="E253" s="286">
        <f t="shared" si="37"/>
        <v>0</v>
      </c>
      <c r="F253" s="286">
        <f t="shared" si="36"/>
        <v>0</v>
      </c>
      <c r="G253" s="459"/>
      <c r="H253" s="459"/>
      <c r="I253" s="459"/>
    </row>
    <row r="254" spans="1:9" x14ac:dyDescent="0.25">
      <c r="A254" s="493"/>
      <c r="B254" s="172" t="s">
        <v>212</v>
      </c>
      <c r="C254" s="285">
        <f t="shared" si="37"/>
        <v>19573.760652796376</v>
      </c>
      <c r="D254" s="286">
        <f t="shared" si="37"/>
        <v>0</v>
      </c>
      <c r="E254" s="286">
        <f t="shared" si="37"/>
        <v>0</v>
      </c>
      <c r="F254" s="286">
        <f t="shared" si="36"/>
        <v>0</v>
      </c>
      <c r="G254" s="459"/>
      <c r="H254" s="459"/>
      <c r="I254" s="459"/>
    </row>
    <row r="255" spans="1:9" x14ac:dyDescent="0.25">
      <c r="A255" s="493"/>
      <c r="B255" s="307" t="s">
        <v>213</v>
      </c>
      <c r="C255" s="285">
        <f t="shared" si="37"/>
        <v>48122.834486204294</v>
      </c>
      <c r="D255" s="286">
        <f t="shared" si="37"/>
        <v>0</v>
      </c>
      <c r="E255" s="286">
        <f t="shared" si="37"/>
        <v>0</v>
      </c>
      <c r="F255" s="286">
        <f t="shared" si="36"/>
        <v>0</v>
      </c>
      <c r="G255" s="459"/>
      <c r="H255" s="459"/>
      <c r="I255" s="459"/>
    </row>
    <row r="256" spans="1:9" x14ac:dyDescent="0.25">
      <c r="A256" s="493"/>
      <c r="B256" s="455" t="s">
        <v>216</v>
      </c>
      <c r="C256" s="285">
        <f t="shared" si="37"/>
        <v>56998.348043769874</v>
      </c>
      <c r="D256" s="286">
        <f t="shared" si="37"/>
        <v>0</v>
      </c>
      <c r="E256" s="286">
        <f t="shared" si="37"/>
        <v>0</v>
      </c>
      <c r="F256" s="286">
        <f t="shared" si="36"/>
        <v>0</v>
      </c>
      <c r="G256" s="459"/>
      <c r="H256" s="459"/>
      <c r="I256" s="459"/>
    </row>
    <row r="257" spans="1:9" x14ac:dyDescent="0.25">
      <c r="A257" s="491" t="s">
        <v>214</v>
      </c>
      <c r="B257" s="172"/>
      <c r="C257" s="285"/>
      <c r="D257" s="286"/>
      <c r="E257" s="286"/>
      <c r="F257" s="286"/>
      <c r="G257" s="460"/>
      <c r="H257"/>
    </row>
    <row r="258" spans="1:9" x14ac:dyDescent="0.25">
      <c r="A258" s="493"/>
      <c r="B258" s="172" t="s">
        <v>43</v>
      </c>
      <c r="C258" s="285">
        <f t="shared" ref="C258:E262" si="38">C13+C62+C111+C160+C209</f>
        <v>152539.48588204538</v>
      </c>
      <c r="D258" s="286">
        <f t="shared" si="38"/>
        <v>0</v>
      </c>
      <c r="E258" s="286">
        <f t="shared" si="38"/>
        <v>0</v>
      </c>
      <c r="F258" s="286">
        <f t="shared" ref="F258:F262" si="39">D258+E258</f>
        <v>0</v>
      </c>
      <c r="G258" s="459"/>
      <c r="H258"/>
    </row>
    <row r="259" spans="1:9" x14ac:dyDescent="0.25">
      <c r="A259" s="493"/>
      <c r="B259" s="15" t="s">
        <v>205</v>
      </c>
      <c r="C259" s="285">
        <f t="shared" si="38"/>
        <v>283488.72669055313</v>
      </c>
      <c r="D259" s="286">
        <f t="shared" si="38"/>
        <v>0</v>
      </c>
      <c r="E259" s="286">
        <f t="shared" si="38"/>
        <v>0</v>
      </c>
      <c r="F259" s="286">
        <f t="shared" si="39"/>
        <v>0</v>
      </c>
      <c r="G259" s="459"/>
      <c r="H259"/>
    </row>
    <row r="260" spans="1:9" x14ac:dyDescent="0.25">
      <c r="A260" s="493"/>
      <c r="B260" s="172" t="s">
        <v>212</v>
      </c>
      <c r="C260" s="285">
        <f t="shared" si="38"/>
        <v>104395.72066992693</v>
      </c>
      <c r="D260" s="286">
        <f t="shared" si="38"/>
        <v>0</v>
      </c>
      <c r="E260" s="286">
        <f t="shared" si="38"/>
        <v>0</v>
      </c>
      <c r="F260" s="286">
        <f t="shared" si="39"/>
        <v>0</v>
      </c>
      <c r="G260" s="459"/>
      <c r="H260"/>
    </row>
    <row r="261" spans="1:9" x14ac:dyDescent="0.25">
      <c r="A261" s="493"/>
      <c r="B261" s="307" t="s">
        <v>213</v>
      </c>
      <c r="C261" s="285">
        <f t="shared" si="38"/>
        <v>56971.944819807381</v>
      </c>
      <c r="D261" s="286">
        <f t="shared" si="38"/>
        <v>0</v>
      </c>
      <c r="E261" s="286">
        <f t="shared" si="38"/>
        <v>0</v>
      </c>
      <c r="F261" s="286">
        <f t="shared" si="39"/>
        <v>0</v>
      </c>
      <c r="G261" s="459"/>
      <c r="H261"/>
    </row>
    <row r="262" spans="1:9" x14ac:dyDescent="0.25">
      <c r="A262" s="493"/>
      <c r="B262" s="455" t="s">
        <v>216</v>
      </c>
      <c r="C262" s="285">
        <f t="shared" si="38"/>
        <v>70518.113024332895</v>
      </c>
      <c r="D262" s="286">
        <f t="shared" si="38"/>
        <v>0</v>
      </c>
      <c r="E262" s="286">
        <f t="shared" si="38"/>
        <v>0</v>
      </c>
      <c r="F262" s="286">
        <f t="shared" si="39"/>
        <v>0</v>
      </c>
      <c r="G262" s="459"/>
      <c r="H262" s="118"/>
      <c r="I262" s="118"/>
    </row>
    <row r="263" spans="1:9" x14ac:dyDescent="0.25">
      <c r="A263" s="491" t="s">
        <v>215</v>
      </c>
      <c r="B263" s="172"/>
      <c r="C263" s="285"/>
      <c r="D263" s="286"/>
      <c r="E263" s="286"/>
      <c r="F263" s="286"/>
      <c r="G263" s="461"/>
      <c r="H263" s="118"/>
      <c r="I263" s="118"/>
    </row>
    <row r="264" spans="1:9" x14ac:dyDescent="0.25">
      <c r="A264" s="493"/>
      <c r="B264" s="172" t="s">
        <v>43</v>
      </c>
      <c r="C264" s="285">
        <f t="shared" ref="C264:E268" si="40">C19+C68+C117+C166+C215</f>
        <v>33531.43674706333</v>
      </c>
      <c r="D264" s="286">
        <f t="shared" si="40"/>
        <v>0</v>
      </c>
      <c r="E264" s="286">
        <f t="shared" si="40"/>
        <v>0</v>
      </c>
      <c r="F264" s="286">
        <f t="shared" ref="F264:F268" si="41">D264+E264</f>
        <v>0</v>
      </c>
      <c r="G264" s="459"/>
      <c r="H264" s="118"/>
      <c r="I264" s="118"/>
    </row>
    <row r="265" spans="1:9" x14ac:dyDescent="0.25">
      <c r="A265" s="493"/>
      <c r="B265" s="15" t="s">
        <v>205</v>
      </c>
      <c r="C265" s="285">
        <f t="shared" si="40"/>
        <v>28646.169601946152</v>
      </c>
      <c r="D265" s="286">
        <f t="shared" si="40"/>
        <v>0</v>
      </c>
      <c r="E265" s="286">
        <f t="shared" si="40"/>
        <v>0</v>
      </c>
      <c r="F265" s="286">
        <f t="shared" si="41"/>
        <v>0</v>
      </c>
      <c r="G265" s="459"/>
      <c r="H265" s="118"/>
      <c r="I265" s="118"/>
    </row>
    <row r="266" spans="1:9" x14ac:dyDescent="0.25">
      <c r="A266" s="493"/>
      <c r="B266" s="172" t="s">
        <v>212</v>
      </c>
      <c r="C266" s="285">
        <f t="shared" si="40"/>
        <v>112161.99725680765</v>
      </c>
      <c r="D266" s="286">
        <f t="shared" si="40"/>
        <v>0</v>
      </c>
      <c r="E266" s="286">
        <f t="shared" si="40"/>
        <v>0</v>
      </c>
      <c r="F266" s="286">
        <f t="shared" si="41"/>
        <v>0</v>
      </c>
      <c r="G266" s="459"/>
      <c r="H266" s="118"/>
      <c r="I266" s="118"/>
    </row>
    <row r="267" spans="1:9" x14ac:dyDescent="0.25">
      <c r="A267" s="493"/>
      <c r="B267" s="307" t="s">
        <v>213</v>
      </c>
      <c r="C267" s="285">
        <f t="shared" si="40"/>
        <v>24496.208938250493</v>
      </c>
      <c r="D267" s="286">
        <f t="shared" si="40"/>
        <v>0</v>
      </c>
      <c r="E267" s="286">
        <f t="shared" si="40"/>
        <v>0</v>
      </c>
      <c r="F267" s="286">
        <f t="shared" si="41"/>
        <v>0</v>
      </c>
      <c r="G267" s="459"/>
      <c r="H267" s="118"/>
      <c r="I267" s="118"/>
    </row>
    <row r="268" spans="1:9" x14ac:dyDescent="0.25">
      <c r="A268" s="493"/>
      <c r="B268" s="455" t="s">
        <v>216</v>
      </c>
      <c r="C268" s="285">
        <f t="shared" si="40"/>
        <v>54005.522465282709</v>
      </c>
      <c r="D268" s="286">
        <f t="shared" si="40"/>
        <v>0</v>
      </c>
      <c r="E268" s="286">
        <f t="shared" si="40"/>
        <v>0</v>
      </c>
      <c r="F268" s="286">
        <f t="shared" si="41"/>
        <v>0</v>
      </c>
      <c r="G268" s="459"/>
      <c r="H268" s="118"/>
      <c r="I268" s="118"/>
    </row>
    <row r="269" spans="1:9" x14ac:dyDescent="0.25">
      <c r="A269" s="371"/>
      <c r="B269" s="298" t="s">
        <v>164</v>
      </c>
      <c r="C269" s="287">
        <f>SUM(C249:C268)</f>
        <v>1396826.3482880695</v>
      </c>
      <c r="D269" s="288">
        <f>SUM(D249:D268)</f>
        <v>0</v>
      </c>
      <c r="E269" s="288">
        <f>SUM(E249:E268)</f>
        <v>0</v>
      </c>
      <c r="F269" s="289">
        <f>SUM(F249:F268)</f>
        <v>0</v>
      </c>
      <c r="G269" s="462"/>
      <c r="H269" s="118"/>
      <c r="I269" s="118"/>
    </row>
    <row r="270" spans="1:9" x14ac:dyDescent="0.25">
      <c r="A270" s="372"/>
      <c r="B270" s="297" t="s">
        <v>218</v>
      </c>
      <c r="C270" s="293"/>
      <c r="D270" s="293"/>
      <c r="E270" s="293"/>
      <c r="F270" s="293"/>
      <c r="G270" s="462"/>
    </row>
    <row r="271" spans="1:9" x14ac:dyDescent="0.25">
      <c r="A271" s="492" t="s">
        <v>211</v>
      </c>
      <c r="C271" s="48"/>
      <c r="D271" s="284"/>
      <c r="E271" s="284"/>
      <c r="F271" s="286"/>
      <c r="G271" s="462"/>
    </row>
    <row r="272" spans="1:9" x14ac:dyDescent="0.25">
      <c r="A272" s="494"/>
      <c r="B272" s="9" t="s">
        <v>43</v>
      </c>
      <c r="C272" s="48">
        <f t="shared" ref="C272:E273" si="42">C27+C76+C125+C174+C223</f>
        <v>1753.9764869315081</v>
      </c>
      <c r="D272" s="284">
        <f t="shared" si="42"/>
        <v>0</v>
      </c>
      <c r="E272" s="284">
        <f t="shared" si="42"/>
        <v>0</v>
      </c>
      <c r="F272" s="286">
        <f>D272+E272</f>
        <v>0</v>
      </c>
      <c r="G272" s="459"/>
      <c r="H272" s="459"/>
      <c r="I272" s="459"/>
    </row>
    <row r="273" spans="1:9" x14ac:dyDescent="0.25">
      <c r="A273" s="494"/>
      <c r="B273" s="455" t="s">
        <v>216</v>
      </c>
      <c r="C273" s="48">
        <f t="shared" si="42"/>
        <v>27559.097277465553</v>
      </c>
      <c r="D273" s="284">
        <f t="shared" si="42"/>
        <v>0</v>
      </c>
      <c r="E273" s="284">
        <f t="shared" si="42"/>
        <v>0</v>
      </c>
      <c r="F273" s="286">
        <f t="shared" ref="F273" si="43">D273+E273</f>
        <v>0</v>
      </c>
      <c r="G273" s="459"/>
      <c r="H273" s="459"/>
      <c r="I273" s="459"/>
    </row>
    <row r="274" spans="1:9" x14ac:dyDescent="0.25">
      <c r="A274" s="492" t="s">
        <v>214</v>
      </c>
      <c r="C274" s="48"/>
      <c r="D274" s="284"/>
      <c r="E274" s="284"/>
      <c r="F274" s="286"/>
      <c r="G274" s="461"/>
    </row>
    <row r="275" spans="1:9" x14ac:dyDescent="0.25">
      <c r="A275" s="494"/>
      <c r="B275" s="9" t="s">
        <v>43</v>
      </c>
      <c r="C275" s="48">
        <f t="shared" ref="C275:E276" si="44">C30+C79+C128+C177+C226</f>
        <v>26783.951469596326</v>
      </c>
      <c r="D275" s="284">
        <f t="shared" si="44"/>
        <v>0</v>
      </c>
      <c r="E275" s="284">
        <f t="shared" si="44"/>
        <v>0</v>
      </c>
      <c r="F275" s="286">
        <f t="shared" ref="F275:F276" si="45">D275+E275</f>
        <v>0</v>
      </c>
      <c r="G275" s="459"/>
    </row>
    <row r="276" spans="1:9" x14ac:dyDescent="0.25">
      <c r="A276" s="494"/>
      <c r="B276" s="455" t="s">
        <v>216</v>
      </c>
      <c r="C276" s="48">
        <f t="shared" si="44"/>
        <v>34090.508356085164</v>
      </c>
      <c r="D276" s="284">
        <f t="shared" si="44"/>
        <v>0</v>
      </c>
      <c r="E276" s="284">
        <f t="shared" si="44"/>
        <v>0</v>
      </c>
      <c r="F276" s="286">
        <f t="shared" si="45"/>
        <v>0</v>
      </c>
      <c r="G276" s="459"/>
    </row>
    <row r="277" spans="1:9" x14ac:dyDescent="0.25">
      <c r="A277" s="492" t="s">
        <v>215</v>
      </c>
      <c r="C277" s="48"/>
      <c r="D277" s="284"/>
      <c r="E277" s="284"/>
      <c r="F277" s="286"/>
      <c r="G277" s="461"/>
    </row>
    <row r="278" spans="1:9" x14ac:dyDescent="0.25">
      <c r="A278" s="494"/>
      <c r="B278" s="9" t="s">
        <v>43</v>
      </c>
      <c r="C278" s="48">
        <f t="shared" ref="C278:E282" si="46">C33+C82+C131+C180+C229</f>
        <v>2350.6192414435091</v>
      </c>
      <c r="D278" s="284">
        <f t="shared" si="46"/>
        <v>0</v>
      </c>
      <c r="E278" s="284">
        <f t="shared" si="46"/>
        <v>0</v>
      </c>
      <c r="F278" s="286">
        <f t="shared" ref="F278:F282" si="47">D278+E278</f>
        <v>0</v>
      </c>
      <c r="G278" s="459"/>
    </row>
    <row r="279" spans="1:9" x14ac:dyDescent="0.25">
      <c r="A279" s="494"/>
      <c r="B279" s="172" t="s">
        <v>205</v>
      </c>
      <c r="C279" s="48">
        <f t="shared" si="46"/>
        <v>34022.996913632371</v>
      </c>
      <c r="D279" s="284">
        <f t="shared" si="46"/>
        <v>0</v>
      </c>
      <c r="E279" s="284">
        <f t="shared" si="46"/>
        <v>0</v>
      </c>
      <c r="F279" s="286">
        <f t="shared" si="47"/>
        <v>0</v>
      </c>
      <c r="G279" s="459"/>
    </row>
    <row r="280" spans="1:9" x14ac:dyDescent="0.25">
      <c r="A280" s="494"/>
      <c r="B280" s="172" t="s">
        <v>212</v>
      </c>
      <c r="C280" s="48">
        <f t="shared" si="46"/>
        <v>18820.998292668919</v>
      </c>
      <c r="D280" s="284">
        <f t="shared" si="46"/>
        <v>0</v>
      </c>
      <c r="E280" s="284">
        <f t="shared" si="46"/>
        <v>0</v>
      </c>
      <c r="F280" s="286">
        <f t="shared" si="47"/>
        <v>0</v>
      </c>
      <c r="G280" s="459"/>
    </row>
    <row r="281" spans="1:9" x14ac:dyDescent="0.25">
      <c r="A281" s="494"/>
      <c r="B281" s="9" t="s">
        <v>213</v>
      </c>
      <c r="C281" s="48">
        <f t="shared" si="46"/>
        <v>28374.497426031263</v>
      </c>
      <c r="D281" s="284">
        <f t="shared" si="46"/>
        <v>0</v>
      </c>
      <c r="E281" s="284">
        <f t="shared" si="46"/>
        <v>0</v>
      </c>
      <c r="F281" s="286">
        <f t="shared" si="47"/>
        <v>0</v>
      </c>
      <c r="G281" s="459"/>
    </row>
    <row r="282" spans="1:9" x14ac:dyDescent="0.25">
      <c r="A282" s="494"/>
      <c r="B282" s="455" t="s">
        <v>216</v>
      </c>
      <c r="C282" s="48">
        <f t="shared" si="46"/>
        <v>15806.887340048479</v>
      </c>
      <c r="D282" s="284">
        <f t="shared" si="46"/>
        <v>0</v>
      </c>
      <c r="E282" s="284">
        <f t="shared" si="46"/>
        <v>0</v>
      </c>
      <c r="F282" s="286">
        <f t="shared" si="47"/>
        <v>0</v>
      </c>
      <c r="G282" s="459"/>
    </row>
    <row r="283" spans="1:9" x14ac:dyDescent="0.25">
      <c r="A283" s="374"/>
      <c r="B283" s="299" t="s">
        <v>165</v>
      </c>
      <c r="C283" s="287">
        <f>SUM(C271:C282)</f>
        <v>189563.5328039031</v>
      </c>
      <c r="D283" s="289">
        <f>SUM(D271:D282)</f>
        <v>0</v>
      </c>
      <c r="E283" s="289">
        <f>SUM(E271:E282)</f>
        <v>0</v>
      </c>
      <c r="F283" s="289">
        <f>SUM(F271:F282)</f>
        <v>0</v>
      </c>
      <c r="G283" s="463"/>
      <c r="H283" s="234"/>
      <c r="I283" s="234"/>
    </row>
    <row r="284" spans="1:9" x14ac:dyDescent="0.25">
      <c r="A284" s="372"/>
      <c r="B284" s="297" t="s">
        <v>260</v>
      </c>
      <c r="C284" s="293"/>
      <c r="D284" s="293"/>
      <c r="E284" s="293"/>
      <c r="F284" s="293"/>
    </row>
    <row r="285" spans="1:9" x14ac:dyDescent="0.25">
      <c r="A285" s="374" t="s">
        <v>211</v>
      </c>
      <c r="B285" s="117" t="s">
        <v>242</v>
      </c>
      <c r="C285" s="117"/>
      <c r="D285" s="284">
        <f>D40+D89+D138+D187+D236</f>
        <v>7886547.1411846876</v>
      </c>
      <c r="E285" s="290"/>
      <c r="F285" s="291">
        <f>D285</f>
        <v>7886547.1411846876</v>
      </c>
      <c r="G285" s="459"/>
      <c r="H285" s="117"/>
      <c r="I285" s="117"/>
    </row>
    <row r="286" spans="1:9" x14ac:dyDescent="0.25">
      <c r="A286" s="374" t="s">
        <v>214</v>
      </c>
      <c r="B286" s="117" t="s">
        <v>242</v>
      </c>
      <c r="C286" s="117"/>
      <c r="D286" s="284">
        <f>D41+D90+D139+D188+D237</f>
        <v>13653375.492533173</v>
      </c>
      <c r="E286" s="290"/>
      <c r="F286" s="291">
        <f t="shared" ref="F286:F287" si="48">D286</f>
        <v>13653375.492533173</v>
      </c>
      <c r="G286" s="459"/>
      <c r="H286" s="117"/>
      <c r="I286" s="117"/>
    </row>
    <row r="287" spans="1:9" x14ac:dyDescent="0.25">
      <c r="A287" s="374" t="s">
        <v>215</v>
      </c>
      <c r="B287" s="117" t="s">
        <v>242</v>
      </c>
      <c r="C287" s="117"/>
      <c r="D287" s="284">
        <f>D42+D91+D140+D189+D238</f>
        <v>18099257.866282135</v>
      </c>
      <c r="E287" s="290"/>
      <c r="F287" s="291">
        <f t="shared" si="48"/>
        <v>18099257.866282135</v>
      </c>
      <c r="G287" s="459"/>
      <c r="H287" s="117"/>
      <c r="I287" s="117"/>
    </row>
    <row r="288" spans="1:9" x14ac:dyDescent="0.25">
      <c r="A288" s="375"/>
      <c r="B288" s="299" t="s">
        <v>244</v>
      </c>
      <c r="C288" s="117"/>
      <c r="D288" s="288">
        <f>SUM(D285:D287)</f>
        <v>39639180.5</v>
      </c>
      <c r="E288" s="290"/>
      <c r="F288" s="464">
        <f>SUM(F285:F287)</f>
        <v>39639180.5</v>
      </c>
      <c r="G288" s="459"/>
      <c r="H288" s="117"/>
      <c r="I288" s="117"/>
    </row>
    <row r="289" spans="1:9" x14ac:dyDescent="0.25">
      <c r="A289" s="372"/>
      <c r="B289" s="297" t="s">
        <v>261</v>
      </c>
      <c r="C289" s="293"/>
      <c r="D289" s="293"/>
      <c r="E289" s="293"/>
      <c r="F289" s="293"/>
    </row>
    <row r="290" spans="1:9" x14ac:dyDescent="0.25">
      <c r="A290" s="374" t="s">
        <v>211</v>
      </c>
      <c r="B290" s="117" t="s">
        <v>245</v>
      </c>
      <c r="C290" s="117"/>
      <c r="D290" s="284">
        <f>D45+D94+D143+D192+D241</f>
        <v>1896832.3794556221</v>
      </c>
      <c r="E290" s="290"/>
      <c r="F290" s="291">
        <f>D290</f>
        <v>1896832.3794556221</v>
      </c>
      <c r="G290" s="459"/>
      <c r="H290" s="117"/>
      <c r="I290" s="117"/>
    </row>
    <row r="291" spans="1:9" x14ac:dyDescent="0.25">
      <c r="A291" s="374" t="s">
        <v>214</v>
      </c>
      <c r="B291" s="117" t="s">
        <v>245</v>
      </c>
      <c r="C291" s="117"/>
      <c r="D291" s="284">
        <f>D46+D95+D144+D193+D242</f>
        <v>3283840.7302301936</v>
      </c>
      <c r="E291" s="290"/>
      <c r="F291" s="291">
        <f t="shared" ref="F291:F292" si="49">D291</f>
        <v>3283840.7302301936</v>
      </c>
      <c r="G291" s="459"/>
      <c r="H291" s="117"/>
      <c r="I291" s="117"/>
    </row>
    <row r="292" spans="1:9" x14ac:dyDescent="0.25">
      <c r="A292" s="374" t="s">
        <v>215</v>
      </c>
      <c r="B292" s="117" t="s">
        <v>245</v>
      </c>
      <c r="C292" s="117"/>
      <c r="D292" s="284">
        <f>D47+D96+D145+D194+D243</f>
        <v>4353141.843988739</v>
      </c>
      <c r="E292" s="290"/>
      <c r="F292" s="291">
        <f t="shared" si="49"/>
        <v>4353141.843988739</v>
      </c>
      <c r="G292" s="459"/>
      <c r="H292" s="117"/>
      <c r="I292" s="117"/>
    </row>
    <row r="293" spans="1:9" x14ac:dyDescent="0.25">
      <c r="A293" s="375"/>
      <c r="B293" s="299" t="s">
        <v>262</v>
      </c>
      <c r="C293" s="117"/>
      <c r="D293" s="288">
        <f>SUM(D290:D292)</f>
        <v>9533814.9536745548</v>
      </c>
      <c r="E293" s="290"/>
      <c r="F293" s="464">
        <f>SUM(F290:F292)</f>
        <v>9533814.9536745548</v>
      </c>
      <c r="G293" s="459"/>
      <c r="H293" s="117"/>
      <c r="I293" s="117"/>
    </row>
    <row r="294" spans="1:9" x14ac:dyDescent="0.25">
      <c r="A294" s="602"/>
      <c r="B294" s="603" t="s">
        <v>163</v>
      </c>
      <c r="C294" s="604">
        <f>C269+C283</f>
        <v>1586389.8810919726</v>
      </c>
      <c r="D294" s="605">
        <f>D269+D283+D288+D293</f>
        <v>49172995.453674555</v>
      </c>
      <c r="E294" s="605">
        <f>E269+E283</f>
        <v>0</v>
      </c>
      <c r="F294" s="605">
        <f>F269+F283+F288+F293</f>
        <v>49172995.453674555</v>
      </c>
      <c r="G294" s="292"/>
      <c r="H294" s="292">
        <f>'Total - Detail'!F52</f>
        <v>49172995.453674555</v>
      </c>
      <c r="I294" s="292">
        <f>F294-H294</f>
        <v>0</v>
      </c>
    </row>
  </sheetData>
  <phoneticPr fontId="21" type="noConversion"/>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82BD1-BBA8-405D-AC2F-300DBFC08B87}">
  <sheetPr>
    <tabColor theme="8"/>
  </sheetPr>
  <dimension ref="B1:M43"/>
  <sheetViews>
    <sheetView workbookViewId="0"/>
  </sheetViews>
  <sheetFormatPr defaultColWidth="9.140625" defaultRowHeight="15" x14ac:dyDescent="0.25"/>
  <cols>
    <col min="1" max="1" width="3.5703125" style="9" customWidth="1"/>
    <col min="2" max="2" width="62.140625" style="9" bestFit="1" customWidth="1"/>
    <col min="3" max="3" width="20.42578125" style="9" customWidth="1"/>
    <col min="4" max="5" width="20.7109375" style="9" customWidth="1"/>
    <col min="6" max="8" width="20.7109375" style="47" customWidth="1"/>
    <col min="9" max="9" width="20.7109375" style="47" bestFit="1" customWidth="1"/>
    <col min="10" max="10" width="20.140625" style="12" bestFit="1" customWidth="1"/>
    <col min="11" max="11" width="21.42578125" style="49" bestFit="1" customWidth="1"/>
    <col min="12" max="12" width="15.140625" style="9" customWidth="1"/>
    <col min="13" max="13" width="9.5703125" style="9" bestFit="1" customWidth="1"/>
    <col min="14" max="16384" width="9.140625" style="9"/>
  </cols>
  <sheetData>
    <row r="1" spans="2:13" ht="27" thickBot="1" x14ac:dyDescent="0.45">
      <c r="B1" s="527" t="s">
        <v>268</v>
      </c>
      <c r="C1" s="528"/>
      <c r="D1" s="528"/>
      <c r="E1" s="528"/>
      <c r="F1" s="528"/>
      <c r="G1" s="528"/>
      <c r="H1" s="528"/>
      <c r="I1" s="529"/>
      <c r="J1" s="9"/>
      <c r="K1" s="9"/>
    </row>
    <row r="2" spans="2:13" ht="15.75" thickBot="1" x14ac:dyDescent="0.3">
      <c r="B2" s="530" t="s">
        <v>48</v>
      </c>
      <c r="C2" s="531"/>
      <c r="D2" s="531"/>
      <c r="E2" s="531"/>
      <c r="F2" s="531"/>
      <c r="G2" s="532"/>
      <c r="H2" s="532"/>
      <c r="I2" s="533"/>
      <c r="J2" s="9"/>
      <c r="K2" s="9"/>
    </row>
    <row r="3" spans="2:13" s="234" customFormat="1" ht="45.75" customHeight="1" thickBot="1" x14ac:dyDescent="0.3">
      <c r="B3" s="534" t="s">
        <v>35</v>
      </c>
      <c r="C3" s="479" t="s">
        <v>88</v>
      </c>
      <c r="D3" s="479" t="s">
        <v>219</v>
      </c>
      <c r="E3" s="479" t="s">
        <v>220</v>
      </c>
      <c r="F3" s="479" t="s">
        <v>221</v>
      </c>
      <c r="G3" s="480" t="s">
        <v>222</v>
      </c>
      <c r="H3" s="481" t="s">
        <v>223</v>
      </c>
      <c r="I3" s="482" t="s">
        <v>224</v>
      </c>
    </row>
    <row r="4" spans="2:13" ht="18" thickBot="1" x14ac:dyDescent="0.35">
      <c r="B4" s="544" t="s">
        <v>117</v>
      </c>
      <c r="C4" s="487"/>
      <c r="D4" s="545"/>
      <c r="E4" s="545"/>
      <c r="F4" s="545"/>
      <c r="G4" s="189"/>
      <c r="H4" s="488"/>
      <c r="I4" s="489"/>
    </row>
    <row r="5" spans="2:13" ht="16.5" customHeight="1" x14ac:dyDescent="0.25">
      <c r="B5" s="535" t="s">
        <v>43</v>
      </c>
      <c r="C5" s="615"/>
      <c r="D5" s="466">
        <f>'Composite Labor Rates'!D7</f>
        <v>0</v>
      </c>
      <c r="E5" s="466">
        <f>'Composite Labor Rates'!E7</f>
        <v>0</v>
      </c>
      <c r="F5" s="466">
        <f t="shared" ref="F5:F9" si="0">D5+E5</f>
        <v>0</v>
      </c>
      <c r="G5" s="466">
        <f t="shared" ref="G5:G9" si="1">C5*D5</f>
        <v>0</v>
      </c>
      <c r="H5" s="466">
        <f t="shared" ref="H5:H9" si="2">C5*E5</f>
        <v>0</v>
      </c>
      <c r="I5" s="467">
        <f t="shared" ref="I5:I9" si="3">C5*F5</f>
        <v>0</v>
      </c>
      <c r="M5" s="270"/>
    </row>
    <row r="6" spans="2:13" x14ac:dyDescent="0.25">
      <c r="B6" s="536" t="s">
        <v>205</v>
      </c>
      <c r="C6" s="616"/>
      <c r="D6" s="470">
        <f>'Composite Labor Rates'!D8</f>
        <v>0</v>
      </c>
      <c r="E6" s="470">
        <f>'Composite Labor Rates'!E8</f>
        <v>0</v>
      </c>
      <c r="F6" s="470">
        <f t="shared" si="0"/>
        <v>0</v>
      </c>
      <c r="G6" s="470">
        <f t="shared" si="1"/>
        <v>0</v>
      </c>
      <c r="H6" s="470">
        <f t="shared" si="2"/>
        <v>0</v>
      </c>
      <c r="I6" s="483">
        <f t="shared" si="3"/>
        <v>0</v>
      </c>
      <c r="M6" s="270"/>
    </row>
    <row r="7" spans="2:13" x14ac:dyDescent="0.25">
      <c r="B7" s="537" t="s">
        <v>212</v>
      </c>
      <c r="C7" s="616"/>
      <c r="D7" s="470">
        <f>'Composite Labor Rates'!D9</f>
        <v>0</v>
      </c>
      <c r="E7" s="470">
        <f>'Composite Labor Rates'!E9</f>
        <v>0</v>
      </c>
      <c r="F7" s="470">
        <f t="shared" si="0"/>
        <v>0</v>
      </c>
      <c r="G7" s="470">
        <f t="shared" si="1"/>
        <v>0</v>
      </c>
      <c r="H7" s="470">
        <f t="shared" si="2"/>
        <v>0</v>
      </c>
      <c r="I7" s="483">
        <f t="shared" si="3"/>
        <v>0</v>
      </c>
      <c r="M7" s="270"/>
    </row>
    <row r="8" spans="2:13" x14ac:dyDescent="0.25">
      <c r="B8" s="537" t="s">
        <v>213</v>
      </c>
      <c r="C8" s="616"/>
      <c r="D8" s="470">
        <f>'Composite Labor Rates'!D10</f>
        <v>0</v>
      </c>
      <c r="E8" s="470">
        <f>'Composite Labor Rates'!E10</f>
        <v>0</v>
      </c>
      <c r="F8" s="470">
        <f t="shared" si="0"/>
        <v>0</v>
      </c>
      <c r="G8" s="470">
        <f t="shared" si="1"/>
        <v>0</v>
      </c>
      <c r="H8" s="470">
        <f t="shared" si="2"/>
        <v>0</v>
      </c>
      <c r="I8" s="483">
        <f t="shared" si="3"/>
        <v>0</v>
      </c>
      <c r="M8" s="270"/>
    </row>
    <row r="9" spans="2:13" ht="15.75" thickBot="1" x14ac:dyDescent="0.3">
      <c r="B9" s="538" t="s">
        <v>216</v>
      </c>
      <c r="C9" s="617"/>
      <c r="D9" s="474">
        <f>'Composite Labor Rates'!D11</f>
        <v>0</v>
      </c>
      <c r="E9" s="474">
        <f>'Composite Labor Rates'!E11</f>
        <v>0</v>
      </c>
      <c r="F9" s="474">
        <f t="shared" si="0"/>
        <v>0</v>
      </c>
      <c r="G9" s="474">
        <f t="shared" si="1"/>
        <v>0</v>
      </c>
      <c r="H9" s="474">
        <f t="shared" si="2"/>
        <v>0</v>
      </c>
      <c r="I9" s="484">
        <f t="shared" si="3"/>
        <v>0</v>
      </c>
      <c r="M9" s="270"/>
    </row>
    <row r="10" spans="2:13" ht="18" thickBot="1" x14ac:dyDescent="0.35">
      <c r="B10" s="546" t="s">
        <v>77</v>
      </c>
      <c r="C10" s="485"/>
      <c r="D10" s="547"/>
      <c r="E10" s="547"/>
      <c r="F10" s="547"/>
      <c r="G10" s="407"/>
      <c r="H10" s="486"/>
      <c r="I10" s="427"/>
      <c r="M10" s="270"/>
    </row>
    <row r="11" spans="2:13" x14ac:dyDescent="0.25">
      <c r="B11" s="535" t="s">
        <v>43</v>
      </c>
      <c r="C11" s="615"/>
      <c r="D11" s="466">
        <f>'Composite Labor Rates'!D13</f>
        <v>0</v>
      </c>
      <c r="E11" s="466">
        <f>'Composite Labor Rates'!E13</f>
        <v>0</v>
      </c>
      <c r="F11" s="466">
        <f>D11+E11</f>
        <v>0</v>
      </c>
      <c r="G11" s="466">
        <f>C11*D11</f>
        <v>0</v>
      </c>
      <c r="H11" s="466">
        <f>C11*E11</f>
        <v>0</v>
      </c>
      <c r="I11" s="467">
        <f>C11*F11</f>
        <v>0</v>
      </c>
      <c r="M11" s="270"/>
    </row>
    <row r="12" spans="2:13" ht="15.75" thickBot="1" x14ac:dyDescent="0.3">
      <c r="B12" s="539" t="s">
        <v>216</v>
      </c>
      <c r="C12" s="617"/>
      <c r="D12" s="474">
        <f>'Composite Labor Rates'!D17</f>
        <v>0</v>
      </c>
      <c r="E12" s="474">
        <f>'Composite Labor Rates'!E17</f>
        <v>0</v>
      </c>
      <c r="F12" s="474">
        <f t="shared" ref="F12" si="4">D12+E12</f>
        <v>0</v>
      </c>
      <c r="G12" s="474">
        <f t="shared" ref="G12" si="5">C12*D12</f>
        <v>0</v>
      </c>
      <c r="H12" s="474">
        <f t="shared" ref="H12" si="6">C12*E12</f>
        <v>0</v>
      </c>
      <c r="I12" s="484">
        <f t="shared" ref="I12" si="7">C12*F12</f>
        <v>0</v>
      </c>
      <c r="M12" s="270"/>
    </row>
    <row r="13" spans="2:13" x14ac:dyDescent="0.25">
      <c r="B13" s="540" t="s">
        <v>119</v>
      </c>
      <c r="C13" s="181">
        <f>SUM(C5:C9)</f>
        <v>0</v>
      </c>
      <c r="F13" s="469"/>
      <c r="G13" s="469"/>
      <c r="H13" s="469"/>
      <c r="I13" s="9"/>
      <c r="J13" s="9"/>
      <c r="K13" s="45"/>
    </row>
    <row r="14" spans="2:13" ht="15.75" thickBot="1" x14ac:dyDescent="0.3">
      <c r="B14" s="541" t="s">
        <v>120</v>
      </c>
      <c r="C14" s="245">
        <f>SUM(C11:C12)</f>
        <v>0</v>
      </c>
      <c r="F14" s="469"/>
      <c r="G14" s="469"/>
    </row>
    <row r="15" spans="2:13" ht="15.75" thickBot="1" x14ac:dyDescent="0.3">
      <c r="B15" s="542" t="s">
        <v>121</v>
      </c>
      <c r="C15" s="248">
        <f>C13+C14</f>
        <v>0</v>
      </c>
      <c r="F15" s="469"/>
      <c r="G15" s="469"/>
    </row>
    <row r="16" spans="2:13" x14ac:dyDescent="0.25">
      <c r="F16" s="9"/>
      <c r="G16" s="9"/>
    </row>
    <row r="17" spans="2:5" ht="15.75" thickBot="1" x14ac:dyDescent="0.3"/>
    <row r="18" spans="2:5" x14ac:dyDescent="0.25">
      <c r="B18" s="50" t="s">
        <v>225</v>
      </c>
      <c r="C18" s="237"/>
      <c r="D18" s="382" t="s">
        <v>188</v>
      </c>
      <c r="E18" s="385" t="s">
        <v>226</v>
      </c>
    </row>
    <row r="19" spans="2:5" x14ac:dyDescent="0.25">
      <c r="B19" s="54"/>
      <c r="D19" s="53"/>
      <c r="E19" s="76"/>
    </row>
    <row r="20" spans="2:5" ht="15.75" thickBot="1" x14ac:dyDescent="0.3">
      <c r="B20" s="55" t="s">
        <v>228</v>
      </c>
      <c r="C20" s="238"/>
      <c r="D20" s="56">
        <f>C15</f>
        <v>0</v>
      </c>
      <c r="E20" s="471">
        <f>SUM(I5:I12)</f>
        <v>0</v>
      </c>
    </row>
    <row r="21" spans="2:5" ht="15.75" thickBot="1" x14ac:dyDescent="0.3">
      <c r="B21" s="47"/>
      <c r="C21" s="80"/>
      <c r="E21" s="47"/>
    </row>
    <row r="22" spans="2:5" x14ac:dyDescent="0.25">
      <c r="B22" s="50" t="s">
        <v>242</v>
      </c>
      <c r="C22" s="566" t="s">
        <v>227</v>
      </c>
      <c r="D22" s="382" t="s">
        <v>169</v>
      </c>
      <c r="E22" s="383" t="s">
        <v>99</v>
      </c>
    </row>
    <row r="23" spans="2:5" x14ac:dyDescent="0.25">
      <c r="B23" s="54" t="s">
        <v>167</v>
      </c>
      <c r="C23" s="619"/>
      <c r="D23" s="543">
        <f>'Ordering Period 1'!E53</f>
        <v>0</v>
      </c>
      <c r="E23" s="472">
        <f>IF(D23&lt;0,"ERROR",C23-(C23*D23))</f>
        <v>0</v>
      </c>
    </row>
    <row r="24" spans="2:5" x14ac:dyDescent="0.25">
      <c r="B24" s="54" t="s">
        <v>168</v>
      </c>
      <c r="C24" s="619"/>
      <c r="D24" s="543">
        <f>'Ordering Period 1'!E54</f>
        <v>0</v>
      </c>
      <c r="E24" s="472">
        <f>IF(D24&lt;0,"ERROR",C24-(C24*D24))</f>
        <v>0</v>
      </c>
    </row>
    <row r="25" spans="2:5" ht="17.25" x14ac:dyDescent="0.4">
      <c r="B25" s="54" t="s">
        <v>243</v>
      </c>
      <c r="C25" s="619"/>
      <c r="D25" s="57"/>
      <c r="E25" s="473">
        <f>C25</f>
        <v>0</v>
      </c>
    </row>
    <row r="26" spans="2:5" x14ac:dyDescent="0.25">
      <c r="B26" s="300" t="s">
        <v>244</v>
      </c>
      <c r="C26" s="561">
        <f>SUM(C23:C25)</f>
        <v>0</v>
      </c>
      <c r="D26" s="57"/>
      <c r="E26" s="560">
        <f>ROUND(SUM(E23:E25),2)</f>
        <v>0</v>
      </c>
    </row>
    <row r="27" spans="2:5" x14ac:dyDescent="0.25">
      <c r="B27" s="54"/>
      <c r="C27" s="11"/>
      <c r="D27" s="386" t="s">
        <v>170</v>
      </c>
      <c r="E27" s="468"/>
    </row>
    <row r="28" spans="2:5" ht="17.25" x14ac:dyDescent="0.4">
      <c r="B28" s="54" t="s">
        <v>246</v>
      </c>
      <c r="C28" s="11"/>
      <c r="D28" s="543">
        <f>'Ordering Period 1'!E58</f>
        <v>0</v>
      </c>
      <c r="E28" s="477">
        <f>ROUND(E26*D28,2)</f>
        <v>0</v>
      </c>
    </row>
    <row r="29" spans="2:5" x14ac:dyDescent="0.25">
      <c r="B29" s="300"/>
      <c r="C29" s="561"/>
      <c r="D29" s="57"/>
      <c r="E29" s="560"/>
    </row>
    <row r="30" spans="2:5" ht="15.75" thickBot="1" x14ac:dyDescent="0.3">
      <c r="B30" s="55" t="s">
        <v>247</v>
      </c>
      <c r="C30" s="562"/>
      <c r="D30" s="563"/>
      <c r="E30" s="564">
        <f>E26+E28</f>
        <v>0</v>
      </c>
    </row>
    <row r="31" spans="2:5" ht="15.75" thickBot="1" x14ac:dyDescent="0.3">
      <c r="B31" s="47"/>
      <c r="C31" s="80"/>
      <c r="E31" s="47"/>
    </row>
    <row r="32" spans="2:5" x14ac:dyDescent="0.25">
      <c r="B32" s="50" t="s">
        <v>245</v>
      </c>
      <c r="C32" s="566" t="s">
        <v>227</v>
      </c>
      <c r="D32" s="565"/>
      <c r="E32" s="383" t="s">
        <v>99</v>
      </c>
    </row>
    <row r="33" spans="2:11" x14ac:dyDescent="0.25">
      <c r="B33" s="54" t="s">
        <v>245</v>
      </c>
      <c r="C33" s="620"/>
      <c r="D33" s="11"/>
      <c r="E33" s="475">
        <f>C33</f>
        <v>0</v>
      </c>
    </row>
    <row r="34" spans="2:11" x14ac:dyDescent="0.25">
      <c r="B34" s="54"/>
      <c r="C34" s="11"/>
      <c r="D34" s="386" t="s">
        <v>170</v>
      </c>
      <c r="E34" s="468"/>
      <c r="G34" s="14"/>
      <c r="H34" s="14"/>
      <c r="I34" s="14"/>
      <c r="K34" s="9"/>
    </row>
    <row r="35" spans="2:11" ht="17.25" x14ac:dyDescent="0.4">
      <c r="B35" s="54" t="s">
        <v>248</v>
      </c>
      <c r="C35" s="11"/>
      <c r="D35" s="543">
        <f>'Ordering Period 1'!E65</f>
        <v>0</v>
      </c>
      <c r="E35" s="477">
        <f>ROUND(E33*D35,2)</f>
        <v>0</v>
      </c>
      <c r="G35" s="301"/>
      <c r="H35" s="301"/>
      <c r="I35" s="301"/>
      <c r="K35" s="9"/>
    </row>
    <row r="36" spans="2:11" x14ac:dyDescent="0.25">
      <c r="B36" s="54"/>
      <c r="C36" s="11"/>
      <c r="D36" s="57"/>
      <c r="E36" s="465"/>
      <c r="G36" s="301"/>
      <c r="H36" s="301"/>
      <c r="I36" s="301"/>
      <c r="K36" s="9"/>
    </row>
    <row r="37" spans="2:11" ht="15.75" thickBot="1" x14ac:dyDescent="0.3">
      <c r="B37" s="55" t="s">
        <v>249</v>
      </c>
      <c r="C37" s="238"/>
      <c r="D37" s="56"/>
      <c r="E37" s="471">
        <f>E33+E35</f>
        <v>0</v>
      </c>
      <c r="G37" s="79"/>
      <c r="H37" s="79"/>
      <c r="I37" s="79"/>
      <c r="K37" s="9"/>
    </row>
    <row r="38" spans="2:11" ht="15.75" thickBot="1" x14ac:dyDescent="0.3">
      <c r="E38" s="47"/>
    </row>
    <row r="39" spans="2:11" ht="15.75" thickBot="1" x14ac:dyDescent="0.3">
      <c r="B39" s="59" t="s">
        <v>230</v>
      </c>
      <c r="C39" s="162"/>
      <c r="D39" s="162"/>
      <c r="E39" s="478">
        <f>E20+E30+E37</f>
        <v>0</v>
      </c>
      <c r="G39" s="79"/>
      <c r="H39" s="79"/>
      <c r="I39" s="79"/>
    </row>
    <row r="40" spans="2:11" x14ac:dyDescent="0.25">
      <c r="E40" s="47"/>
    </row>
    <row r="41" spans="2:11" x14ac:dyDescent="0.25">
      <c r="C41" s="234"/>
      <c r="D41" s="47"/>
      <c r="E41" s="476"/>
      <c r="G41" s="79"/>
      <c r="H41" s="79"/>
      <c r="I41" s="79"/>
    </row>
    <row r="42" spans="2:11" x14ac:dyDescent="0.25">
      <c r="E42" s="47"/>
    </row>
    <row r="43" spans="2:11" x14ac:dyDescent="0.25">
      <c r="K43" s="9"/>
    </row>
  </sheetData>
  <conditionalFormatting sqref="E23:E24">
    <cfRule type="containsText" dxfId="1" priority="1" operator="containsText" text="ERROR">
      <formula>NOT(ISERROR(SEARCH("ERROR",E23)))</formula>
    </cfRule>
  </conditionalFormatting>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35DB0-CD6F-48E2-9A2D-5EDE574FC46F}">
  <sheetPr>
    <tabColor theme="8"/>
  </sheetPr>
  <dimension ref="B1:M46"/>
  <sheetViews>
    <sheetView workbookViewId="0"/>
  </sheetViews>
  <sheetFormatPr defaultColWidth="9.140625" defaultRowHeight="15" x14ac:dyDescent="0.25"/>
  <cols>
    <col min="1" max="1" width="3.5703125" style="9" customWidth="1"/>
    <col min="2" max="2" width="62.140625" style="9" bestFit="1" customWidth="1"/>
    <col min="3" max="3" width="20.42578125" style="9" customWidth="1"/>
    <col min="4" max="5" width="20.7109375" style="9" customWidth="1"/>
    <col min="6" max="8" width="20.7109375" style="47" customWidth="1"/>
    <col min="9" max="9" width="20.7109375" style="47" bestFit="1" customWidth="1"/>
    <col min="10" max="10" width="20.140625" style="12" bestFit="1" customWidth="1"/>
    <col min="11" max="11" width="21.42578125" style="49" bestFit="1" customWidth="1"/>
    <col min="12" max="12" width="15.140625" style="9" customWidth="1"/>
    <col min="13" max="13" width="9.5703125" style="9" bestFit="1" customWidth="1"/>
    <col min="14" max="16384" width="9.140625" style="9"/>
  </cols>
  <sheetData>
    <row r="1" spans="2:13" ht="27" thickBot="1" x14ac:dyDescent="0.45">
      <c r="B1" s="527" t="s">
        <v>269</v>
      </c>
      <c r="C1" s="528"/>
      <c r="D1" s="528"/>
      <c r="E1" s="528"/>
      <c r="F1" s="528"/>
      <c r="G1" s="528"/>
      <c r="H1" s="528"/>
      <c r="I1" s="529"/>
      <c r="J1" s="9"/>
      <c r="K1" s="9"/>
    </row>
    <row r="2" spans="2:13" ht="15.75" thickBot="1" x14ac:dyDescent="0.3">
      <c r="B2" s="530" t="s">
        <v>48</v>
      </c>
      <c r="C2" s="531"/>
      <c r="D2" s="531"/>
      <c r="E2" s="531"/>
      <c r="F2" s="531"/>
      <c r="G2" s="532"/>
      <c r="H2" s="532"/>
      <c r="I2" s="533"/>
      <c r="J2" s="9"/>
      <c r="K2" s="9"/>
    </row>
    <row r="3" spans="2:13" s="234" customFormat="1" ht="45.75" customHeight="1" thickBot="1" x14ac:dyDescent="0.3">
      <c r="B3" s="534" t="s">
        <v>35</v>
      </c>
      <c r="C3" s="479" t="s">
        <v>88</v>
      </c>
      <c r="D3" s="479" t="s">
        <v>219</v>
      </c>
      <c r="E3" s="479" t="s">
        <v>220</v>
      </c>
      <c r="F3" s="479" t="s">
        <v>221</v>
      </c>
      <c r="G3" s="480" t="s">
        <v>222</v>
      </c>
      <c r="H3" s="481" t="s">
        <v>223</v>
      </c>
      <c r="I3" s="482" t="s">
        <v>224</v>
      </c>
    </row>
    <row r="4" spans="2:13" ht="18" thickBot="1" x14ac:dyDescent="0.35">
      <c r="B4" s="544" t="s">
        <v>117</v>
      </c>
      <c r="C4" s="487"/>
      <c r="D4" s="545"/>
      <c r="E4" s="545"/>
      <c r="F4" s="545"/>
      <c r="G4" s="189"/>
      <c r="H4" s="488"/>
      <c r="I4" s="489"/>
    </row>
    <row r="5" spans="2:13" ht="16.5" customHeight="1" x14ac:dyDescent="0.25">
      <c r="B5" s="535" t="s">
        <v>43</v>
      </c>
      <c r="C5" s="615"/>
      <c r="D5" s="466">
        <f>'Composite Labor Rates'!D7</f>
        <v>0</v>
      </c>
      <c r="E5" s="466">
        <f>'Composite Labor Rates'!E7</f>
        <v>0</v>
      </c>
      <c r="F5" s="466">
        <f t="shared" ref="F5:F9" si="0">D5+E5</f>
        <v>0</v>
      </c>
      <c r="G5" s="466">
        <f t="shared" ref="G5:G9" si="1">C5*D5</f>
        <v>0</v>
      </c>
      <c r="H5" s="466">
        <f t="shared" ref="H5:H9" si="2">C5*E5</f>
        <v>0</v>
      </c>
      <c r="I5" s="467">
        <f t="shared" ref="I5:I9" si="3">C5*F5</f>
        <v>0</v>
      </c>
      <c r="M5" s="270"/>
    </row>
    <row r="6" spans="2:13" x14ac:dyDescent="0.25">
      <c r="B6" s="536" t="s">
        <v>205</v>
      </c>
      <c r="C6" s="616"/>
      <c r="D6" s="470">
        <f>'Composite Labor Rates'!D8</f>
        <v>0</v>
      </c>
      <c r="E6" s="470">
        <f>'Composite Labor Rates'!E8</f>
        <v>0</v>
      </c>
      <c r="F6" s="470">
        <f t="shared" si="0"/>
        <v>0</v>
      </c>
      <c r="G6" s="470">
        <f t="shared" si="1"/>
        <v>0</v>
      </c>
      <c r="H6" s="470">
        <f t="shared" si="2"/>
        <v>0</v>
      </c>
      <c r="I6" s="483">
        <f t="shared" si="3"/>
        <v>0</v>
      </c>
      <c r="M6" s="270"/>
    </row>
    <row r="7" spans="2:13" x14ac:dyDescent="0.25">
      <c r="B7" s="537" t="s">
        <v>212</v>
      </c>
      <c r="C7" s="616"/>
      <c r="D7" s="470">
        <f>'Composite Labor Rates'!D9</f>
        <v>0</v>
      </c>
      <c r="E7" s="470">
        <f>'Composite Labor Rates'!E9</f>
        <v>0</v>
      </c>
      <c r="F7" s="470">
        <f t="shared" si="0"/>
        <v>0</v>
      </c>
      <c r="G7" s="470">
        <f t="shared" si="1"/>
        <v>0</v>
      </c>
      <c r="H7" s="470">
        <f t="shared" si="2"/>
        <v>0</v>
      </c>
      <c r="I7" s="483">
        <f t="shared" si="3"/>
        <v>0</v>
      </c>
      <c r="M7" s="270"/>
    </row>
    <row r="8" spans="2:13" x14ac:dyDescent="0.25">
      <c r="B8" s="537" t="s">
        <v>213</v>
      </c>
      <c r="C8" s="616"/>
      <c r="D8" s="470">
        <f>'Composite Labor Rates'!D10</f>
        <v>0</v>
      </c>
      <c r="E8" s="470">
        <f>'Composite Labor Rates'!E10</f>
        <v>0</v>
      </c>
      <c r="F8" s="470">
        <f t="shared" si="0"/>
        <v>0</v>
      </c>
      <c r="G8" s="470">
        <f t="shared" si="1"/>
        <v>0</v>
      </c>
      <c r="H8" s="470">
        <f t="shared" si="2"/>
        <v>0</v>
      </c>
      <c r="I8" s="483">
        <f t="shared" si="3"/>
        <v>0</v>
      </c>
      <c r="M8" s="270"/>
    </row>
    <row r="9" spans="2:13" ht="15.75" thickBot="1" x14ac:dyDescent="0.3">
      <c r="B9" s="538" t="s">
        <v>216</v>
      </c>
      <c r="C9" s="617"/>
      <c r="D9" s="474">
        <f>'Composite Labor Rates'!D11</f>
        <v>0</v>
      </c>
      <c r="E9" s="474">
        <f>'Composite Labor Rates'!E11</f>
        <v>0</v>
      </c>
      <c r="F9" s="474">
        <f t="shared" si="0"/>
        <v>0</v>
      </c>
      <c r="G9" s="474">
        <f t="shared" si="1"/>
        <v>0</v>
      </c>
      <c r="H9" s="474">
        <f t="shared" si="2"/>
        <v>0</v>
      </c>
      <c r="I9" s="484">
        <f t="shared" si="3"/>
        <v>0</v>
      </c>
      <c r="M9" s="270"/>
    </row>
    <row r="10" spans="2:13" ht="18" thickBot="1" x14ac:dyDescent="0.35">
      <c r="B10" s="546" t="s">
        <v>77</v>
      </c>
      <c r="C10" s="485"/>
      <c r="D10" s="547"/>
      <c r="E10" s="547"/>
      <c r="F10" s="547"/>
      <c r="G10" s="407"/>
      <c r="H10" s="486"/>
      <c r="I10" s="427"/>
      <c r="M10" s="270"/>
    </row>
    <row r="11" spans="2:13" x14ac:dyDescent="0.25">
      <c r="B11" s="535" t="s">
        <v>43</v>
      </c>
      <c r="C11" s="615"/>
      <c r="D11" s="466">
        <f>'Composite Labor Rates'!D13</f>
        <v>0</v>
      </c>
      <c r="E11" s="466">
        <f>'Composite Labor Rates'!E13</f>
        <v>0</v>
      </c>
      <c r="F11" s="466">
        <f>D11+E11</f>
        <v>0</v>
      </c>
      <c r="G11" s="466">
        <f>C11*D11</f>
        <v>0</v>
      </c>
      <c r="H11" s="466">
        <f>C11*E11</f>
        <v>0</v>
      </c>
      <c r="I11" s="467">
        <f>C11*F11</f>
        <v>0</v>
      </c>
      <c r="M11" s="270"/>
    </row>
    <row r="12" spans="2:13" x14ac:dyDescent="0.25">
      <c r="B12" s="536" t="s">
        <v>205</v>
      </c>
      <c r="C12" s="616"/>
      <c r="D12" s="470">
        <f>'Composite Labor Rates'!D14</f>
        <v>0</v>
      </c>
      <c r="E12" s="470">
        <f>'Composite Labor Rates'!E14</f>
        <v>0</v>
      </c>
      <c r="F12" s="470">
        <f t="shared" ref="F12:F15" si="4">D12+E12</f>
        <v>0</v>
      </c>
      <c r="G12" s="470">
        <f t="shared" ref="G12:G15" si="5">C12*D12</f>
        <v>0</v>
      </c>
      <c r="H12" s="470">
        <f t="shared" ref="H12:H15" si="6">C12*E12</f>
        <v>0</v>
      </c>
      <c r="I12" s="483">
        <f t="shared" ref="I12:I15" si="7">C12*F12</f>
        <v>0</v>
      </c>
      <c r="M12" s="270"/>
    </row>
    <row r="13" spans="2:13" x14ac:dyDescent="0.25">
      <c r="B13" s="536" t="s">
        <v>212</v>
      </c>
      <c r="C13" s="616"/>
      <c r="D13" s="470">
        <f>'Composite Labor Rates'!D15</f>
        <v>0</v>
      </c>
      <c r="E13" s="470">
        <f>'Composite Labor Rates'!E15</f>
        <v>0</v>
      </c>
      <c r="F13" s="470">
        <f t="shared" si="4"/>
        <v>0</v>
      </c>
      <c r="G13" s="470">
        <f t="shared" si="5"/>
        <v>0</v>
      </c>
      <c r="H13" s="470">
        <f t="shared" si="6"/>
        <v>0</v>
      </c>
      <c r="I13" s="483">
        <f t="shared" si="7"/>
        <v>0</v>
      </c>
      <c r="M13" s="270"/>
    </row>
    <row r="14" spans="2:13" x14ac:dyDescent="0.25">
      <c r="B14" s="536" t="s">
        <v>213</v>
      </c>
      <c r="C14" s="616"/>
      <c r="D14" s="470">
        <f>'Composite Labor Rates'!D16</f>
        <v>0</v>
      </c>
      <c r="E14" s="470">
        <f>'Composite Labor Rates'!E16</f>
        <v>0</v>
      </c>
      <c r="F14" s="470">
        <f t="shared" si="4"/>
        <v>0</v>
      </c>
      <c r="G14" s="470">
        <f t="shared" si="5"/>
        <v>0</v>
      </c>
      <c r="H14" s="470">
        <f t="shared" si="6"/>
        <v>0</v>
      </c>
      <c r="I14" s="483">
        <f t="shared" si="7"/>
        <v>0</v>
      </c>
      <c r="M14" s="270"/>
    </row>
    <row r="15" spans="2:13" ht="15.75" thickBot="1" x14ac:dyDescent="0.3">
      <c r="B15" s="539" t="s">
        <v>216</v>
      </c>
      <c r="C15" s="617"/>
      <c r="D15" s="474">
        <f>'Composite Labor Rates'!D17</f>
        <v>0</v>
      </c>
      <c r="E15" s="474">
        <f>'Composite Labor Rates'!E17</f>
        <v>0</v>
      </c>
      <c r="F15" s="474">
        <f t="shared" si="4"/>
        <v>0</v>
      </c>
      <c r="G15" s="474">
        <f t="shared" si="5"/>
        <v>0</v>
      </c>
      <c r="H15" s="474">
        <f t="shared" si="6"/>
        <v>0</v>
      </c>
      <c r="I15" s="484">
        <f t="shared" si="7"/>
        <v>0</v>
      </c>
      <c r="M15" s="270"/>
    </row>
    <row r="16" spans="2:13" x14ac:dyDescent="0.25">
      <c r="B16" s="540" t="s">
        <v>119</v>
      </c>
      <c r="C16" s="181">
        <f>SUM(C5:C9)</f>
        <v>0</v>
      </c>
      <c r="F16" s="469"/>
      <c r="G16" s="469"/>
      <c r="H16" s="469"/>
      <c r="I16" s="9"/>
      <c r="J16" s="9"/>
      <c r="K16" s="45"/>
    </row>
    <row r="17" spans="2:7" ht="15.75" thickBot="1" x14ac:dyDescent="0.3">
      <c r="B17" s="541" t="s">
        <v>120</v>
      </c>
      <c r="C17" s="245">
        <f>SUM(C11:C15)</f>
        <v>0</v>
      </c>
      <c r="F17" s="469"/>
      <c r="G17" s="469"/>
    </row>
    <row r="18" spans="2:7" ht="15.75" thickBot="1" x14ac:dyDescent="0.3">
      <c r="B18" s="542" t="s">
        <v>121</v>
      </c>
      <c r="C18" s="248">
        <f>C16+C17</f>
        <v>0</v>
      </c>
      <c r="F18" s="469"/>
      <c r="G18" s="469"/>
    </row>
    <row r="19" spans="2:7" x14ac:dyDescent="0.25">
      <c r="F19" s="9"/>
      <c r="G19" s="9"/>
    </row>
    <row r="20" spans="2:7" ht="15.75" thickBot="1" x14ac:dyDescent="0.3"/>
    <row r="21" spans="2:7" x14ac:dyDescent="0.25">
      <c r="B21" s="50" t="s">
        <v>225</v>
      </c>
      <c r="C21" s="237"/>
      <c r="D21" s="382" t="s">
        <v>188</v>
      </c>
      <c r="E21" s="385" t="s">
        <v>226</v>
      </c>
    </row>
    <row r="22" spans="2:7" x14ac:dyDescent="0.25">
      <c r="B22" s="54"/>
      <c r="D22" s="53"/>
      <c r="E22" s="76"/>
    </row>
    <row r="23" spans="2:7" ht="15.75" thickBot="1" x14ac:dyDescent="0.3">
      <c r="B23" s="55" t="s">
        <v>228</v>
      </c>
      <c r="C23" s="238"/>
      <c r="D23" s="56">
        <f>C18</f>
        <v>0</v>
      </c>
      <c r="E23" s="471">
        <f>SUM(I5:I15)</f>
        <v>0</v>
      </c>
    </row>
    <row r="24" spans="2:7" ht="15.75" thickBot="1" x14ac:dyDescent="0.3">
      <c r="B24" s="47"/>
      <c r="C24" s="80"/>
      <c r="E24" s="47"/>
    </row>
    <row r="25" spans="2:7" x14ac:dyDescent="0.25">
      <c r="B25" s="50" t="s">
        <v>242</v>
      </c>
      <c r="C25" s="566" t="s">
        <v>227</v>
      </c>
      <c r="D25" s="382" t="s">
        <v>169</v>
      </c>
      <c r="E25" s="383" t="s">
        <v>99</v>
      </c>
    </row>
    <row r="26" spans="2:7" x14ac:dyDescent="0.25">
      <c r="B26" s="54" t="s">
        <v>167</v>
      </c>
      <c r="C26" s="619"/>
      <c r="D26" s="543">
        <f>'Ordering Period 1'!E53</f>
        <v>0</v>
      </c>
      <c r="E26" s="472">
        <f>IF(D26&lt;0,"ERROR",C26-(C26*D26))</f>
        <v>0</v>
      </c>
    </row>
    <row r="27" spans="2:7" x14ac:dyDescent="0.25">
      <c r="B27" s="54" t="s">
        <v>168</v>
      </c>
      <c r="C27" s="619"/>
      <c r="D27" s="543">
        <f>'Ordering Period 1'!E54</f>
        <v>0</v>
      </c>
      <c r="E27" s="472">
        <f>IF(D27&lt;0,"ERROR",C27-(C27*D27))</f>
        <v>0</v>
      </c>
    </row>
    <row r="28" spans="2:7" ht="17.25" x14ac:dyDescent="0.4">
      <c r="B28" s="54" t="s">
        <v>243</v>
      </c>
      <c r="C28" s="619"/>
      <c r="D28" s="57"/>
      <c r="E28" s="473">
        <f>C28</f>
        <v>0</v>
      </c>
    </row>
    <row r="29" spans="2:7" x14ac:dyDescent="0.25">
      <c r="B29" s="300" t="s">
        <v>244</v>
      </c>
      <c r="C29" s="561">
        <f>SUM(C26:C28)</f>
        <v>0</v>
      </c>
      <c r="D29" s="57"/>
      <c r="E29" s="560">
        <f>ROUND(SUM(E26:E28),2)</f>
        <v>0</v>
      </c>
    </row>
    <row r="30" spans="2:7" x14ac:dyDescent="0.25">
      <c r="B30" s="54"/>
      <c r="C30" s="11"/>
      <c r="D30" s="386" t="s">
        <v>170</v>
      </c>
      <c r="E30" s="468"/>
    </row>
    <row r="31" spans="2:7" ht="17.25" x14ac:dyDescent="0.4">
      <c r="B31" s="54" t="s">
        <v>246</v>
      </c>
      <c r="C31" s="11"/>
      <c r="D31" s="543">
        <f>'Ordering Period 1'!E58</f>
        <v>0</v>
      </c>
      <c r="E31" s="477">
        <f>ROUND(E29*D31,2)</f>
        <v>0</v>
      </c>
    </row>
    <row r="32" spans="2:7" x14ac:dyDescent="0.25">
      <c r="B32" s="300"/>
      <c r="C32" s="561"/>
      <c r="D32" s="57"/>
      <c r="E32" s="560"/>
    </row>
    <row r="33" spans="2:11" ht="15.75" thickBot="1" x14ac:dyDescent="0.3">
      <c r="B33" s="55" t="s">
        <v>247</v>
      </c>
      <c r="C33" s="562"/>
      <c r="D33" s="563"/>
      <c r="E33" s="564">
        <f>E29+E31</f>
        <v>0</v>
      </c>
    </row>
    <row r="34" spans="2:11" ht="15.75" thickBot="1" x14ac:dyDescent="0.3">
      <c r="B34" s="47"/>
      <c r="C34" s="80"/>
      <c r="E34" s="47"/>
    </row>
    <row r="35" spans="2:11" x14ac:dyDescent="0.25">
      <c r="B35" s="50" t="s">
        <v>245</v>
      </c>
      <c r="C35" s="566" t="s">
        <v>227</v>
      </c>
      <c r="D35" s="565"/>
      <c r="E35" s="383" t="s">
        <v>99</v>
      </c>
    </row>
    <row r="36" spans="2:11" x14ac:dyDescent="0.25">
      <c r="B36" s="54" t="s">
        <v>245</v>
      </c>
      <c r="C36" s="620"/>
      <c r="D36" s="11"/>
      <c r="E36" s="475">
        <f>C36</f>
        <v>0</v>
      </c>
    </row>
    <row r="37" spans="2:11" x14ac:dyDescent="0.25">
      <c r="B37" s="54"/>
      <c r="C37" s="11"/>
      <c r="D37" s="386" t="s">
        <v>170</v>
      </c>
      <c r="E37" s="468"/>
      <c r="G37" s="14"/>
      <c r="H37" s="14"/>
      <c r="I37" s="14"/>
      <c r="K37" s="9"/>
    </row>
    <row r="38" spans="2:11" ht="17.25" x14ac:dyDescent="0.4">
      <c r="B38" s="54" t="s">
        <v>174</v>
      </c>
      <c r="C38" s="11"/>
      <c r="D38" s="543">
        <f>'Ordering Period 1'!E65</f>
        <v>0</v>
      </c>
      <c r="E38" s="477">
        <f>ROUND(E36*D38,2)</f>
        <v>0</v>
      </c>
      <c r="G38" s="301"/>
      <c r="H38" s="301"/>
      <c r="I38" s="301"/>
      <c r="K38" s="9"/>
    </row>
    <row r="39" spans="2:11" x14ac:dyDescent="0.25">
      <c r="B39" s="54"/>
      <c r="C39" s="11"/>
      <c r="D39" s="57"/>
      <c r="E39" s="465"/>
      <c r="G39" s="301"/>
      <c r="H39" s="301"/>
      <c r="I39" s="301"/>
      <c r="K39" s="9"/>
    </row>
    <row r="40" spans="2:11" ht="15.75" thickBot="1" x14ac:dyDescent="0.3">
      <c r="B40" s="55" t="s">
        <v>229</v>
      </c>
      <c r="C40" s="238"/>
      <c r="D40" s="56"/>
      <c r="E40" s="471">
        <f>E36+E38</f>
        <v>0</v>
      </c>
      <c r="G40" s="79"/>
      <c r="H40" s="79"/>
      <c r="I40" s="79"/>
      <c r="K40" s="9"/>
    </row>
    <row r="41" spans="2:11" ht="15.75" thickBot="1" x14ac:dyDescent="0.3">
      <c r="E41" s="47"/>
    </row>
    <row r="42" spans="2:11" ht="15.75" thickBot="1" x14ac:dyDescent="0.3">
      <c r="B42" s="59" t="s">
        <v>230</v>
      </c>
      <c r="C42" s="162"/>
      <c r="D42" s="162"/>
      <c r="E42" s="478">
        <f>E23+E33+E40</f>
        <v>0</v>
      </c>
      <c r="G42" s="79"/>
      <c r="H42" s="79"/>
      <c r="I42" s="79"/>
    </row>
    <row r="43" spans="2:11" x14ac:dyDescent="0.25">
      <c r="E43" s="47"/>
    </row>
    <row r="44" spans="2:11" x14ac:dyDescent="0.25">
      <c r="C44" s="234"/>
      <c r="D44" s="47"/>
      <c r="E44" s="476"/>
      <c r="G44" s="79"/>
      <c r="H44" s="79"/>
      <c r="I44" s="79"/>
    </row>
    <row r="45" spans="2:11" x14ac:dyDescent="0.25">
      <c r="E45" s="47"/>
    </row>
    <row r="46" spans="2:11" x14ac:dyDescent="0.25">
      <c r="K46" s="9"/>
    </row>
  </sheetData>
  <conditionalFormatting sqref="E26:E27">
    <cfRule type="containsText" dxfId="0" priority="1" operator="containsText" text="ERROR">
      <formula>NOT(ISERROR(SEARCH("ERROR",E26)))</formula>
    </cfRule>
  </conditionalFormatting>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59FC-D6EC-4334-B859-2E3393000C0E}">
  <sheetPr>
    <tabColor theme="8"/>
  </sheetPr>
  <dimension ref="B1:M11"/>
  <sheetViews>
    <sheetView workbookViewId="0">
      <selection activeCell="B14" sqref="B14"/>
    </sheetView>
  </sheetViews>
  <sheetFormatPr defaultColWidth="9.140625" defaultRowHeight="15" x14ac:dyDescent="0.25"/>
  <cols>
    <col min="1" max="1" width="3.5703125" style="9" customWidth="1"/>
    <col min="2" max="2" width="62.140625" style="9" bestFit="1" customWidth="1"/>
    <col min="3" max="3" width="20.42578125" style="9" customWidth="1"/>
    <col min="4" max="5" width="20.7109375" style="9" customWidth="1"/>
    <col min="6" max="8" width="20.7109375" style="47" customWidth="1"/>
    <col min="9" max="9" width="20.7109375" style="47" bestFit="1" customWidth="1"/>
    <col min="10" max="10" width="20.140625" style="12" bestFit="1" customWidth="1"/>
    <col min="11" max="11" width="21.42578125" style="49" bestFit="1" customWidth="1"/>
    <col min="12" max="12" width="15.140625" style="9" customWidth="1"/>
    <col min="13" max="13" width="9.5703125" style="9" bestFit="1" customWidth="1"/>
    <col min="14" max="16384" width="9.140625" style="9"/>
  </cols>
  <sheetData>
    <row r="1" spans="2:13" ht="27" thickBot="1" x14ac:dyDescent="0.45">
      <c r="B1" s="527" t="s">
        <v>270</v>
      </c>
      <c r="C1" s="528"/>
      <c r="D1" s="528"/>
      <c r="E1" s="528"/>
      <c r="F1" s="528"/>
      <c r="G1" s="528"/>
      <c r="H1" s="528"/>
      <c r="I1" s="529"/>
      <c r="J1" s="9"/>
      <c r="K1" s="9"/>
    </row>
    <row r="2" spans="2:13" ht="15.75" thickBot="1" x14ac:dyDescent="0.3">
      <c r="B2" s="530" t="s">
        <v>48</v>
      </c>
      <c r="C2" s="531"/>
      <c r="D2" s="531"/>
      <c r="E2" s="531"/>
      <c r="F2" s="531"/>
      <c r="G2" s="532"/>
      <c r="H2" s="532"/>
      <c r="I2" s="533"/>
      <c r="J2" s="9"/>
      <c r="K2" s="9"/>
    </row>
    <row r="3" spans="2:13" s="234" customFormat="1" ht="45.75" customHeight="1" thickBot="1" x14ac:dyDescent="0.3">
      <c r="B3" s="534" t="s">
        <v>35</v>
      </c>
      <c r="C3" s="479" t="s">
        <v>88</v>
      </c>
      <c r="D3" s="479" t="s">
        <v>219</v>
      </c>
      <c r="E3" s="479" t="s">
        <v>220</v>
      </c>
      <c r="F3" s="479" t="s">
        <v>221</v>
      </c>
      <c r="G3" s="480" t="s">
        <v>222</v>
      </c>
      <c r="H3" s="481" t="s">
        <v>223</v>
      </c>
      <c r="I3" s="482" t="s">
        <v>224</v>
      </c>
    </row>
    <row r="4" spans="2:13" x14ac:dyDescent="0.25">
      <c r="B4" s="535" t="s">
        <v>42</v>
      </c>
      <c r="C4" s="615"/>
      <c r="D4" s="466">
        <f>'Composite Labor Rates'!D6</f>
        <v>0</v>
      </c>
      <c r="E4" s="466">
        <f>'Composite Labor Rates'!E6</f>
        <v>0</v>
      </c>
      <c r="F4" s="466">
        <f>D4+E4</f>
        <v>0</v>
      </c>
      <c r="G4" s="466">
        <f>C4*D4</f>
        <v>0</v>
      </c>
      <c r="H4" s="466">
        <f>C4*E4</f>
        <v>0</v>
      </c>
      <c r="I4" s="467">
        <f>C4*F4</f>
        <v>0</v>
      </c>
      <c r="M4" s="270"/>
    </row>
    <row r="5" spans="2:13" s="47" customFormat="1" x14ac:dyDescent="0.25">
      <c r="B5" s="9"/>
      <c r="C5" s="9"/>
      <c r="D5" s="9"/>
      <c r="E5" s="9"/>
      <c r="F5" s="9"/>
      <c r="G5" s="9"/>
      <c r="J5" s="12"/>
      <c r="K5" s="49"/>
      <c r="L5" s="9"/>
      <c r="M5" s="9"/>
    </row>
    <row r="6" spans="2:13" s="47" customFormat="1" ht="15.75" thickBot="1" x14ac:dyDescent="0.3">
      <c r="B6" s="9"/>
      <c r="C6" s="9"/>
      <c r="D6" s="9"/>
      <c r="E6" s="9"/>
      <c r="J6" s="12"/>
      <c r="K6" s="49"/>
      <c r="L6" s="9"/>
      <c r="M6" s="9"/>
    </row>
    <row r="7" spans="2:13" ht="15.75" thickBot="1" x14ac:dyDescent="0.3">
      <c r="B7" s="59" t="s">
        <v>230</v>
      </c>
      <c r="C7" s="478">
        <f>I4</f>
        <v>0</v>
      </c>
      <c r="G7" s="79"/>
      <c r="H7" s="79"/>
      <c r="I7" s="79"/>
    </row>
    <row r="8" spans="2:13" x14ac:dyDescent="0.25">
      <c r="E8" s="47"/>
    </row>
    <row r="9" spans="2:13" x14ac:dyDescent="0.25">
      <c r="C9" s="234"/>
      <c r="D9" s="47"/>
      <c r="E9" s="476"/>
      <c r="G9" s="79"/>
      <c r="H9" s="79"/>
      <c r="I9" s="79"/>
    </row>
    <row r="10" spans="2:13" x14ac:dyDescent="0.25">
      <c r="E10" s="47"/>
    </row>
    <row r="11" spans="2:13" x14ac:dyDescent="0.25">
      <c r="K11" s="9"/>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8E663-9CA1-4EAB-8FB3-E3DF297E5922}">
  <sheetPr>
    <tabColor theme="8"/>
  </sheetPr>
  <dimension ref="A1"/>
  <sheetViews>
    <sheetView workbookViewId="0">
      <selection activeCell="Q19" sqref="Q19:Q20"/>
    </sheetView>
  </sheetViews>
  <sheetFormatPr defaultRowHeight="15" x14ac:dyDescent="0.25"/>
  <sheetData/>
  <pageMargins left="0.7" right="0.7" top="0.75" bottom="0.75" header="0.3" footer="0.3"/>
  <pageSetup orientation="portrait" r:id="rId1"/>
</worksheet>
</file>

<file path=docMetadata/LabelInfo.xml><?xml version="1.0" encoding="utf-8"?>
<clbl:labelList xmlns:clbl="http://schemas.microsoft.com/office/2020/mipLabelMetadata">
  <clbl:label id="{f02d78b0-b74f-43f0-801d-d7d5ec01d625}" enabled="1" method="Standar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INSTRUCTIONS</vt:lpstr>
      <vt:lpstr>Minimum Qualifications</vt:lpstr>
      <vt:lpstr>Total - Summary</vt:lpstr>
      <vt:lpstr>Total - Detail</vt:lpstr>
      <vt:lpstr>Ordering Period 1</vt:lpstr>
      <vt:lpstr>Ordering Period 2</vt:lpstr>
      <vt:lpstr>Ordering Period 3</vt:lpstr>
      <vt:lpstr>Ordering Period 4</vt:lpstr>
      <vt:lpstr>Ordering Period 5</vt:lpstr>
      <vt:lpstr>Escalation</vt:lpstr>
      <vt:lpstr>Composite Labor Rates</vt:lpstr>
      <vt:lpstr>Prime Ceiling Rates</vt:lpstr>
      <vt:lpstr>Subcontractor Ceiling Rates</vt:lpstr>
      <vt:lpstr>CLINs - Summary</vt:lpstr>
      <vt:lpstr>CLINs - Detail</vt:lpstr>
      <vt:lpstr>TO Template - AMPV_Bradley</vt:lpstr>
      <vt:lpstr>TO Template - M88</vt:lpstr>
      <vt:lpstr>TO Template - PM</vt:lpstr>
      <vt:lpstr>Ref to Section 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2026-03-04T19:45:09Z</dcterms:created>
  <dcterms:modified xsi:type="dcterms:W3CDTF">2026-03-04T19:47:42Z</dcterms:modified>
  <cp:category/>
  <cp:contentStatus/>
</cp:coreProperties>
</file>