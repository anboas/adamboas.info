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1460042980C\Downloads\"/>
    </mc:Choice>
  </mc:AlternateContent>
  <xr:revisionPtr revIDLastSave="0" documentId="8_{276836ED-33CB-4AEE-9A37-EC92814D13F2}" xr6:coauthVersionLast="47" xr6:coauthVersionMax="47" xr10:uidLastSave="{00000000-0000-0000-0000-000000000000}"/>
  <bookViews>
    <workbookView xWindow="28680" yWindow="90" windowWidth="29040" windowHeight="15510" xr2:uid="{A01C3DF8-7BE2-4499-97DF-E85A50E7D76B}"/>
  </bookViews>
  <sheets>
    <sheet name="PLA MR - Proj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G36" i="1"/>
  <c r="H36" i="1"/>
  <c r="F35" i="1"/>
  <c r="G35" i="1"/>
  <c r="H35" i="1"/>
  <c r="F34" i="1" l="1"/>
  <c r="G34" i="1"/>
  <c r="H34" i="1"/>
  <c r="F33" i="1"/>
  <c r="G33" i="1"/>
  <c r="H33" i="1"/>
  <c r="F11" i="1" l="1"/>
  <c r="G11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</calcChain>
</file>

<file path=xl/sharedStrings.xml><?xml version="1.0" encoding="utf-8"?>
<sst xmlns="http://schemas.openxmlformats.org/spreadsheetml/2006/main" count="136" uniqueCount="111">
  <si>
    <t xml:space="preserve">Project Location </t>
  </si>
  <si>
    <t xml:space="preserve">Project Number </t>
  </si>
  <si>
    <t xml:space="preserve">Market Research Analysis on Project Labor Agreements (PLAs) </t>
  </si>
  <si>
    <t>Contractor Information</t>
  </si>
  <si>
    <t xml:space="preserve">Name </t>
  </si>
  <si>
    <t xml:space="preserve">List of Anticipated Projects </t>
  </si>
  <si>
    <t xml:space="preserve">Project Descrisption </t>
  </si>
  <si>
    <t>Item #</t>
  </si>
  <si>
    <t>Construct Launch Support Facility, MILCON, CCSFS PROJECT, Florida</t>
  </si>
  <si>
    <t>Construct Command Facility, MILCON, CCSFS PROJECT, Florida</t>
  </si>
  <si>
    <t>Construct Security Forces Operations Facility, MILCON, CCSFS PROJECT, Florida</t>
  </si>
  <si>
    <t>LRS Vehicle Maintenance Facility, MILCON, CCSFS PROJECT, Florida</t>
  </si>
  <si>
    <t>Repair S Phillips Parkway Haul Route and Widen ICBM and Cape Roads, MILCON, CCSFS PROJECT, Florida</t>
  </si>
  <si>
    <t>Company Size under - NAICS - 236220 ($45M)</t>
  </si>
  <si>
    <t xml:space="preserve">Tucson, AZ </t>
  </si>
  <si>
    <t>Construct Aircraft Ops Facility for DRP</t>
  </si>
  <si>
    <t xml:space="preserve">Air Force Base </t>
  </si>
  <si>
    <t>Davis-Monthan AFB</t>
  </si>
  <si>
    <t xml:space="preserve">Davis-Monthan Runway </t>
  </si>
  <si>
    <t xml:space="preserve">Grand Forks AFB </t>
  </si>
  <si>
    <t xml:space="preserve">Grand Forks AFB, ND </t>
  </si>
  <si>
    <t xml:space="preserve">Air Operation Facility </t>
  </si>
  <si>
    <t>AWACS PH3</t>
  </si>
  <si>
    <t xml:space="preserve">Tinker AFB </t>
  </si>
  <si>
    <t>Oklahoma City, OK</t>
  </si>
  <si>
    <t>Repair Jones Hall</t>
  </si>
  <si>
    <t xml:space="preserve"> Keesler AFB </t>
  </si>
  <si>
    <t>Biloxi, MS</t>
  </si>
  <si>
    <t>Repair Airfield Drainage and Shoulders</t>
  </si>
  <si>
    <t>Eareckson AS</t>
  </si>
  <si>
    <t>Shemya Island, AK</t>
  </si>
  <si>
    <t>Repair Primary Runway 05l-23R</t>
  </si>
  <si>
    <t xml:space="preserve">Wright-Patterson AFB </t>
  </si>
  <si>
    <t>Dayton, OH</t>
  </si>
  <si>
    <t xml:space="preserve">Maxwell AFB </t>
  </si>
  <si>
    <t>Travis AFB</t>
  </si>
  <si>
    <t>Holloman AFB</t>
  </si>
  <si>
    <t>Ellsworth AFB</t>
  </si>
  <si>
    <t xml:space="preserve">Travis AFB  </t>
  </si>
  <si>
    <t xml:space="preserve">Offutt AFB </t>
  </si>
  <si>
    <t>Montgomery, AL</t>
  </si>
  <si>
    <t xml:space="preserve">Alamogordo, NM </t>
  </si>
  <si>
    <t>Mary Esther, FL</t>
  </si>
  <si>
    <t xml:space="preserve">Hurlbert Field - Eglin AFB </t>
  </si>
  <si>
    <t xml:space="preserve">Fairfield, CA </t>
  </si>
  <si>
    <t>Bellevue, NE</t>
  </si>
  <si>
    <t xml:space="preserve">Box Elder, SD </t>
  </si>
  <si>
    <t>Repair by Replacement B1410, B1411</t>
  </si>
  <si>
    <t>Repair by Replacement, Dorms B697</t>
  </si>
  <si>
    <t>RxR Dorms B341, B342 &amp; B587</t>
  </si>
  <si>
    <t>Repair by Replacement, Dorms B90358, B90367</t>
  </si>
  <si>
    <t>RxR Dorms B1304 &amp; B1305</t>
  </si>
  <si>
    <t>RxR Dorms B1308 &amp; B1309</t>
  </si>
  <si>
    <t>Repair by Replacement, Dorms B634, B365</t>
  </si>
  <si>
    <t>Rpr Dorms B3603 &amp;B4207</t>
  </si>
  <si>
    <t>Repair by Replacement, Dorms B2204, B2305</t>
  </si>
  <si>
    <t>FBNV190001</t>
  </si>
  <si>
    <t>ZHTV110059</t>
  </si>
  <si>
    <t>KWRD253001</t>
  </si>
  <si>
    <t>XDAT251006</t>
  </si>
  <si>
    <t>WWYK140085</t>
  </si>
  <si>
    <t>United States Air Force - 772 Enterprise Sourcing Squadron - PKA</t>
  </si>
  <si>
    <r>
      <t xml:space="preserve">Identify your company's potential role for each project: 
</t>
    </r>
    <r>
      <rPr>
        <i/>
        <sz val="12"/>
        <color theme="0"/>
        <rFont val="Aptos Narrow"/>
        <family val="2"/>
        <scheme val="minor"/>
      </rPr>
      <t xml:space="preserve">(Prime, Subcontractor, Labor Union, Trade Asscoitation, Other) </t>
    </r>
  </si>
  <si>
    <t>Bonding Capacity Value - on a per project basis</t>
  </si>
  <si>
    <t>Is your company familiar with Project Labor Agreement (PLA) and its use on construction projects?</t>
  </si>
  <si>
    <t>Do you anticipate that this project will require multiple construction contractors and/or subcontractors employing workers in multiple crafts or trades?</t>
  </si>
  <si>
    <t>Are you aware of a shortage of skilled labor in the region in which the construction project will be sited?</t>
  </si>
  <si>
    <t>Are you aware of any comparable projects undertaken by Federal, State, municipal, or private entities in the geographic area of the proposed project that used a PLA?</t>
  </si>
  <si>
    <t>Do you believe a PLA will promote long term program interests, such as training of a skilled workforce to meet future construction needs?</t>
  </si>
  <si>
    <t>Would your company likely submit a proposal for the construction solicitation that requires the use of a PLA?</t>
  </si>
  <si>
    <t>Based on your experience with PLAs, how much additional time should the government include if a PLA is required?</t>
  </si>
  <si>
    <t>Does the requirement to use of a PLA on a construction project in this geographical area restrict competition?</t>
  </si>
  <si>
    <t>If solicitation requires a PLA, would your proposed construction cost likely to increase or decrease?</t>
  </si>
  <si>
    <t>Based on your experience with PLAs, what is the estimated % of cost impact increase (+) / decrease ( - )</t>
  </si>
  <si>
    <t>Do you expect subcontractor resistance should the AF require the use of a PLA on this construction project?</t>
  </si>
  <si>
    <t xml:space="preserve">Contractor Name </t>
  </si>
  <si>
    <t>Company Size under NAICS - 236220</t>
  </si>
  <si>
    <t xml:space="preserve">(Prime, Subcontractor, Labor Union, Trade Asscoitation, Other) </t>
  </si>
  <si>
    <t xml:space="preserve">Yes/ No </t>
  </si>
  <si>
    <t xml:space="preserve">Yes/No </t>
  </si>
  <si>
    <t xml:space="preserve">Increase, 
No Change, 
Decrease </t>
  </si>
  <si>
    <t xml:space="preserve">(any text) </t>
  </si>
  <si>
    <t xml:space="preserve">ANSWER OPTIONS: </t>
  </si>
  <si>
    <t>FXBM240540 &amp; FXBM230541</t>
  </si>
  <si>
    <t>MAHG121033</t>
  </si>
  <si>
    <t>Cape Canaveral, FL</t>
  </si>
  <si>
    <t xml:space="preserve">No Project Number </t>
  </si>
  <si>
    <t xml:space="preserve">INSTRUCTIONS TO SUBMIITED - PLEASE ONLY FILL OUT YELLOW HIGHLIGHED CELLS </t>
  </si>
  <si>
    <t>JUBJ250572</t>
  </si>
  <si>
    <t>FTEV261001</t>
  </si>
  <si>
    <t>XDAT201039</t>
  </si>
  <si>
    <t>SGBP250074</t>
  </si>
  <si>
    <t>FXBM275465</t>
  </si>
  <si>
    <t>Altus AFB</t>
  </si>
  <si>
    <t>AGGN261001</t>
  </si>
  <si>
    <t>Repair by Replacement Dorm B331</t>
  </si>
  <si>
    <t>Altus, OK</t>
  </si>
  <si>
    <t>Minot AFB</t>
  </si>
  <si>
    <t>Ward County, ND</t>
  </si>
  <si>
    <t>QJVF266836</t>
  </si>
  <si>
    <t>Repair by Replacement Dorm B122, B123, B130, and B131</t>
  </si>
  <si>
    <t>WWYK283007</t>
  </si>
  <si>
    <t>Repair by Replacement for 192 Beds</t>
  </si>
  <si>
    <t>Kirtland AFB</t>
  </si>
  <si>
    <t>MHMV230026</t>
  </si>
  <si>
    <t>Albuquerque, NM</t>
  </si>
  <si>
    <t xml:space="preserve">PNQS250570 </t>
  </si>
  <si>
    <t>Repair by Replacement Dorm B20221, B20222</t>
  </si>
  <si>
    <t xml:space="preserve">Comments – please utilize this to provide additional details and/or elaborate on any of the previous responses.  </t>
  </si>
  <si>
    <t xml:space="preserve">1-10 Days, 10-20 Days, 20-30 Days, 40-50 Days, 50+ Days, No added time </t>
  </si>
  <si>
    <t>(+) 1-10%, (+) 10-15%, (+) 15-20%, (+) &gt;20%, ( - ) 0-10%, ( - ) 10-15%, ( - ) 15-20%, ( - ) &gt;20%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</si>
</sst>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rgb="FF336600"/>
      <name val="Aptos Narrow"/>
      <family val="2"/>
      <scheme val="minor"/>
    </font>
    <font>
      <sz val="11"/>
      <color rgb="FF336600"/>
      <name val="Aptos Narrow"/>
      <family val="2"/>
      <scheme val="minor"/>
    </font>
    <font>
      <sz val="10"/>
      <color rgb="FF3366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42" fontId="1" fillId="0" borderId="0" xfId="0" applyNumberFormat="1" applyFont="1"/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2" borderId="0" xfId="0" applyFont="1" applyFill="1"/>
    <xf numFmtId="0" fontId="2" fillId="2" borderId="0" xfId="0" applyFont="1" applyFill="1" applyAlignment="1">
      <alignment horizontal="right"/>
    </xf>
    <xf numFmtId="0" fontId="7" fillId="2" borderId="0" xfId="0" applyFont="1" applyFill="1"/>
    <xf numFmtId="0" fontId="1" fillId="3" borderId="0" xfId="0" applyFont="1" applyFill="1"/>
    <xf numFmtId="44" fontId="1" fillId="3" borderId="0" xfId="1" applyFont="1" applyFill="1"/>
    <xf numFmtId="0" fontId="8" fillId="4" borderId="0" xfId="0" applyFont="1" applyFill="1"/>
    <xf numFmtId="0" fontId="1" fillId="4" borderId="0" xfId="0" applyFont="1" applyFill="1"/>
    <xf numFmtId="0" fontId="6" fillId="4" borderId="0" xfId="0" applyFont="1" applyFill="1" applyAlignment="1">
      <alignment horizontal="right"/>
    </xf>
    <xf numFmtId="0" fontId="1" fillId="4" borderId="0" xfId="0" applyFont="1" applyFill="1" applyAlignment="1">
      <alignment wrapText="1"/>
    </xf>
    <xf numFmtId="44" fontId="1" fillId="0" borderId="0" xfId="0" applyNumberFormat="1" applyFont="1" applyAlignment="1">
      <alignment vertical="center" wrapText="1"/>
    </xf>
    <xf numFmtId="0" fontId="2" fillId="5" borderId="0" xfId="0" applyFont="1" applyFill="1" applyAlignment="1">
      <alignment vertical="center" wrapText="1"/>
    </xf>
    <xf numFmtId="44" fontId="2" fillId="5" borderId="0" xfId="0" applyNumberFormat="1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42" fontId="2" fillId="5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42" fontId="1" fillId="3" borderId="1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3" borderId="0" xfId="0" applyFont="1" applyFill="1"/>
    <xf numFmtId="0" fontId="13" fillId="3" borderId="0" xfId="0" applyFont="1" applyFill="1"/>
    <xf numFmtId="0" fontId="14" fillId="0" borderId="0" xfId="0" applyFont="1" applyAlignment="1">
      <alignment vertical="center" wrapText="1"/>
    </xf>
    <xf numFmtId="0" fontId="15" fillId="0" borderId="0" xfId="0" applyFont="1"/>
    <xf numFmtId="42" fontId="1" fillId="3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6" fillId="0" borderId="0" xfId="0" applyFont="1"/>
  </cellXfs>
  <cellStyles count="2">
    <cellStyle name="Currency" xfId="1" builtinId="4"/>
    <cellStyle name="Normal" xfId="0" builtinId="0"/>
  </cellStyles>
  <dxfs count="23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2" formatCode="_(&quot;$&quot;* #,##0_);_(&quot;$&quot;* \(#,##0\);_(&quot;$&quot;* &quot;-&quot;_);_(@_)"/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336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E57F49-5438-4E5C-B759-EC057F29F263}" name="Table3" displayName="Table3" ref="A10:U36" totalsRowShown="0" headerRowDxfId="22" dataDxfId="21">
  <autoFilter ref="A10:U36" xr:uid="{91E57F49-5438-4E5C-B759-EC057F29F263}"/>
  <tableColumns count="21">
    <tableColumn id="8" xr3:uid="{51DB2A11-7196-4DE9-960C-BD714552DB3B}" name="Item #" dataDxfId="20"/>
    <tableColumn id="1" xr3:uid="{509281B6-B4AE-4BDA-9437-51F28AEB4F1B}" name="Project Number " dataDxfId="19"/>
    <tableColumn id="2" xr3:uid="{604841D7-52D8-46E0-A80D-774B5CBFC6A5}" name="Project Descrisption " dataDxfId="18"/>
    <tableColumn id="6" xr3:uid="{16789156-6D2B-4B8D-9258-CBB2AFBEFB1C}" name="Air Force Base " dataDxfId="17"/>
    <tableColumn id="4" xr3:uid="{E403B060-C256-47CF-A71B-E79F1D46B4E9}" name="Project Location " dataDxfId="16"/>
    <tableColumn id="25" xr3:uid="{B25FD9A9-614E-400F-9700-4AAEFB008477}" name="Contractor Name " dataDxfId="15">
      <calculatedColumnFormula>$C$5</calculatedColumnFormula>
    </tableColumn>
    <tableColumn id="24" xr3:uid="{8B49DD90-549F-4754-A7F1-E9641B000A55}" name="Company Size under NAICS - 236220" dataDxfId="14">
      <calculatedColumnFormula>$C$6</calculatedColumnFormula>
    </tableColumn>
    <tableColumn id="23" xr3:uid="{DBFA72FF-8E09-4644-B79C-540DCD4C3F22}" name="Bonding Capacity Value - on a per project basis" dataDxfId="13">
      <calculatedColumnFormula>$C$7</calculatedColumnFormula>
    </tableColumn>
    <tableColumn id="5" xr3:uid="{7C0690C6-AB76-4F66-B1CB-06C502E50A41}" name="Identify your company's potential role for each project: _x000a_(Prime, Subcontractor, Labor Union, Trade Asscoitation, Other) " dataDxfId="12"/>
    <tableColumn id="11" xr3:uid="{4CB4CE51-F4CD-4F05-A0D6-AD77460151EF}" name="Is your company familiar with Project Labor Agreement (PLA) and its use on construction projects?" dataDxfId="11"/>
    <tableColumn id="17" xr3:uid="{64386211-8E43-40DE-A113-B5A82F88AA87}" name="Do you anticipate that this project will require multiple construction contractors and/or subcontractors employing workers in multiple crafts or trades?" dataDxfId="10"/>
    <tableColumn id="16" xr3:uid="{4716753C-FD04-454A-AB58-B8269F7D8F11}" name="Are you aware of a shortage of skilled labor in the region in which the construction project will be sited?" dataDxfId="9"/>
    <tableColumn id="15" xr3:uid="{1F7A9C56-C2FD-4C8E-B6E7-8855E8B6CCB0}" name="Are you aware of any comparable projects undertaken by Federal, State, municipal, or private entities in the geographic area of the proposed project that used a PLA?" dataDxfId="8"/>
    <tableColumn id="14" xr3:uid="{3DEF2451-122B-4322-B72F-DFEC3E43AB52}" name="Do you believe a PLA will promote long term program interests, such as training of a skilled workforce to meet future construction needs?" dataDxfId="7"/>
    <tableColumn id="13" xr3:uid="{7E3ADF35-2F55-4220-8151-C0E1F237F01A}" name="Would your company likely submit a proposal for the construction solicitation that requires the use of a PLA?" dataDxfId="6"/>
    <tableColumn id="22" xr3:uid="{0CB6A811-6832-40AA-B24F-DB0E3BD28BC8}" name="If solicitation requires a PLA, would your proposed construction cost likely to increase or decrease?" dataDxfId="5"/>
    <tableColumn id="18" xr3:uid="{BDCB5D23-F03E-490F-91B4-D9391278AFF8}" name="Based on your experience with PLAs, what is the estimated % of cost impact increase (+) / decrease ( - )" dataDxfId="4"/>
    <tableColumn id="21" xr3:uid="{8C8193B0-73B2-4C5A-AE74-0CE04CFF7692}" name="Based on your experience with PLAs, how much additional time should the government include if a PLA is required?" dataDxfId="3"/>
    <tableColumn id="20" xr3:uid="{4241740E-55D9-45C5-9D88-D86A8D4CFB72}" name="Does the requirement to use of a PLA on a construction project in this geographical area restrict competition?" dataDxfId="2"/>
    <tableColumn id="19" xr3:uid="{CB689A77-0604-48ED-AB97-D6F79FE9ED57}" name="Do you expect subcontractor resistance should the AF require the use of a PLA on this construction project?" dataDxfId="1"/>
    <tableColumn id="3" xr3:uid="{45B6D047-D465-4AAE-A48A-4A4A7E8A5E70}" name="Comments – please utilize this to provide additional details and/or elaborate on any of the previous responses. 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4D44-13E8-4A7E-99A6-2B2DFFC43520}">
  <sheetPr codeName="Sheet1">
    <pageSetUpPr fitToPage="1"/>
  </sheetPr>
  <dimension ref="A1:U36"/>
  <sheetViews>
    <sheetView tabSelected="1" topLeftCell="A9" zoomScaleNormal="100" workbookViewId="0">
      <selection activeCell="K15" sqref="K15"/>
    </sheetView>
  </sheetViews>
  <sheetFormatPr defaultColWidth="9.140625" defaultRowHeight="15.75" x14ac:dyDescent="0.25"/>
  <cols>
    <col min="1" max="1" width="9.140625" style="1"/>
    <col min="2" max="2" width="35.7109375" style="1" customWidth="1"/>
    <col min="3" max="3" width="42" style="1" customWidth="1"/>
    <col min="4" max="4" width="25.140625" style="1" customWidth="1"/>
    <col min="5" max="5" width="21" customWidth="1"/>
    <col min="6" max="8" width="21" hidden="1" customWidth="1"/>
    <col min="9" max="9" width="22.7109375" style="2" customWidth="1"/>
    <col min="10" max="21" width="22.7109375" customWidth="1"/>
    <col min="22" max="16384" width="9.140625" style="1"/>
  </cols>
  <sheetData>
    <row r="1" spans="1:21" s="11" customFormat="1" ht="24" x14ac:dyDescent="0.4">
      <c r="A1" s="10" t="s">
        <v>61</v>
      </c>
      <c r="I1" s="24" t="s">
        <v>87</v>
      </c>
      <c r="J1" s="24"/>
      <c r="K1" s="24"/>
      <c r="L1" s="24"/>
      <c r="M1" s="25"/>
      <c r="N1" s="8"/>
    </row>
    <row r="2" spans="1:21" s="11" customFormat="1" ht="21" x14ac:dyDescent="0.35">
      <c r="A2" s="10" t="s">
        <v>2</v>
      </c>
    </row>
    <row r="3" spans="1:21" s="11" customFormat="1" x14ac:dyDescent="0.25"/>
    <row r="4" spans="1:21" x14ac:dyDescent="0.25">
      <c r="A4" s="5"/>
      <c r="B4" s="6" t="s">
        <v>3</v>
      </c>
      <c r="C4" s="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s="11" customFormat="1" x14ac:dyDescent="0.25">
      <c r="B5" s="12" t="s">
        <v>4</v>
      </c>
      <c r="C5" s="8"/>
    </row>
    <row r="6" spans="1:21" s="11" customFormat="1" x14ac:dyDescent="0.25">
      <c r="B6" s="12" t="s">
        <v>13</v>
      </c>
      <c r="C6" s="8"/>
    </row>
    <row r="7" spans="1:21" s="11" customFormat="1" x14ac:dyDescent="0.25">
      <c r="B7" s="12" t="s">
        <v>63</v>
      </c>
      <c r="C7" s="9"/>
    </row>
    <row r="8" spans="1:21" s="11" customFormat="1" x14ac:dyDescent="0.25">
      <c r="A8" s="13"/>
    </row>
    <row r="9" spans="1:21" s="7" customFormat="1" ht="18.75" x14ac:dyDescent="0.3">
      <c r="A9" s="7" t="s">
        <v>5</v>
      </c>
    </row>
    <row r="10" spans="1:21" s="3" customFormat="1" ht="121.9" customHeight="1" x14ac:dyDescent="0.25">
      <c r="A10" s="3" t="s">
        <v>7</v>
      </c>
      <c r="B10" s="3" t="s">
        <v>1</v>
      </c>
      <c r="C10" s="3" t="s">
        <v>6</v>
      </c>
      <c r="D10" s="3" t="s">
        <v>16</v>
      </c>
      <c r="E10" s="3" t="s">
        <v>0</v>
      </c>
      <c r="F10" s="3" t="s">
        <v>75</v>
      </c>
      <c r="G10" s="3" t="s">
        <v>76</v>
      </c>
      <c r="H10" s="3" t="s">
        <v>63</v>
      </c>
      <c r="I10" s="3" t="s">
        <v>62</v>
      </c>
      <c r="J10" s="3" t="s">
        <v>64</v>
      </c>
      <c r="K10" s="3" t="s">
        <v>65</v>
      </c>
      <c r="L10" s="3" t="s">
        <v>66</v>
      </c>
      <c r="M10" s="3" t="s">
        <v>67</v>
      </c>
      <c r="N10" s="3" t="s">
        <v>68</v>
      </c>
      <c r="O10" s="3" t="s">
        <v>69</v>
      </c>
      <c r="P10" s="3" t="s">
        <v>72</v>
      </c>
      <c r="Q10" s="3" t="s">
        <v>73</v>
      </c>
      <c r="R10" s="3" t="s">
        <v>70</v>
      </c>
      <c r="S10" s="3" t="s">
        <v>71</v>
      </c>
      <c r="T10" s="3" t="s">
        <v>74</v>
      </c>
      <c r="U10" s="3" t="s">
        <v>108</v>
      </c>
    </row>
    <row r="11" spans="1:21" s="15" customFormat="1" ht="63" x14ac:dyDescent="0.25">
      <c r="A11" s="17"/>
      <c r="B11" s="17"/>
      <c r="C11" s="17"/>
      <c r="D11" s="17"/>
      <c r="E11" s="17" t="s">
        <v>82</v>
      </c>
      <c r="F11" s="15">
        <f>$C$5</f>
        <v>0</v>
      </c>
      <c r="G11" s="15">
        <f>$C$6</f>
        <v>0</v>
      </c>
      <c r="H11" s="16">
        <f>$C$7</f>
        <v>0</v>
      </c>
      <c r="I11" s="18" t="s">
        <v>77</v>
      </c>
      <c r="J11" s="19" t="s">
        <v>78</v>
      </c>
      <c r="K11" s="18" t="s">
        <v>78</v>
      </c>
      <c r="L11" s="18" t="s">
        <v>78</v>
      </c>
      <c r="M11" s="18" t="s">
        <v>78</v>
      </c>
      <c r="N11" s="18" t="s">
        <v>78</v>
      </c>
      <c r="O11" s="18" t="s">
        <v>79</v>
      </c>
      <c r="P11" s="18" t="s">
        <v>80</v>
      </c>
      <c r="Q11" s="18" t="s">
        <v>110</v>
      </c>
      <c r="R11" s="18" t="s">
        <v>109</v>
      </c>
      <c r="S11" s="18" t="s">
        <v>78</v>
      </c>
      <c r="T11" s="18" t="s">
        <v>79</v>
      </c>
      <c r="U11" s="18" t="s">
        <v>81</v>
      </c>
    </row>
    <row r="12" spans="1:21" s="4" customFormat="1" x14ac:dyDescent="0.25">
      <c r="A12" s="4">
        <v>1</v>
      </c>
      <c r="B12" t="s">
        <v>56</v>
      </c>
      <c r="C12" s="4" t="s">
        <v>18</v>
      </c>
      <c r="D12" s="4" t="s">
        <v>17</v>
      </c>
      <c r="E12" s="4" t="s">
        <v>14</v>
      </c>
      <c r="F12" s="4">
        <f t="shared" ref="F12:F32" si="0">$C$5</f>
        <v>0</v>
      </c>
      <c r="G12" s="4">
        <f t="shared" ref="G12:G32" si="1">$C$6</f>
        <v>0</v>
      </c>
      <c r="H12" s="14">
        <f t="shared" ref="H12:H32" si="2">$C$7</f>
        <v>0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spans="1:21" s="4" customFormat="1" x14ac:dyDescent="0.25">
      <c r="A13" s="23">
        <v>2</v>
      </c>
      <c r="B13" s="22" t="s">
        <v>86</v>
      </c>
      <c r="C13" s="23" t="s">
        <v>15</v>
      </c>
      <c r="D13" s="23" t="s">
        <v>19</v>
      </c>
      <c r="E13" s="23" t="s">
        <v>20</v>
      </c>
      <c r="F13" s="4">
        <f t="shared" si="0"/>
        <v>0</v>
      </c>
      <c r="G13" s="4">
        <f t="shared" si="1"/>
        <v>0</v>
      </c>
      <c r="H13" s="14">
        <f t="shared" si="2"/>
        <v>0</v>
      </c>
      <c r="I13" s="20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0"/>
    </row>
    <row r="14" spans="1:21" s="4" customFormat="1" x14ac:dyDescent="0.25">
      <c r="A14" s="23">
        <v>3</v>
      </c>
      <c r="B14" s="22" t="s">
        <v>86</v>
      </c>
      <c r="C14" s="23" t="s">
        <v>21</v>
      </c>
      <c r="D14" s="23" t="s">
        <v>19</v>
      </c>
      <c r="E14" s="23" t="s">
        <v>20</v>
      </c>
      <c r="F14" s="4">
        <f t="shared" si="0"/>
        <v>0</v>
      </c>
      <c r="G14" s="4">
        <f t="shared" si="1"/>
        <v>0</v>
      </c>
      <c r="H14" s="14">
        <f t="shared" si="2"/>
        <v>0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 spans="1:21" s="4" customFormat="1" x14ac:dyDescent="0.25">
      <c r="A15" s="4">
        <v>4</v>
      </c>
      <c r="B15" t="s">
        <v>60</v>
      </c>
      <c r="C15" s="4" t="s">
        <v>22</v>
      </c>
      <c r="D15" s="4" t="s">
        <v>23</v>
      </c>
      <c r="E15" s="4" t="s">
        <v>24</v>
      </c>
      <c r="F15" s="4">
        <f t="shared" si="0"/>
        <v>0</v>
      </c>
      <c r="G15" s="4">
        <f t="shared" si="1"/>
        <v>0</v>
      </c>
      <c r="H15" s="14">
        <f t="shared" si="2"/>
        <v>0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 spans="1:21" s="4" customFormat="1" x14ac:dyDescent="0.25">
      <c r="A16" s="4">
        <v>5</v>
      </c>
      <c r="B16" s="4" t="s">
        <v>84</v>
      </c>
      <c r="C16" s="4" t="s">
        <v>25</v>
      </c>
      <c r="D16" s="4" t="s">
        <v>26</v>
      </c>
      <c r="E16" s="4" t="s">
        <v>27</v>
      </c>
      <c r="F16" s="4">
        <f t="shared" si="0"/>
        <v>0</v>
      </c>
      <c r="G16" s="4">
        <f t="shared" si="1"/>
        <v>0</v>
      </c>
      <c r="H16" s="14">
        <f t="shared" si="2"/>
        <v>0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21" s="4" customFormat="1" x14ac:dyDescent="0.25">
      <c r="A17" s="22">
        <v>6</v>
      </c>
      <c r="B17" s="22"/>
      <c r="C17" s="22" t="s">
        <v>28</v>
      </c>
      <c r="D17" s="22" t="s">
        <v>29</v>
      </c>
      <c r="E17" s="22" t="s">
        <v>30</v>
      </c>
      <c r="F17" s="4">
        <f t="shared" si="0"/>
        <v>0</v>
      </c>
      <c r="G17" s="4">
        <f t="shared" si="1"/>
        <v>0</v>
      </c>
      <c r="H17" s="14">
        <f t="shared" si="2"/>
        <v>0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spans="1:21" s="4" customFormat="1" x14ac:dyDescent="0.25">
      <c r="A18" s="4">
        <v>7</v>
      </c>
      <c r="B18" s="4" t="s">
        <v>57</v>
      </c>
      <c r="C18" s="4" t="s">
        <v>31</v>
      </c>
      <c r="D18" s="4" t="s">
        <v>32</v>
      </c>
      <c r="E18" s="4" t="s">
        <v>33</v>
      </c>
      <c r="F18" s="4">
        <f t="shared" si="0"/>
        <v>0</v>
      </c>
      <c r="G18" s="4">
        <f t="shared" si="1"/>
        <v>0</v>
      </c>
      <c r="H18" s="14">
        <f t="shared" si="2"/>
        <v>0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spans="1:21" s="4" customFormat="1" x14ac:dyDescent="0.25">
      <c r="A19" s="4">
        <v>8</v>
      </c>
      <c r="B19" s="26" t="s">
        <v>88</v>
      </c>
      <c r="C19" s="26" t="s">
        <v>47</v>
      </c>
      <c r="D19" s="26" t="s">
        <v>34</v>
      </c>
      <c r="E19" s="26" t="s">
        <v>40</v>
      </c>
      <c r="F19" s="4">
        <f t="shared" si="0"/>
        <v>0</v>
      </c>
      <c r="G19" s="4">
        <f t="shared" si="1"/>
        <v>0</v>
      </c>
      <c r="H19" s="14">
        <f t="shared" si="2"/>
        <v>0</v>
      </c>
      <c r="I19" s="21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spans="1:21" s="4" customFormat="1" x14ac:dyDescent="0.25">
      <c r="A20" s="26">
        <v>9</v>
      </c>
      <c r="B20" s="26" t="s">
        <v>106</v>
      </c>
      <c r="C20" s="26" t="s">
        <v>48</v>
      </c>
      <c r="D20" s="26" t="s">
        <v>34</v>
      </c>
      <c r="E20" s="26" t="s">
        <v>40</v>
      </c>
      <c r="F20" s="4">
        <f t="shared" si="0"/>
        <v>0</v>
      </c>
      <c r="G20" s="4">
        <f t="shared" si="1"/>
        <v>0</v>
      </c>
      <c r="H20" s="14">
        <f t="shared" si="2"/>
        <v>0</v>
      </c>
      <c r="I20" s="21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spans="1:21" s="4" customFormat="1" x14ac:dyDescent="0.25">
      <c r="A21" s="4">
        <v>10</v>
      </c>
      <c r="B21" s="27" t="s">
        <v>58</v>
      </c>
      <c r="C21" s="26" t="s">
        <v>49</v>
      </c>
      <c r="D21" s="26" t="s">
        <v>36</v>
      </c>
      <c r="E21" s="26" t="s">
        <v>41</v>
      </c>
      <c r="F21" s="4">
        <f t="shared" si="0"/>
        <v>0</v>
      </c>
      <c r="G21" s="4">
        <f t="shared" si="1"/>
        <v>0</v>
      </c>
      <c r="H21" s="14">
        <f t="shared" si="2"/>
        <v>0</v>
      </c>
      <c r="I21" s="21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 spans="1:21" s="4" customFormat="1" ht="31.5" x14ac:dyDescent="0.25">
      <c r="A22" s="26">
        <v>11</v>
      </c>
      <c r="B22" s="26" t="s">
        <v>89</v>
      </c>
      <c r="C22" s="26" t="s">
        <v>50</v>
      </c>
      <c r="D22" s="26" t="s">
        <v>43</v>
      </c>
      <c r="E22" s="26" t="s">
        <v>42</v>
      </c>
      <c r="F22" s="4">
        <f t="shared" si="0"/>
        <v>0</v>
      </c>
      <c r="G22" s="4">
        <f t="shared" si="1"/>
        <v>0</v>
      </c>
      <c r="H22" s="14">
        <f t="shared" si="2"/>
        <v>0</v>
      </c>
      <c r="I22" s="21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 spans="1:21" s="4" customFormat="1" x14ac:dyDescent="0.25">
      <c r="A23" s="4">
        <v>12</v>
      </c>
      <c r="B23" s="27" t="s">
        <v>59</v>
      </c>
      <c r="C23" s="26" t="s">
        <v>51</v>
      </c>
      <c r="D23" s="26" t="s">
        <v>38</v>
      </c>
      <c r="E23" s="26" t="s">
        <v>44</v>
      </c>
      <c r="F23" s="4">
        <f t="shared" si="0"/>
        <v>0</v>
      </c>
      <c r="G23" s="4">
        <f t="shared" si="1"/>
        <v>0</v>
      </c>
      <c r="H23" s="14">
        <f t="shared" si="2"/>
        <v>0</v>
      </c>
      <c r="I23" s="21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 spans="1:21" s="4" customFormat="1" x14ac:dyDescent="0.25">
      <c r="A24" s="26">
        <v>13</v>
      </c>
      <c r="B24" s="26" t="s">
        <v>90</v>
      </c>
      <c r="C24" s="26" t="s">
        <v>52</v>
      </c>
      <c r="D24" s="26" t="s">
        <v>35</v>
      </c>
      <c r="E24" s="26" t="s">
        <v>44</v>
      </c>
      <c r="F24" s="4">
        <f t="shared" si="0"/>
        <v>0</v>
      </c>
      <c r="G24" s="4">
        <f t="shared" si="1"/>
        <v>0</v>
      </c>
      <c r="H24" s="14">
        <f t="shared" si="2"/>
        <v>0</v>
      </c>
      <c r="I24" s="21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 spans="1:21" s="4" customFormat="1" x14ac:dyDescent="0.25">
      <c r="A25" s="26">
        <v>14</v>
      </c>
      <c r="B25" s="26" t="s">
        <v>91</v>
      </c>
      <c r="C25" s="26" t="s">
        <v>53</v>
      </c>
      <c r="D25" s="26" t="s">
        <v>39</v>
      </c>
      <c r="E25" s="26" t="s">
        <v>45</v>
      </c>
      <c r="F25" s="4">
        <f t="shared" si="0"/>
        <v>0</v>
      </c>
      <c r="G25" s="4">
        <f t="shared" si="1"/>
        <v>0</v>
      </c>
      <c r="H25" s="14">
        <f t="shared" si="2"/>
        <v>0</v>
      </c>
      <c r="I25" s="21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 s="4" customFormat="1" x14ac:dyDescent="0.25">
      <c r="A26" s="26">
        <v>15</v>
      </c>
      <c r="B26" s="26" t="s">
        <v>83</v>
      </c>
      <c r="C26" s="26" t="s">
        <v>54</v>
      </c>
      <c r="D26" s="26" t="s">
        <v>37</v>
      </c>
      <c r="E26" s="26" t="s">
        <v>46</v>
      </c>
      <c r="F26" s="4">
        <f t="shared" si="0"/>
        <v>0</v>
      </c>
      <c r="G26" s="4">
        <f t="shared" si="1"/>
        <v>0</v>
      </c>
      <c r="H26" s="14">
        <f t="shared" si="2"/>
        <v>0</v>
      </c>
      <c r="I26" s="21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spans="1:21" s="4" customFormat="1" ht="31.5" x14ac:dyDescent="0.25">
      <c r="A27" s="4">
        <v>16</v>
      </c>
      <c r="B27" s="26" t="s">
        <v>92</v>
      </c>
      <c r="C27" s="26" t="s">
        <v>55</v>
      </c>
      <c r="D27" s="26" t="s">
        <v>37</v>
      </c>
      <c r="E27" s="26" t="s">
        <v>46</v>
      </c>
      <c r="F27" s="4">
        <f t="shared" si="0"/>
        <v>0</v>
      </c>
      <c r="G27" s="4">
        <f t="shared" si="1"/>
        <v>0</v>
      </c>
      <c r="H27" s="14">
        <f t="shared" si="2"/>
        <v>0</v>
      </c>
      <c r="I27" s="21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spans="1:21" s="4" customFormat="1" ht="31.5" x14ac:dyDescent="0.25">
      <c r="A28" s="4">
        <v>17</v>
      </c>
      <c r="B28" s="22" t="s">
        <v>86</v>
      </c>
      <c r="C28" s="4" t="s">
        <v>8</v>
      </c>
      <c r="E28" s="4" t="s">
        <v>85</v>
      </c>
      <c r="F28" s="4">
        <f t="shared" si="0"/>
        <v>0</v>
      </c>
      <c r="G28" s="4">
        <f t="shared" si="1"/>
        <v>0</v>
      </c>
      <c r="H28" s="14">
        <f t="shared" si="2"/>
        <v>0</v>
      </c>
      <c r="I28" s="21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spans="1:21" ht="31.5" x14ac:dyDescent="0.25">
      <c r="A29" s="4">
        <v>18</v>
      </c>
      <c r="B29" s="22" t="s">
        <v>86</v>
      </c>
      <c r="C29" s="4" t="s">
        <v>9</v>
      </c>
      <c r="D29" s="4"/>
      <c r="E29" s="4" t="s">
        <v>85</v>
      </c>
      <c r="F29" s="4">
        <f t="shared" si="0"/>
        <v>0</v>
      </c>
      <c r="G29" s="4">
        <f t="shared" si="1"/>
        <v>0</v>
      </c>
      <c r="H29" s="14">
        <f t="shared" si="2"/>
        <v>0</v>
      </c>
      <c r="I29" s="21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spans="1:21" ht="31.5" x14ac:dyDescent="0.25">
      <c r="A30" s="4">
        <v>19</v>
      </c>
      <c r="B30" s="22" t="s">
        <v>86</v>
      </c>
      <c r="C30" s="4" t="s">
        <v>10</v>
      </c>
      <c r="D30" s="4"/>
      <c r="E30" s="4" t="s">
        <v>85</v>
      </c>
      <c r="F30" s="4">
        <f t="shared" si="0"/>
        <v>0</v>
      </c>
      <c r="G30" s="4">
        <f t="shared" si="1"/>
        <v>0</v>
      </c>
      <c r="H30" s="14">
        <f t="shared" si="2"/>
        <v>0</v>
      </c>
      <c r="I30" s="21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spans="1:21" ht="31.5" x14ac:dyDescent="0.25">
      <c r="A31" s="4">
        <v>20</v>
      </c>
      <c r="B31" s="22" t="s">
        <v>86</v>
      </c>
      <c r="C31" s="4" t="s">
        <v>11</v>
      </c>
      <c r="D31" s="4"/>
      <c r="E31" s="4" t="s">
        <v>85</v>
      </c>
      <c r="F31" s="4">
        <f t="shared" si="0"/>
        <v>0</v>
      </c>
      <c r="G31" s="4">
        <f t="shared" si="1"/>
        <v>0</v>
      </c>
      <c r="H31" s="14">
        <f t="shared" si="2"/>
        <v>0</v>
      </c>
      <c r="I31" s="21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spans="1:21" ht="47.25" x14ac:dyDescent="0.25">
      <c r="A32" s="22">
        <v>21</v>
      </c>
      <c r="B32" s="22"/>
      <c r="C32" s="22" t="s">
        <v>12</v>
      </c>
      <c r="D32" s="22"/>
      <c r="E32" s="4" t="s">
        <v>85</v>
      </c>
      <c r="F32" s="4">
        <f t="shared" si="0"/>
        <v>0</v>
      </c>
      <c r="G32" s="4">
        <f t="shared" si="1"/>
        <v>0</v>
      </c>
      <c r="H32" s="14">
        <f t="shared" si="2"/>
        <v>0</v>
      </c>
      <c r="I32" s="21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spans="1:21" x14ac:dyDescent="0.25">
      <c r="A33" s="4">
        <v>22</v>
      </c>
      <c r="B33" s="26" t="s">
        <v>94</v>
      </c>
      <c r="C33" s="26" t="s">
        <v>95</v>
      </c>
      <c r="D33" s="26" t="s">
        <v>93</v>
      </c>
      <c r="E33" s="30" t="s">
        <v>96</v>
      </c>
      <c r="F33" s="4">
        <f>$C$5</f>
        <v>0</v>
      </c>
      <c r="G33" s="4">
        <f>$C$6</f>
        <v>0</v>
      </c>
      <c r="H33" s="14">
        <f>$C$7</f>
        <v>0</v>
      </c>
      <c r="I33" s="28"/>
      <c r="J33" s="28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spans="1:21" ht="31.5" x14ac:dyDescent="0.25">
      <c r="A34" s="4">
        <v>23</v>
      </c>
      <c r="B34" s="26" t="s">
        <v>99</v>
      </c>
      <c r="C34" s="26" t="s">
        <v>100</v>
      </c>
      <c r="D34" s="26" t="s">
        <v>97</v>
      </c>
      <c r="E34" s="26" t="s">
        <v>98</v>
      </c>
      <c r="F34" s="4">
        <f>$C$5</f>
        <v>0</v>
      </c>
      <c r="G34" s="4">
        <f>$C$6</f>
        <v>0</v>
      </c>
      <c r="H34" s="14">
        <f>$C$7</f>
        <v>0</v>
      </c>
      <c r="I34" s="28"/>
      <c r="J34" s="28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spans="1:21" x14ac:dyDescent="0.25">
      <c r="A35" s="4">
        <v>24</v>
      </c>
      <c r="B35" s="26" t="s">
        <v>101</v>
      </c>
      <c r="C35" s="26" t="s">
        <v>102</v>
      </c>
      <c r="D35" s="26" t="s">
        <v>23</v>
      </c>
      <c r="E35" s="26" t="s">
        <v>24</v>
      </c>
      <c r="F35" s="4">
        <f>$C$5</f>
        <v>0</v>
      </c>
      <c r="G35" s="4">
        <f>$C$6</f>
        <v>0</v>
      </c>
      <c r="H35" s="14">
        <f>$C$7</f>
        <v>0</v>
      </c>
      <c r="I35" s="28"/>
      <c r="J35" s="28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spans="1:21" ht="31.5" x14ac:dyDescent="0.25">
      <c r="A36" s="4">
        <v>25</v>
      </c>
      <c r="B36" s="26" t="s">
        <v>104</v>
      </c>
      <c r="C36" s="26" t="s">
        <v>107</v>
      </c>
      <c r="D36" s="26" t="s">
        <v>103</v>
      </c>
      <c r="E36" s="26" t="s">
        <v>105</v>
      </c>
      <c r="F36" s="4">
        <f>$C$5</f>
        <v>0</v>
      </c>
      <c r="G36" s="4">
        <f>$C$6</f>
        <v>0</v>
      </c>
      <c r="H36" s="14">
        <f>$C$7</f>
        <v>0</v>
      </c>
      <c r="I36" s="28"/>
      <c r="J36" s="28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</sheetData>
  <phoneticPr fontId="9" type="noConversion"/>
  <dataValidations count="6">
    <dataValidation type="list" allowBlank="1" showInputMessage="1" showErrorMessage="1" sqref="C6" xr:uid="{237318AB-A790-4E9D-BAF6-157441DF95B9}">
      <formula1>"Small Business, Large Business"</formula1>
    </dataValidation>
    <dataValidation type="list" allowBlank="1" showInputMessage="1" showErrorMessage="1" sqref="J12:O12 J14:O32 S12:T1048576" xr:uid="{2646571C-C46B-42E4-934E-0267CF3EDA43}">
      <formula1>"Yes, No"</formula1>
    </dataValidation>
    <dataValidation type="list" allowBlank="1" showInputMessage="1" showErrorMessage="1" sqref="I12:I1048576" xr:uid="{6C7B958F-838F-4A8E-B78A-5DEDC9004824}">
      <formula1>"Prime, Subcontractor, Labor Union, Trade Association, Other"</formula1>
    </dataValidation>
    <dataValidation type="list" allowBlank="1" showInputMessage="1" showErrorMessage="1" sqref="Q12:Q1048576" xr:uid="{B1ECD3DB-83DD-42F8-BF50-4469AD5DD161}">
      <formula1>"(+) 0-10%, (+) 10-15%, (+) 15-20%, (+) &gt;20%, ( - ) 0-10%, ( - ) 10-15%, ( - ) 15-20%, ( - ) &gt;20%"</formula1>
    </dataValidation>
    <dataValidation type="list" allowBlank="1" showInputMessage="1" showErrorMessage="1" sqref="R12:R1048576" xr:uid="{D833B3CF-C9EB-417B-BBE8-B72C2E65CC5B}">
      <formula1>"0-10 Days, 10-20 Days, 20-30 Days, 40-50 Days, 50+ Days, No added time "</formula1>
    </dataValidation>
    <dataValidation type="list" allowBlank="1" showInputMessage="1" showErrorMessage="1" sqref="P12:P1048576" xr:uid="{57FE0C1A-1613-4276-842A-D348BD86B217}">
      <formula1>"Increase, No Change, Decrease"</formula1>
    </dataValidation>
  </dataValidations>
  <pageMargins left="0.5" right="0.5" top="0.5" bottom="0.5" header="0.3" footer="0.3"/>
  <pageSetup paperSize="3" scale="84" fitToWidth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77aba9-973d-401e-9a98-5a6eea1f932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ACAEEBCA0694B9ECBDFF5A91FA68A" ma:contentTypeVersion="8" ma:contentTypeDescription="Create a new document." ma:contentTypeScope="" ma:versionID="74bc46e3517d3ea8ea817a29fd65c7c9">
  <xsd:schema xmlns:xsd="http://www.w3.org/2001/XMLSchema" xmlns:xs="http://www.w3.org/2001/XMLSchema" xmlns:p="http://schemas.microsoft.com/office/2006/metadata/properties" xmlns:ns2="d177aba9-973d-401e-9a98-5a6eea1f9322" targetNamespace="http://schemas.microsoft.com/office/2006/metadata/properties" ma:root="true" ma:fieldsID="f60a0d4b50f6b6bf889dde2357d90abd" ns2:_="">
    <xsd:import namespace="d177aba9-973d-401e-9a98-5a6eea1f9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7aba9-973d-401e-9a98-5a6eea1f93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7C56AB-F507-45C5-BBBC-B0BE2BA1B58C}">
  <ds:schemaRefs>
    <ds:schemaRef ds:uri="http://schemas.microsoft.com/office/2006/metadata/properties"/>
    <ds:schemaRef ds:uri="http://schemas.microsoft.com/office/infopath/2007/PartnerControls"/>
    <ds:schemaRef ds:uri="d177aba9-973d-401e-9a98-5a6eea1f9322"/>
  </ds:schemaRefs>
</ds:datastoreItem>
</file>

<file path=customXml/itemProps2.xml><?xml version="1.0" encoding="utf-8"?>
<ds:datastoreItem xmlns:ds="http://schemas.openxmlformats.org/officeDocument/2006/customXml" ds:itemID="{F4C77DCC-8F4B-444F-B766-068028613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7aba9-973d-401e-9a98-5a6eea1f9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5AAACF-C0B7-48FF-A575-E751312C777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 MR - 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BARRERA, ERIC E CIV USAF AFMC AFICC/KPS</dc:creator>
  <cp:lastModifiedBy>MENDEZ, SAMUEL L II CIV USAF AFMC 772 ESS/PKA</cp:lastModifiedBy>
  <cp:lastPrinted>2026-03-25T18:02:39Z</cp:lastPrinted>
  <dcterms:created xsi:type="dcterms:W3CDTF">2026-03-16T12:28:09Z</dcterms:created>
  <dcterms:modified xsi:type="dcterms:W3CDTF">2026-04-04T01:40:51Z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0x0101005ABACAEEBCA0694B9ECBDFF5A91FA68A</vt:lpwstr>
  </property>
  <property fmtid="{D5CDD505-2E9C-101B-9397-08002B2CF9AE}" pid="3" name="MediaServiceImageTags">
    <vt:lpwstr/>
  </property>
</Properties>
</file>