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dos.sharepoint.com/sites/quito/Internal/GSO/PROCUREMENT (s)/BPAs/BPA_ Vehicle Maintenance/"/>
    </mc:Choice>
  </mc:AlternateContent>
  <xr:revisionPtr revIDLastSave="0" documentId="8_{ADE33EA4-C49A-4946-AACF-A74E981F8C20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Preventive Mainten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7" i="1"/>
</calcChain>
</file>

<file path=xl/sharedStrings.xml><?xml version="1.0" encoding="utf-8"?>
<sst xmlns="http://schemas.openxmlformats.org/spreadsheetml/2006/main" count="275" uniqueCount="167">
  <si>
    <t>Service ID</t>
  </si>
  <si>
    <t>Mileage Interval (km)</t>
  </si>
  <si>
    <t>Service Type</t>
  </si>
  <si>
    <t>Description</t>
  </si>
  <si>
    <t>Included Tasks</t>
  </si>
  <si>
    <t>Vehicle Class</t>
  </si>
  <si>
    <t>Unit of Measure</t>
  </si>
  <si>
    <t>Unit Price (USD)</t>
  </si>
  <si>
    <t>PM-5000</t>
  </si>
  <si>
    <t>PM-10000</t>
  </si>
  <si>
    <t>PM-15000</t>
  </si>
  <si>
    <t>PM-20000</t>
  </si>
  <si>
    <t>PM-25000</t>
  </si>
  <si>
    <t>PM-30000</t>
  </si>
  <si>
    <t>PM-35000</t>
  </si>
  <si>
    <t>PM-40000</t>
  </si>
  <si>
    <t>PM-45000</t>
  </si>
  <si>
    <t>PM-50000</t>
  </si>
  <si>
    <t>PM-55000</t>
  </si>
  <si>
    <t>PM-60000</t>
  </si>
  <si>
    <t>PM-65000</t>
  </si>
  <si>
    <t>PM-70000</t>
  </si>
  <si>
    <t>PM-75000</t>
  </si>
  <si>
    <t>PM-80000</t>
  </si>
  <si>
    <t>PM-85000</t>
  </si>
  <si>
    <t>PM-90000</t>
  </si>
  <si>
    <t>PM-95000</t>
  </si>
  <si>
    <t>PM-100000</t>
  </si>
  <si>
    <t>5,000</t>
  </si>
  <si>
    <t>10,000</t>
  </si>
  <si>
    <t>15,000</t>
  </si>
  <si>
    <t>20,000</t>
  </si>
  <si>
    <t>25,000</t>
  </si>
  <si>
    <t>30,000</t>
  </si>
  <si>
    <t>35,000</t>
  </si>
  <si>
    <t>40,000</t>
  </si>
  <si>
    <t>45,000</t>
  </si>
  <si>
    <t>50,000</t>
  </si>
  <si>
    <t>55,000</t>
  </si>
  <si>
    <t>60,000</t>
  </si>
  <si>
    <t>65,000</t>
  </si>
  <si>
    <t>70,000</t>
  </si>
  <si>
    <t>75,000</t>
  </si>
  <si>
    <t>80,000</t>
  </si>
  <si>
    <t>85,000</t>
  </si>
  <si>
    <t>90,000</t>
  </si>
  <si>
    <t>95,000</t>
  </si>
  <si>
    <t>100,000</t>
  </si>
  <si>
    <t>Minor</t>
  </si>
  <si>
    <t>Standard</t>
  </si>
  <si>
    <t>Major</t>
  </si>
  <si>
    <t>5,000 km preventive maintenance</t>
  </si>
  <si>
    <t>10,000 km preventive maintenance</t>
  </si>
  <si>
    <t>15,000 km preventive maintenance</t>
  </si>
  <si>
    <t>20,000 km preventive maintenance</t>
  </si>
  <si>
    <t>25,000 km preventive maintenance</t>
  </si>
  <si>
    <t>30,000 km preventive maintenance</t>
  </si>
  <si>
    <t>35,000 km preventive maintenance</t>
  </si>
  <si>
    <t>40,000 km preventive maintenance (Major)</t>
  </si>
  <si>
    <t>45,000 km preventive maintenance</t>
  </si>
  <si>
    <t>50,000 km preventive maintenance (Major)</t>
  </si>
  <si>
    <t>55,000 km preventive maintenance</t>
  </si>
  <si>
    <t>60,000 km preventive maintenance (Major)</t>
  </si>
  <si>
    <t>65,000 km preventive maintenance</t>
  </si>
  <si>
    <t>70,000 km preventive maintenance</t>
  </si>
  <si>
    <t>75,000 km preventive maintenance</t>
  </si>
  <si>
    <t>80,000 km preventive maintenance (Major)</t>
  </si>
  <si>
    <t>85,000 km preventive maintenance</t>
  </si>
  <si>
    <t>90,000 km preventive maintenance (Major)</t>
  </si>
  <si>
    <t>95,000 km preventive maintenance</t>
  </si>
  <si>
    <t>100,000 km preventive maintenance (Major)</t>
  </si>
  <si>
    <t>Engine oil and oil filter replacement; Air filter inspection/replacement (if required); Brake visual inspection; Tire pressure check; Belts and hoses inspection; Battery inspection; All fluid level check/top-off; Underbody inspection; Diagnostic scan (if applicable)</t>
  </si>
  <si>
    <t>Includes all 5,000 km service tasks; Tire rotation; Wheel nut torque check; Cabin filter inspection; Steering, suspension, and exhaust inspection</t>
  </si>
  <si>
    <t>Includes all 10,000 km service tasks; Engine air filter replacement (if needed); Throttle body cleaning (if applicable); Fuel system inspection; Lubrication of moving parts; Basic alignment check</t>
  </si>
  <si>
    <t>Includes prior services; Oil and filter change; Brake fluid condition check; Coolant test; Transmission fluid level check; Tire balance check</t>
  </si>
  <si>
    <t>Includes prior services; Detailed brake cleaning and inspection; Suspension torque check; Steering system inspection; Fuel leak inspection; Wheel alignment check</t>
  </si>
  <si>
    <t>Includes prior services; Fuel filter replacement (if applicable); Spark plug check/replacement (gasoline engines); Transmission inspection; Differential fluid inspection (if applicable)</t>
  </si>
  <si>
    <t>Includes prior services; Engine and cabin filter replacement; Cooling system pressure test; Battery load test; Emissions system inspection</t>
  </si>
  <si>
    <t>Includes prior services; Brake fluid replacement; Cooling system flush (as required); Drive belt inspection/replacement</t>
  </si>
  <si>
    <t>Includes prior services; Transmission fluid replacement (if required); Power steering fluid service; Differential fluid service (if applicable); Full undercarriage inspection</t>
  </si>
  <si>
    <t>Includes prior services; Full diagnostics scan; Road test; Complete safety inspection; Service report</t>
  </si>
  <si>
    <t>Engine oil and filter change; Brake inspection; Tire rotation; Suspension and steering inspection; Fluid level checks</t>
  </si>
  <si>
    <t>Includes all 55,000 km services; Transmission fluid replacement (per manufacturer); Differential fluid replacement (if applicable); Brake fluid replacement (if applicable); Fuel system cleaning</t>
  </si>
  <si>
    <t>Oil and filter change; Air and cabin filter inspection; Belt and hose inspection; Electrical system inspection</t>
  </si>
  <si>
    <t>Tire rotation and balancing; Brake inspection/service; Steering and suspension inspection; Alignment check</t>
  </si>
  <si>
    <t>Oil and filter change; Fuel filter replacement (if applicable); Comprehensive cooling system inspection; Exhaust system inspection</t>
  </si>
  <si>
    <t>Includes all 75,000 km services; Spark plug replacement (if applicable); Timing belt/chain inspection (replace if required); Throttle body/fuel injector cleaning; Full diagnostic scan</t>
  </si>
  <si>
    <t>Oil and filter change; Brake system cleaning; Suspension and chassis inspection; Battery load test</t>
  </si>
  <si>
    <t>Transmission system inspection; Drive belt replacement (if required); Cooling system flush (if required); Power steering system service</t>
  </si>
  <si>
    <t>Oil and filter change; Tire rotation; Brake and exhaust inspection; Steering and suspension check</t>
  </si>
  <si>
    <t>Comprehensive mechanical inspection; Timing belt replacement (if required by manufacturer); Transmission fluid replacement; Differential fluid replacement (if applicable); Full diagnostic system scan; Complete safety evaluation and final report</t>
  </si>
  <si>
    <t>Light/Medium/Heavy</t>
  </si>
  <si>
    <t>Per vehicle service</t>
  </si>
  <si>
    <t>SOW 4.1</t>
  </si>
  <si>
    <t>SOW 4.2</t>
  </si>
  <si>
    <t>SOW 4.3</t>
  </si>
  <si>
    <t>SOW 4.4</t>
  </si>
  <si>
    <t>SOW 4.5</t>
  </si>
  <si>
    <t>SOW 4.6</t>
  </si>
  <si>
    <t>SOW 4.7</t>
  </si>
  <si>
    <t>SOW 4.8</t>
  </si>
  <si>
    <t>SOW 4.9</t>
  </si>
  <si>
    <t>SOW 4.10</t>
  </si>
  <si>
    <t>SOW 4.11</t>
  </si>
  <si>
    <t>SOW 4.12</t>
  </si>
  <si>
    <t>SOW 4.13</t>
  </si>
  <si>
    <t>SOW 4.14</t>
  </si>
  <si>
    <t>SOW 4.15</t>
  </si>
  <si>
    <t>SOW 4.16</t>
  </si>
  <si>
    <t>SOW 4.17</t>
  </si>
  <si>
    <t>SOW 4.18</t>
  </si>
  <si>
    <t>SOW 4.19</t>
  </si>
  <si>
    <t>SOW 4.20</t>
  </si>
  <si>
    <t>Category</t>
  </si>
  <si>
    <t>Labor Rate Basis</t>
  </si>
  <si>
    <t>Labor Rate (USD)</t>
  </si>
  <si>
    <t>Diagnostic Fee (USD)</t>
  </si>
  <si>
    <t>CM-ENG</t>
  </si>
  <si>
    <t>CM-TRN</t>
  </si>
  <si>
    <t>CM-BRK</t>
  </si>
  <si>
    <t>CM-ELC</t>
  </si>
  <si>
    <t>CM-SUS</t>
  </si>
  <si>
    <t>CM-AC</t>
  </si>
  <si>
    <t>CM-COOL</t>
  </si>
  <si>
    <t>CM-EXH</t>
  </si>
  <si>
    <t>Engine</t>
  </si>
  <si>
    <t>Transmission</t>
  </si>
  <si>
    <t>Brake</t>
  </si>
  <si>
    <t>Electrical</t>
  </si>
  <si>
    <t>Suspension</t>
  </si>
  <si>
    <t>Air Conditioning</t>
  </si>
  <si>
    <t>Cooling</t>
  </si>
  <si>
    <t>Exhaust</t>
  </si>
  <si>
    <t>Engine repairs (general)</t>
  </si>
  <si>
    <t>Transmission repairs (automatic/manual)</t>
  </si>
  <si>
    <t>Brake system repairs (pads, rotors, lines, hydraulics)</t>
  </si>
  <si>
    <t>Electrical system diagnostics/repair</t>
  </si>
  <si>
    <t>Suspension and steering repairs</t>
  </si>
  <si>
    <t>Air conditioning system repair</t>
  </si>
  <si>
    <t>Cooling system repairs</t>
  </si>
  <si>
    <t>Exhaust system repair</t>
  </si>
  <si>
    <t>Hourly labor for engine diagnostics and corrective repairs</t>
  </si>
  <si>
    <t>Hourly labor for transmission diagnostics and repair</t>
  </si>
  <si>
    <t>Hourly labor plus parts</t>
  </si>
  <si>
    <t>Per labor hour</t>
  </si>
  <si>
    <t>Per SOW section 5</t>
  </si>
  <si>
    <t>Part Category</t>
  </si>
  <si>
    <t>Quality Requirement</t>
  </si>
  <si>
    <t>Typical Discount</t>
  </si>
  <si>
    <t>Engine/Filters</t>
  </si>
  <si>
    <t>Brakes</t>
  </si>
  <si>
    <t>Filters, spark plugs, engine components</t>
  </si>
  <si>
    <t>Pads, rotors, drums, lines</t>
  </si>
  <si>
    <t>Shocks, struts, arms, bushings</t>
  </si>
  <si>
    <t>Radiators, pumps, hoses, thermostats</t>
  </si>
  <si>
    <t>Batteries, alternators, starters, wiring</t>
  </si>
  <si>
    <t>OEM or equivalent-quality parts, new only</t>
  </si>
  <si>
    <t>Per part</t>
  </si>
  <si>
    <t>Per SOW section 6</t>
  </si>
  <si>
    <t>Reference</t>
  </si>
  <si>
    <t>PROPOSED PRICE FOR SERVICES</t>
  </si>
  <si>
    <t>PREVENTIVE MAINTENANCE</t>
  </si>
  <si>
    <t>CORRECTIVE MAINTENANCE</t>
  </si>
  <si>
    <r>
      <t>Per SOW sect</t>
    </r>
    <r>
      <rPr>
        <sz val="12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on 5</t>
    </r>
  </si>
  <si>
    <t>%</t>
  </si>
  <si>
    <t>SPARE PARTS</t>
  </si>
  <si>
    <t>Unit Price including 15%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</si>
</sst>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44" fontId="0" fillId="0" borderId="1" xfId="1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48"/>
  <sheetViews>
    <sheetView tabSelected="1" topLeftCell="A28" workbookViewId="0">
      <selection activeCell="O45" sqref="O45"/>
    </sheetView>
  </sheetViews>
  <sheetFormatPr defaultRowHeight="14.4" x14ac:dyDescent="0.3"/>
  <cols>
    <col min="1" max="1" width="9.44140625" style="3" bestFit="1" customWidth="1"/>
    <col min="2" max="2" width="10.33203125" style="3" bestFit="1" customWidth="1"/>
    <col min="3" max="3" width="7.6640625" style="3" bestFit="1" customWidth="1"/>
    <col min="4" max="4" width="8.109375" customWidth="1"/>
    <col min="5" max="5" width="10.44140625" customWidth="1"/>
    <col min="6" max="6" width="27.109375" customWidth="1"/>
    <col min="7" max="7" width="11.44140625" customWidth="1"/>
    <col min="8" max="10" width="10.109375" customWidth="1"/>
  </cols>
  <sheetData>
    <row r="2" spans="1:10" x14ac:dyDescent="0.3">
      <c r="A2" s="4" t="s">
        <v>160</v>
      </c>
      <c r="B2" s="4"/>
      <c r="C2" s="4"/>
      <c r="D2" s="4"/>
      <c r="E2" s="4"/>
      <c r="F2" s="4"/>
      <c r="G2" s="4"/>
      <c r="H2" s="4"/>
      <c r="I2" s="4"/>
      <c r="J2" s="4"/>
    </row>
    <row r="4" spans="1:10" x14ac:dyDescent="0.3">
      <c r="A4" s="4" t="s">
        <v>161</v>
      </c>
      <c r="B4" s="4"/>
      <c r="C4" s="4"/>
      <c r="D4" s="4"/>
      <c r="E4" s="4"/>
      <c r="F4" s="4"/>
      <c r="G4" s="4"/>
      <c r="H4" s="4"/>
      <c r="I4" s="4"/>
      <c r="J4" s="4"/>
    </row>
    <row r="6" spans="1:10" ht="43.2" x14ac:dyDescent="0.3">
      <c r="A6" s="1" t="s">
        <v>159</v>
      </c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166</v>
      </c>
    </row>
    <row r="7" spans="1:10" ht="144" x14ac:dyDescent="0.3">
      <c r="A7" s="6" t="s">
        <v>93</v>
      </c>
      <c r="B7" s="6" t="s">
        <v>8</v>
      </c>
      <c r="C7" s="6" t="s">
        <v>28</v>
      </c>
      <c r="D7" s="2" t="s">
        <v>48</v>
      </c>
      <c r="E7" s="2" t="s">
        <v>51</v>
      </c>
      <c r="F7" s="2" t="s">
        <v>71</v>
      </c>
      <c r="G7" s="2" t="s">
        <v>91</v>
      </c>
      <c r="H7" s="2" t="s">
        <v>92</v>
      </c>
      <c r="I7" s="5"/>
      <c r="J7" s="5">
        <f>+I7*1.15</f>
        <v>0</v>
      </c>
    </row>
    <row r="8" spans="1:10" ht="86.4" x14ac:dyDescent="0.3">
      <c r="A8" s="6" t="s">
        <v>94</v>
      </c>
      <c r="B8" s="6" t="s">
        <v>9</v>
      </c>
      <c r="C8" s="6" t="s">
        <v>29</v>
      </c>
      <c r="D8" s="2" t="s">
        <v>49</v>
      </c>
      <c r="E8" s="2" t="s">
        <v>52</v>
      </c>
      <c r="F8" s="2" t="s">
        <v>72</v>
      </c>
      <c r="G8" s="2" t="s">
        <v>91</v>
      </c>
      <c r="H8" s="2" t="s">
        <v>92</v>
      </c>
      <c r="I8" s="5"/>
      <c r="J8" s="5">
        <f t="shared" ref="J8:J26" si="0">+I8*1.15</f>
        <v>0</v>
      </c>
    </row>
    <row r="9" spans="1:10" ht="115.2" x14ac:dyDescent="0.3">
      <c r="A9" s="6" t="s">
        <v>95</v>
      </c>
      <c r="B9" s="6" t="s">
        <v>10</v>
      </c>
      <c r="C9" s="6" t="s">
        <v>30</v>
      </c>
      <c r="D9" s="2" t="s">
        <v>49</v>
      </c>
      <c r="E9" s="2" t="s">
        <v>53</v>
      </c>
      <c r="F9" s="2" t="s">
        <v>73</v>
      </c>
      <c r="G9" s="2" t="s">
        <v>91</v>
      </c>
      <c r="H9" s="2" t="s">
        <v>92</v>
      </c>
      <c r="I9" s="5"/>
      <c r="J9" s="5">
        <f t="shared" si="0"/>
        <v>0</v>
      </c>
    </row>
    <row r="10" spans="1:10" ht="72" x14ac:dyDescent="0.3">
      <c r="A10" s="6" t="s">
        <v>96</v>
      </c>
      <c r="B10" s="6" t="s">
        <v>11</v>
      </c>
      <c r="C10" s="6" t="s">
        <v>31</v>
      </c>
      <c r="D10" s="2" t="s">
        <v>49</v>
      </c>
      <c r="E10" s="2" t="s">
        <v>54</v>
      </c>
      <c r="F10" s="2" t="s">
        <v>74</v>
      </c>
      <c r="G10" s="2" t="s">
        <v>91</v>
      </c>
      <c r="H10" s="2" t="s">
        <v>92</v>
      </c>
      <c r="I10" s="5"/>
      <c r="J10" s="5">
        <f t="shared" si="0"/>
        <v>0</v>
      </c>
    </row>
    <row r="11" spans="1:10" ht="86.4" x14ac:dyDescent="0.3">
      <c r="A11" s="6" t="s">
        <v>97</v>
      </c>
      <c r="B11" s="6" t="s">
        <v>12</v>
      </c>
      <c r="C11" s="6" t="s">
        <v>32</v>
      </c>
      <c r="D11" s="2" t="s">
        <v>49</v>
      </c>
      <c r="E11" s="2" t="s">
        <v>55</v>
      </c>
      <c r="F11" s="2" t="s">
        <v>75</v>
      </c>
      <c r="G11" s="2" t="s">
        <v>91</v>
      </c>
      <c r="H11" s="2" t="s">
        <v>92</v>
      </c>
      <c r="I11" s="5"/>
      <c r="J11" s="5">
        <f t="shared" si="0"/>
        <v>0</v>
      </c>
    </row>
    <row r="12" spans="1:10" ht="100.8" x14ac:dyDescent="0.3">
      <c r="A12" s="6" t="s">
        <v>98</v>
      </c>
      <c r="B12" s="6" t="s">
        <v>13</v>
      </c>
      <c r="C12" s="6" t="s">
        <v>33</v>
      </c>
      <c r="D12" s="2" t="s">
        <v>49</v>
      </c>
      <c r="E12" s="2" t="s">
        <v>56</v>
      </c>
      <c r="F12" s="2" t="s">
        <v>76</v>
      </c>
      <c r="G12" s="2" t="s">
        <v>91</v>
      </c>
      <c r="H12" s="2" t="s">
        <v>92</v>
      </c>
      <c r="I12" s="5"/>
      <c r="J12" s="5">
        <f t="shared" si="0"/>
        <v>0</v>
      </c>
    </row>
    <row r="13" spans="1:10" ht="72" x14ac:dyDescent="0.3">
      <c r="A13" s="6" t="s">
        <v>99</v>
      </c>
      <c r="B13" s="6" t="s">
        <v>14</v>
      </c>
      <c r="C13" s="6" t="s">
        <v>34</v>
      </c>
      <c r="D13" s="2" t="s">
        <v>49</v>
      </c>
      <c r="E13" s="2" t="s">
        <v>57</v>
      </c>
      <c r="F13" s="2" t="s">
        <v>77</v>
      </c>
      <c r="G13" s="2" t="s">
        <v>91</v>
      </c>
      <c r="H13" s="2" t="s">
        <v>92</v>
      </c>
      <c r="I13" s="5"/>
      <c r="J13" s="5">
        <f t="shared" si="0"/>
        <v>0</v>
      </c>
    </row>
    <row r="14" spans="1:10" ht="86.4" x14ac:dyDescent="0.3">
      <c r="A14" s="6" t="s">
        <v>100</v>
      </c>
      <c r="B14" s="6" t="s">
        <v>15</v>
      </c>
      <c r="C14" s="6" t="s">
        <v>35</v>
      </c>
      <c r="D14" s="2" t="s">
        <v>50</v>
      </c>
      <c r="E14" s="2" t="s">
        <v>58</v>
      </c>
      <c r="F14" s="2" t="s">
        <v>78</v>
      </c>
      <c r="G14" s="2" t="s">
        <v>91</v>
      </c>
      <c r="H14" s="2" t="s">
        <v>92</v>
      </c>
      <c r="I14" s="5"/>
      <c r="J14" s="5">
        <f t="shared" si="0"/>
        <v>0</v>
      </c>
    </row>
    <row r="15" spans="1:10" ht="86.4" x14ac:dyDescent="0.3">
      <c r="A15" s="6" t="s">
        <v>101</v>
      </c>
      <c r="B15" s="6" t="s">
        <v>16</v>
      </c>
      <c r="C15" s="6" t="s">
        <v>36</v>
      </c>
      <c r="D15" s="2" t="s">
        <v>50</v>
      </c>
      <c r="E15" s="2" t="s">
        <v>59</v>
      </c>
      <c r="F15" s="2" t="s">
        <v>79</v>
      </c>
      <c r="G15" s="2" t="s">
        <v>91</v>
      </c>
      <c r="H15" s="2" t="s">
        <v>92</v>
      </c>
      <c r="I15" s="5"/>
      <c r="J15" s="5">
        <f t="shared" si="0"/>
        <v>0</v>
      </c>
    </row>
    <row r="16" spans="1:10" ht="86.4" x14ac:dyDescent="0.3">
      <c r="A16" s="6" t="s">
        <v>102</v>
      </c>
      <c r="B16" s="6" t="s">
        <v>17</v>
      </c>
      <c r="C16" s="6" t="s">
        <v>37</v>
      </c>
      <c r="D16" s="2" t="s">
        <v>50</v>
      </c>
      <c r="E16" s="2" t="s">
        <v>60</v>
      </c>
      <c r="F16" s="2" t="s">
        <v>80</v>
      </c>
      <c r="G16" s="2" t="s">
        <v>91</v>
      </c>
      <c r="H16" s="2" t="s">
        <v>92</v>
      </c>
      <c r="I16" s="5"/>
      <c r="J16" s="5">
        <f t="shared" si="0"/>
        <v>0</v>
      </c>
    </row>
    <row r="17" spans="1:10" ht="72" x14ac:dyDescent="0.3">
      <c r="A17" s="6" t="s">
        <v>103</v>
      </c>
      <c r="B17" s="6" t="s">
        <v>18</v>
      </c>
      <c r="C17" s="6" t="s">
        <v>38</v>
      </c>
      <c r="D17" s="2" t="s">
        <v>49</v>
      </c>
      <c r="E17" s="2" t="s">
        <v>61</v>
      </c>
      <c r="F17" s="2" t="s">
        <v>81</v>
      </c>
      <c r="G17" s="2" t="s">
        <v>91</v>
      </c>
      <c r="H17" s="2" t="s">
        <v>92</v>
      </c>
      <c r="I17" s="5"/>
      <c r="J17" s="5">
        <f t="shared" si="0"/>
        <v>0</v>
      </c>
    </row>
    <row r="18" spans="1:10" ht="100.8" x14ac:dyDescent="0.3">
      <c r="A18" s="6" t="s">
        <v>104</v>
      </c>
      <c r="B18" s="6" t="s">
        <v>19</v>
      </c>
      <c r="C18" s="6" t="s">
        <v>39</v>
      </c>
      <c r="D18" s="2" t="s">
        <v>50</v>
      </c>
      <c r="E18" s="2" t="s">
        <v>62</v>
      </c>
      <c r="F18" s="2" t="s">
        <v>82</v>
      </c>
      <c r="G18" s="2" t="s">
        <v>91</v>
      </c>
      <c r="H18" s="2" t="s">
        <v>92</v>
      </c>
      <c r="I18" s="5"/>
      <c r="J18" s="5">
        <f t="shared" si="0"/>
        <v>0</v>
      </c>
    </row>
    <row r="19" spans="1:10" ht="72" x14ac:dyDescent="0.3">
      <c r="A19" s="6" t="s">
        <v>105</v>
      </c>
      <c r="B19" s="6" t="s">
        <v>20</v>
      </c>
      <c r="C19" s="6" t="s">
        <v>40</v>
      </c>
      <c r="D19" s="2" t="s">
        <v>49</v>
      </c>
      <c r="E19" s="2" t="s">
        <v>63</v>
      </c>
      <c r="F19" s="2" t="s">
        <v>83</v>
      </c>
      <c r="G19" s="2" t="s">
        <v>91</v>
      </c>
      <c r="H19" s="2" t="s">
        <v>92</v>
      </c>
      <c r="I19" s="5"/>
      <c r="J19" s="5">
        <f t="shared" si="0"/>
        <v>0</v>
      </c>
    </row>
    <row r="20" spans="1:10" ht="72" x14ac:dyDescent="0.3">
      <c r="A20" s="6" t="s">
        <v>106</v>
      </c>
      <c r="B20" s="6" t="s">
        <v>21</v>
      </c>
      <c r="C20" s="6" t="s">
        <v>41</v>
      </c>
      <c r="D20" s="2" t="s">
        <v>49</v>
      </c>
      <c r="E20" s="2" t="s">
        <v>64</v>
      </c>
      <c r="F20" s="2" t="s">
        <v>84</v>
      </c>
      <c r="G20" s="2" t="s">
        <v>91</v>
      </c>
      <c r="H20" s="2" t="s">
        <v>92</v>
      </c>
      <c r="I20" s="5"/>
      <c r="J20" s="5">
        <f t="shared" si="0"/>
        <v>0</v>
      </c>
    </row>
    <row r="21" spans="1:10" ht="72" x14ac:dyDescent="0.3">
      <c r="A21" s="6" t="s">
        <v>107</v>
      </c>
      <c r="B21" s="6" t="s">
        <v>22</v>
      </c>
      <c r="C21" s="6" t="s">
        <v>42</v>
      </c>
      <c r="D21" s="2" t="s">
        <v>49</v>
      </c>
      <c r="E21" s="2" t="s">
        <v>65</v>
      </c>
      <c r="F21" s="2" t="s">
        <v>85</v>
      </c>
      <c r="G21" s="2" t="s">
        <v>91</v>
      </c>
      <c r="H21" s="2" t="s">
        <v>92</v>
      </c>
      <c r="I21" s="5"/>
      <c r="J21" s="5">
        <f t="shared" si="0"/>
        <v>0</v>
      </c>
    </row>
    <row r="22" spans="1:10" ht="86.4" x14ac:dyDescent="0.3">
      <c r="A22" s="6" t="s">
        <v>108</v>
      </c>
      <c r="B22" s="6" t="s">
        <v>23</v>
      </c>
      <c r="C22" s="6" t="s">
        <v>43</v>
      </c>
      <c r="D22" s="2" t="s">
        <v>50</v>
      </c>
      <c r="E22" s="2" t="s">
        <v>66</v>
      </c>
      <c r="F22" s="2" t="s">
        <v>86</v>
      </c>
      <c r="G22" s="2" t="s">
        <v>91</v>
      </c>
      <c r="H22" s="2" t="s">
        <v>92</v>
      </c>
      <c r="I22" s="5"/>
      <c r="J22" s="5">
        <f t="shared" si="0"/>
        <v>0</v>
      </c>
    </row>
    <row r="23" spans="1:10" ht="72" x14ac:dyDescent="0.3">
      <c r="A23" s="6" t="s">
        <v>109</v>
      </c>
      <c r="B23" s="6" t="s">
        <v>24</v>
      </c>
      <c r="C23" s="6" t="s">
        <v>44</v>
      </c>
      <c r="D23" s="2" t="s">
        <v>49</v>
      </c>
      <c r="E23" s="2" t="s">
        <v>67</v>
      </c>
      <c r="F23" s="2" t="s">
        <v>87</v>
      </c>
      <c r="G23" s="2" t="s">
        <v>91</v>
      </c>
      <c r="H23" s="2" t="s">
        <v>92</v>
      </c>
      <c r="I23" s="5"/>
      <c r="J23" s="5">
        <f t="shared" si="0"/>
        <v>0</v>
      </c>
    </row>
    <row r="24" spans="1:10" ht="86.4" x14ac:dyDescent="0.3">
      <c r="A24" s="6" t="s">
        <v>110</v>
      </c>
      <c r="B24" s="6" t="s">
        <v>25</v>
      </c>
      <c r="C24" s="6" t="s">
        <v>45</v>
      </c>
      <c r="D24" s="2" t="s">
        <v>50</v>
      </c>
      <c r="E24" s="2" t="s">
        <v>68</v>
      </c>
      <c r="F24" s="2" t="s">
        <v>88</v>
      </c>
      <c r="G24" s="2" t="s">
        <v>91</v>
      </c>
      <c r="H24" s="2" t="s">
        <v>92</v>
      </c>
      <c r="I24" s="5"/>
      <c r="J24" s="5">
        <f t="shared" si="0"/>
        <v>0</v>
      </c>
    </row>
    <row r="25" spans="1:10" ht="72" x14ac:dyDescent="0.3">
      <c r="A25" s="6" t="s">
        <v>111</v>
      </c>
      <c r="B25" s="6" t="s">
        <v>26</v>
      </c>
      <c r="C25" s="6" t="s">
        <v>46</v>
      </c>
      <c r="D25" s="2" t="s">
        <v>49</v>
      </c>
      <c r="E25" s="2" t="s">
        <v>69</v>
      </c>
      <c r="F25" s="2" t="s">
        <v>89</v>
      </c>
      <c r="G25" s="2" t="s">
        <v>91</v>
      </c>
      <c r="H25" s="2" t="s">
        <v>92</v>
      </c>
      <c r="I25" s="5"/>
      <c r="J25" s="5">
        <f t="shared" si="0"/>
        <v>0</v>
      </c>
    </row>
    <row r="26" spans="1:10" ht="129.6" x14ac:dyDescent="0.3">
      <c r="A26" s="6" t="s">
        <v>112</v>
      </c>
      <c r="B26" s="6" t="s">
        <v>27</v>
      </c>
      <c r="C26" s="6" t="s">
        <v>47</v>
      </c>
      <c r="D26" s="2" t="s">
        <v>50</v>
      </c>
      <c r="E26" s="2" t="s">
        <v>70</v>
      </c>
      <c r="F26" s="2" t="s">
        <v>90</v>
      </c>
      <c r="G26" s="2" t="s">
        <v>91</v>
      </c>
      <c r="H26" s="2" t="s">
        <v>92</v>
      </c>
      <c r="I26" s="5"/>
      <c r="J26" s="5">
        <f t="shared" si="0"/>
        <v>0</v>
      </c>
    </row>
    <row r="29" spans="1:10" x14ac:dyDescent="0.3">
      <c r="A29" s="4" t="s">
        <v>162</v>
      </c>
      <c r="B29" s="4"/>
      <c r="C29" s="4"/>
      <c r="D29" s="4"/>
      <c r="E29" s="4"/>
      <c r="F29" s="4"/>
      <c r="G29" s="4"/>
      <c r="H29" s="4"/>
      <c r="I29" s="4"/>
      <c r="J29" s="4"/>
    </row>
    <row r="31" spans="1:10" ht="28.8" x14ac:dyDescent="0.3">
      <c r="A31" s="1" t="s">
        <v>159</v>
      </c>
      <c r="B31" s="1" t="s">
        <v>0</v>
      </c>
      <c r="D31" s="1" t="s">
        <v>113</v>
      </c>
      <c r="E31" s="1" t="s">
        <v>3</v>
      </c>
      <c r="F31" s="1" t="s">
        <v>114</v>
      </c>
      <c r="G31" s="1" t="s">
        <v>5</v>
      </c>
      <c r="H31" s="1" t="s">
        <v>6</v>
      </c>
      <c r="I31" s="1" t="s">
        <v>115</v>
      </c>
      <c r="J31" s="1" t="s">
        <v>116</v>
      </c>
    </row>
    <row r="32" spans="1:10" ht="43.2" x14ac:dyDescent="0.3">
      <c r="A32" s="6" t="s">
        <v>163</v>
      </c>
      <c r="B32" s="6" t="s">
        <v>117</v>
      </c>
      <c r="D32" s="2" t="s">
        <v>125</v>
      </c>
      <c r="E32" s="2" t="s">
        <v>133</v>
      </c>
      <c r="F32" s="2" t="s">
        <v>141</v>
      </c>
      <c r="G32" s="2" t="s">
        <v>91</v>
      </c>
      <c r="H32" s="2" t="s">
        <v>144</v>
      </c>
      <c r="I32" s="7"/>
      <c r="J32" s="7"/>
    </row>
    <row r="33" spans="1:10" ht="72" x14ac:dyDescent="0.3">
      <c r="A33" s="6" t="s">
        <v>145</v>
      </c>
      <c r="B33" s="6" t="s">
        <v>118</v>
      </c>
      <c r="D33" s="2" t="s">
        <v>126</v>
      </c>
      <c r="E33" s="2" t="s">
        <v>134</v>
      </c>
      <c r="F33" s="2" t="s">
        <v>142</v>
      </c>
      <c r="G33" s="2" t="s">
        <v>91</v>
      </c>
      <c r="H33" s="2" t="s">
        <v>144</v>
      </c>
      <c r="I33" s="7"/>
      <c r="J33" s="7"/>
    </row>
    <row r="34" spans="1:10" ht="115.2" x14ac:dyDescent="0.3">
      <c r="A34" s="6" t="s">
        <v>145</v>
      </c>
      <c r="B34" s="6" t="s">
        <v>119</v>
      </c>
      <c r="D34" s="2" t="s">
        <v>127</v>
      </c>
      <c r="E34" s="2" t="s">
        <v>135</v>
      </c>
      <c r="F34" s="2" t="s">
        <v>143</v>
      </c>
      <c r="G34" s="2" t="s">
        <v>91</v>
      </c>
      <c r="H34" s="2" t="s">
        <v>144</v>
      </c>
      <c r="I34" s="7"/>
      <c r="J34" s="7"/>
    </row>
    <row r="35" spans="1:10" ht="57.6" x14ac:dyDescent="0.3">
      <c r="A35" s="6" t="s">
        <v>145</v>
      </c>
      <c r="B35" s="6" t="s">
        <v>120</v>
      </c>
      <c r="D35" s="2" t="s">
        <v>128</v>
      </c>
      <c r="E35" s="2" t="s">
        <v>136</v>
      </c>
      <c r="F35" s="2" t="s">
        <v>143</v>
      </c>
      <c r="G35" s="2" t="s">
        <v>91</v>
      </c>
      <c r="H35" s="2" t="s">
        <v>144</v>
      </c>
      <c r="I35" s="7"/>
      <c r="J35" s="7"/>
    </row>
    <row r="36" spans="1:10" ht="57.6" x14ac:dyDescent="0.3">
      <c r="A36" s="6" t="s">
        <v>145</v>
      </c>
      <c r="B36" s="6" t="s">
        <v>121</v>
      </c>
      <c r="D36" s="2" t="s">
        <v>129</v>
      </c>
      <c r="E36" s="2" t="s">
        <v>137</v>
      </c>
      <c r="F36" s="2" t="s">
        <v>143</v>
      </c>
      <c r="G36" s="2" t="s">
        <v>91</v>
      </c>
      <c r="H36" s="2" t="s">
        <v>144</v>
      </c>
      <c r="I36" s="7"/>
      <c r="J36" s="7"/>
    </row>
    <row r="37" spans="1:10" ht="57.6" x14ac:dyDescent="0.3">
      <c r="A37" s="6" t="s">
        <v>145</v>
      </c>
      <c r="B37" s="6" t="s">
        <v>122</v>
      </c>
      <c r="D37" s="2" t="s">
        <v>130</v>
      </c>
      <c r="E37" s="2" t="s">
        <v>138</v>
      </c>
      <c r="F37" s="2" t="s">
        <v>143</v>
      </c>
      <c r="G37" s="2" t="s">
        <v>91</v>
      </c>
      <c r="H37" s="2" t="s">
        <v>144</v>
      </c>
      <c r="I37" s="7"/>
      <c r="J37" s="7"/>
    </row>
    <row r="38" spans="1:10" ht="43.2" x14ac:dyDescent="0.3">
      <c r="A38" s="6" t="s">
        <v>145</v>
      </c>
      <c r="B38" s="6" t="s">
        <v>123</v>
      </c>
      <c r="D38" s="2" t="s">
        <v>131</v>
      </c>
      <c r="E38" s="2" t="s">
        <v>139</v>
      </c>
      <c r="F38" s="2" t="s">
        <v>143</v>
      </c>
      <c r="G38" s="2" t="s">
        <v>91</v>
      </c>
      <c r="H38" s="2" t="s">
        <v>144</v>
      </c>
      <c r="I38" s="7"/>
      <c r="J38" s="7"/>
    </row>
    <row r="39" spans="1:10" ht="43.2" x14ac:dyDescent="0.3">
      <c r="A39" s="6" t="s">
        <v>145</v>
      </c>
      <c r="B39" s="6" t="s">
        <v>124</v>
      </c>
      <c r="D39" s="2" t="s">
        <v>132</v>
      </c>
      <c r="E39" s="2" t="s">
        <v>140</v>
      </c>
      <c r="F39" s="2" t="s">
        <v>143</v>
      </c>
      <c r="G39" s="2" t="s">
        <v>91</v>
      </c>
      <c r="H39" s="2" t="s">
        <v>144</v>
      </c>
      <c r="I39" s="7"/>
      <c r="J39" s="7"/>
    </row>
    <row r="41" spans="1:10" x14ac:dyDescent="0.3">
      <c r="A41" s="4" t="s">
        <v>165</v>
      </c>
      <c r="B41" s="4"/>
      <c r="C41" s="4"/>
      <c r="D41" s="4"/>
      <c r="E41" s="4"/>
      <c r="F41" s="4"/>
      <c r="G41" s="4"/>
      <c r="H41" s="4"/>
      <c r="I41" s="4"/>
      <c r="J41" s="4"/>
    </row>
    <row r="43" spans="1:10" ht="43.2" x14ac:dyDescent="0.3">
      <c r="A43" s="1" t="s">
        <v>159</v>
      </c>
      <c r="D43" s="1" t="s">
        <v>146</v>
      </c>
      <c r="E43" s="1" t="s">
        <v>3</v>
      </c>
      <c r="F43" s="1" t="s">
        <v>147</v>
      </c>
      <c r="G43" s="1"/>
      <c r="H43" s="1" t="s">
        <v>6</v>
      </c>
      <c r="I43" s="1" t="s">
        <v>148</v>
      </c>
    </row>
    <row r="44" spans="1:10" ht="28.8" x14ac:dyDescent="0.3">
      <c r="A44" s="6" t="s">
        <v>158</v>
      </c>
      <c r="D44" s="2" t="s">
        <v>149</v>
      </c>
      <c r="E44" s="2" t="s">
        <v>151</v>
      </c>
      <c r="F44" s="2" t="s">
        <v>156</v>
      </c>
      <c r="H44" s="7" t="s">
        <v>157</v>
      </c>
      <c r="I44" s="7" t="s">
        <v>164</v>
      </c>
    </row>
    <row r="45" spans="1:10" ht="28.8" x14ac:dyDescent="0.3">
      <c r="A45" s="6" t="s">
        <v>158</v>
      </c>
      <c r="D45" s="2" t="s">
        <v>150</v>
      </c>
      <c r="E45" s="2" t="s">
        <v>152</v>
      </c>
      <c r="F45" s="2" t="s">
        <v>156</v>
      </c>
      <c r="H45" s="7" t="s">
        <v>157</v>
      </c>
      <c r="I45" s="7" t="s">
        <v>164</v>
      </c>
    </row>
    <row r="46" spans="1:10" ht="28.8" x14ac:dyDescent="0.3">
      <c r="A46" s="6" t="s">
        <v>158</v>
      </c>
      <c r="D46" s="2" t="s">
        <v>129</v>
      </c>
      <c r="E46" s="2" t="s">
        <v>153</v>
      </c>
      <c r="F46" s="2" t="s">
        <v>156</v>
      </c>
      <c r="H46" s="7" t="s">
        <v>157</v>
      </c>
      <c r="I46" s="7" t="s">
        <v>164</v>
      </c>
    </row>
    <row r="47" spans="1:10" ht="28.8" x14ac:dyDescent="0.3">
      <c r="A47" s="6" t="s">
        <v>158</v>
      </c>
      <c r="D47" s="2" t="s">
        <v>131</v>
      </c>
      <c r="E47" s="2" t="s">
        <v>154</v>
      </c>
      <c r="F47" s="2" t="s">
        <v>156</v>
      </c>
      <c r="H47" s="7" t="s">
        <v>157</v>
      </c>
      <c r="I47" s="7" t="s">
        <v>164</v>
      </c>
    </row>
    <row r="48" spans="1:10" ht="43.2" x14ac:dyDescent="0.3">
      <c r="A48" s="6" t="s">
        <v>158</v>
      </c>
      <c r="D48" s="2" t="s">
        <v>128</v>
      </c>
      <c r="E48" s="2" t="s">
        <v>155</v>
      </c>
      <c r="F48" s="2" t="s">
        <v>156</v>
      </c>
      <c r="H48" s="7" t="s">
        <v>157</v>
      </c>
      <c r="I48" s="7" t="s">
        <v>164</v>
      </c>
    </row>
  </sheetData>
  <mergeCells count="4">
    <mergeCell ref="A2:J2"/>
    <mergeCell ref="A4:J4"/>
    <mergeCell ref="A29:J29"/>
    <mergeCell ref="A41:J41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50AA476D177C4DA1F2FFAE5C054D44" ma:contentTypeVersion="17" ma:contentTypeDescription="Create a new document." ma:contentTypeScope="" ma:versionID="9426329827c1cd6925d63f882f24a8b2">
  <xsd:schema xmlns:xsd="http://www.w3.org/2001/XMLSchema" xmlns:xs="http://www.w3.org/2001/XMLSchema" xmlns:p="http://schemas.microsoft.com/office/2006/metadata/properties" xmlns:ns2="53a1051f-6ce3-4344-9e4b-47aa00798dbc" xmlns:ns3="ce06e17a-0a25-4e38-963b-b2da18a9db2c" xmlns:ns4="20f7c7c8-96da-4296-a3a4-d217585e711f" targetNamespace="http://schemas.microsoft.com/office/2006/metadata/properties" ma:root="true" ma:fieldsID="2e712880dfdc5929c0bfc5fb04b9e74f" ns2:_="" ns3:_="" ns4:_="">
    <xsd:import namespace="53a1051f-6ce3-4344-9e4b-47aa00798dbc"/>
    <xsd:import namespace="ce06e17a-0a25-4e38-963b-b2da18a9db2c"/>
    <xsd:import namespace="20f7c7c8-96da-4296-a3a4-d217585e71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4:SharedWithUsers" minOccurs="0"/>
                <xsd:element ref="ns4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a1051f-6ce3-4344-9e4b-47aa00798d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0c4236b-c3ef-4727-9e6d-e99ea6badd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6e17a-0a25-4e38-963b-b2da18a9db2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fd5a6d8-19cd-48ae-9e95-3504c5643650}" ma:internalName="TaxCatchAll" ma:showField="CatchAllData" ma:web="ce06e17a-0a25-4e38-963b-b2da18a9db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f7c7c8-96da-4296-a3a4-d217585e711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06e17a-0a25-4e38-963b-b2da18a9db2c" xsi:nil="true"/>
    <lcf76f155ced4ddcb4097134ff3c332f xmlns="53a1051f-6ce3-4344-9e4b-47aa00798db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77C913-8E61-4A46-8DEF-B98F086E11CC}"/>
</file>

<file path=customXml/itemProps2.xml><?xml version="1.0" encoding="utf-8"?>
<ds:datastoreItem xmlns:ds="http://schemas.openxmlformats.org/officeDocument/2006/customXml" ds:itemID="{0A0DFE64-9182-4DD2-B6EF-CD25C5B7121F}"/>
</file>

<file path=customXml/itemProps3.xml><?xml version="1.0" encoding="utf-8"?>
<ds:datastoreItem xmlns:ds="http://schemas.openxmlformats.org/officeDocument/2006/customXml" ds:itemID="{0837A294-ABE8-4B6D-A024-A10117F200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Preventive Maintenance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Balseca, Jose J (Quito)</dc:creator>
  <cp:lastModifiedBy>Balseca, Jose J (Quito)</cp:lastModifiedBy>
  <cp:lastPrinted>2026-04-28T16:08:17Z</cp:lastPrinted>
  <dcterms:created xsi:type="dcterms:W3CDTF">2026-04-28T15:49:32Z</dcterms:created>
  <dcterms:modified xsi:type="dcterms:W3CDTF">2026-04-28T16:14:26Z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65d9ee-429a-4d5f-97cc-cfb56e044a6e_Enabled">
    <vt:lpwstr>true</vt:lpwstr>
  </property>
  <property fmtid="{D5CDD505-2E9C-101B-9397-08002B2CF9AE}" pid="3" name="MSIP_Label_1665d9ee-429a-4d5f-97cc-cfb56e044a6e_SetDate">
    <vt:lpwstr>2026-04-28T15:52:37Z</vt:lpwstr>
  </property>
  <property fmtid="{D5CDD505-2E9C-101B-9397-08002B2CF9AE}" pid="4" name="MSIP_Label_1665d9ee-429a-4d5f-97cc-cfb56e044a6e_Method">
    <vt:lpwstr>Privileged</vt:lpwstr>
  </property>
  <property fmtid="{D5CDD505-2E9C-101B-9397-08002B2CF9AE}" pid="5" name="MSIP_Label_1665d9ee-429a-4d5f-97cc-cfb56e044a6e_Name">
    <vt:lpwstr>1665d9ee-429a-4d5f-97cc-cfb56e044a6e</vt:lpwstr>
  </property>
  <property fmtid="{D5CDD505-2E9C-101B-9397-08002B2CF9AE}" pid="6" name="MSIP_Label_1665d9ee-429a-4d5f-97cc-cfb56e044a6e_SiteId">
    <vt:lpwstr>66cf5074-5afe-48d1-a691-a12b2121f44b</vt:lpwstr>
  </property>
  <property fmtid="{D5CDD505-2E9C-101B-9397-08002B2CF9AE}" pid="7" name="MSIP_Label_1665d9ee-429a-4d5f-97cc-cfb56e044a6e_ActionId">
    <vt:lpwstr>f32dab9a-ab2e-47e5-b1db-6d6732a14501</vt:lpwstr>
  </property>
  <property fmtid="{D5CDD505-2E9C-101B-9397-08002B2CF9AE}" pid="8" name="MSIP_Label_1665d9ee-429a-4d5f-97cc-cfb56e044a6e_ContentBits">
    <vt:lpwstr>0</vt:lpwstr>
  </property>
  <property fmtid="{D5CDD505-2E9C-101B-9397-08002B2CF9AE}" pid="9" name="MSIP_Label_1665d9ee-429a-4d5f-97cc-cfb56e044a6e_Tag">
    <vt:lpwstr>10, 0, 1, 1</vt:lpwstr>
  </property>
  <property fmtid="{D5CDD505-2E9C-101B-9397-08002B2CF9AE}" pid="10" name="ContentTypeId">
    <vt:lpwstr>0x0101004850AA476D177C4DA1F2FFAE5C054D44</vt:lpwstr>
  </property>
</Properties>
</file>