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antha.miller\Desktop\"/>
    </mc:Choice>
  </mc:AlternateContent>
  <xr:revisionPtr revIDLastSave="0" documentId="13_ncr:1_{E54E99EC-5983-45F8-A2A7-1263D9884712}" xr6:coauthVersionLast="47" xr6:coauthVersionMax="47" xr10:uidLastSave="{00000000-0000-0000-0000-000000000000}"/>
  <bookViews>
    <workbookView xWindow="-110" yWindow="30" windowWidth="19420" windowHeight="10160" tabRatio="796" xr2:uid="{2044BAA2-5878-48BA-9DA6-D799F019598D}"/>
  </bookViews>
  <sheets>
    <sheet name="CLINs" sheetId="5" r:id="rId1"/>
    <sheet name="Base_Norfolk" sheetId="1" r:id="rId2"/>
    <sheet name="-8 Period_Norfolk" sheetId="2" r:id="rId3"/>
    <sheet name="Base_Mechanicsburg " sheetId="3" r:id="rId4"/>
    <sheet name="-8 Period_Mechanicsburg" sheetId="4" r:id="rId5"/>
    <sheet name="Base_NSA Philadelphi" sheetId="6" r:id="rId6"/>
    <sheet name="-8 Period_NSA Philadelphi" sheetId="7" r:id="rId7"/>
    <sheet name="Base_PNYA" sheetId="8" r:id="rId8"/>
    <sheet name="-8 Period_PNYA" sheetId="9" r:id="rId9"/>
    <sheet name="Base_Great Lakes" sheetId="10" r:id="rId10"/>
    <sheet name="-8 Period_Great Lakes" sheetId="11" r:id="rId11"/>
    <sheet name="Base_Key West" sheetId="12" r:id="rId12"/>
    <sheet name="-8 Period_Key West" sheetId="13" r:id="rId13"/>
    <sheet name="Base_Little Creek" sheetId="14" r:id="rId14"/>
    <sheet name="-8 Period_Little Creek" sheetId="15" r:id="rId15"/>
  </sheets>
  <definedNames>
    <definedName name="_xlnm.Print_Titles" localSheetId="2">'-8 Period_Norfolk'!$1:$4</definedName>
    <definedName name="_xlnm.Print_Titles" localSheetId="1">Base_Norfolk!$1:$4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5" l="1"/>
  <c r="D43" i="5" s="1"/>
  <c r="D41" i="5"/>
  <c r="D36" i="5"/>
  <c r="D35" i="5"/>
  <c r="D37" i="5"/>
  <c r="D30" i="5"/>
  <c r="D29" i="5"/>
  <c r="D24" i="5"/>
  <c r="D23" i="5"/>
  <c r="D18" i="5"/>
  <c r="D17" i="5"/>
  <c r="G9" i="15"/>
  <c r="H9" i="15" s="1"/>
  <c r="E9" i="15"/>
  <c r="G8" i="15"/>
  <c r="H8" i="15" s="1"/>
  <c r="E8" i="15"/>
  <c r="G7" i="15"/>
  <c r="H7" i="15" s="1"/>
  <c r="E7" i="15"/>
  <c r="G6" i="15"/>
  <c r="H6" i="15" s="1"/>
  <c r="E6" i="15"/>
  <c r="G5" i="15"/>
  <c r="H5" i="15" s="1"/>
  <c r="E5" i="15"/>
  <c r="H10" i="14"/>
  <c r="H11" i="14" s="1"/>
  <c r="G9" i="14"/>
  <c r="H9" i="14" s="1"/>
  <c r="E9" i="14"/>
  <c r="G8" i="14"/>
  <c r="H8" i="14" s="1"/>
  <c r="E8" i="14"/>
  <c r="G7" i="14"/>
  <c r="H7" i="14" s="1"/>
  <c r="E7" i="14"/>
  <c r="G6" i="14"/>
  <c r="H6" i="14" s="1"/>
  <c r="E6" i="14"/>
  <c r="G5" i="14"/>
  <c r="H5" i="14" s="1"/>
  <c r="E5" i="14"/>
  <c r="G9" i="13"/>
  <c r="H9" i="13" s="1"/>
  <c r="E9" i="13"/>
  <c r="G8" i="13"/>
  <c r="H8" i="13" s="1"/>
  <c r="E8" i="13"/>
  <c r="G7" i="13"/>
  <c r="H7" i="13" s="1"/>
  <c r="E7" i="13"/>
  <c r="G6" i="13"/>
  <c r="H6" i="13" s="1"/>
  <c r="E6" i="13"/>
  <c r="G5" i="13"/>
  <c r="H5" i="13" s="1"/>
  <c r="E5" i="13"/>
  <c r="H10" i="12"/>
  <c r="H11" i="12" s="1"/>
  <c r="G9" i="12"/>
  <c r="H9" i="12" s="1"/>
  <c r="E9" i="12"/>
  <c r="G8" i="12"/>
  <c r="H8" i="12" s="1"/>
  <c r="E8" i="12"/>
  <c r="G7" i="12"/>
  <c r="H7" i="12" s="1"/>
  <c r="E7" i="12"/>
  <c r="G6" i="12"/>
  <c r="H6" i="12" s="1"/>
  <c r="E6" i="12"/>
  <c r="G5" i="12"/>
  <c r="H5" i="12" s="1"/>
  <c r="E5" i="12"/>
  <c r="G9" i="11"/>
  <c r="H9" i="11" s="1"/>
  <c r="E9" i="11"/>
  <c r="G8" i="11"/>
  <c r="H8" i="11" s="1"/>
  <c r="E8" i="11"/>
  <c r="G7" i="11"/>
  <c r="H7" i="11" s="1"/>
  <c r="E7" i="11"/>
  <c r="G6" i="11"/>
  <c r="H6" i="11" s="1"/>
  <c r="E6" i="11"/>
  <c r="G5" i="11"/>
  <c r="H5" i="11" s="1"/>
  <c r="E5" i="11"/>
  <c r="H10" i="10"/>
  <c r="H11" i="10" s="1"/>
  <c r="G9" i="10"/>
  <c r="H9" i="10" s="1"/>
  <c r="E9" i="10"/>
  <c r="G8" i="10"/>
  <c r="H8" i="10" s="1"/>
  <c r="E8" i="10"/>
  <c r="G7" i="10"/>
  <c r="H7" i="10" s="1"/>
  <c r="E7" i="10"/>
  <c r="G6" i="10"/>
  <c r="H6" i="10" s="1"/>
  <c r="E6" i="10"/>
  <c r="G5" i="10"/>
  <c r="H5" i="10" s="1"/>
  <c r="E5" i="10"/>
  <c r="G9" i="9"/>
  <c r="H9" i="9" s="1"/>
  <c r="E9" i="9"/>
  <c r="G8" i="9"/>
  <c r="H8" i="9" s="1"/>
  <c r="E8" i="9"/>
  <c r="G7" i="9"/>
  <c r="H7" i="9" s="1"/>
  <c r="E7" i="9"/>
  <c r="G6" i="9"/>
  <c r="H6" i="9" s="1"/>
  <c r="E6" i="9"/>
  <c r="G5" i="9"/>
  <c r="H5" i="9" s="1"/>
  <c r="E5" i="9"/>
  <c r="H10" i="8"/>
  <c r="H11" i="8" s="1"/>
  <c r="G9" i="8"/>
  <c r="H9" i="8" s="1"/>
  <c r="E9" i="8"/>
  <c r="G8" i="8"/>
  <c r="H8" i="8" s="1"/>
  <c r="E8" i="8"/>
  <c r="G7" i="8"/>
  <c r="H7" i="8" s="1"/>
  <c r="E7" i="8"/>
  <c r="G6" i="8"/>
  <c r="H6" i="8" s="1"/>
  <c r="E6" i="8"/>
  <c r="G5" i="8"/>
  <c r="H5" i="8" s="1"/>
  <c r="E5" i="8"/>
  <c r="G9" i="7"/>
  <c r="H9" i="7" s="1"/>
  <c r="E9" i="7"/>
  <c r="G8" i="7"/>
  <c r="H8" i="7" s="1"/>
  <c r="E8" i="7"/>
  <c r="G7" i="7"/>
  <c r="H7" i="7" s="1"/>
  <c r="E7" i="7"/>
  <c r="G6" i="7"/>
  <c r="H6" i="7" s="1"/>
  <c r="E6" i="7"/>
  <c r="G5" i="7"/>
  <c r="H5" i="7" s="1"/>
  <c r="E5" i="7"/>
  <c r="H10" i="6"/>
  <c r="H11" i="6" s="1"/>
  <c r="G9" i="6"/>
  <c r="H9" i="6" s="1"/>
  <c r="E9" i="6"/>
  <c r="G8" i="6"/>
  <c r="H8" i="6" s="1"/>
  <c r="E8" i="6"/>
  <c r="G7" i="6"/>
  <c r="H7" i="6" s="1"/>
  <c r="E7" i="6"/>
  <c r="G6" i="6"/>
  <c r="H6" i="6" s="1"/>
  <c r="E6" i="6"/>
  <c r="G5" i="6"/>
  <c r="H5" i="6" s="1"/>
  <c r="E5" i="6"/>
  <c r="D12" i="5"/>
  <c r="D11" i="5"/>
  <c r="D19" i="5"/>
  <c r="D13" i="5"/>
  <c r="D6" i="5"/>
  <c r="D5" i="5"/>
  <c r="G9" i="4"/>
  <c r="H9" i="4" s="1"/>
  <c r="E9" i="4"/>
  <c r="G8" i="4"/>
  <c r="H8" i="4" s="1"/>
  <c r="E8" i="4"/>
  <c r="G7" i="4"/>
  <c r="H7" i="4" s="1"/>
  <c r="E7" i="4"/>
  <c r="G6" i="4"/>
  <c r="H6" i="4" s="1"/>
  <c r="E6" i="4"/>
  <c r="G5" i="4"/>
  <c r="H5" i="4" s="1"/>
  <c r="E5" i="4"/>
  <c r="H10" i="3"/>
  <c r="H11" i="3" s="1"/>
  <c r="G9" i="3"/>
  <c r="H9" i="3" s="1"/>
  <c r="E9" i="3"/>
  <c r="G8" i="3"/>
  <c r="H8" i="3" s="1"/>
  <c r="E8" i="3"/>
  <c r="G7" i="3"/>
  <c r="H7" i="3" s="1"/>
  <c r="E7" i="3"/>
  <c r="G6" i="3"/>
  <c r="H6" i="3" s="1"/>
  <c r="E6" i="3"/>
  <c r="G5" i="3"/>
  <c r="H5" i="3" s="1"/>
  <c r="E5" i="3"/>
  <c r="G9" i="2"/>
  <c r="H9" i="2" s="1"/>
  <c r="E9" i="2"/>
  <c r="G8" i="2"/>
  <c r="H8" i="2" s="1"/>
  <c r="E8" i="2"/>
  <c r="G7" i="2"/>
  <c r="H7" i="2" s="1"/>
  <c r="E7" i="2"/>
  <c r="G6" i="2"/>
  <c r="H6" i="2" s="1"/>
  <c r="E6" i="2"/>
  <c r="G5" i="2"/>
  <c r="H5" i="2" s="1"/>
  <c r="E5" i="2"/>
  <c r="H11" i="1"/>
  <c r="G9" i="1"/>
  <c r="H9" i="1" s="1"/>
  <c r="E9" i="1"/>
  <c r="G8" i="1"/>
  <c r="H8" i="1" s="1"/>
  <c r="E8" i="1"/>
  <c r="G7" i="1"/>
  <c r="H7" i="1" s="1"/>
  <c r="E7" i="1"/>
  <c r="G6" i="1"/>
  <c r="H6" i="1" s="1"/>
  <c r="E6" i="1"/>
  <c r="G5" i="1"/>
  <c r="H5" i="1" s="1"/>
  <c r="E5" i="1"/>
  <c r="D31" i="5" l="1"/>
  <c r="D25" i="5"/>
  <c r="H10" i="15"/>
  <c r="H10" i="13"/>
  <c r="H10" i="11"/>
  <c r="H10" i="9"/>
  <c r="H10" i="7"/>
  <c r="D7" i="5"/>
  <c r="H10" i="4"/>
  <c r="H10" i="2"/>
  <c r="H10" i="1"/>
</calcChain>
</file>

<file path=xl/sharedStrings.xml><?xml version="1.0" encoding="utf-8"?>
<sst xmlns="http://schemas.openxmlformats.org/spreadsheetml/2006/main" count="400" uniqueCount="49">
  <si>
    <t xml:space="preserve">NAVAL STATION NORFOLK </t>
  </si>
  <si>
    <t>ESTIMATED MONTHLY</t>
  </si>
  <si>
    <t># OF MONTHS</t>
  </si>
  <si>
    <t>CLIN</t>
  </si>
  <si>
    <t>CLIN Description</t>
  </si>
  <si>
    <t>UNIT PRICE</t>
  </si>
  <si>
    <t>QUANTITY</t>
  </si>
  <si>
    <t>COST</t>
  </si>
  <si>
    <t>A001</t>
  </si>
  <si>
    <t>ANALOG SEATS</t>
  </si>
  <si>
    <t>A002</t>
  </si>
  <si>
    <t>NG911</t>
  </si>
  <si>
    <t>A003</t>
  </si>
  <si>
    <t>IMPLEMENTATION &amp; TRANSITION SERVICES</t>
  </si>
  <si>
    <t>A004</t>
  </si>
  <si>
    <t>ANALOG TELEPHONE ADAPTERS (ATA)</t>
  </si>
  <si>
    <t>A005</t>
  </si>
  <si>
    <t>ATA LICENSE</t>
  </si>
  <si>
    <t>5-Year Total</t>
  </si>
  <si>
    <t>1-Year Total</t>
  </si>
  <si>
    <t>ANNUAL NTE FOR 1 YEAR</t>
  </si>
  <si>
    <t>FAR clause 52.217-8 Total</t>
  </si>
  <si>
    <t>FAR clause 52.217-8 Option: 01 February 2032-31 July 2032</t>
  </si>
  <si>
    <t>NTE 6-Months</t>
  </si>
  <si>
    <t xml:space="preserve">NSA MECHANICSBURG </t>
  </si>
  <si>
    <t>NSA MECHANICSBURG</t>
  </si>
  <si>
    <t>Ordering Period: 01 February 2027 - 31 January 2032</t>
  </si>
  <si>
    <t>Integrated Voice Services via Central Office based, dial tone facilities</t>
  </si>
  <si>
    <t>Total</t>
  </si>
  <si>
    <t>TOTAL Max Ceiling</t>
  </si>
  <si>
    <t>Naval Station Norfolk Services</t>
  </si>
  <si>
    <t>Period of Performance</t>
  </si>
  <si>
    <t>Ordering Period</t>
  </si>
  <si>
    <t>FAR Clause 52.217-8</t>
  </si>
  <si>
    <t>01 February 2032 - 31 July 2032</t>
  </si>
  <si>
    <t>Base</t>
  </si>
  <si>
    <t>01 February 2027 - 31 January 2032</t>
  </si>
  <si>
    <t>UNIT (Lot)</t>
  </si>
  <si>
    <t>NSA Mechanicsburg Services</t>
  </si>
  <si>
    <t>NSA PHILADELPHIA</t>
  </si>
  <si>
    <t>PHILADELPHIA NAVAL YARD ANNEX</t>
  </si>
  <si>
    <t>NAVSTA GREAT LAKES</t>
  </si>
  <si>
    <t>NAS KEY WEST</t>
  </si>
  <si>
    <t>JEB LITTLE CREEK</t>
  </si>
  <si>
    <t>NSA Philadelphia Services</t>
  </si>
  <si>
    <t>PNYA Services</t>
  </si>
  <si>
    <t>Great Lakes Services</t>
  </si>
  <si>
    <t>Key West Services</t>
  </si>
  <si>
    <t>Little Creek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</si>
</sst>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3" tint="-0.499984740745262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4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8" fillId="2" borderId="0" xfId="0" applyFont="1" applyFill="1"/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/>
    <xf numFmtId="0" fontId="8" fillId="2" borderId="1" xfId="0" applyFont="1" applyFill="1" applyBorder="1"/>
    <xf numFmtId="164" fontId="8" fillId="2" borderId="1" xfId="2" applyNumberFormat="1" applyFont="1" applyFill="1" applyBorder="1" applyAlignment="1">
      <alignment horizontal="right"/>
    </xf>
    <xf numFmtId="3" fontId="8" fillId="2" borderId="1" xfId="0" applyNumberFormat="1" applyFont="1" applyFill="1" applyBorder="1" applyAlignment="1">
      <alignment horizontal="center"/>
    </xf>
    <xf numFmtId="164" fontId="4" fillId="2" borderId="1" xfId="2" applyNumberFormat="1" applyFont="1" applyFill="1" applyBorder="1"/>
    <xf numFmtId="3" fontId="8" fillId="2" borderId="6" xfId="0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8" fillId="0" borderId="1" xfId="0" applyFont="1" applyBorder="1"/>
    <xf numFmtId="0" fontId="10" fillId="2" borderId="0" xfId="0" applyFont="1" applyFill="1"/>
    <xf numFmtId="0" fontId="10" fillId="6" borderId="1" xfId="0" applyFont="1" applyFill="1" applyBorder="1" applyAlignment="1">
      <alignment horizontal="center"/>
    </xf>
    <xf numFmtId="164" fontId="10" fillId="6" borderId="1" xfId="2" applyNumberFormat="1" applyFont="1" applyFill="1" applyBorder="1"/>
    <xf numFmtId="0" fontId="11" fillId="0" borderId="7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44" fontId="12" fillId="0" borderId="1" xfId="2" applyFont="1" applyBorder="1" applyAlignment="1" applyProtection="1">
      <alignment horizontal="right"/>
    </xf>
    <xf numFmtId="0" fontId="13" fillId="7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164" fontId="13" fillId="7" borderId="1" xfId="0" applyNumberFormat="1" applyFont="1" applyFill="1" applyBorder="1" applyAlignment="1">
      <alignment horizontal="right"/>
    </xf>
    <xf numFmtId="0" fontId="11" fillId="0" borderId="0" xfId="0" applyFont="1" applyBorder="1" applyAlignment="1">
      <alignment horizontal="center" wrapText="1"/>
    </xf>
    <xf numFmtId="0" fontId="13" fillId="7" borderId="0" xfId="0" applyFont="1" applyFill="1" applyBorder="1" applyAlignment="1">
      <alignment horizontal="center"/>
    </xf>
    <xf numFmtId="0" fontId="0" fillId="7" borderId="0" xfId="0" applyFill="1"/>
  </cellXfs>
  <cellStyles count="9">
    <cellStyle name="Comma" xfId="1" builtinId="3"/>
    <cellStyle name="Currency" xfId="2" builtinId="4"/>
    <cellStyle name="Normal" xfId="0" builtinId="0"/>
    <cellStyle name="Normal 101" xfId="7" xr:uid="{5B8EB9EC-7AEF-4601-A82A-D71A8B8DC428}"/>
    <cellStyle name="Normal 109" xfId="5" xr:uid="{9027E91B-D626-4306-A258-E791156AA97F}"/>
    <cellStyle name="Normal 118" xfId="8" xr:uid="{B8F30758-BE1A-4D22-9F37-3B0F55ABBF43}"/>
    <cellStyle name="Normal 121" xfId="3" xr:uid="{69A45FE5-F6D1-4492-ADF6-D0170DA186E8}"/>
    <cellStyle name="Normal 122" xfId="4" xr:uid="{BB649F26-7F4F-455F-BFF7-80B600418260}"/>
    <cellStyle name="Normal 2 5" xfId="6" xr:uid="{6A033645-E3E0-4F8C-A471-E8F4A66D8E7D}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6596-06A2-4B3A-9BAA-CE03376504D3}">
  <dimension ref="A1:D43"/>
  <sheetViews>
    <sheetView tabSelected="1" workbookViewId="0">
      <selection activeCell="D43" sqref="D43"/>
    </sheetView>
  </sheetViews>
  <sheetFormatPr defaultRowHeight="14.5" x14ac:dyDescent="0.35"/>
  <cols>
    <col min="1" max="1" width="20" bestFit="1" customWidth="1"/>
    <col min="2" max="2" width="33.08984375" bestFit="1" customWidth="1"/>
    <col min="3" max="3" width="18.26953125" customWidth="1"/>
    <col min="4" max="4" width="25.08984375" customWidth="1"/>
    <col min="5" max="5" width="17.7265625" bestFit="1" customWidth="1"/>
    <col min="7" max="7" width="17.1796875" bestFit="1" customWidth="1"/>
    <col min="8" max="8" width="17.7265625" customWidth="1"/>
    <col min="9" max="9" width="26.81640625" customWidth="1"/>
  </cols>
  <sheetData>
    <row r="1" spans="1:4" ht="17.5" customHeight="1" x14ac:dyDescent="0.35">
      <c r="A1" s="33" t="s">
        <v>27</v>
      </c>
      <c r="B1" s="34"/>
      <c r="C1" s="34"/>
      <c r="D1" s="34"/>
    </row>
    <row r="2" spans="1:4" ht="17.5" x14ac:dyDescent="0.35">
      <c r="B2" s="40"/>
      <c r="C2" s="40"/>
      <c r="D2" s="40"/>
    </row>
    <row r="3" spans="1:4" ht="15.5" x14ac:dyDescent="0.35">
      <c r="A3" s="41" t="s">
        <v>30</v>
      </c>
      <c r="B3" s="41"/>
      <c r="C3" s="41"/>
      <c r="D3" s="41"/>
    </row>
    <row r="4" spans="1:4" ht="15.5" x14ac:dyDescent="0.35">
      <c r="A4" s="37" t="s">
        <v>32</v>
      </c>
      <c r="B4" s="37" t="s">
        <v>31</v>
      </c>
      <c r="C4" s="37" t="s">
        <v>37</v>
      </c>
      <c r="D4" s="37" t="s">
        <v>28</v>
      </c>
    </row>
    <row r="5" spans="1:4" ht="15.5" x14ac:dyDescent="0.35">
      <c r="A5" s="35" t="s">
        <v>35</v>
      </c>
      <c r="B5" s="35" t="s">
        <v>36</v>
      </c>
      <c r="C5" s="35">
        <v>1</v>
      </c>
      <c r="D5" s="36">
        <f>Base_Norfolk!H11</f>
        <v>0</v>
      </c>
    </row>
    <row r="6" spans="1:4" ht="15.5" x14ac:dyDescent="0.35">
      <c r="A6" s="35" t="s">
        <v>33</v>
      </c>
      <c r="B6" s="35" t="s">
        <v>34</v>
      </c>
      <c r="C6" s="35">
        <v>1</v>
      </c>
      <c r="D6" s="36">
        <f>'-8 Period_Norfolk'!H10</f>
        <v>0</v>
      </c>
    </row>
    <row r="7" spans="1:4" ht="15.5" x14ac:dyDescent="0.35">
      <c r="A7" s="42"/>
      <c r="B7" s="37" t="s">
        <v>29</v>
      </c>
      <c r="C7" s="38"/>
      <c r="D7" s="39">
        <f>SUM(D5:D6)</f>
        <v>0</v>
      </c>
    </row>
    <row r="9" spans="1:4" ht="15.5" x14ac:dyDescent="0.35">
      <c r="A9" s="41" t="s">
        <v>38</v>
      </c>
      <c r="B9" s="41"/>
      <c r="C9" s="41"/>
      <c r="D9" s="41"/>
    </row>
    <row r="10" spans="1:4" ht="15.5" x14ac:dyDescent="0.35">
      <c r="A10" s="37" t="s">
        <v>32</v>
      </c>
      <c r="B10" s="37" t="s">
        <v>31</v>
      </c>
      <c r="C10" s="37" t="s">
        <v>37</v>
      </c>
      <c r="D10" s="37" t="s">
        <v>28</v>
      </c>
    </row>
    <row r="11" spans="1:4" ht="15.5" x14ac:dyDescent="0.35">
      <c r="A11" s="35" t="s">
        <v>35</v>
      </c>
      <c r="B11" s="35" t="s">
        <v>36</v>
      </c>
      <c r="C11" s="35">
        <v>1</v>
      </c>
      <c r="D11" s="36">
        <f>'Base_Mechanicsburg '!H11</f>
        <v>0</v>
      </c>
    </row>
    <row r="12" spans="1:4" ht="15.5" x14ac:dyDescent="0.35">
      <c r="A12" s="35" t="s">
        <v>33</v>
      </c>
      <c r="B12" s="35" t="s">
        <v>34</v>
      </c>
      <c r="C12" s="35">
        <v>1</v>
      </c>
      <c r="D12" s="36">
        <f>'-8 Period_Mechanicsburg'!H10</f>
        <v>0</v>
      </c>
    </row>
    <row r="13" spans="1:4" ht="15.5" x14ac:dyDescent="0.35">
      <c r="A13" s="42"/>
      <c r="B13" s="37" t="s">
        <v>29</v>
      </c>
      <c r="C13" s="38"/>
      <c r="D13" s="39">
        <f>SUM(D11:D12)</f>
        <v>0</v>
      </c>
    </row>
    <row r="15" spans="1:4" ht="15.5" x14ac:dyDescent="0.35">
      <c r="A15" s="41" t="s">
        <v>44</v>
      </c>
      <c r="B15" s="41"/>
      <c r="C15" s="41"/>
      <c r="D15" s="41"/>
    </row>
    <row r="16" spans="1:4" ht="15.5" x14ac:dyDescent="0.35">
      <c r="A16" s="37" t="s">
        <v>32</v>
      </c>
      <c r="B16" s="37" t="s">
        <v>31</v>
      </c>
      <c r="C16" s="37" t="s">
        <v>37</v>
      </c>
      <c r="D16" s="37" t="s">
        <v>28</v>
      </c>
    </row>
    <row r="17" spans="1:4" ht="15.5" x14ac:dyDescent="0.35">
      <c r="A17" s="35" t="s">
        <v>35</v>
      </c>
      <c r="B17" s="35" t="s">
        <v>36</v>
      </c>
      <c r="C17" s="35">
        <v>1</v>
      </c>
      <c r="D17" s="36">
        <f>'Base_NSA Philadelphi'!H11</f>
        <v>0</v>
      </c>
    </row>
    <row r="18" spans="1:4" ht="15.5" x14ac:dyDescent="0.35">
      <c r="A18" s="35" t="s">
        <v>33</v>
      </c>
      <c r="B18" s="35" t="s">
        <v>34</v>
      </c>
      <c r="C18" s="35">
        <v>1</v>
      </c>
      <c r="D18" s="36">
        <f>'-8 Period_NSA Philadelphi'!H10</f>
        <v>0</v>
      </c>
    </row>
    <row r="19" spans="1:4" ht="15.5" x14ac:dyDescent="0.35">
      <c r="A19" s="42"/>
      <c r="B19" s="37" t="s">
        <v>29</v>
      </c>
      <c r="C19" s="38"/>
      <c r="D19" s="39">
        <f>SUM(D17:D18)</f>
        <v>0</v>
      </c>
    </row>
    <row r="21" spans="1:4" ht="15.5" x14ac:dyDescent="0.35">
      <c r="A21" s="41" t="s">
        <v>45</v>
      </c>
      <c r="B21" s="41"/>
      <c r="C21" s="41"/>
      <c r="D21" s="41"/>
    </row>
    <row r="22" spans="1:4" ht="15.5" x14ac:dyDescent="0.35">
      <c r="A22" s="37" t="s">
        <v>32</v>
      </c>
      <c r="B22" s="37" t="s">
        <v>31</v>
      </c>
      <c r="C22" s="37" t="s">
        <v>37</v>
      </c>
      <c r="D22" s="37" t="s">
        <v>28</v>
      </c>
    </row>
    <row r="23" spans="1:4" ht="15.5" x14ac:dyDescent="0.35">
      <c r="A23" s="35" t="s">
        <v>35</v>
      </c>
      <c r="B23" s="35" t="s">
        <v>36</v>
      </c>
      <c r="C23" s="35">
        <v>1</v>
      </c>
      <c r="D23" s="36">
        <f>Base_PNYA!H11</f>
        <v>0</v>
      </c>
    </row>
    <row r="24" spans="1:4" ht="15.5" x14ac:dyDescent="0.35">
      <c r="A24" s="35" t="s">
        <v>33</v>
      </c>
      <c r="B24" s="35" t="s">
        <v>34</v>
      </c>
      <c r="C24" s="35">
        <v>1</v>
      </c>
      <c r="D24" s="36">
        <f>'-8 Period_PNYA'!H10</f>
        <v>0</v>
      </c>
    </row>
    <row r="25" spans="1:4" ht="15.5" x14ac:dyDescent="0.35">
      <c r="A25" s="42"/>
      <c r="B25" s="37" t="s">
        <v>29</v>
      </c>
      <c r="C25" s="38"/>
      <c r="D25" s="39">
        <f>SUM(D23:D24)</f>
        <v>0</v>
      </c>
    </row>
    <row r="27" spans="1:4" ht="15.5" x14ac:dyDescent="0.35">
      <c r="A27" s="41" t="s">
        <v>46</v>
      </c>
      <c r="B27" s="41"/>
      <c r="C27" s="41"/>
      <c r="D27" s="41"/>
    </row>
    <row r="28" spans="1:4" ht="15.5" x14ac:dyDescent="0.35">
      <c r="A28" s="37" t="s">
        <v>32</v>
      </c>
      <c r="B28" s="37" t="s">
        <v>31</v>
      </c>
      <c r="C28" s="37" t="s">
        <v>37</v>
      </c>
      <c r="D28" s="37" t="s">
        <v>28</v>
      </c>
    </row>
    <row r="29" spans="1:4" ht="15.5" x14ac:dyDescent="0.35">
      <c r="A29" s="35" t="s">
        <v>35</v>
      </c>
      <c r="B29" s="35" t="s">
        <v>36</v>
      </c>
      <c r="C29" s="35">
        <v>1</v>
      </c>
      <c r="D29" s="36">
        <f>'Base_Great Lakes'!H11</f>
        <v>0</v>
      </c>
    </row>
    <row r="30" spans="1:4" ht="15.5" x14ac:dyDescent="0.35">
      <c r="A30" s="35" t="s">
        <v>33</v>
      </c>
      <c r="B30" s="35" t="s">
        <v>34</v>
      </c>
      <c r="C30" s="35">
        <v>1</v>
      </c>
      <c r="D30" s="36">
        <f>'-8 Period_Great Lakes'!H10</f>
        <v>0</v>
      </c>
    </row>
    <row r="31" spans="1:4" ht="15.5" x14ac:dyDescent="0.35">
      <c r="A31" s="42"/>
      <c r="B31" s="37" t="s">
        <v>29</v>
      </c>
      <c r="C31" s="38"/>
      <c r="D31" s="39">
        <f>SUM(D29:D30)</f>
        <v>0</v>
      </c>
    </row>
    <row r="33" spans="1:4" ht="15.5" x14ac:dyDescent="0.35">
      <c r="A33" s="41" t="s">
        <v>47</v>
      </c>
      <c r="B33" s="41"/>
      <c r="C33" s="41"/>
      <c r="D33" s="41"/>
    </row>
    <row r="34" spans="1:4" ht="15.5" x14ac:dyDescent="0.35">
      <c r="A34" s="37" t="s">
        <v>32</v>
      </c>
      <c r="B34" s="37" t="s">
        <v>31</v>
      </c>
      <c r="C34" s="37" t="s">
        <v>37</v>
      </c>
      <c r="D34" s="37" t="s">
        <v>28</v>
      </c>
    </row>
    <row r="35" spans="1:4" ht="15.5" x14ac:dyDescent="0.35">
      <c r="A35" s="35" t="s">
        <v>35</v>
      </c>
      <c r="B35" s="35" t="s">
        <v>36</v>
      </c>
      <c r="C35" s="35">
        <v>1</v>
      </c>
      <c r="D35" s="36">
        <f>'Base_Key West'!H11</f>
        <v>0</v>
      </c>
    </row>
    <row r="36" spans="1:4" ht="15.5" x14ac:dyDescent="0.35">
      <c r="A36" s="35" t="s">
        <v>33</v>
      </c>
      <c r="B36" s="35" t="s">
        <v>34</v>
      </c>
      <c r="C36" s="35">
        <v>1</v>
      </c>
      <c r="D36" s="36">
        <f>'-8 Period_Key West'!H10</f>
        <v>0</v>
      </c>
    </row>
    <row r="37" spans="1:4" ht="15.5" x14ac:dyDescent="0.35">
      <c r="A37" s="42"/>
      <c r="B37" s="37" t="s">
        <v>29</v>
      </c>
      <c r="C37" s="38"/>
      <c r="D37" s="39">
        <f>SUM(D35:D36)</f>
        <v>0</v>
      </c>
    </row>
    <row r="39" spans="1:4" ht="15.5" x14ac:dyDescent="0.35">
      <c r="A39" s="41" t="s">
        <v>48</v>
      </c>
      <c r="B39" s="41"/>
      <c r="C39" s="41"/>
      <c r="D39" s="41"/>
    </row>
    <row r="40" spans="1:4" ht="15.5" x14ac:dyDescent="0.35">
      <c r="A40" s="37" t="s">
        <v>32</v>
      </c>
      <c r="B40" s="37" t="s">
        <v>31</v>
      </c>
      <c r="C40" s="37" t="s">
        <v>37</v>
      </c>
      <c r="D40" s="37" t="s">
        <v>28</v>
      </c>
    </row>
    <row r="41" spans="1:4" ht="15.5" x14ac:dyDescent="0.35">
      <c r="A41" s="35" t="s">
        <v>35</v>
      </c>
      <c r="B41" s="35" t="s">
        <v>36</v>
      </c>
      <c r="C41" s="35">
        <v>1</v>
      </c>
      <c r="D41" s="36">
        <f>'Base_Little Creek'!H11</f>
        <v>0</v>
      </c>
    </row>
    <row r="42" spans="1:4" ht="15.5" x14ac:dyDescent="0.35">
      <c r="A42" s="35" t="s">
        <v>33</v>
      </c>
      <c r="B42" s="35" t="s">
        <v>34</v>
      </c>
      <c r="C42" s="35">
        <v>1</v>
      </c>
      <c r="D42" s="36">
        <f>'-8 Period_Little Creek'!H10</f>
        <v>0</v>
      </c>
    </row>
    <row r="43" spans="1:4" ht="15.5" x14ac:dyDescent="0.35">
      <c r="A43" s="42"/>
      <c r="B43" s="37" t="s">
        <v>29</v>
      </c>
      <c r="C43" s="38"/>
      <c r="D43" s="39">
        <f>SUM(D41:D42)</f>
        <v>0</v>
      </c>
    </row>
  </sheetData>
  <mergeCells count="8">
    <mergeCell ref="A27:D27"/>
    <mergeCell ref="A33:D33"/>
    <mergeCell ref="A39:D39"/>
    <mergeCell ref="A3:D3"/>
    <mergeCell ref="A1:D1"/>
    <mergeCell ref="A9:D9"/>
    <mergeCell ref="A15:D15"/>
    <mergeCell ref="A21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BF271-A8C9-45CD-AB5A-906A68946DA5}">
  <sheetPr>
    <tabColor rgb="FFFFFF00"/>
    <pageSetUpPr fitToPage="1"/>
  </sheetPr>
  <dimension ref="A1:Y1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D18" sqref="D18"/>
    </sheetView>
  </sheetViews>
  <sheetFormatPr defaultColWidth="9.1796875" defaultRowHeight="14.5" x14ac:dyDescent="0.35"/>
  <cols>
    <col min="1" max="1" width="11.7265625" style="3" customWidth="1"/>
    <col min="2" max="2" width="39.90625" style="3" bestFit="1" customWidth="1"/>
    <col min="3" max="3" width="13.1796875" style="3" customWidth="1"/>
    <col min="4" max="4" width="12.453125" style="3" customWidth="1"/>
    <col min="5" max="5" width="14.26953125" style="3" customWidth="1"/>
    <col min="6" max="6" width="12" style="3" bestFit="1" customWidth="1"/>
    <col min="7" max="7" width="14.54296875" style="3" customWidth="1"/>
    <col min="8" max="8" width="17.453125" style="3" customWidth="1"/>
    <col min="9" max="9" width="9.1796875" style="3"/>
    <col min="10" max="10" width="11.453125" bestFit="1" customWidth="1"/>
    <col min="11" max="11" width="13.7265625" bestFit="1" customWidth="1"/>
    <col min="13" max="13" width="11.1796875" bestFit="1" customWidth="1"/>
    <col min="14" max="14" width="13.81640625" bestFit="1" customWidth="1"/>
    <col min="15" max="15" width="15.7265625" bestFit="1" customWidth="1"/>
    <col min="16" max="16" width="12" bestFit="1" customWidth="1"/>
    <col min="17" max="17" width="13.1796875" customWidth="1"/>
    <col min="19" max="19" width="12.7265625" bestFit="1" customWidth="1"/>
    <col min="23" max="23" width="13.7265625" bestFit="1" customWidth="1"/>
    <col min="26" max="16384" width="9.1796875" style="3"/>
  </cols>
  <sheetData>
    <row r="1" spans="1:25" ht="15.5" x14ac:dyDescent="0.35">
      <c r="A1" s="1" t="s">
        <v>26</v>
      </c>
      <c r="B1" s="2"/>
    </row>
    <row r="2" spans="1:25" ht="21.75" customHeight="1" x14ac:dyDescent="0.35">
      <c r="A2" s="4" t="s">
        <v>0</v>
      </c>
      <c r="B2" s="4"/>
      <c r="C2" s="4"/>
      <c r="D2" s="4"/>
      <c r="E2" s="4"/>
      <c r="F2" s="5"/>
      <c r="G2" s="4"/>
      <c r="H2" s="4"/>
    </row>
    <row r="3" spans="1:25" s="13" customFormat="1" ht="15.5" x14ac:dyDescent="0.35">
      <c r="A3" s="6"/>
      <c r="B3" s="7"/>
      <c r="C3" s="6"/>
      <c r="D3" s="8" t="s">
        <v>1</v>
      </c>
      <c r="E3" s="9"/>
      <c r="F3" s="10" t="s">
        <v>2</v>
      </c>
      <c r="G3" s="11" t="s">
        <v>20</v>
      </c>
      <c r="H3" s="12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x14ac:dyDescent="0.35">
      <c r="A4" s="14" t="s">
        <v>3</v>
      </c>
      <c r="B4" s="15" t="s">
        <v>4</v>
      </c>
      <c r="C4" s="16" t="s">
        <v>5</v>
      </c>
      <c r="D4" s="17" t="s">
        <v>6</v>
      </c>
      <c r="E4" s="18" t="s">
        <v>7</v>
      </c>
      <c r="F4" s="19"/>
      <c r="G4" s="20" t="s">
        <v>6</v>
      </c>
      <c r="H4" s="21" t="s">
        <v>7</v>
      </c>
    </row>
    <row r="5" spans="1:25" x14ac:dyDescent="0.35">
      <c r="A5" s="22" t="s">
        <v>8</v>
      </c>
      <c r="B5" s="23" t="s">
        <v>9</v>
      </c>
      <c r="C5" s="24"/>
      <c r="D5" s="25">
        <v>10560</v>
      </c>
      <c r="E5" s="26">
        <f>C5*D5</f>
        <v>0</v>
      </c>
      <c r="F5" s="27">
        <v>12</v>
      </c>
      <c r="G5" s="28">
        <f>D5*F5</f>
        <v>126720</v>
      </c>
      <c r="H5" s="26">
        <f>C5*G5</f>
        <v>0</v>
      </c>
    </row>
    <row r="6" spans="1:25" x14ac:dyDescent="0.35">
      <c r="A6" s="22" t="s">
        <v>10</v>
      </c>
      <c r="B6" s="23" t="s">
        <v>11</v>
      </c>
      <c r="C6" s="24"/>
      <c r="D6" s="25">
        <v>10560</v>
      </c>
      <c r="E6" s="26">
        <f t="shared" ref="E6:E9" si="0">C6*D6</f>
        <v>0</v>
      </c>
      <c r="F6" s="25">
        <v>12</v>
      </c>
      <c r="G6" s="28">
        <f>D6</f>
        <v>10560</v>
      </c>
      <c r="H6" s="26">
        <f>C6*G6</f>
        <v>0</v>
      </c>
    </row>
    <row r="7" spans="1:25" x14ac:dyDescent="0.35">
      <c r="A7" s="22" t="s">
        <v>12</v>
      </c>
      <c r="B7" s="29" t="s">
        <v>13</v>
      </c>
      <c r="C7" s="24"/>
      <c r="D7" s="25">
        <v>1</v>
      </c>
      <c r="E7" s="26">
        <f t="shared" si="0"/>
        <v>0</v>
      </c>
      <c r="F7" s="25">
        <v>1</v>
      </c>
      <c r="G7" s="28">
        <f>D7*F7</f>
        <v>1</v>
      </c>
      <c r="H7" s="26">
        <f>C7*G7</f>
        <v>0</v>
      </c>
    </row>
    <row r="8" spans="1:25" x14ac:dyDescent="0.35">
      <c r="A8" s="22" t="s">
        <v>14</v>
      </c>
      <c r="B8" s="23" t="s">
        <v>15</v>
      </c>
      <c r="C8" s="24"/>
      <c r="D8" s="25">
        <v>1320</v>
      </c>
      <c r="E8" s="26">
        <f t="shared" si="0"/>
        <v>0</v>
      </c>
      <c r="F8" s="25">
        <v>12</v>
      </c>
      <c r="G8" s="28">
        <f>D8*F8</f>
        <v>15840</v>
      </c>
      <c r="H8" s="26">
        <f>C8*G8</f>
        <v>0</v>
      </c>
    </row>
    <row r="9" spans="1:25" x14ac:dyDescent="0.35">
      <c r="A9" s="22" t="s">
        <v>16</v>
      </c>
      <c r="B9" s="23" t="s">
        <v>17</v>
      </c>
      <c r="C9" s="24"/>
      <c r="D9" s="25">
        <v>1320</v>
      </c>
      <c r="E9" s="26">
        <f t="shared" si="0"/>
        <v>0</v>
      </c>
      <c r="F9" s="25">
        <v>12</v>
      </c>
      <c r="G9" s="28">
        <f t="shared" ref="G9" si="1">D9*F9</f>
        <v>15840</v>
      </c>
      <c r="H9" s="26">
        <f>C9*G9</f>
        <v>0</v>
      </c>
    </row>
    <row r="10" spans="1:25" x14ac:dyDescent="0.35">
      <c r="C10" s="30"/>
      <c r="G10" s="31" t="s">
        <v>19</v>
      </c>
      <c r="H10" s="32">
        <f>SUM(H5:H9)</f>
        <v>0</v>
      </c>
    </row>
    <row r="11" spans="1:25" x14ac:dyDescent="0.35">
      <c r="G11" s="31" t="s">
        <v>18</v>
      </c>
      <c r="H11" s="32">
        <f>H10*5</f>
        <v>0</v>
      </c>
    </row>
  </sheetData>
  <mergeCells count="4">
    <mergeCell ref="A2:H2"/>
    <mergeCell ref="D3:E3"/>
    <mergeCell ref="F3:F4"/>
    <mergeCell ref="G3:H3"/>
  </mergeCells>
  <conditionalFormatting sqref="B7">
    <cfRule type="containsText" dxfId="13" priority="1" operator="containsText" text="NRC">
      <formula>NOT(ISERROR(SEARCH("NRC",B7)))</formula>
    </cfRule>
  </conditionalFormatting>
  <pageMargins left="0.25" right="0.25" top="0.75" bottom="0.75" header="0.3" footer="0.3"/>
  <pageSetup scale="65" fitToHeight="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2DCF-0DB8-4A55-B089-5A4DAAE3135C}">
  <sheetPr>
    <tabColor rgb="FFFFFF00"/>
    <pageSetUpPr fitToPage="1"/>
  </sheetPr>
  <dimension ref="A1:X1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G10" sqref="G10"/>
    </sheetView>
  </sheetViews>
  <sheetFormatPr defaultColWidth="9.1796875" defaultRowHeight="14.5" x14ac:dyDescent="0.35"/>
  <cols>
    <col min="1" max="1" width="11.7265625" style="3" customWidth="1"/>
    <col min="2" max="2" width="39.90625" style="3" bestFit="1" customWidth="1"/>
    <col min="3" max="3" width="13.1796875" style="3" customWidth="1"/>
    <col min="4" max="4" width="12.453125" style="3" customWidth="1"/>
    <col min="5" max="5" width="14.26953125" style="3" customWidth="1"/>
    <col min="6" max="6" width="12" style="3" bestFit="1" customWidth="1"/>
    <col min="7" max="7" width="23.36328125" style="3" bestFit="1" customWidth="1"/>
    <col min="8" max="8" width="17.453125" style="3" customWidth="1"/>
    <col min="9" max="9" width="9.1796875" style="3"/>
    <col min="13" max="13" width="11.1796875" bestFit="1" customWidth="1"/>
    <col min="14" max="14" width="14.1796875" bestFit="1" customWidth="1"/>
    <col min="15" max="15" width="15.7265625" bestFit="1" customWidth="1"/>
    <col min="16" max="16" width="12" bestFit="1" customWidth="1"/>
    <col min="17" max="17" width="13.1796875" customWidth="1"/>
    <col min="19" max="19" width="10.1796875" bestFit="1" customWidth="1"/>
    <col min="22" max="22" width="13.7265625" bestFit="1" customWidth="1"/>
    <col min="25" max="16384" width="9.1796875" style="3"/>
  </cols>
  <sheetData>
    <row r="1" spans="1:24" ht="15.5" x14ac:dyDescent="0.35">
      <c r="A1" s="1" t="s">
        <v>22</v>
      </c>
      <c r="B1" s="2"/>
    </row>
    <row r="2" spans="1:24" ht="21.75" customHeight="1" x14ac:dyDescent="0.35">
      <c r="A2" s="4" t="s">
        <v>0</v>
      </c>
      <c r="B2" s="4"/>
      <c r="C2" s="4"/>
      <c r="D2" s="4"/>
      <c r="E2" s="4"/>
      <c r="F2" s="5"/>
      <c r="G2" s="4"/>
      <c r="H2" s="4"/>
    </row>
    <row r="3" spans="1:24" s="13" customFormat="1" ht="15.5" x14ac:dyDescent="0.35">
      <c r="A3" s="6"/>
      <c r="B3" s="7"/>
      <c r="C3" s="6"/>
      <c r="D3" s="8" t="s">
        <v>1</v>
      </c>
      <c r="E3" s="9"/>
      <c r="F3" s="10" t="s">
        <v>2</v>
      </c>
      <c r="G3" s="11" t="s">
        <v>23</v>
      </c>
      <c r="H3" s="12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 x14ac:dyDescent="0.35">
      <c r="A4" s="14" t="s">
        <v>3</v>
      </c>
      <c r="B4" s="15" t="s">
        <v>4</v>
      </c>
      <c r="C4" s="16" t="s">
        <v>5</v>
      </c>
      <c r="D4" s="17" t="s">
        <v>6</v>
      </c>
      <c r="E4" s="18" t="s">
        <v>7</v>
      </c>
      <c r="F4" s="19"/>
      <c r="G4" s="20" t="s">
        <v>6</v>
      </c>
      <c r="H4" s="21" t="s">
        <v>7</v>
      </c>
    </row>
    <row r="5" spans="1:24" x14ac:dyDescent="0.35">
      <c r="A5" s="22" t="s">
        <v>8</v>
      </c>
      <c r="B5" s="23" t="s">
        <v>9</v>
      </c>
      <c r="C5" s="24"/>
      <c r="D5" s="25">
        <v>10560</v>
      </c>
      <c r="E5" s="26">
        <f>C5*D5</f>
        <v>0</v>
      </c>
      <c r="F5" s="27">
        <v>6</v>
      </c>
      <c r="G5" s="28">
        <f>D5*F5</f>
        <v>63360</v>
      </c>
      <c r="H5" s="26">
        <f>C5*G5</f>
        <v>0</v>
      </c>
    </row>
    <row r="6" spans="1:24" x14ac:dyDescent="0.35">
      <c r="A6" s="22" t="s">
        <v>10</v>
      </c>
      <c r="B6" s="23" t="s">
        <v>11</v>
      </c>
      <c r="C6" s="24"/>
      <c r="D6" s="25">
        <v>10560</v>
      </c>
      <c r="E6" s="26">
        <f>C6*D6</f>
        <v>0</v>
      </c>
      <c r="F6" s="25">
        <v>6</v>
      </c>
      <c r="G6" s="28">
        <f>D6</f>
        <v>10560</v>
      </c>
      <c r="H6" s="26">
        <f>C6*G6</f>
        <v>0</v>
      </c>
    </row>
    <row r="7" spans="1:24" x14ac:dyDescent="0.35">
      <c r="A7" s="22" t="s">
        <v>12</v>
      </c>
      <c r="B7" s="29" t="s">
        <v>13</v>
      </c>
      <c r="C7" s="24"/>
      <c r="D7" s="25">
        <v>0</v>
      </c>
      <c r="E7" s="26">
        <f>C7*D7</f>
        <v>0</v>
      </c>
      <c r="F7" s="25">
        <v>0</v>
      </c>
      <c r="G7" s="28">
        <f>D7*F7</f>
        <v>0</v>
      </c>
      <c r="H7" s="26">
        <f>C7*G7</f>
        <v>0</v>
      </c>
    </row>
    <row r="8" spans="1:24" x14ac:dyDescent="0.35">
      <c r="A8" s="22" t="s">
        <v>14</v>
      </c>
      <c r="B8" s="23" t="s">
        <v>15</v>
      </c>
      <c r="C8" s="24"/>
      <c r="D8" s="25">
        <v>1320</v>
      </c>
      <c r="E8" s="26">
        <f>C8*D8</f>
        <v>0</v>
      </c>
      <c r="F8" s="25">
        <v>6</v>
      </c>
      <c r="G8" s="28">
        <f>D8*F8</f>
        <v>7920</v>
      </c>
      <c r="H8" s="26">
        <f>C8*G8</f>
        <v>0</v>
      </c>
    </row>
    <row r="9" spans="1:24" x14ac:dyDescent="0.35">
      <c r="A9" s="22" t="s">
        <v>16</v>
      </c>
      <c r="B9" s="23" t="s">
        <v>17</v>
      </c>
      <c r="C9" s="24"/>
      <c r="D9" s="25">
        <v>1320</v>
      </c>
      <c r="E9" s="26">
        <f t="shared" ref="E9" si="0">C9*D9</f>
        <v>0</v>
      </c>
      <c r="F9" s="25">
        <v>6</v>
      </c>
      <c r="G9" s="28">
        <f t="shared" ref="G9" si="1">D9*F9</f>
        <v>7920</v>
      </c>
      <c r="H9" s="26">
        <f t="shared" ref="H9" si="2">C9*G9</f>
        <v>0</v>
      </c>
    </row>
    <row r="10" spans="1:24" x14ac:dyDescent="0.35">
      <c r="C10" s="30"/>
      <c r="G10" s="31" t="s">
        <v>21</v>
      </c>
      <c r="H10" s="32">
        <f>SUM(H5:H9)</f>
        <v>0</v>
      </c>
    </row>
  </sheetData>
  <mergeCells count="4">
    <mergeCell ref="A2:H2"/>
    <mergeCell ref="D3:E3"/>
    <mergeCell ref="F3:F4"/>
    <mergeCell ref="G3:H3"/>
  </mergeCells>
  <conditionalFormatting sqref="B7">
    <cfRule type="containsText" dxfId="12" priority="1" operator="containsText" text="NRC">
      <formula>NOT(ISERROR(SEARCH("NRC",B7)))</formula>
    </cfRule>
  </conditionalFormatting>
  <pageMargins left="0.25" right="0.25" top="0.75" bottom="0.75" header="0.3" footer="0.3"/>
  <pageSetup scale="65" fitToHeight="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DA67-1714-4941-ACB6-8C6BD99A5C9E}">
  <sheetPr>
    <tabColor rgb="FFFFFF00"/>
  </sheetPr>
  <dimension ref="A1:Y11"/>
  <sheetViews>
    <sheetView workbookViewId="0"/>
  </sheetViews>
  <sheetFormatPr defaultColWidth="10" defaultRowHeight="14.5" x14ac:dyDescent="0.35"/>
  <cols>
    <col min="1" max="1" width="12.81640625" style="3" customWidth="1"/>
    <col min="2" max="2" width="39.90625" style="3" bestFit="1" customWidth="1"/>
    <col min="3" max="3" width="14.36328125" style="3" customWidth="1"/>
    <col min="4" max="4" width="13.54296875" style="3" customWidth="1"/>
    <col min="5" max="5" width="15.54296875" style="3" customWidth="1"/>
    <col min="6" max="6" width="13.08984375" style="3" bestFit="1" customWidth="1"/>
    <col min="7" max="7" width="15.90625" style="3" customWidth="1"/>
    <col min="8" max="8" width="19" style="3" customWidth="1"/>
    <col min="9" max="9" width="10" style="3"/>
    <col min="10" max="10" width="12.453125" bestFit="1" customWidth="1"/>
    <col min="11" max="11" width="15" bestFit="1" customWidth="1"/>
    <col min="13" max="13" width="12.1796875" bestFit="1" customWidth="1"/>
    <col min="14" max="14" width="15.08984375" bestFit="1" customWidth="1"/>
    <col min="15" max="15" width="17.1796875" bestFit="1" customWidth="1"/>
    <col min="16" max="16" width="13.08984375" bestFit="1" customWidth="1"/>
    <col min="17" max="17" width="14.36328125" customWidth="1"/>
    <col min="19" max="19" width="13.90625" bestFit="1" customWidth="1"/>
    <col min="23" max="23" width="15" bestFit="1" customWidth="1"/>
    <col min="26" max="16384" width="10" style="3"/>
  </cols>
  <sheetData>
    <row r="1" spans="1:25" ht="15.5" x14ac:dyDescent="0.35">
      <c r="A1" s="1" t="s">
        <v>26</v>
      </c>
      <c r="B1" s="2"/>
    </row>
    <row r="2" spans="1:25" ht="15.5" x14ac:dyDescent="0.35">
      <c r="A2" s="4" t="s">
        <v>24</v>
      </c>
      <c r="B2" s="4"/>
      <c r="C2" s="4"/>
      <c r="D2" s="4"/>
      <c r="E2" s="4"/>
      <c r="F2" s="5"/>
      <c r="G2" s="4"/>
      <c r="H2" s="4"/>
    </row>
    <row r="3" spans="1:25" s="13" customFormat="1" ht="15.5" x14ac:dyDescent="0.35">
      <c r="A3" s="6"/>
      <c r="B3" s="7"/>
      <c r="C3" s="6"/>
      <c r="D3" s="8" t="s">
        <v>1</v>
      </c>
      <c r="E3" s="9"/>
      <c r="F3" s="10" t="s">
        <v>2</v>
      </c>
      <c r="G3" s="11" t="s">
        <v>20</v>
      </c>
      <c r="H3" s="12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x14ac:dyDescent="0.35">
      <c r="A4" s="14" t="s">
        <v>3</v>
      </c>
      <c r="B4" s="15" t="s">
        <v>4</v>
      </c>
      <c r="C4" s="16" t="s">
        <v>5</v>
      </c>
      <c r="D4" s="17" t="s">
        <v>6</v>
      </c>
      <c r="E4" s="18" t="s">
        <v>7</v>
      </c>
      <c r="F4" s="19"/>
      <c r="G4" s="20" t="s">
        <v>6</v>
      </c>
      <c r="H4" s="21" t="s">
        <v>7</v>
      </c>
    </row>
    <row r="5" spans="1:25" x14ac:dyDescent="0.35">
      <c r="A5" s="22" t="s">
        <v>8</v>
      </c>
      <c r="B5" s="23" t="s">
        <v>9</v>
      </c>
      <c r="C5" s="24"/>
      <c r="D5" s="25">
        <v>425</v>
      </c>
      <c r="E5" s="26">
        <f>C5*D5</f>
        <v>0</v>
      </c>
      <c r="F5" s="27">
        <v>12</v>
      </c>
      <c r="G5" s="28">
        <f>D5*F5</f>
        <v>5100</v>
      </c>
      <c r="H5" s="26">
        <f>C5*G5</f>
        <v>0</v>
      </c>
    </row>
    <row r="6" spans="1:25" x14ac:dyDescent="0.35">
      <c r="A6" s="22" t="s">
        <v>10</v>
      </c>
      <c r="B6" s="23" t="s">
        <v>11</v>
      </c>
      <c r="C6" s="24"/>
      <c r="D6" s="25">
        <v>425</v>
      </c>
      <c r="E6" s="26">
        <f>C6*D6</f>
        <v>0</v>
      </c>
      <c r="F6" s="25">
        <v>12</v>
      </c>
      <c r="G6" s="28">
        <f>D6</f>
        <v>425</v>
      </c>
      <c r="H6" s="26">
        <f>C6*G6</f>
        <v>0</v>
      </c>
    </row>
    <row r="7" spans="1:25" x14ac:dyDescent="0.35">
      <c r="A7" s="22" t="s">
        <v>12</v>
      </c>
      <c r="B7" s="29" t="s">
        <v>13</v>
      </c>
      <c r="C7" s="24"/>
      <c r="D7" s="25">
        <v>1</v>
      </c>
      <c r="E7" s="26">
        <f>C7*D7</f>
        <v>0</v>
      </c>
      <c r="F7" s="25">
        <v>1</v>
      </c>
      <c r="G7" s="28">
        <f>D7*F7</f>
        <v>1</v>
      </c>
      <c r="H7" s="26">
        <f>C7*G7</f>
        <v>0</v>
      </c>
    </row>
    <row r="8" spans="1:25" x14ac:dyDescent="0.35">
      <c r="A8" s="22" t="s">
        <v>14</v>
      </c>
      <c r="B8" s="23" t="s">
        <v>15</v>
      </c>
      <c r="C8" s="24"/>
      <c r="D8" s="25">
        <v>55</v>
      </c>
      <c r="E8" s="26">
        <f>C8*D8</f>
        <v>0</v>
      </c>
      <c r="F8" s="25">
        <v>12</v>
      </c>
      <c r="G8" s="28">
        <f>D8*F8</f>
        <v>660</v>
      </c>
      <c r="H8" s="26">
        <f>C8*G8</f>
        <v>0</v>
      </c>
    </row>
    <row r="9" spans="1:25" x14ac:dyDescent="0.35">
      <c r="A9" s="22" t="s">
        <v>16</v>
      </c>
      <c r="B9" s="23" t="s">
        <v>17</v>
      </c>
      <c r="C9" s="24"/>
      <c r="D9" s="25">
        <v>55</v>
      </c>
      <c r="E9" s="26">
        <f t="shared" ref="E9" si="0">C9*D9</f>
        <v>0</v>
      </c>
      <c r="F9" s="25">
        <v>12</v>
      </c>
      <c r="G9" s="28">
        <f t="shared" ref="G9" si="1">D9*F9</f>
        <v>660</v>
      </c>
      <c r="H9" s="26">
        <f t="shared" ref="H9" si="2">C9*G9</f>
        <v>0</v>
      </c>
    </row>
    <row r="10" spans="1:25" x14ac:dyDescent="0.35">
      <c r="C10" s="30"/>
      <c r="G10" s="31" t="s">
        <v>19</v>
      </c>
      <c r="H10" s="32">
        <f>SUM(H5:H9)</f>
        <v>0</v>
      </c>
    </row>
    <row r="11" spans="1:25" x14ac:dyDescent="0.35">
      <c r="G11" s="31" t="s">
        <v>18</v>
      </c>
      <c r="H11" s="32">
        <f>H10*5</f>
        <v>0</v>
      </c>
    </row>
  </sheetData>
  <mergeCells count="4">
    <mergeCell ref="A2:H2"/>
    <mergeCell ref="D3:E3"/>
    <mergeCell ref="F3:F4"/>
    <mergeCell ref="G3:H3"/>
  </mergeCells>
  <conditionalFormatting sqref="B7">
    <cfRule type="containsText" dxfId="11" priority="1" operator="containsText" text="NRC">
      <formula>NOT(ISERROR(SEARCH("NRC",B7)))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0F0E-F8D5-48DC-846F-351BA7D17DA4}">
  <dimension ref="A1:X10"/>
  <sheetViews>
    <sheetView workbookViewId="0"/>
  </sheetViews>
  <sheetFormatPr defaultColWidth="10" defaultRowHeight="14.5" x14ac:dyDescent="0.35"/>
  <cols>
    <col min="1" max="1" width="12.81640625" style="3" customWidth="1"/>
    <col min="2" max="2" width="39.90625" style="3" bestFit="1" customWidth="1"/>
    <col min="3" max="3" width="14.36328125" style="3" customWidth="1"/>
    <col min="4" max="4" width="13.54296875" style="3" customWidth="1"/>
    <col min="5" max="5" width="15.54296875" style="3" customWidth="1"/>
    <col min="6" max="6" width="13.08984375" style="3" bestFit="1" customWidth="1"/>
    <col min="7" max="7" width="23.36328125" style="3" bestFit="1" customWidth="1"/>
    <col min="8" max="8" width="19" style="3" customWidth="1"/>
    <col min="9" max="9" width="10" style="3"/>
    <col min="13" max="13" width="12.1796875" bestFit="1" customWidth="1"/>
    <col min="14" max="14" width="15.453125" bestFit="1" customWidth="1"/>
    <col min="15" max="15" width="17.1796875" bestFit="1" customWidth="1"/>
    <col min="16" max="16" width="13.08984375" bestFit="1" customWidth="1"/>
    <col min="17" max="17" width="14.36328125" customWidth="1"/>
    <col min="19" max="19" width="11.08984375" bestFit="1" customWidth="1"/>
    <col min="22" max="22" width="15" bestFit="1" customWidth="1"/>
    <col min="25" max="16384" width="10" style="3"/>
  </cols>
  <sheetData>
    <row r="1" spans="1:24" ht="15.5" x14ac:dyDescent="0.35">
      <c r="A1" s="1" t="s">
        <v>22</v>
      </c>
      <c r="B1" s="2"/>
    </row>
    <row r="2" spans="1:24" ht="21.75" customHeight="1" x14ac:dyDescent="0.35">
      <c r="A2" s="4" t="s">
        <v>25</v>
      </c>
      <c r="B2" s="4"/>
      <c r="C2" s="4"/>
      <c r="D2" s="4"/>
      <c r="E2" s="4"/>
      <c r="F2" s="5"/>
      <c r="G2" s="4"/>
      <c r="H2" s="4"/>
    </row>
    <row r="3" spans="1:24" s="13" customFormat="1" ht="15.5" x14ac:dyDescent="0.35">
      <c r="A3" s="6"/>
      <c r="B3" s="7"/>
      <c r="C3" s="6"/>
      <c r="D3" s="8" t="s">
        <v>1</v>
      </c>
      <c r="E3" s="9"/>
      <c r="F3" s="10" t="s">
        <v>2</v>
      </c>
      <c r="G3" s="11" t="s">
        <v>23</v>
      </c>
      <c r="H3" s="12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 x14ac:dyDescent="0.35">
      <c r="A4" s="14" t="s">
        <v>3</v>
      </c>
      <c r="B4" s="15" t="s">
        <v>4</v>
      </c>
      <c r="C4" s="16" t="s">
        <v>5</v>
      </c>
      <c r="D4" s="17" t="s">
        <v>6</v>
      </c>
      <c r="E4" s="18" t="s">
        <v>7</v>
      </c>
      <c r="F4" s="19"/>
      <c r="G4" s="20" t="s">
        <v>6</v>
      </c>
      <c r="H4" s="21" t="s">
        <v>7</v>
      </c>
    </row>
    <row r="5" spans="1:24" x14ac:dyDescent="0.35">
      <c r="A5" s="22" t="s">
        <v>8</v>
      </c>
      <c r="B5" s="23" t="s">
        <v>9</v>
      </c>
      <c r="C5" s="24"/>
      <c r="D5" s="25">
        <v>425</v>
      </c>
      <c r="E5" s="26">
        <f>C5*D5</f>
        <v>0</v>
      </c>
      <c r="F5" s="27">
        <v>6</v>
      </c>
      <c r="G5" s="28">
        <f>D5*F5</f>
        <v>2550</v>
      </c>
      <c r="H5" s="26">
        <f>C5*G5</f>
        <v>0</v>
      </c>
    </row>
    <row r="6" spans="1:24" x14ac:dyDescent="0.35">
      <c r="A6" s="22" t="s">
        <v>10</v>
      </c>
      <c r="B6" s="23" t="s">
        <v>11</v>
      </c>
      <c r="C6" s="24"/>
      <c r="D6" s="25">
        <v>425</v>
      </c>
      <c r="E6" s="26">
        <f>C6*D6</f>
        <v>0</v>
      </c>
      <c r="F6" s="25">
        <v>6</v>
      </c>
      <c r="G6" s="28">
        <f>D6</f>
        <v>425</v>
      </c>
      <c r="H6" s="26">
        <f>C6*G6</f>
        <v>0</v>
      </c>
    </row>
    <row r="7" spans="1:24" x14ac:dyDescent="0.35">
      <c r="A7" s="22" t="s">
        <v>12</v>
      </c>
      <c r="B7" s="29" t="s">
        <v>13</v>
      </c>
      <c r="C7" s="24"/>
      <c r="D7" s="25">
        <v>0</v>
      </c>
      <c r="E7" s="26">
        <f>C7*D7</f>
        <v>0</v>
      </c>
      <c r="F7" s="25">
        <v>0</v>
      </c>
      <c r="G7" s="28">
        <f>D7*F7</f>
        <v>0</v>
      </c>
      <c r="H7" s="26">
        <f>C7*G7</f>
        <v>0</v>
      </c>
    </row>
    <row r="8" spans="1:24" x14ac:dyDescent="0.35">
      <c r="A8" s="22" t="s">
        <v>14</v>
      </c>
      <c r="B8" s="23" t="s">
        <v>15</v>
      </c>
      <c r="C8" s="24"/>
      <c r="D8" s="25">
        <v>55</v>
      </c>
      <c r="E8" s="26">
        <f>C8*D8</f>
        <v>0</v>
      </c>
      <c r="F8" s="25">
        <v>6</v>
      </c>
      <c r="G8" s="28">
        <f>D8*F8</f>
        <v>330</v>
      </c>
      <c r="H8" s="26">
        <f>C8*G8</f>
        <v>0</v>
      </c>
    </row>
    <row r="9" spans="1:24" x14ac:dyDescent="0.35">
      <c r="A9" s="22" t="s">
        <v>16</v>
      </c>
      <c r="B9" s="23" t="s">
        <v>17</v>
      </c>
      <c r="C9" s="24"/>
      <c r="D9" s="25">
        <v>55</v>
      </c>
      <c r="E9" s="26">
        <f t="shared" ref="E9" si="0">C9*D9</f>
        <v>0</v>
      </c>
      <c r="F9" s="25">
        <v>6</v>
      </c>
      <c r="G9" s="28">
        <f t="shared" ref="G9" si="1">D9*F9</f>
        <v>330</v>
      </c>
      <c r="H9" s="26">
        <f t="shared" ref="H9" si="2">C9*G9</f>
        <v>0</v>
      </c>
    </row>
    <row r="10" spans="1:24" x14ac:dyDescent="0.35">
      <c r="C10" s="30"/>
      <c r="G10" s="31" t="s">
        <v>21</v>
      </c>
      <c r="H10" s="32">
        <f>SUM(H5:H9)</f>
        <v>0</v>
      </c>
    </row>
  </sheetData>
  <mergeCells count="4">
    <mergeCell ref="A2:H2"/>
    <mergeCell ref="D3:E3"/>
    <mergeCell ref="F3:F4"/>
    <mergeCell ref="G3:H3"/>
  </mergeCells>
  <conditionalFormatting sqref="B7">
    <cfRule type="containsText" dxfId="10" priority="1" operator="containsText" text="NRC">
      <formula>NOT(ISERROR(SEARCH("NRC",B7)))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6FA3-E1AD-47C9-BDB9-7249C60337F2}">
  <sheetPr>
    <tabColor rgb="FFFFFF00"/>
  </sheetPr>
  <dimension ref="A1:Y11"/>
  <sheetViews>
    <sheetView workbookViewId="0"/>
  </sheetViews>
  <sheetFormatPr defaultColWidth="10" defaultRowHeight="14.5" x14ac:dyDescent="0.35"/>
  <cols>
    <col min="1" max="1" width="12.81640625" style="3" customWidth="1"/>
    <col min="2" max="2" width="39.90625" style="3" bestFit="1" customWidth="1"/>
    <col min="3" max="3" width="14.36328125" style="3" customWidth="1"/>
    <col min="4" max="4" width="13.54296875" style="3" customWidth="1"/>
    <col min="5" max="5" width="15.54296875" style="3" customWidth="1"/>
    <col min="6" max="6" width="13.08984375" style="3" bestFit="1" customWidth="1"/>
    <col min="7" max="7" width="15.90625" style="3" customWidth="1"/>
    <col min="8" max="8" width="19" style="3" customWidth="1"/>
    <col min="9" max="9" width="10" style="3"/>
    <col min="10" max="10" width="12.453125" bestFit="1" customWidth="1"/>
    <col min="11" max="11" width="15" bestFit="1" customWidth="1"/>
    <col min="13" max="13" width="12.1796875" bestFit="1" customWidth="1"/>
    <col min="14" max="14" width="15.08984375" bestFit="1" customWidth="1"/>
    <col min="15" max="15" width="17.1796875" bestFit="1" customWidth="1"/>
    <col min="16" max="16" width="13.08984375" bestFit="1" customWidth="1"/>
    <col min="17" max="17" width="14.36328125" customWidth="1"/>
    <col min="19" max="19" width="13.90625" bestFit="1" customWidth="1"/>
    <col min="23" max="23" width="15" bestFit="1" customWidth="1"/>
    <col min="26" max="16384" width="10" style="3"/>
  </cols>
  <sheetData>
    <row r="1" spans="1:25" ht="15.5" x14ac:dyDescent="0.35">
      <c r="A1" s="1" t="s">
        <v>26</v>
      </c>
      <c r="B1" s="2"/>
    </row>
    <row r="2" spans="1:25" ht="21.75" customHeight="1" x14ac:dyDescent="0.35">
      <c r="A2" s="4" t="s">
        <v>39</v>
      </c>
      <c r="B2" s="4"/>
      <c r="C2" s="4"/>
      <c r="D2" s="4"/>
      <c r="E2" s="4"/>
      <c r="F2" s="5"/>
      <c r="G2" s="4"/>
      <c r="H2" s="4"/>
    </row>
    <row r="3" spans="1:25" s="13" customFormat="1" ht="15.5" x14ac:dyDescent="0.35">
      <c r="A3" s="6"/>
      <c r="B3" s="7"/>
      <c r="C3" s="6"/>
      <c r="D3" s="8" t="s">
        <v>1</v>
      </c>
      <c r="E3" s="9"/>
      <c r="F3" s="10" t="s">
        <v>2</v>
      </c>
      <c r="G3" s="11" t="s">
        <v>20</v>
      </c>
      <c r="H3" s="12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x14ac:dyDescent="0.35">
      <c r="A4" s="14" t="s">
        <v>3</v>
      </c>
      <c r="B4" s="15" t="s">
        <v>4</v>
      </c>
      <c r="C4" s="16" t="s">
        <v>5</v>
      </c>
      <c r="D4" s="17" t="s">
        <v>6</v>
      </c>
      <c r="E4" s="18" t="s">
        <v>7</v>
      </c>
      <c r="F4" s="19"/>
      <c r="G4" s="20" t="s">
        <v>6</v>
      </c>
      <c r="H4" s="21" t="s">
        <v>7</v>
      </c>
    </row>
    <row r="5" spans="1:25" x14ac:dyDescent="0.35">
      <c r="A5" s="22" t="s">
        <v>8</v>
      </c>
      <c r="B5" s="23" t="s">
        <v>9</v>
      </c>
      <c r="C5" s="24"/>
      <c r="D5" s="25">
        <v>350</v>
      </c>
      <c r="E5" s="26">
        <f>C5*D5</f>
        <v>0</v>
      </c>
      <c r="F5" s="27">
        <v>12</v>
      </c>
      <c r="G5" s="28">
        <f>D5*F5</f>
        <v>4200</v>
      </c>
      <c r="H5" s="26">
        <f>C5*G5</f>
        <v>0</v>
      </c>
    </row>
    <row r="6" spans="1:25" x14ac:dyDescent="0.35">
      <c r="A6" s="22" t="s">
        <v>10</v>
      </c>
      <c r="B6" s="23" t="s">
        <v>11</v>
      </c>
      <c r="C6" s="24"/>
      <c r="D6" s="25">
        <v>350</v>
      </c>
      <c r="E6" s="26">
        <f>C6*D6</f>
        <v>0</v>
      </c>
      <c r="F6" s="25">
        <v>12</v>
      </c>
      <c r="G6" s="28">
        <f>D6</f>
        <v>350</v>
      </c>
      <c r="H6" s="26">
        <f>C6*G6</f>
        <v>0</v>
      </c>
    </row>
    <row r="7" spans="1:25" x14ac:dyDescent="0.35">
      <c r="A7" s="22" t="s">
        <v>12</v>
      </c>
      <c r="B7" s="29" t="s">
        <v>13</v>
      </c>
      <c r="C7" s="24"/>
      <c r="D7" s="25">
        <v>1</v>
      </c>
      <c r="E7" s="26">
        <f>C7*D7</f>
        <v>0</v>
      </c>
      <c r="F7" s="25">
        <v>1</v>
      </c>
      <c r="G7" s="28">
        <f>D7*F7</f>
        <v>1</v>
      </c>
      <c r="H7" s="26">
        <f>C7*G7</f>
        <v>0</v>
      </c>
    </row>
    <row r="8" spans="1:25" x14ac:dyDescent="0.35">
      <c r="A8" s="22" t="s">
        <v>14</v>
      </c>
      <c r="B8" s="23" t="s">
        <v>15</v>
      </c>
      <c r="C8" s="24"/>
      <c r="D8" s="25">
        <v>50</v>
      </c>
      <c r="E8" s="26">
        <f>C8*D8</f>
        <v>0</v>
      </c>
      <c r="F8" s="25">
        <v>12</v>
      </c>
      <c r="G8" s="28">
        <f>D8*F8</f>
        <v>600</v>
      </c>
      <c r="H8" s="26">
        <f>C8*G8</f>
        <v>0</v>
      </c>
    </row>
    <row r="9" spans="1:25" x14ac:dyDescent="0.35">
      <c r="A9" s="22" t="s">
        <v>16</v>
      </c>
      <c r="B9" s="23" t="s">
        <v>17</v>
      </c>
      <c r="C9" s="24"/>
      <c r="D9" s="25">
        <v>50</v>
      </c>
      <c r="E9" s="26">
        <f t="shared" ref="E9" si="0">C9*D9</f>
        <v>0</v>
      </c>
      <c r="F9" s="25">
        <v>12</v>
      </c>
      <c r="G9" s="28">
        <f t="shared" ref="G9" si="1">D9*F9</f>
        <v>600</v>
      </c>
      <c r="H9" s="26">
        <f t="shared" ref="H9" si="2">C9*G9</f>
        <v>0</v>
      </c>
    </row>
    <row r="10" spans="1:25" x14ac:dyDescent="0.35">
      <c r="C10" s="30"/>
      <c r="G10" s="31" t="s">
        <v>19</v>
      </c>
      <c r="H10" s="32">
        <f>SUM(H5:H9)</f>
        <v>0</v>
      </c>
    </row>
    <row r="11" spans="1:25" x14ac:dyDescent="0.35">
      <c r="G11" s="31" t="s">
        <v>18</v>
      </c>
      <c r="H11" s="32">
        <f>H10*5</f>
        <v>0</v>
      </c>
    </row>
  </sheetData>
  <mergeCells count="4">
    <mergeCell ref="A2:H2"/>
    <mergeCell ref="D3:E3"/>
    <mergeCell ref="F3:F4"/>
    <mergeCell ref="G3:H3"/>
  </mergeCells>
  <conditionalFormatting sqref="B7">
    <cfRule type="containsText" dxfId="9" priority="1" operator="containsText" text="NRC">
      <formula>NOT(ISERROR(SEARCH("NRC",B7)))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8A4F-3554-407D-BD98-0E55CD45886B}">
  <sheetPr>
    <tabColor rgb="FFFFFF00"/>
  </sheetPr>
  <dimension ref="A1:X10"/>
  <sheetViews>
    <sheetView workbookViewId="0">
      <selection activeCell="G3" sqref="G3:H3"/>
    </sheetView>
  </sheetViews>
  <sheetFormatPr defaultColWidth="10" defaultRowHeight="14.5" x14ac:dyDescent="0.35"/>
  <cols>
    <col min="1" max="1" width="12.81640625" style="3" customWidth="1"/>
    <col min="2" max="2" width="39.90625" style="3" bestFit="1" customWidth="1"/>
    <col min="3" max="3" width="14.36328125" style="3" customWidth="1"/>
    <col min="4" max="4" width="13.54296875" style="3" customWidth="1"/>
    <col min="5" max="5" width="15.54296875" style="3" customWidth="1"/>
    <col min="6" max="6" width="13.08984375" style="3" bestFit="1" customWidth="1"/>
    <col min="7" max="7" width="23.36328125" style="3" bestFit="1" customWidth="1"/>
    <col min="8" max="8" width="19" style="3" customWidth="1"/>
    <col min="9" max="9" width="10" style="3"/>
    <col min="13" max="13" width="12.1796875" bestFit="1" customWidth="1"/>
    <col min="14" max="14" width="15.453125" bestFit="1" customWidth="1"/>
    <col min="15" max="15" width="17.1796875" bestFit="1" customWidth="1"/>
    <col min="16" max="16" width="13.08984375" bestFit="1" customWidth="1"/>
    <col min="17" max="17" width="14.36328125" customWidth="1"/>
    <col min="19" max="19" width="11.08984375" bestFit="1" customWidth="1"/>
    <col min="22" max="22" width="15" bestFit="1" customWidth="1"/>
    <col min="25" max="16384" width="10" style="3"/>
  </cols>
  <sheetData>
    <row r="1" spans="1:24" ht="15.5" x14ac:dyDescent="0.35">
      <c r="A1" s="1" t="s">
        <v>22</v>
      </c>
      <c r="B1" s="2"/>
    </row>
    <row r="2" spans="1:24" ht="21.75" customHeight="1" x14ac:dyDescent="0.35">
      <c r="A2" s="4" t="s">
        <v>39</v>
      </c>
      <c r="B2" s="4"/>
      <c r="C2" s="4"/>
      <c r="D2" s="4"/>
      <c r="E2" s="4"/>
      <c r="F2" s="5"/>
      <c r="G2" s="4"/>
      <c r="H2" s="4"/>
    </row>
    <row r="3" spans="1:24" s="13" customFormat="1" ht="15.5" x14ac:dyDescent="0.35">
      <c r="A3" s="6"/>
      <c r="B3" s="7"/>
      <c r="C3" s="6"/>
      <c r="D3" s="8" t="s">
        <v>1</v>
      </c>
      <c r="E3" s="9"/>
      <c r="F3" s="10" t="s">
        <v>2</v>
      </c>
      <c r="G3" s="11" t="s">
        <v>23</v>
      </c>
      <c r="H3" s="12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 x14ac:dyDescent="0.35">
      <c r="A4" s="14" t="s">
        <v>3</v>
      </c>
      <c r="B4" s="15" t="s">
        <v>4</v>
      </c>
      <c r="C4" s="16" t="s">
        <v>5</v>
      </c>
      <c r="D4" s="17" t="s">
        <v>6</v>
      </c>
      <c r="E4" s="18" t="s">
        <v>7</v>
      </c>
      <c r="F4" s="19"/>
      <c r="G4" s="20" t="s">
        <v>6</v>
      </c>
      <c r="H4" s="21" t="s">
        <v>7</v>
      </c>
    </row>
    <row r="5" spans="1:24" x14ac:dyDescent="0.35">
      <c r="A5" s="22" t="s">
        <v>8</v>
      </c>
      <c r="B5" s="23" t="s">
        <v>9</v>
      </c>
      <c r="C5" s="24"/>
      <c r="D5" s="25">
        <v>350</v>
      </c>
      <c r="E5" s="26">
        <f>C5*D5</f>
        <v>0</v>
      </c>
      <c r="F5" s="27">
        <v>6</v>
      </c>
      <c r="G5" s="28">
        <f>D5*F5</f>
        <v>2100</v>
      </c>
      <c r="H5" s="26">
        <f>C5*G5</f>
        <v>0</v>
      </c>
    </row>
    <row r="6" spans="1:24" x14ac:dyDescent="0.35">
      <c r="A6" s="22" t="s">
        <v>10</v>
      </c>
      <c r="B6" s="23" t="s">
        <v>11</v>
      </c>
      <c r="C6" s="24"/>
      <c r="D6" s="25">
        <v>350</v>
      </c>
      <c r="E6" s="26">
        <f>C6*D6</f>
        <v>0</v>
      </c>
      <c r="F6" s="25">
        <v>6</v>
      </c>
      <c r="G6" s="28">
        <f>D6</f>
        <v>350</v>
      </c>
      <c r="H6" s="26">
        <f>C6*G6</f>
        <v>0</v>
      </c>
    </row>
    <row r="7" spans="1:24" x14ac:dyDescent="0.35">
      <c r="A7" s="22" t="s">
        <v>12</v>
      </c>
      <c r="B7" s="29" t="s">
        <v>13</v>
      </c>
      <c r="C7" s="24"/>
      <c r="D7" s="25">
        <v>0</v>
      </c>
      <c r="E7" s="26">
        <f>C7*D7</f>
        <v>0</v>
      </c>
      <c r="F7" s="25">
        <v>0</v>
      </c>
      <c r="G7" s="28">
        <f>D7*F7</f>
        <v>0</v>
      </c>
      <c r="H7" s="26">
        <f>C7*G7</f>
        <v>0</v>
      </c>
    </row>
    <row r="8" spans="1:24" x14ac:dyDescent="0.35">
      <c r="A8" s="22" t="s">
        <v>14</v>
      </c>
      <c r="B8" s="23" t="s">
        <v>15</v>
      </c>
      <c r="C8" s="24"/>
      <c r="D8" s="25">
        <v>50</v>
      </c>
      <c r="E8" s="26">
        <f>C8*D8</f>
        <v>0</v>
      </c>
      <c r="F8" s="25">
        <v>6</v>
      </c>
      <c r="G8" s="28">
        <f>D8*F8</f>
        <v>300</v>
      </c>
      <c r="H8" s="26">
        <f>C8*G8</f>
        <v>0</v>
      </c>
    </row>
    <row r="9" spans="1:24" x14ac:dyDescent="0.35">
      <c r="A9" s="22" t="s">
        <v>16</v>
      </c>
      <c r="B9" s="23" t="s">
        <v>17</v>
      </c>
      <c r="C9" s="24"/>
      <c r="D9" s="25">
        <v>50</v>
      </c>
      <c r="E9" s="26">
        <f t="shared" ref="E9" si="0">C9*D9</f>
        <v>0</v>
      </c>
      <c r="F9" s="25">
        <v>6</v>
      </c>
      <c r="G9" s="28">
        <f t="shared" ref="G9" si="1">D9*F9</f>
        <v>300</v>
      </c>
      <c r="H9" s="26">
        <f t="shared" ref="H9" si="2">C9*G9</f>
        <v>0</v>
      </c>
    </row>
    <row r="10" spans="1:24" x14ac:dyDescent="0.35">
      <c r="C10" s="30"/>
      <c r="G10" s="31" t="s">
        <v>21</v>
      </c>
      <c r="H10" s="32">
        <f>SUM(H5:H9)</f>
        <v>0</v>
      </c>
    </row>
  </sheetData>
  <mergeCells count="4">
    <mergeCell ref="A2:H2"/>
    <mergeCell ref="D3:E3"/>
    <mergeCell ref="F3:F4"/>
    <mergeCell ref="G3:H3"/>
  </mergeCells>
  <conditionalFormatting sqref="B7">
    <cfRule type="containsText" dxfId="8" priority="1" operator="containsText" text="NRC">
      <formula>NOT(ISERROR(SEARCH("NRC",B7)))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2FF0-682A-44A7-8566-5480A4D98B3C}">
  <sheetPr>
    <tabColor rgb="FFFFFF00"/>
  </sheetPr>
  <dimension ref="A1:Y11"/>
  <sheetViews>
    <sheetView workbookViewId="0">
      <selection activeCell="G3" sqref="G3:H3"/>
    </sheetView>
  </sheetViews>
  <sheetFormatPr defaultColWidth="10" defaultRowHeight="14.5" x14ac:dyDescent="0.35"/>
  <cols>
    <col min="1" max="1" width="12.81640625" style="3" customWidth="1"/>
    <col min="2" max="2" width="39.90625" style="3" bestFit="1" customWidth="1"/>
    <col min="3" max="3" width="14.36328125" style="3" customWidth="1"/>
    <col min="4" max="4" width="13.54296875" style="3" customWidth="1"/>
    <col min="5" max="5" width="15.54296875" style="3" customWidth="1"/>
    <col min="6" max="6" width="13.08984375" style="3" bestFit="1" customWidth="1"/>
    <col min="7" max="7" width="15.90625" style="3" customWidth="1"/>
    <col min="8" max="8" width="19" style="3" customWidth="1"/>
    <col min="9" max="9" width="10" style="3"/>
    <col min="10" max="10" width="12.453125" bestFit="1" customWidth="1"/>
    <col min="11" max="11" width="15" bestFit="1" customWidth="1"/>
    <col min="13" max="13" width="12.1796875" bestFit="1" customWidth="1"/>
    <col min="14" max="14" width="15.08984375" bestFit="1" customWidth="1"/>
    <col min="15" max="15" width="17.1796875" bestFit="1" customWidth="1"/>
    <col min="16" max="16" width="13.08984375" bestFit="1" customWidth="1"/>
    <col min="17" max="17" width="14.36328125" customWidth="1"/>
    <col min="19" max="19" width="13.90625" bestFit="1" customWidth="1"/>
    <col min="23" max="23" width="15" bestFit="1" customWidth="1"/>
    <col min="26" max="16384" width="10" style="3"/>
  </cols>
  <sheetData>
    <row r="1" spans="1:25" ht="15.5" x14ac:dyDescent="0.35">
      <c r="A1" s="1" t="s">
        <v>26</v>
      </c>
      <c r="B1" s="2"/>
    </row>
    <row r="2" spans="1:25" ht="21.75" customHeight="1" x14ac:dyDescent="0.35">
      <c r="A2" s="4" t="s">
        <v>40</v>
      </c>
      <c r="B2" s="4"/>
      <c r="C2" s="4"/>
      <c r="D2" s="4"/>
      <c r="E2" s="4"/>
      <c r="F2" s="5"/>
      <c r="G2" s="4"/>
      <c r="H2" s="4"/>
    </row>
    <row r="3" spans="1:25" s="13" customFormat="1" ht="15.5" x14ac:dyDescent="0.35">
      <c r="A3" s="6"/>
      <c r="B3" s="7"/>
      <c r="C3" s="6"/>
      <c r="D3" s="8" t="s">
        <v>1</v>
      </c>
      <c r="E3" s="9"/>
      <c r="F3" s="10" t="s">
        <v>2</v>
      </c>
      <c r="G3" s="11" t="s">
        <v>20</v>
      </c>
      <c r="H3" s="12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x14ac:dyDescent="0.35">
      <c r="A4" s="14" t="s">
        <v>3</v>
      </c>
      <c r="B4" s="15" t="s">
        <v>4</v>
      </c>
      <c r="C4" s="16" t="s">
        <v>5</v>
      </c>
      <c r="D4" s="17" t="s">
        <v>6</v>
      </c>
      <c r="E4" s="18" t="s">
        <v>7</v>
      </c>
      <c r="F4" s="19"/>
      <c r="G4" s="20" t="s">
        <v>6</v>
      </c>
      <c r="H4" s="21" t="s">
        <v>7</v>
      </c>
    </row>
    <row r="5" spans="1:25" x14ac:dyDescent="0.35">
      <c r="A5" s="22" t="s">
        <v>8</v>
      </c>
      <c r="B5" s="23" t="s">
        <v>9</v>
      </c>
      <c r="C5" s="24"/>
      <c r="D5" s="25">
        <v>925</v>
      </c>
      <c r="E5" s="26">
        <f>C5*D5</f>
        <v>0</v>
      </c>
      <c r="F5" s="27">
        <v>12</v>
      </c>
      <c r="G5" s="28">
        <f>D5*F5</f>
        <v>11100</v>
      </c>
      <c r="H5" s="26">
        <f>C5*G5</f>
        <v>0</v>
      </c>
    </row>
    <row r="6" spans="1:25" x14ac:dyDescent="0.35">
      <c r="A6" s="22" t="s">
        <v>10</v>
      </c>
      <c r="B6" s="23" t="s">
        <v>11</v>
      </c>
      <c r="C6" s="24"/>
      <c r="D6" s="25">
        <v>925</v>
      </c>
      <c r="E6" s="26">
        <f>C6*D6</f>
        <v>0</v>
      </c>
      <c r="F6" s="25">
        <v>12</v>
      </c>
      <c r="G6" s="28">
        <f>D6</f>
        <v>925</v>
      </c>
      <c r="H6" s="26">
        <f>C6*G6</f>
        <v>0</v>
      </c>
    </row>
    <row r="7" spans="1:25" x14ac:dyDescent="0.35">
      <c r="A7" s="22" t="s">
        <v>12</v>
      </c>
      <c r="B7" s="29" t="s">
        <v>13</v>
      </c>
      <c r="C7" s="24"/>
      <c r="D7" s="25">
        <v>1</v>
      </c>
      <c r="E7" s="26">
        <f>C7*D7</f>
        <v>0</v>
      </c>
      <c r="F7" s="25">
        <v>1</v>
      </c>
      <c r="G7" s="28">
        <f>D7*F7</f>
        <v>1</v>
      </c>
      <c r="H7" s="26">
        <f>C7*G7</f>
        <v>0</v>
      </c>
    </row>
    <row r="8" spans="1:25" x14ac:dyDescent="0.35">
      <c r="A8" s="22" t="s">
        <v>14</v>
      </c>
      <c r="B8" s="23" t="s">
        <v>15</v>
      </c>
      <c r="C8" s="24"/>
      <c r="D8" s="25">
        <v>120</v>
      </c>
      <c r="E8" s="26">
        <f>C8*D8</f>
        <v>0</v>
      </c>
      <c r="F8" s="25">
        <v>12</v>
      </c>
      <c r="G8" s="28">
        <f>D8*F8</f>
        <v>1440</v>
      </c>
      <c r="H8" s="26">
        <f>C8*G8</f>
        <v>0</v>
      </c>
    </row>
    <row r="9" spans="1:25" x14ac:dyDescent="0.35">
      <c r="A9" s="22" t="s">
        <v>16</v>
      </c>
      <c r="B9" s="23" t="s">
        <v>17</v>
      </c>
      <c r="C9" s="24"/>
      <c r="D9" s="25">
        <v>120</v>
      </c>
      <c r="E9" s="26">
        <f t="shared" ref="E9" si="0">C9*D9</f>
        <v>0</v>
      </c>
      <c r="F9" s="25">
        <v>12</v>
      </c>
      <c r="G9" s="28">
        <f t="shared" ref="G9" si="1">D9*F9</f>
        <v>1440</v>
      </c>
      <c r="H9" s="26">
        <f t="shared" ref="H9" si="2">C9*G9</f>
        <v>0</v>
      </c>
    </row>
    <row r="10" spans="1:25" x14ac:dyDescent="0.35">
      <c r="C10" s="30"/>
      <c r="G10" s="31" t="s">
        <v>19</v>
      </c>
      <c r="H10" s="32">
        <f>SUM(H5:H9)</f>
        <v>0</v>
      </c>
    </row>
    <row r="11" spans="1:25" x14ac:dyDescent="0.35">
      <c r="G11" s="31" t="s">
        <v>18</v>
      </c>
      <c r="H11" s="32">
        <f>H10*5</f>
        <v>0</v>
      </c>
    </row>
  </sheetData>
  <mergeCells count="4">
    <mergeCell ref="A2:H2"/>
    <mergeCell ref="D3:E3"/>
    <mergeCell ref="F3:F4"/>
    <mergeCell ref="G3:H3"/>
  </mergeCells>
  <conditionalFormatting sqref="B7">
    <cfRule type="containsText" dxfId="7" priority="1" operator="containsText" text="NRC">
      <formula>NOT(ISERROR(SEARCH("NRC",B7)))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CAD2-8454-424E-90EF-61ACDF59D597}">
  <sheetPr>
    <tabColor rgb="FFFFFF00"/>
  </sheetPr>
  <dimension ref="A1:X10"/>
  <sheetViews>
    <sheetView workbookViewId="0">
      <selection activeCell="G10" sqref="G10"/>
    </sheetView>
  </sheetViews>
  <sheetFormatPr defaultColWidth="10" defaultRowHeight="14.5" x14ac:dyDescent="0.35"/>
  <cols>
    <col min="1" max="1" width="12.81640625" style="3" customWidth="1"/>
    <col min="2" max="2" width="39.90625" style="3" bestFit="1" customWidth="1"/>
    <col min="3" max="3" width="14.36328125" style="3" customWidth="1"/>
    <col min="4" max="4" width="13.54296875" style="3" customWidth="1"/>
    <col min="5" max="5" width="15.54296875" style="3" customWidth="1"/>
    <col min="6" max="6" width="13.08984375" style="3" bestFit="1" customWidth="1"/>
    <col min="7" max="7" width="23.36328125" style="3" bestFit="1" customWidth="1"/>
    <col min="8" max="8" width="19" style="3" customWidth="1"/>
    <col min="9" max="9" width="10" style="3"/>
    <col min="13" max="13" width="12.1796875" bestFit="1" customWidth="1"/>
    <col min="14" max="14" width="15.453125" bestFit="1" customWidth="1"/>
    <col min="15" max="15" width="17.1796875" bestFit="1" customWidth="1"/>
    <col min="16" max="16" width="13.08984375" bestFit="1" customWidth="1"/>
    <col min="17" max="17" width="14.36328125" customWidth="1"/>
    <col min="19" max="19" width="11.08984375" bestFit="1" customWidth="1"/>
    <col min="22" max="22" width="15" bestFit="1" customWidth="1"/>
    <col min="25" max="16384" width="10" style="3"/>
  </cols>
  <sheetData>
    <row r="1" spans="1:24" ht="15.5" x14ac:dyDescent="0.35">
      <c r="A1" s="1" t="s">
        <v>22</v>
      </c>
      <c r="B1" s="2"/>
    </row>
    <row r="2" spans="1:24" ht="21.75" customHeight="1" x14ac:dyDescent="0.35">
      <c r="A2" s="4" t="s">
        <v>40</v>
      </c>
      <c r="B2" s="4"/>
      <c r="C2" s="4"/>
      <c r="D2" s="4"/>
      <c r="E2" s="4"/>
      <c r="F2" s="5"/>
      <c r="G2" s="4"/>
      <c r="H2" s="4"/>
    </row>
    <row r="3" spans="1:24" s="13" customFormat="1" ht="15.5" x14ac:dyDescent="0.35">
      <c r="A3" s="6"/>
      <c r="B3" s="7"/>
      <c r="C3" s="6"/>
      <c r="D3" s="8" t="s">
        <v>1</v>
      </c>
      <c r="E3" s="9"/>
      <c r="F3" s="10" t="s">
        <v>2</v>
      </c>
      <c r="G3" s="11" t="s">
        <v>23</v>
      </c>
      <c r="H3" s="12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 x14ac:dyDescent="0.35">
      <c r="A4" s="14" t="s">
        <v>3</v>
      </c>
      <c r="B4" s="15" t="s">
        <v>4</v>
      </c>
      <c r="C4" s="16" t="s">
        <v>5</v>
      </c>
      <c r="D4" s="17" t="s">
        <v>6</v>
      </c>
      <c r="E4" s="18" t="s">
        <v>7</v>
      </c>
      <c r="F4" s="19"/>
      <c r="G4" s="20" t="s">
        <v>6</v>
      </c>
      <c r="H4" s="21" t="s">
        <v>7</v>
      </c>
    </row>
    <row r="5" spans="1:24" x14ac:dyDescent="0.35">
      <c r="A5" s="22" t="s">
        <v>8</v>
      </c>
      <c r="B5" s="23" t="s">
        <v>9</v>
      </c>
      <c r="C5" s="24"/>
      <c r="D5" s="25">
        <v>925</v>
      </c>
      <c r="E5" s="26">
        <f>C5*D5</f>
        <v>0</v>
      </c>
      <c r="F5" s="27">
        <v>6</v>
      </c>
      <c r="G5" s="28">
        <f>D5*F5</f>
        <v>5550</v>
      </c>
      <c r="H5" s="26">
        <f>C5*G5</f>
        <v>0</v>
      </c>
    </row>
    <row r="6" spans="1:24" x14ac:dyDescent="0.35">
      <c r="A6" s="22" t="s">
        <v>10</v>
      </c>
      <c r="B6" s="23" t="s">
        <v>11</v>
      </c>
      <c r="C6" s="24"/>
      <c r="D6" s="25">
        <v>925</v>
      </c>
      <c r="E6" s="26">
        <f>C6*D6</f>
        <v>0</v>
      </c>
      <c r="F6" s="25">
        <v>6</v>
      </c>
      <c r="G6" s="28">
        <f>D6</f>
        <v>925</v>
      </c>
      <c r="H6" s="26">
        <f>C6*G6</f>
        <v>0</v>
      </c>
    </row>
    <row r="7" spans="1:24" x14ac:dyDescent="0.35">
      <c r="A7" s="22" t="s">
        <v>12</v>
      </c>
      <c r="B7" s="29" t="s">
        <v>13</v>
      </c>
      <c r="C7" s="24"/>
      <c r="D7" s="25">
        <v>0</v>
      </c>
      <c r="E7" s="26">
        <f>C7*D7</f>
        <v>0</v>
      </c>
      <c r="F7" s="25">
        <v>0</v>
      </c>
      <c r="G7" s="28">
        <f>D7*F7</f>
        <v>0</v>
      </c>
      <c r="H7" s="26">
        <f>C7*G7</f>
        <v>0</v>
      </c>
    </row>
    <row r="8" spans="1:24" x14ac:dyDescent="0.35">
      <c r="A8" s="22" t="s">
        <v>14</v>
      </c>
      <c r="B8" s="23" t="s">
        <v>15</v>
      </c>
      <c r="C8" s="24"/>
      <c r="D8" s="25">
        <v>120</v>
      </c>
      <c r="E8" s="26">
        <f>C8*D8</f>
        <v>0</v>
      </c>
      <c r="F8" s="25">
        <v>6</v>
      </c>
      <c r="G8" s="28">
        <f>D8*F8</f>
        <v>720</v>
      </c>
      <c r="H8" s="26">
        <f>C8*G8</f>
        <v>0</v>
      </c>
    </row>
    <row r="9" spans="1:24" x14ac:dyDescent="0.35">
      <c r="A9" s="22" t="s">
        <v>16</v>
      </c>
      <c r="B9" s="23" t="s">
        <v>17</v>
      </c>
      <c r="C9" s="24"/>
      <c r="D9" s="25">
        <v>120</v>
      </c>
      <c r="E9" s="26">
        <f t="shared" ref="E9" si="0">C9*D9</f>
        <v>0</v>
      </c>
      <c r="F9" s="25">
        <v>6</v>
      </c>
      <c r="G9" s="28">
        <f t="shared" ref="G9" si="1">D9*F9</f>
        <v>720</v>
      </c>
      <c r="H9" s="26">
        <f t="shared" ref="H9" si="2">C9*G9</f>
        <v>0</v>
      </c>
    </row>
    <row r="10" spans="1:24" x14ac:dyDescent="0.35">
      <c r="C10" s="30"/>
      <c r="G10" s="31" t="s">
        <v>21</v>
      </c>
      <c r="H10" s="32">
        <f>SUM(H5:H9)</f>
        <v>0</v>
      </c>
    </row>
  </sheetData>
  <mergeCells count="4">
    <mergeCell ref="A2:H2"/>
    <mergeCell ref="D3:E3"/>
    <mergeCell ref="F3:F4"/>
    <mergeCell ref="G3:H3"/>
  </mergeCells>
  <conditionalFormatting sqref="B7">
    <cfRule type="containsText" dxfId="6" priority="1" operator="containsText" text="NRC">
      <formula>NOT(ISERROR(SEARCH("NRC",B7)))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D3AC-9710-47DC-BD3D-D550C16C0056}">
  <sheetPr>
    <tabColor rgb="FFFFFF00"/>
  </sheetPr>
  <dimension ref="A1:Y11"/>
  <sheetViews>
    <sheetView workbookViewId="0"/>
  </sheetViews>
  <sheetFormatPr defaultColWidth="10" defaultRowHeight="14.5" x14ac:dyDescent="0.35"/>
  <cols>
    <col min="1" max="1" width="12.81640625" style="3" customWidth="1"/>
    <col min="2" max="2" width="39.90625" style="3" bestFit="1" customWidth="1"/>
    <col min="3" max="3" width="14.36328125" style="3" customWidth="1"/>
    <col min="4" max="4" width="13.54296875" style="3" customWidth="1"/>
    <col min="5" max="5" width="15.54296875" style="3" customWidth="1"/>
    <col min="6" max="6" width="13.08984375" style="3" bestFit="1" customWidth="1"/>
    <col min="7" max="7" width="15.90625" style="3" customWidth="1"/>
    <col min="8" max="8" width="19" style="3" customWidth="1"/>
    <col min="9" max="9" width="10" style="3"/>
    <col min="10" max="10" width="12.453125" bestFit="1" customWidth="1"/>
    <col min="11" max="11" width="15" bestFit="1" customWidth="1"/>
    <col min="13" max="13" width="12.1796875" bestFit="1" customWidth="1"/>
    <col min="14" max="14" width="15.08984375" bestFit="1" customWidth="1"/>
    <col min="15" max="15" width="17.1796875" bestFit="1" customWidth="1"/>
    <col min="16" max="16" width="13.08984375" bestFit="1" customWidth="1"/>
    <col min="17" max="17" width="14.36328125" customWidth="1"/>
    <col min="19" max="19" width="13.90625" bestFit="1" customWidth="1"/>
    <col min="23" max="23" width="15" bestFit="1" customWidth="1"/>
    <col min="26" max="16384" width="10" style="3"/>
  </cols>
  <sheetData>
    <row r="1" spans="1:25" ht="15.5" x14ac:dyDescent="0.35">
      <c r="A1" s="1" t="s">
        <v>26</v>
      </c>
      <c r="B1" s="2"/>
    </row>
    <row r="2" spans="1:25" ht="21.75" customHeight="1" x14ac:dyDescent="0.35">
      <c r="A2" s="4" t="s">
        <v>41</v>
      </c>
      <c r="B2" s="4"/>
      <c r="C2" s="4"/>
      <c r="D2" s="4"/>
      <c r="E2" s="4"/>
      <c r="F2" s="5"/>
      <c r="G2" s="4"/>
      <c r="H2" s="4"/>
    </row>
    <row r="3" spans="1:25" s="13" customFormat="1" ht="15.5" x14ac:dyDescent="0.35">
      <c r="A3" s="6"/>
      <c r="B3" s="7"/>
      <c r="C3" s="6"/>
      <c r="D3" s="8" t="s">
        <v>1</v>
      </c>
      <c r="E3" s="9"/>
      <c r="F3" s="10" t="s">
        <v>2</v>
      </c>
      <c r="G3" s="11" t="s">
        <v>20</v>
      </c>
      <c r="H3" s="12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x14ac:dyDescent="0.35">
      <c r="A4" s="14" t="s">
        <v>3</v>
      </c>
      <c r="B4" s="15" t="s">
        <v>4</v>
      </c>
      <c r="C4" s="16" t="s">
        <v>5</v>
      </c>
      <c r="D4" s="17" t="s">
        <v>6</v>
      </c>
      <c r="E4" s="18" t="s">
        <v>7</v>
      </c>
      <c r="F4" s="19"/>
      <c r="G4" s="20" t="s">
        <v>6</v>
      </c>
      <c r="H4" s="21" t="s">
        <v>7</v>
      </c>
    </row>
    <row r="5" spans="1:25" x14ac:dyDescent="0.35">
      <c r="A5" s="22" t="s">
        <v>8</v>
      </c>
      <c r="B5" s="23" t="s">
        <v>9</v>
      </c>
      <c r="C5" s="24"/>
      <c r="D5" s="25">
        <v>2300</v>
      </c>
      <c r="E5" s="26">
        <f>C5*D5</f>
        <v>0</v>
      </c>
      <c r="F5" s="27">
        <v>12</v>
      </c>
      <c r="G5" s="28">
        <f>D5*F5</f>
        <v>27600</v>
      </c>
      <c r="H5" s="26">
        <f>C5*G5</f>
        <v>0</v>
      </c>
    </row>
    <row r="6" spans="1:25" x14ac:dyDescent="0.35">
      <c r="A6" s="22" t="s">
        <v>10</v>
      </c>
      <c r="B6" s="23" t="s">
        <v>11</v>
      </c>
      <c r="C6" s="24"/>
      <c r="D6" s="25">
        <v>2300</v>
      </c>
      <c r="E6" s="26">
        <f>C6*D6</f>
        <v>0</v>
      </c>
      <c r="F6" s="25">
        <v>12</v>
      </c>
      <c r="G6" s="28">
        <f>D6</f>
        <v>2300</v>
      </c>
      <c r="H6" s="26">
        <f>C6*G6</f>
        <v>0</v>
      </c>
    </row>
    <row r="7" spans="1:25" x14ac:dyDescent="0.35">
      <c r="A7" s="22" t="s">
        <v>12</v>
      </c>
      <c r="B7" s="29" t="s">
        <v>13</v>
      </c>
      <c r="C7" s="24"/>
      <c r="D7" s="25">
        <v>1</v>
      </c>
      <c r="E7" s="26">
        <f>C7*D7</f>
        <v>0</v>
      </c>
      <c r="F7" s="25">
        <v>1</v>
      </c>
      <c r="G7" s="28">
        <f>D7*F7</f>
        <v>1</v>
      </c>
      <c r="H7" s="26">
        <f>C7*G7</f>
        <v>0</v>
      </c>
    </row>
    <row r="8" spans="1:25" x14ac:dyDescent="0.35">
      <c r="A8" s="22" t="s">
        <v>14</v>
      </c>
      <c r="B8" s="23" t="s">
        <v>15</v>
      </c>
      <c r="C8" s="24"/>
      <c r="D8" s="25">
        <v>290</v>
      </c>
      <c r="E8" s="26">
        <f>C8*D8</f>
        <v>0</v>
      </c>
      <c r="F8" s="25">
        <v>12</v>
      </c>
      <c r="G8" s="28">
        <f>D8*F8</f>
        <v>3480</v>
      </c>
      <c r="H8" s="26">
        <f>C8*G8</f>
        <v>0</v>
      </c>
    </row>
    <row r="9" spans="1:25" x14ac:dyDescent="0.35">
      <c r="A9" s="22" t="s">
        <v>16</v>
      </c>
      <c r="B9" s="23" t="s">
        <v>17</v>
      </c>
      <c r="C9" s="24"/>
      <c r="D9" s="25">
        <v>290</v>
      </c>
      <c r="E9" s="26">
        <f t="shared" ref="E9" si="0">C9*D9</f>
        <v>0</v>
      </c>
      <c r="F9" s="25">
        <v>12</v>
      </c>
      <c r="G9" s="28">
        <f t="shared" ref="G9" si="1">D9*F9</f>
        <v>3480</v>
      </c>
      <c r="H9" s="26">
        <f t="shared" ref="H9" si="2">C9*G9</f>
        <v>0</v>
      </c>
    </row>
    <row r="10" spans="1:25" x14ac:dyDescent="0.35">
      <c r="C10" s="30"/>
      <c r="G10" s="31" t="s">
        <v>19</v>
      </c>
      <c r="H10" s="32">
        <f>SUM(H5:H9)</f>
        <v>0</v>
      </c>
    </row>
    <row r="11" spans="1:25" x14ac:dyDescent="0.35">
      <c r="G11" s="31" t="s">
        <v>18</v>
      </c>
      <c r="H11" s="32">
        <f>H10*5</f>
        <v>0</v>
      </c>
    </row>
  </sheetData>
  <mergeCells count="4">
    <mergeCell ref="A2:H2"/>
    <mergeCell ref="D3:E3"/>
    <mergeCell ref="F3:F4"/>
    <mergeCell ref="G3:H3"/>
  </mergeCells>
  <conditionalFormatting sqref="B7">
    <cfRule type="containsText" dxfId="5" priority="1" operator="containsText" text="NRC">
      <formula>NOT(ISERROR(SEARCH("NRC",B7)))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9801-DAA9-45FB-B772-B16CFBB163BD}">
  <sheetPr>
    <tabColor rgb="FFFFFF00"/>
  </sheetPr>
  <dimension ref="A1:X10"/>
  <sheetViews>
    <sheetView workbookViewId="0">
      <selection activeCell="G3" sqref="G3:H3"/>
    </sheetView>
  </sheetViews>
  <sheetFormatPr defaultColWidth="10" defaultRowHeight="14.5" x14ac:dyDescent="0.35"/>
  <cols>
    <col min="1" max="1" width="12.81640625" style="3" customWidth="1"/>
    <col min="2" max="2" width="39.90625" style="3" bestFit="1" customWidth="1"/>
    <col min="3" max="3" width="14.36328125" style="3" customWidth="1"/>
    <col min="4" max="4" width="13.54296875" style="3" customWidth="1"/>
    <col min="5" max="5" width="15.54296875" style="3" customWidth="1"/>
    <col min="6" max="6" width="13.08984375" style="3" bestFit="1" customWidth="1"/>
    <col min="7" max="7" width="23.36328125" style="3" bestFit="1" customWidth="1"/>
    <col min="8" max="8" width="19" style="3" customWidth="1"/>
    <col min="9" max="9" width="10" style="3"/>
    <col min="13" max="13" width="12.1796875" bestFit="1" customWidth="1"/>
    <col min="14" max="14" width="15.453125" bestFit="1" customWidth="1"/>
    <col min="15" max="15" width="17.1796875" bestFit="1" customWidth="1"/>
    <col min="16" max="16" width="13.08984375" bestFit="1" customWidth="1"/>
    <col min="17" max="17" width="14.36328125" customWidth="1"/>
    <col min="19" max="19" width="11.08984375" bestFit="1" customWidth="1"/>
    <col min="22" max="22" width="15" bestFit="1" customWidth="1"/>
    <col min="25" max="16384" width="10" style="3"/>
  </cols>
  <sheetData>
    <row r="1" spans="1:24" ht="15.5" x14ac:dyDescent="0.35">
      <c r="A1" s="1" t="s">
        <v>22</v>
      </c>
      <c r="B1" s="2"/>
    </row>
    <row r="2" spans="1:24" ht="21.75" customHeight="1" x14ac:dyDescent="0.35">
      <c r="A2" s="4" t="s">
        <v>41</v>
      </c>
      <c r="B2" s="4"/>
      <c r="C2" s="4"/>
      <c r="D2" s="4"/>
      <c r="E2" s="4"/>
      <c r="F2" s="5"/>
      <c r="G2" s="4"/>
      <c r="H2" s="4"/>
    </row>
    <row r="3" spans="1:24" s="13" customFormat="1" ht="15.5" x14ac:dyDescent="0.35">
      <c r="A3" s="6"/>
      <c r="B3" s="7"/>
      <c r="C3" s="6"/>
      <c r="D3" s="8" t="s">
        <v>1</v>
      </c>
      <c r="E3" s="9"/>
      <c r="F3" s="10" t="s">
        <v>2</v>
      </c>
      <c r="G3" s="11" t="s">
        <v>23</v>
      </c>
      <c r="H3" s="12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 x14ac:dyDescent="0.35">
      <c r="A4" s="14" t="s">
        <v>3</v>
      </c>
      <c r="B4" s="15" t="s">
        <v>4</v>
      </c>
      <c r="C4" s="16" t="s">
        <v>5</v>
      </c>
      <c r="D4" s="17" t="s">
        <v>6</v>
      </c>
      <c r="E4" s="18" t="s">
        <v>7</v>
      </c>
      <c r="F4" s="19"/>
      <c r="G4" s="20" t="s">
        <v>6</v>
      </c>
      <c r="H4" s="21" t="s">
        <v>7</v>
      </c>
    </row>
    <row r="5" spans="1:24" x14ac:dyDescent="0.35">
      <c r="A5" s="22" t="s">
        <v>8</v>
      </c>
      <c r="B5" s="23" t="s">
        <v>9</v>
      </c>
      <c r="C5" s="24"/>
      <c r="D5" s="25">
        <v>2300</v>
      </c>
      <c r="E5" s="26">
        <f>C5*D5</f>
        <v>0</v>
      </c>
      <c r="F5" s="27">
        <v>6</v>
      </c>
      <c r="G5" s="28">
        <f>D5*F5</f>
        <v>13800</v>
      </c>
      <c r="H5" s="26">
        <f>C5*G5</f>
        <v>0</v>
      </c>
    </row>
    <row r="6" spans="1:24" x14ac:dyDescent="0.35">
      <c r="A6" s="22" t="s">
        <v>10</v>
      </c>
      <c r="B6" s="23" t="s">
        <v>11</v>
      </c>
      <c r="C6" s="24"/>
      <c r="D6" s="25">
        <v>2300</v>
      </c>
      <c r="E6" s="26">
        <f>C6*D6</f>
        <v>0</v>
      </c>
      <c r="F6" s="25">
        <v>6</v>
      </c>
      <c r="G6" s="28">
        <f>D6</f>
        <v>2300</v>
      </c>
      <c r="H6" s="26">
        <f>C6*G6</f>
        <v>0</v>
      </c>
    </row>
    <row r="7" spans="1:24" x14ac:dyDescent="0.35">
      <c r="A7" s="22" t="s">
        <v>12</v>
      </c>
      <c r="B7" s="29" t="s">
        <v>13</v>
      </c>
      <c r="C7" s="24"/>
      <c r="D7" s="25">
        <v>0</v>
      </c>
      <c r="E7" s="26">
        <f>C7*D7</f>
        <v>0</v>
      </c>
      <c r="F7" s="25">
        <v>0</v>
      </c>
      <c r="G7" s="28">
        <f>D7*F7</f>
        <v>0</v>
      </c>
      <c r="H7" s="26">
        <f>C7*G7</f>
        <v>0</v>
      </c>
    </row>
    <row r="8" spans="1:24" x14ac:dyDescent="0.35">
      <c r="A8" s="22" t="s">
        <v>14</v>
      </c>
      <c r="B8" s="23" t="s">
        <v>15</v>
      </c>
      <c r="C8" s="24"/>
      <c r="D8" s="25">
        <v>290</v>
      </c>
      <c r="E8" s="26">
        <f>C8*D8</f>
        <v>0</v>
      </c>
      <c r="F8" s="25">
        <v>6</v>
      </c>
      <c r="G8" s="28">
        <f>D8*F8</f>
        <v>1740</v>
      </c>
      <c r="H8" s="26">
        <f>C8*G8</f>
        <v>0</v>
      </c>
    </row>
    <row r="9" spans="1:24" x14ac:dyDescent="0.35">
      <c r="A9" s="22" t="s">
        <v>16</v>
      </c>
      <c r="B9" s="23" t="s">
        <v>17</v>
      </c>
      <c r="C9" s="24"/>
      <c r="D9" s="25">
        <v>290</v>
      </c>
      <c r="E9" s="26">
        <f t="shared" ref="E9" si="0">C9*D9</f>
        <v>0</v>
      </c>
      <c r="F9" s="25">
        <v>6</v>
      </c>
      <c r="G9" s="28">
        <f t="shared" ref="G9" si="1">D9*F9</f>
        <v>1740</v>
      </c>
      <c r="H9" s="26">
        <f t="shared" ref="H9" si="2">C9*G9</f>
        <v>0</v>
      </c>
    </row>
    <row r="10" spans="1:24" x14ac:dyDescent="0.35">
      <c r="C10" s="30"/>
      <c r="G10" s="31" t="s">
        <v>21</v>
      </c>
      <c r="H10" s="32">
        <f>SUM(H5:H9)</f>
        <v>0</v>
      </c>
    </row>
  </sheetData>
  <mergeCells count="4">
    <mergeCell ref="A2:H2"/>
    <mergeCell ref="D3:E3"/>
    <mergeCell ref="F3:F4"/>
    <mergeCell ref="G3:H3"/>
  </mergeCells>
  <conditionalFormatting sqref="B7">
    <cfRule type="containsText" dxfId="4" priority="1" operator="containsText" text="NRC">
      <formula>NOT(ISERROR(SEARCH("NRC",B7)))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AD7E-D9EB-4D3E-A513-9AD9FB8A6036}">
  <sheetPr>
    <tabColor rgb="FFFFFF00"/>
  </sheetPr>
  <dimension ref="A1:Y11"/>
  <sheetViews>
    <sheetView workbookViewId="0"/>
  </sheetViews>
  <sheetFormatPr defaultColWidth="10" defaultRowHeight="14.5" x14ac:dyDescent="0.35"/>
  <cols>
    <col min="1" max="1" width="12.81640625" style="3" customWidth="1"/>
    <col min="2" max="2" width="39.90625" style="3" bestFit="1" customWidth="1"/>
    <col min="3" max="3" width="14.36328125" style="3" customWidth="1"/>
    <col min="4" max="4" width="13.54296875" style="3" customWidth="1"/>
    <col min="5" max="5" width="15.54296875" style="3" customWidth="1"/>
    <col min="6" max="6" width="13.08984375" style="3" bestFit="1" customWidth="1"/>
    <col min="7" max="7" width="15.90625" style="3" customWidth="1"/>
    <col min="8" max="8" width="19" style="3" customWidth="1"/>
    <col min="9" max="9" width="10" style="3"/>
    <col min="10" max="10" width="12.453125" bestFit="1" customWidth="1"/>
    <col min="11" max="11" width="15" bestFit="1" customWidth="1"/>
    <col min="13" max="13" width="12.1796875" bestFit="1" customWidth="1"/>
    <col min="14" max="14" width="15.08984375" bestFit="1" customWidth="1"/>
    <col min="15" max="15" width="17.1796875" bestFit="1" customWidth="1"/>
    <col min="16" max="16" width="13.08984375" bestFit="1" customWidth="1"/>
    <col min="17" max="17" width="14.36328125" customWidth="1"/>
    <col min="19" max="19" width="13.90625" bestFit="1" customWidth="1"/>
    <col min="23" max="23" width="15" bestFit="1" customWidth="1"/>
    <col min="26" max="16384" width="10" style="3"/>
  </cols>
  <sheetData>
    <row r="1" spans="1:25" ht="15.5" x14ac:dyDescent="0.35">
      <c r="A1" s="1" t="s">
        <v>26</v>
      </c>
      <c r="B1" s="2"/>
    </row>
    <row r="2" spans="1:25" ht="21.75" customHeight="1" x14ac:dyDescent="0.35">
      <c r="A2" s="4" t="s">
        <v>42</v>
      </c>
      <c r="B2" s="4"/>
      <c r="C2" s="4"/>
      <c r="D2" s="4"/>
      <c r="E2" s="4"/>
      <c r="F2" s="5"/>
      <c r="G2" s="4"/>
      <c r="H2" s="4"/>
    </row>
    <row r="3" spans="1:25" s="13" customFormat="1" ht="15.5" x14ac:dyDescent="0.35">
      <c r="A3" s="6"/>
      <c r="B3" s="7"/>
      <c r="C3" s="6"/>
      <c r="D3" s="8" t="s">
        <v>1</v>
      </c>
      <c r="E3" s="9"/>
      <c r="F3" s="10" t="s">
        <v>2</v>
      </c>
      <c r="G3" s="11" t="s">
        <v>20</v>
      </c>
      <c r="H3" s="12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x14ac:dyDescent="0.35">
      <c r="A4" s="14" t="s">
        <v>3</v>
      </c>
      <c r="B4" s="15" t="s">
        <v>4</v>
      </c>
      <c r="C4" s="16" t="s">
        <v>5</v>
      </c>
      <c r="D4" s="17" t="s">
        <v>6</v>
      </c>
      <c r="E4" s="18" t="s">
        <v>7</v>
      </c>
      <c r="F4" s="19"/>
      <c r="G4" s="20" t="s">
        <v>6</v>
      </c>
      <c r="H4" s="21" t="s">
        <v>7</v>
      </c>
    </row>
    <row r="5" spans="1:25" x14ac:dyDescent="0.35">
      <c r="A5" s="22" t="s">
        <v>8</v>
      </c>
      <c r="B5" s="23" t="s">
        <v>9</v>
      </c>
      <c r="C5" s="24"/>
      <c r="D5" s="25">
        <v>1113</v>
      </c>
      <c r="E5" s="26">
        <f>C5*D5</f>
        <v>0</v>
      </c>
      <c r="F5" s="27">
        <v>12</v>
      </c>
      <c r="G5" s="28">
        <f>D5*F5</f>
        <v>13356</v>
      </c>
      <c r="H5" s="26">
        <f>C5*G5</f>
        <v>0</v>
      </c>
    </row>
    <row r="6" spans="1:25" x14ac:dyDescent="0.35">
      <c r="A6" s="22" t="s">
        <v>10</v>
      </c>
      <c r="B6" s="23" t="s">
        <v>11</v>
      </c>
      <c r="C6" s="24"/>
      <c r="D6" s="25">
        <v>1113</v>
      </c>
      <c r="E6" s="26">
        <f>C6*D6</f>
        <v>0</v>
      </c>
      <c r="F6" s="25">
        <v>12</v>
      </c>
      <c r="G6" s="28">
        <f>D6</f>
        <v>1113</v>
      </c>
      <c r="H6" s="26">
        <f>C6*G6</f>
        <v>0</v>
      </c>
    </row>
    <row r="7" spans="1:25" x14ac:dyDescent="0.35">
      <c r="A7" s="22" t="s">
        <v>12</v>
      </c>
      <c r="B7" s="29" t="s">
        <v>13</v>
      </c>
      <c r="C7" s="24"/>
      <c r="D7" s="25">
        <v>1</v>
      </c>
      <c r="E7" s="26">
        <f>C7*D7</f>
        <v>0</v>
      </c>
      <c r="F7" s="25">
        <v>1</v>
      </c>
      <c r="G7" s="28">
        <f>D7*F7</f>
        <v>1</v>
      </c>
      <c r="H7" s="26">
        <f>C7*G7</f>
        <v>0</v>
      </c>
    </row>
    <row r="8" spans="1:25" x14ac:dyDescent="0.35">
      <c r="A8" s="22" t="s">
        <v>14</v>
      </c>
      <c r="B8" s="23" t="s">
        <v>15</v>
      </c>
      <c r="C8" s="24"/>
      <c r="D8" s="25">
        <v>150</v>
      </c>
      <c r="E8" s="26">
        <f>C8*D8</f>
        <v>0</v>
      </c>
      <c r="F8" s="25">
        <v>12</v>
      </c>
      <c r="G8" s="28">
        <f>D8*F8</f>
        <v>1800</v>
      </c>
      <c r="H8" s="26">
        <f>C8*G8</f>
        <v>0</v>
      </c>
    </row>
    <row r="9" spans="1:25" x14ac:dyDescent="0.35">
      <c r="A9" s="22" t="s">
        <v>16</v>
      </c>
      <c r="B9" s="23" t="s">
        <v>17</v>
      </c>
      <c r="C9" s="24"/>
      <c r="D9" s="25">
        <v>150</v>
      </c>
      <c r="E9" s="26">
        <f t="shared" ref="E9" si="0">C9*D9</f>
        <v>0</v>
      </c>
      <c r="F9" s="25">
        <v>12</v>
      </c>
      <c r="G9" s="28">
        <f t="shared" ref="G9" si="1">D9*F9</f>
        <v>1800</v>
      </c>
      <c r="H9" s="26">
        <f t="shared" ref="H9" si="2">C9*G9</f>
        <v>0</v>
      </c>
    </row>
    <row r="10" spans="1:25" x14ac:dyDescent="0.35">
      <c r="C10" s="30"/>
      <c r="G10" s="31" t="s">
        <v>19</v>
      </c>
      <c r="H10" s="32">
        <f>SUM(H5:H9)</f>
        <v>0</v>
      </c>
    </row>
    <row r="11" spans="1:25" x14ac:dyDescent="0.35">
      <c r="G11" s="31" t="s">
        <v>18</v>
      </c>
      <c r="H11" s="32">
        <f>H10*5</f>
        <v>0</v>
      </c>
    </row>
  </sheetData>
  <mergeCells count="4">
    <mergeCell ref="A2:H2"/>
    <mergeCell ref="D3:E3"/>
    <mergeCell ref="F3:F4"/>
    <mergeCell ref="G3:H3"/>
  </mergeCells>
  <conditionalFormatting sqref="B7">
    <cfRule type="containsText" dxfId="3" priority="1" operator="containsText" text="NRC">
      <formula>NOT(ISERROR(SEARCH("NRC",B7)))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9F8A9-CBCE-4AD9-80D5-DD1F942D12AF}">
  <sheetPr>
    <tabColor rgb="FFFFFF00"/>
  </sheetPr>
  <dimension ref="A1:X10"/>
  <sheetViews>
    <sheetView workbookViewId="0"/>
  </sheetViews>
  <sheetFormatPr defaultColWidth="10" defaultRowHeight="14.5" x14ac:dyDescent="0.35"/>
  <cols>
    <col min="1" max="1" width="12.81640625" style="3" customWidth="1"/>
    <col min="2" max="2" width="39.90625" style="3" bestFit="1" customWidth="1"/>
    <col min="3" max="3" width="14.36328125" style="3" customWidth="1"/>
    <col min="4" max="4" width="13.54296875" style="3" customWidth="1"/>
    <col min="5" max="5" width="15.54296875" style="3" customWidth="1"/>
    <col min="6" max="6" width="13.08984375" style="3" bestFit="1" customWidth="1"/>
    <col min="7" max="7" width="23.36328125" style="3" bestFit="1" customWidth="1"/>
    <col min="8" max="8" width="19" style="3" customWidth="1"/>
    <col min="9" max="9" width="10" style="3"/>
    <col min="13" max="13" width="12.1796875" bestFit="1" customWidth="1"/>
    <col min="14" max="14" width="15.453125" bestFit="1" customWidth="1"/>
    <col min="15" max="15" width="17.1796875" bestFit="1" customWidth="1"/>
    <col min="16" max="16" width="13.08984375" bestFit="1" customWidth="1"/>
    <col min="17" max="17" width="14.36328125" customWidth="1"/>
    <col min="19" max="19" width="11.08984375" bestFit="1" customWidth="1"/>
    <col min="22" max="22" width="15" bestFit="1" customWidth="1"/>
    <col min="25" max="16384" width="10" style="3"/>
  </cols>
  <sheetData>
    <row r="1" spans="1:24" ht="15.5" x14ac:dyDescent="0.35">
      <c r="A1" s="1" t="s">
        <v>22</v>
      </c>
      <c r="B1" s="2"/>
    </row>
    <row r="2" spans="1:24" ht="21.75" customHeight="1" x14ac:dyDescent="0.35">
      <c r="A2" s="4" t="s">
        <v>42</v>
      </c>
      <c r="B2" s="4"/>
      <c r="C2" s="4"/>
      <c r="D2" s="4"/>
      <c r="E2" s="4"/>
      <c r="F2" s="5"/>
      <c r="G2" s="4"/>
      <c r="H2" s="4"/>
    </row>
    <row r="3" spans="1:24" s="13" customFormat="1" ht="15.5" x14ac:dyDescent="0.35">
      <c r="A3" s="6"/>
      <c r="B3" s="7"/>
      <c r="C3" s="6"/>
      <c r="D3" s="8" t="s">
        <v>1</v>
      </c>
      <c r="E3" s="9"/>
      <c r="F3" s="10" t="s">
        <v>2</v>
      </c>
      <c r="G3" s="11" t="s">
        <v>23</v>
      </c>
      <c r="H3" s="12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 x14ac:dyDescent="0.35">
      <c r="A4" s="14" t="s">
        <v>3</v>
      </c>
      <c r="B4" s="15" t="s">
        <v>4</v>
      </c>
      <c r="C4" s="16" t="s">
        <v>5</v>
      </c>
      <c r="D4" s="17" t="s">
        <v>6</v>
      </c>
      <c r="E4" s="18" t="s">
        <v>7</v>
      </c>
      <c r="F4" s="19"/>
      <c r="G4" s="20" t="s">
        <v>6</v>
      </c>
      <c r="H4" s="21" t="s">
        <v>7</v>
      </c>
    </row>
    <row r="5" spans="1:24" x14ac:dyDescent="0.35">
      <c r="A5" s="22" t="s">
        <v>8</v>
      </c>
      <c r="B5" s="23" t="s">
        <v>9</v>
      </c>
      <c r="C5" s="24"/>
      <c r="D5" s="25">
        <v>1113</v>
      </c>
      <c r="E5" s="26">
        <f>C5*D5</f>
        <v>0</v>
      </c>
      <c r="F5" s="27">
        <v>6</v>
      </c>
      <c r="G5" s="28">
        <f>D5*F5</f>
        <v>6678</v>
      </c>
      <c r="H5" s="26">
        <f>C5*G5</f>
        <v>0</v>
      </c>
    </row>
    <row r="6" spans="1:24" x14ac:dyDescent="0.35">
      <c r="A6" s="22" t="s">
        <v>10</v>
      </c>
      <c r="B6" s="23" t="s">
        <v>11</v>
      </c>
      <c r="C6" s="24"/>
      <c r="D6" s="25">
        <v>1113</v>
      </c>
      <c r="E6" s="26">
        <f>C6*D6</f>
        <v>0</v>
      </c>
      <c r="F6" s="25">
        <v>6</v>
      </c>
      <c r="G6" s="28">
        <f>D6</f>
        <v>1113</v>
      </c>
      <c r="H6" s="26">
        <f>C6*G6</f>
        <v>0</v>
      </c>
    </row>
    <row r="7" spans="1:24" x14ac:dyDescent="0.35">
      <c r="A7" s="22" t="s">
        <v>12</v>
      </c>
      <c r="B7" s="29" t="s">
        <v>13</v>
      </c>
      <c r="C7" s="24"/>
      <c r="D7" s="25">
        <v>0</v>
      </c>
      <c r="E7" s="26">
        <f>C7*D7</f>
        <v>0</v>
      </c>
      <c r="F7" s="25">
        <v>0</v>
      </c>
      <c r="G7" s="28">
        <f>D7*F7</f>
        <v>0</v>
      </c>
      <c r="H7" s="26">
        <f>C7*G7</f>
        <v>0</v>
      </c>
    </row>
    <row r="8" spans="1:24" x14ac:dyDescent="0.35">
      <c r="A8" s="22" t="s">
        <v>14</v>
      </c>
      <c r="B8" s="23" t="s">
        <v>15</v>
      </c>
      <c r="C8" s="24"/>
      <c r="D8" s="25">
        <v>150</v>
      </c>
      <c r="E8" s="26">
        <f>C8*D8</f>
        <v>0</v>
      </c>
      <c r="F8" s="25">
        <v>6</v>
      </c>
      <c r="G8" s="28">
        <f>D8*F8</f>
        <v>900</v>
      </c>
      <c r="H8" s="26">
        <f>C8*G8</f>
        <v>0</v>
      </c>
    </row>
    <row r="9" spans="1:24" x14ac:dyDescent="0.35">
      <c r="A9" s="22" t="s">
        <v>16</v>
      </c>
      <c r="B9" s="23" t="s">
        <v>17</v>
      </c>
      <c r="C9" s="24"/>
      <c r="D9" s="25">
        <v>150</v>
      </c>
      <c r="E9" s="26">
        <f t="shared" ref="E9" si="0">C9*D9</f>
        <v>0</v>
      </c>
      <c r="F9" s="25">
        <v>6</v>
      </c>
      <c r="G9" s="28">
        <f t="shared" ref="G9" si="1">D9*F9</f>
        <v>900</v>
      </c>
      <c r="H9" s="26">
        <f t="shared" ref="H9" si="2">C9*G9</f>
        <v>0</v>
      </c>
    </row>
    <row r="10" spans="1:24" x14ac:dyDescent="0.35">
      <c r="C10" s="30"/>
      <c r="G10" s="31" t="s">
        <v>21</v>
      </c>
      <c r="H10" s="32">
        <f>SUM(H5:H9)</f>
        <v>0</v>
      </c>
    </row>
  </sheetData>
  <mergeCells count="4">
    <mergeCell ref="A2:H2"/>
    <mergeCell ref="D3:E3"/>
    <mergeCell ref="F3:F4"/>
    <mergeCell ref="G3:H3"/>
  </mergeCells>
  <conditionalFormatting sqref="B7">
    <cfRule type="containsText" dxfId="2" priority="1" operator="containsText" text="NRC">
      <formula>NOT(ISERROR(SEARCH("NRC",B7)))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8CEE-D9CB-4A48-B514-4B25CFFF523F}">
  <sheetPr>
    <tabColor rgb="FFFFFF00"/>
  </sheetPr>
  <dimension ref="A1:Y11"/>
  <sheetViews>
    <sheetView workbookViewId="0">
      <selection activeCell="E14" sqref="E14"/>
    </sheetView>
  </sheetViews>
  <sheetFormatPr defaultColWidth="10" defaultRowHeight="14.5" x14ac:dyDescent="0.35"/>
  <cols>
    <col min="1" max="1" width="12.81640625" style="3" customWidth="1"/>
    <col min="2" max="2" width="39.90625" style="3" bestFit="1" customWidth="1"/>
    <col min="3" max="3" width="14.36328125" style="3" customWidth="1"/>
    <col min="4" max="4" width="13.54296875" style="3" customWidth="1"/>
    <col min="5" max="5" width="15.54296875" style="3" customWidth="1"/>
    <col min="6" max="6" width="13.08984375" style="3" bestFit="1" customWidth="1"/>
    <col min="7" max="7" width="15.90625" style="3" customWidth="1"/>
    <col min="8" max="8" width="19" style="3" customWidth="1"/>
    <col min="9" max="9" width="10" style="3"/>
    <col min="10" max="10" width="12.453125" bestFit="1" customWidth="1"/>
    <col min="11" max="11" width="15" bestFit="1" customWidth="1"/>
    <col min="13" max="13" width="12.1796875" bestFit="1" customWidth="1"/>
    <col min="14" max="14" width="15.08984375" bestFit="1" customWidth="1"/>
    <col min="15" max="15" width="17.1796875" bestFit="1" customWidth="1"/>
    <col min="16" max="16" width="13.08984375" bestFit="1" customWidth="1"/>
    <col min="17" max="17" width="14.36328125" customWidth="1"/>
    <col min="19" max="19" width="13.90625" bestFit="1" customWidth="1"/>
    <col min="23" max="23" width="15" bestFit="1" customWidth="1"/>
    <col min="26" max="16384" width="10" style="3"/>
  </cols>
  <sheetData>
    <row r="1" spans="1:25" ht="15.5" x14ac:dyDescent="0.35">
      <c r="A1" s="1" t="s">
        <v>26</v>
      </c>
      <c r="B1" s="2"/>
    </row>
    <row r="2" spans="1:25" ht="21.75" customHeight="1" x14ac:dyDescent="0.35">
      <c r="A2" s="4" t="s">
        <v>43</v>
      </c>
      <c r="B2" s="4"/>
      <c r="C2" s="4"/>
      <c r="D2" s="4"/>
      <c r="E2" s="4"/>
      <c r="F2" s="5"/>
      <c r="G2" s="4"/>
      <c r="H2" s="4"/>
    </row>
    <row r="3" spans="1:25" s="13" customFormat="1" ht="15.5" x14ac:dyDescent="0.35">
      <c r="A3" s="6"/>
      <c r="B3" s="7"/>
      <c r="C3" s="6"/>
      <c r="D3" s="8" t="s">
        <v>1</v>
      </c>
      <c r="E3" s="9"/>
      <c r="F3" s="10" t="s">
        <v>2</v>
      </c>
      <c r="G3" s="11" t="s">
        <v>20</v>
      </c>
      <c r="H3" s="12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x14ac:dyDescent="0.35">
      <c r="A4" s="14" t="s">
        <v>3</v>
      </c>
      <c r="B4" s="15" t="s">
        <v>4</v>
      </c>
      <c r="C4" s="16" t="s">
        <v>5</v>
      </c>
      <c r="D4" s="17" t="s">
        <v>6</v>
      </c>
      <c r="E4" s="18" t="s">
        <v>7</v>
      </c>
      <c r="F4" s="19"/>
      <c r="G4" s="20" t="s">
        <v>6</v>
      </c>
      <c r="H4" s="21" t="s">
        <v>7</v>
      </c>
    </row>
    <row r="5" spans="1:25" x14ac:dyDescent="0.35">
      <c r="A5" s="22" t="s">
        <v>8</v>
      </c>
      <c r="B5" s="23" t="s">
        <v>9</v>
      </c>
      <c r="C5" s="24"/>
      <c r="D5" s="25">
        <v>4100</v>
      </c>
      <c r="E5" s="26">
        <f>C5*D5</f>
        <v>0</v>
      </c>
      <c r="F5" s="27">
        <v>12</v>
      </c>
      <c r="G5" s="28">
        <f>D5*F5</f>
        <v>49200</v>
      </c>
      <c r="H5" s="26">
        <f>C5*G5</f>
        <v>0</v>
      </c>
    </row>
    <row r="6" spans="1:25" x14ac:dyDescent="0.35">
      <c r="A6" s="22" t="s">
        <v>10</v>
      </c>
      <c r="B6" s="23" t="s">
        <v>11</v>
      </c>
      <c r="C6" s="24"/>
      <c r="D6" s="25">
        <v>4100</v>
      </c>
      <c r="E6" s="26">
        <f>C6*D6</f>
        <v>0</v>
      </c>
      <c r="F6" s="25">
        <v>12</v>
      </c>
      <c r="G6" s="28">
        <f>D6</f>
        <v>4100</v>
      </c>
      <c r="H6" s="26">
        <f>C6*G6</f>
        <v>0</v>
      </c>
    </row>
    <row r="7" spans="1:25" x14ac:dyDescent="0.35">
      <c r="A7" s="22" t="s">
        <v>12</v>
      </c>
      <c r="B7" s="29" t="s">
        <v>13</v>
      </c>
      <c r="C7" s="24"/>
      <c r="D7" s="25">
        <v>1</v>
      </c>
      <c r="E7" s="26">
        <f>C7*D7</f>
        <v>0</v>
      </c>
      <c r="F7" s="25">
        <v>1</v>
      </c>
      <c r="G7" s="28">
        <f>D7*F7</f>
        <v>1</v>
      </c>
      <c r="H7" s="26">
        <f>C7*G7</f>
        <v>0</v>
      </c>
    </row>
    <row r="8" spans="1:25" x14ac:dyDescent="0.35">
      <c r="A8" s="22" t="s">
        <v>14</v>
      </c>
      <c r="B8" s="23" t="s">
        <v>15</v>
      </c>
      <c r="C8" s="24"/>
      <c r="D8" s="25">
        <v>515</v>
      </c>
      <c r="E8" s="26">
        <f>C8*D8</f>
        <v>0</v>
      </c>
      <c r="F8" s="25">
        <v>12</v>
      </c>
      <c r="G8" s="28">
        <f>D8*F8</f>
        <v>6180</v>
      </c>
      <c r="H8" s="26">
        <f>C8*G8</f>
        <v>0</v>
      </c>
    </row>
    <row r="9" spans="1:25" x14ac:dyDescent="0.35">
      <c r="A9" s="22" t="s">
        <v>16</v>
      </c>
      <c r="B9" s="23" t="s">
        <v>17</v>
      </c>
      <c r="C9" s="24"/>
      <c r="D9" s="25">
        <v>515</v>
      </c>
      <c r="E9" s="26">
        <f t="shared" ref="E9" si="0">C9*D9</f>
        <v>0</v>
      </c>
      <c r="F9" s="25">
        <v>12</v>
      </c>
      <c r="G9" s="28">
        <f t="shared" ref="G9" si="1">D9*F9</f>
        <v>6180</v>
      </c>
      <c r="H9" s="26">
        <f t="shared" ref="H9" si="2">C9*G9</f>
        <v>0</v>
      </c>
    </row>
    <row r="10" spans="1:25" x14ac:dyDescent="0.35">
      <c r="C10" s="30"/>
      <c r="G10" s="31" t="s">
        <v>19</v>
      </c>
      <c r="H10" s="32">
        <f>SUM(H5:H9)</f>
        <v>0</v>
      </c>
    </row>
    <row r="11" spans="1:25" x14ac:dyDescent="0.35">
      <c r="G11" s="31" t="s">
        <v>18</v>
      </c>
      <c r="H11" s="32">
        <f>H10*5</f>
        <v>0</v>
      </c>
    </row>
  </sheetData>
  <mergeCells count="4">
    <mergeCell ref="A2:H2"/>
    <mergeCell ref="D3:E3"/>
    <mergeCell ref="F3:F4"/>
    <mergeCell ref="G3:H3"/>
  </mergeCells>
  <conditionalFormatting sqref="B7">
    <cfRule type="containsText" dxfId="1" priority="1" operator="containsText" text="NRC">
      <formula>NOT(ISERROR(SEARCH("NRC",B7)))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2E2F-22EF-4CB9-8897-D5F332C49110}">
  <sheetPr>
    <tabColor rgb="FFFFFF00"/>
  </sheetPr>
  <dimension ref="A1:X10"/>
  <sheetViews>
    <sheetView workbookViewId="0"/>
  </sheetViews>
  <sheetFormatPr defaultColWidth="10" defaultRowHeight="14.5" x14ac:dyDescent="0.35"/>
  <cols>
    <col min="1" max="1" width="12.81640625" style="3" customWidth="1"/>
    <col min="2" max="2" width="39.90625" style="3" bestFit="1" customWidth="1"/>
    <col min="3" max="3" width="14.36328125" style="3" customWidth="1"/>
    <col min="4" max="4" width="13.54296875" style="3" customWidth="1"/>
    <col min="5" max="5" width="15.54296875" style="3" customWidth="1"/>
    <col min="6" max="6" width="13.08984375" style="3" bestFit="1" customWidth="1"/>
    <col min="7" max="7" width="23.36328125" style="3" bestFit="1" customWidth="1"/>
    <col min="8" max="8" width="19" style="3" customWidth="1"/>
    <col min="9" max="9" width="10" style="3"/>
    <col min="13" max="13" width="12.1796875" bestFit="1" customWidth="1"/>
    <col min="14" max="14" width="15.453125" bestFit="1" customWidth="1"/>
    <col min="15" max="15" width="17.1796875" bestFit="1" customWidth="1"/>
    <col min="16" max="16" width="13.08984375" bestFit="1" customWidth="1"/>
    <col min="17" max="17" width="14.36328125" customWidth="1"/>
    <col min="19" max="19" width="11.08984375" bestFit="1" customWidth="1"/>
    <col min="22" max="22" width="15" bestFit="1" customWidth="1"/>
    <col min="25" max="16384" width="10" style="3"/>
  </cols>
  <sheetData>
    <row r="1" spans="1:24" ht="15.5" x14ac:dyDescent="0.35">
      <c r="A1" s="1" t="s">
        <v>22</v>
      </c>
      <c r="B1" s="2"/>
    </row>
    <row r="2" spans="1:24" ht="21.75" customHeight="1" x14ac:dyDescent="0.35">
      <c r="A2" s="4" t="s">
        <v>43</v>
      </c>
      <c r="B2" s="4"/>
      <c r="C2" s="4"/>
      <c r="D2" s="4"/>
      <c r="E2" s="4"/>
      <c r="F2" s="5"/>
      <c r="G2" s="4"/>
      <c r="H2" s="4"/>
    </row>
    <row r="3" spans="1:24" s="13" customFormat="1" ht="15.5" x14ac:dyDescent="0.35">
      <c r="A3" s="6"/>
      <c r="B3" s="7"/>
      <c r="C3" s="6"/>
      <c r="D3" s="8" t="s">
        <v>1</v>
      </c>
      <c r="E3" s="9"/>
      <c r="F3" s="10" t="s">
        <v>2</v>
      </c>
      <c r="G3" s="11" t="s">
        <v>23</v>
      </c>
      <c r="H3" s="12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 x14ac:dyDescent="0.35">
      <c r="A4" s="14" t="s">
        <v>3</v>
      </c>
      <c r="B4" s="15" t="s">
        <v>4</v>
      </c>
      <c r="C4" s="16" t="s">
        <v>5</v>
      </c>
      <c r="D4" s="17" t="s">
        <v>6</v>
      </c>
      <c r="E4" s="18" t="s">
        <v>7</v>
      </c>
      <c r="F4" s="19"/>
      <c r="G4" s="20" t="s">
        <v>6</v>
      </c>
      <c r="H4" s="21" t="s">
        <v>7</v>
      </c>
    </row>
    <row r="5" spans="1:24" x14ac:dyDescent="0.35">
      <c r="A5" s="22" t="s">
        <v>8</v>
      </c>
      <c r="B5" s="23" t="s">
        <v>9</v>
      </c>
      <c r="C5" s="24"/>
      <c r="D5" s="25">
        <v>4100</v>
      </c>
      <c r="E5" s="26">
        <f>C5*D5</f>
        <v>0</v>
      </c>
      <c r="F5" s="27">
        <v>6</v>
      </c>
      <c r="G5" s="28">
        <f>D5*F5</f>
        <v>24600</v>
      </c>
      <c r="H5" s="26">
        <f>C5*G5</f>
        <v>0</v>
      </c>
    </row>
    <row r="6" spans="1:24" x14ac:dyDescent="0.35">
      <c r="A6" s="22" t="s">
        <v>10</v>
      </c>
      <c r="B6" s="23" t="s">
        <v>11</v>
      </c>
      <c r="C6" s="24"/>
      <c r="D6" s="25">
        <v>4100</v>
      </c>
      <c r="E6" s="26">
        <f>C6*D6</f>
        <v>0</v>
      </c>
      <c r="F6" s="25">
        <v>6</v>
      </c>
      <c r="G6" s="28">
        <f>D6</f>
        <v>4100</v>
      </c>
      <c r="H6" s="26">
        <f>C6*G6</f>
        <v>0</v>
      </c>
    </row>
    <row r="7" spans="1:24" x14ac:dyDescent="0.35">
      <c r="A7" s="22" t="s">
        <v>12</v>
      </c>
      <c r="B7" s="29" t="s">
        <v>13</v>
      </c>
      <c r="C7" s="24"/>
      <c r="D7" s="25">
        <v>0</v>
      </c>
      <c r="E7" s="26">
        <f>C7*D7</f>
        <v>0</v>
      </c>
      <c r="F7" s="25">
        <v>0</v>
      </c>
      <c r="G7" s="28">
        <f>D7*F7</f>
        <v>0</v>
      </c>
      <c r="H7" s="26">
        <f>C7*G7</f>
        <v>0</v>
      </c>
    </row>
    <row r="8" spans="1:24" x14ac:dyDescent="0.35">
      <c r="A8" s="22" t="s">
        <v>14</v>
      </c>
      <c r="B8" s="23" t="s">
        <v>15</v>
      </c>
      <c r="C8" s="24"/>
      <c r="D8" s="25">
        <v>515</v>
      </c>
      <c r="E8" s="26">
        <f>C8*D8</f>
        <v>0</v>
      </c>
      <c r="F8" s="25">
        <v>6</v>
      </c>
      <c r="G8" s="28">
        <f>D8*F8</f>
        <v>3090</v>
      </c>
      <c r="H8" s="26">
        <f>C8*G8</f>
        <v>0</v>
      </c>
    </row>
    <row r="9" spans="1:24" x14ac:dyDescent="0.35">
      <c r="A9" s="22" t="s">
        <v>16</v>
      </c>
      <c r="B9" s="23" t="s">
        <v>17</v>
      </c>
      <c r="C9" s="24"/>
      <c r="D9" s="25">
        <v>515</v>
      </c>
      <c r="E9" s="26">
        <f t="shared" ref="E9" si="0">C9*D9</f>
        <v>0</v>
      </c>
      <c r="F9" s="25">
        <v>6</v>
      </c>
      <c r="G9" s="28">
        <f t="shared" ref="G9" si="1">D9*F9</f>
        <v>3090</v>
      </c>
      <c r="H9" s="26">
        <f t="shared" ref="H9" si="2">C9*G9</f>
        <v>0</v>
      </c>
    </row>
    <row r="10" spans="1:24" x14ac:dyDescent="0.35">
      <c r="C10" s="30"/>
      <c r="G10" s="31" t="s">
        <v>21</v>
      </c>
      <c r="H10" s="32">
        <f>SUM(H5:H9)</f>
        <v>0</v>
      </c>
    </row>
  </sheetData>
  <mergeCells count="4">
    <mergeCell ref="A2:H2"/>
    <mergeCell ref="D3:E3"/>
    <mergeCell ref="F3:F4"/>
    <mergeCell ref="G3:H3"/>
  </mergeCells>
  <conditionalFormatting sqref="B7">
    <cfRule type="containsText" dxfId="0" priority="1" operator="containsText" text="NRC">
      <formula>NOT(ISERROR(SEARCH("NRC",B7)))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1862C879F10142814314F4BAEC9E93" ma:contentTypeVersion="14" ma:contentTypeDescription="Create a new document." ma:contentTypeScope="" ma:versionID="6db61de5ffd19111f31d88cf125159d0">
  <xsd:schema xmlns:xsd="http://www.w3.org/2001/XMLSchema" xmlns:xs="http://www.w3.org/2001/XMLSchema" xmlns:p="http://schemas.microsoft.com/office/2006/metadata/properties" xmlns:ns1="http://schemas.microsoft.com/sharepoint/v3" xmlns:ns2="2d6b5a97-a815-41d7-985e-2793369d1f92" xmlns:ns3="592a19b6-93c2-452f-8faf-7bc0c80e642f" targetNamespace="http://schemas.microsoft.com/office/2006/metadata/properties" ma:root="true" ma:fieldsID="5ee31a74761d4264350a5e2becf161b0" ns1:_="" ns2:_="" ns3:_="">
    <xsd:import namespace="http://schemas.microsoft.com/sharepoint/v3"/>
    <xsd:import namespace="2d6b5a97-a815-41d7-985e-2793369d1f92"/>
    <xsd:import namespace="592a19b6-93c2-452f-8faf-7bc0c80e642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b5a97-a815-41d7-985e-2793369d1f9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63eb7d55-df8e-47f7-9685-4fca57e0f0e8}" ma:internalName="TaxCatchAll" ma:showField="CatchAllData" ma:web="2d6b5a97-a815-41d7-985e-2793369d1f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a19b6-93c2-452f-8faf-7bc0c80e64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d6b5a97-a815-41d7-985e-2793369d1f92" xsi:nil="true"/>
    <lcf76f155ced4ddcb4097134ff3c332f xmlns="592a19b6-93c2-452f-8faf-7bc0c80e642f">
      <Terms xmlns="http://schemas.microsoft.com/office/infopath/2007/PartnerControls"/>
    </lcf76f155ced4ddcb4097134ff3c332f>
    <_dlc_DocId xmlns="2d6b5a97-a815-41d7-985e-2793369d1f92">F6AMVMA6MDTF-1065910807-474092</_dlc_DocId>
    <_dlc_DocIdUrl xmlns="2d6b5a97-a815-41d7-985e-2793369d1f92">
      <Url>https://flankspeed.sharepoint-mil.us/sites/NAVSUP_FLCN_C200/_layouts/15/DocIdRedir.aspx?ID=F6AMVMA6MDTF-1065910807-474092</Url>
      <Description>F6AMVMA6MDTF-1065910807-474092</Description>
    </_dlc_DocIdUrl>
  </documentManagement>
</p:properties>
</file>

<file path=customXml/itemProps1.xml><?xml version="1.0" encoding="utf-8"?>
<ds:datastoreItem xmlns:ds="http://schemas.openxmlformats.org/officeDocument/2006/customXml" ds:itemID="{6C06E428-F365-4335-B522-886BEC31E672}"/>
</file>

<file path=customXml/itemProps2.xml><?xml version="1.0" encoding="utf-8"?>
<ds:datastoreItem xmlns:ds="http://schemas.openxmlformats.org/officeDocument/2006/customXml" ds:itemID="{862FEB71-562A-495D-97AA-C1E68E977DE9}"/>
</file>

<file path=customXml/itemProps3.xml><?xml version="1.0" encoding="utf-8"?>
<ds:datastoreItem xmlns:ds="http://schemas.openxmlformats.org/officeDocument/2006/customXml" ds:itemID="{9974BC47-6825-4991-924B-3B8A6E4FC51C}"/>
</file>

<file path=customXml/itemProps4.xml><?xml version="1.0" encoding="utf-8"?>
<ds:datastoreItem xmlns:ds="http://schemas.openxmlformats.org/officeDocument/2006/customXml" ds:itemID="{76FC67BF-EBA3-4121-B349-972A583A5329}"/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CLINs</vt:lpstr>
      <vt:lpstr>Base_Norfolk</vt:lpstr>
      <vt:lpstr>-8 Period_Norfolk</vt:lpstr>
      <vt:lpstr>Base_Mechanicsburg </vt:lpstr>
      <vt:lpstr>-8 Period_Mechanicsburg</vt:lpstr>
      <vt:lpstr>Base_NSA Philadelphi</vt:lpstr>
      <vt:lpstr>-8 Period_NSA Philadelphi</vt:lpstr>
      <vt:lpstr>Base_PNYA</vt:lpstr>
      <vt:lpstr>-8 Period_PNYA</vt:lpstr>
      <vt:lpstr>Base_Great Lakes</vt:lpstr>
      <vt:lpstr>-8 Period_Great Lakes</vt:lpstr>
      <vt:lpstr>Base_Key West</vt:lpstr>
      <vt:lpstr>-8 Period_Key West</vt:lpstr>
      <vt:lpstr>Base_Little Creek</vt:lpstr>
      <vt:lpstr>-8 Period_Little Creek</vt:lpstr>
      <vt:lpstr>'-8 Period_Norfolk'!Print_Titles</vt:lpstr>
      <vt:lpstr>Base_Norfolk!Print_Titles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Ballance, Samantha A CIV USN NAVSUP FLCN (USA)</dc:creator>
  <cp:lastModifiedBy>Ballance, Samantha A CIV USN NAVSUP FLCN (USA)</cp:lastModifiedBy>
  <dcterms:created xsi:type="dcterms:W3CDTF">2026-04-20T13:14:39Z</dcterms:created>
  <dcterms:modified xsi:type="dcterms:W3CDTF">2026-04-20T13:46:11Z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0x010100951862C879F10142814314F4BAEC9E93</vt:lpwstr>
  </property>
  <property fmtid="{D5CDD505-2E9C-101B-9397-08002B2CF9AE}" pid="3" name="_dlc_DocIdItemGuid">
    <vt:lpwstr>6ad5e25f-914f-40cc-bac1-ef0a0d8cf0c2</vt:lpwstr>
  </property>
</Properties>
</file>