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usaf-my.dps.mil/personal/jason_kyles_1_us_af_mil/Documents/Desktop/WL/WL Riddle Efforts/Acq AI/RFI/"/>
    </mc:Choice>
  </mc:AlternateContent>
  <xr:revisionPtr revIDLastSave="0" documentId="8_{73F658FB-418D-41C2-A2CE-ACE0BAF7F3FE}" xr6:coauthVersionLast="47" xr6:coauthVersionMax="47" xr10:uidLastSave="{00000000-0000-0000-0000-000000000000}"/>
  <bookViews>
    <workbookView xWindow="-120" yWindow="90" windowWidth="29040" windowHeight="15510" xr2:uid="{A381500E-9F3B-487E-93FC-12927EA5C8F5}"/>
  </bookViews>
  <sheets>
    <sheet name="RFI Ingest Form" sheetId="2" r:id="rId1"/>
    <sheet name="(backup) Dropdown Menu Options" sheetId="3" r:id="rId2"/>
  </sheets>
  <definedNames>
    <definedName name="_xlnm._FilterDatabase" localSheetId="0" hidden="1">'RFI Ingest Form'!$A$4:$F$4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6" i="2" l="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5" i="2"/>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alcChain>
</file>

<file path=xl/sharedStrings.xml><?xml version="1.0" encoding="utf-8"?>
<sst xmlns="http://schemas.openxmlformats.org/spreadsheetml/2006/main" count="384" uniqueCount="157">
  <si>
    <t>Section 1: Vendor Information</t>
  </si>
  <si>
    <t>Phase I: Requirements Definition through Contract Award</t>
  </si>
  <si>
    <t>1. Supported Activities (Select all that apply)</t>
  </si>
  <si>
    <t>• Operational Need Validation</t>
  </si>
  <si>
    <t>• Requirements Analysis</t>
  </si>
  <si>
    <t>• Stakeholder Engagement</t>
  </si>
  <si>
    <t>• Market Research/Technology Assessment</t>
  </si>
  <si>
    <t>• Risk Assessment</t>
  </si>
  <si>
    <t>• Acquisition Strategy Development</t>
  </si>
  <si>
    <t>• Solicitation Development</t>
  </si>
  <si>
    <t>• Proposal Evaluation</t>
  </si>
  <si>
    <t>• Source Selection evaluation and Award</t>
  </si>
  <si>
    <t>• Requirements/Capability Development</t>
  </si>
  <si>
    <t>• Program Management</t>
  </si>
  <si>
    <t>• Contracting</t>
  </si>
  <si>
    <t>• Financial Management/Cost Estimating/Budget Estimation/Auditing</t>
  </si>
  <si>
    <t>• Life Cycle Logistics/Product Support Management (PSM)</t>
  </si>
  <si>
    <t>• Engineering/Model Based Systems Engineering (MBSE)/Technical Management</t>
  </si>
  <si>
    <t>• Test &amp; Evaluation</t>
  </si>
  <si>
    <t>• Security/Counterintelligence</t>
  </si>
  <si>
    <t>• Legal/Compliance</t>
  </si>
  <si>
    <t>• Workflow Automation</t>
  </si>
  <si>
    <t>• Document Management</t>
  </si>
  <si>
    <t>• Modeling/Simulation</t>
  </si>
  <si>
    <t>• Analytics</t>
  </si>
  <si>
    <t>• Decision Support</t>
  </si>
  <si>
    <t>4. Required Input (Data and Format)</t>
  </si>
  <si>
    <t>5. Produced Output (Data and Format)</t>
  </si>
  <si>
    <t>6. Government Purpose Rights (GPR) Confirmation</t>
  </si>
  <si>
    <t>Instructions: Indicate whether all outputs generated by your tool are provided with Government Purpose Rights (GPR). If not, please explain any limitations or exceptions.</t>
  </si>
  <si>
    <t>• Yes, all outputs provided with GPR</t>
  </si>
  <si>
    <t>7. Hosting Options and Information Boundaries</t>
  </si>
  <si>
    <t>8. Workflow/Integration</t>
  </si>
  <si>
    <t>9. Approach and Performance</t>
  </si>
  <si>
    <t>10. Trustworthiness</t>
  </si>
  <si>
    <t>11. Expected Outcomes/Benefits</t>
  </si>
  <si>
    <t>12. Relevant Example/Case Study</t>
  </si>
  <si>
    <t>Phase II: Procurement (Contract Execution) through Fielding</t>
  </si>
  <si>
    <t>• Contract Management (formal Service Level Agreement (SLA) with infrastructure provider for service scope and Authority to Operate/Authority to Connect (ATO/ATC) inheritance)</t>
  </si>
  <si>
    <t>• System Integration (Cloud Native Computing Foundation (CNCF)-certified Kubernetes/service mesh; artifact repository usage; DoW Centralized Artifact Repository (DCAR) hardened containers)</t>
  </si>
  <si>
    <t>• Financial performance assessments (track cost/benefit and ROI improvements from automation and issue tracking)</t>
  </si>
  <si>
    <t>• Assessing development and developer maturity (DevSecOps Maturity Model assessment per DoW DevSecOps Playbook)</t>
  </si>
  <si>
    <t>• Testing/Evaluation (unit, integration, system, performance, acceptance tests; Static Application Security Test (SAST)/Dynamic AST (DAST)/Interactive ASTIAST; compliance scans)</t>
  </si>
  <si>
    <t>• Training Development and Delivery (team onboarding; DevSecOps concepts/tools; secure coding practices)</t>
  </si>
  <si>
    <t>• Fielding/Deployment (CI/CD automation; post-deployment checkout/smoke tests; rolling update/rollback; security scans; IaC/SaC configuration automation)</t>
  </si>
  <si>
    <t>• Configuration Management (Configuration Management Database (CMDB); Git/versioning; artifact tagging; checksums and digital signatures)</t>
  </si>
  <si>
    <t>• Quality Assurance (test coverage measurement and reporting)</t>
  </si>
  <si>
    <t>• Data Management (data masking; encryption at rest and in transit)</t>
  </si>
  <si>
    <t>• Schedule Management (project tasking and release planning/scheduling)</t>
  </si>
  <si>
    <t>• Risk Management (vulnerability management; dependency/Bill of Material (BOM) checks; Information Security Continuous Monitoring planning)</t>
  </si>
  <si>
    <t>• Supplier/Vendor Coordination (use Cloud Service Provider (CSP) DevSecOps services and DCAR; plan authorization inheritance via SLA)</t>
  </si>
  <si>
    <t>System Performance Verification (logging/telemetry pipeline; operations dashboard readiness)</t>
  </si>
  <si>
    <t>• Cost/Budget Estimation</t>
  </si>
  <si>
    <t>• Logistics/Product Support Management (PSM)</t>
  </si>
  <si>
    <t>• Engineering/Model Based Systems Engineering (MBSE)</t>
  </si>
  <si>
    <t>Instructions: Briefly describe the types of data and file formats your tool requires to operate (e.g., test plans in PDF, integration requirements in Excel, training materials in Word).</t>
  </si>
  <si>
    <t>Instructions: Briefly describe the types of data and file formats your tool produces or delivers (e.g., test reports in PDF, training completion certificates in Word, fielding status dashboards).</t>
  </si>
  <si>
    <t>7. Workflow/Integration</t>
  </si>
  <si>
    <t>8. Analytics/Algorithms Description</t>
  </si>
  <si>
    <t>9. Expected Outcomes/Benefits</t>
  </si>
  <si>
    <t>10. Relevant Example/Case Study</t>
  </si>
  <si>
    <t>11. Data Rights Limitations/Vendor Lock Prevention</t>
  </si>
  <si>
    <t>Phase III: Product Support/Sustainment</t>
  </si>
  <si>
    <t>• Product Support/Sustainment planning and governance (hardware product support plans; software SAP/DevSecOps model)</t>
  </si>
  <si>
    <t>• Maintenance and updates (hardware preventive/corrective repair; software patches/releases)</t>
  </si>
  <si>
    <t>• Performance monitoring and observability (hardware health/telemetry; software logs/metrics/traces, Service Level Objectives (SLO))</t>
  </si>
  <si>
    <t>• Cybersecurity and RMF/ATO (hardware STIG/vulnerability management; software continuous monitoring/cATO)</t>
  </si>
  <si>
    <t>• Configuration, interfaces, and change control (hardware baselines/interface control; software Git/versioning, API/schema management)</t>
  </si>
  <si>
    <t>• Reliability, availability, and resilience (hardware Reliability and Maintainability (R&amp;M) analysis; software failover/rollback, Recovery Time Objective (RTO)/Recovery Point Objective (RPO))</t>
  </si>
  <si>
    <t>• Obsolescence and refresh (hardware End of Life (EoL)/tech insertion; software Operating System (OS)/framework/library EoL)</t>
  </si>
  <si>
    <t>• Supply chain and asset management (hardware spares/inventory hardware BOM; software BOM (SBOM) and license management)</t>
  </si>
  <si>
    <t>• Environment and platform operations (hardware support equipment/facilities; software cloud/containers, Infrastructure as Code (IaC))</t>
  </si>
  <si>
    <t>• Release, deployment, and operations management (hardware fielding kits/Technical Orders (TO); software CI/CD, staged rollouts, incident/change)</t>
  </si>
  <si>
    <t>• Feedback, metrics, and continuous improvement (hardware user/maintainer feedback; software telemetry, DevOps Research and Assessment (DORA)/ Mean-Time to Recovery (MTTR), retrospectives)</t>
  </si>
  <si>
    <t>• Documentation and training (hardware tech manuals and operator/maintainer training; software runbooks, release notes, Application Programming Interface (API) docs)</t>
  </si>
  <si>
    <t>• Risk management (hardware technical/cyber/supply chain/obsolescence/capacity; software vulnerabilities, supply chain/SBOM risk, technical debt)</t>
  </si>
  <si>
    <t>• Data Analytics</t>
  </si>
  <si>
    <t>• Maintenance</t>
  </si>
  <si>
    <t>• Quality Assurance</t>
  </si>
  <si>
    <t>Section 3: Pricing</t>
  </si>
  <si>
    <t>Instructions: please provide a summary of your pricing approach, a rough order of magnitude cost estimate for your overall solution, and the format of your cost model. Attach a sample cost model document if available.</t>
  </si>
  <si>
    <t>• Enterprise License</t>
  </si>
  <si>
    <t>• Per User License</t>
  </si>
  <si>
    <t>• Per Transaction/Usage</t>
  </si>
  <si>
    <t>• Subscription</t>
  </si>
  <si>
    <t>b. Rough Order of Magnitude (ROM) Cost Estimate</t>
  </si>
  <si>
    <t>• Excel</t>
  </si>
  <si>
    <t>• PDF</t>
  </si>
  <si>
    <t>• Proprietary Tool</t>
  </si>
  <si>
    <t>d. Attach Cost Model Document</t>
  </si>
  <si>
    <t>Section 4: Additional Comments or Attachments</t>
  </si>
  <si>
    <t>Company Name:</t>
  </si>
  <si>
    <t>Company Website Address:</t>
  </si>
  <si>
    <t>Point of Contact Name:</t>
  </si>
  <si>
    <t>Point of Contact Email:</t>
  </si>
  <si>
    <t>Tool/Product Name:</t>
  </si>
  <si>
    <t>Tool URL:</t>
  </si>
  <si>
    <t>Tool Technology Readiness Level (TRL):</t>
  </si>
  <si>
    <t>Tool DoW Impact Level (IL) Certification Level (e.g., IL5/6):</t>
  </si>
  <si>
    <t>Section</t>
  </si>
  <si>
    <t>Prompt</t>
  </si>
  <si>
    <t>Response</t>
  </si>
  <si>
    <t>Tool Cybersecurity Maturity Model Certification (CMMC) Level (e.g., Level 2)</t>
  </si>
  <si>
    <t>IL 5/6 Future Implementation. If your tool is not currently IL5/6, do you have a plan to secure those certifications level(s)? (Y/N)</t>
  </si>
  <si>
    <t>If yes, anticipated release date:</t>
  </si>
  <si>
    <t>Trial License Available (if yes, indicate duration):</t>
  </si>
  <si>
    <t>Section 2: Scenario-Based AI Tool Capability Response</t>
  </si>
  <si>
    <t>1. Supported Activities (yes/no)</t>
  </si>
  <si>
    <t>2. Functional Area (yes/no)</t>
  </si>
  <si>
    <t>3. Potential AI/DE Tool Type (yes/no)</t>
  </si>
  <si>
    <t>2. Functional Category (yes/no)</t>
  </si>
  <si>
    <t>a. Pricing Approach (yes/no)</t>
  </si>
  <si>
    <t>c. Cost Model Format (yes/no)</t>
  </si>
  <si>
    <t>(Optional: Insert supporting cost model file name)</t>
  </si>
  <si>
    <t>3. Potential AI Tool Type (yes/no)</t>
  </si>
  <si>
    <t>1. Supported Activities (dropdown menu yes/no/N/A)</t>
  </si>
  <si>
    <t>YES</t>
  </si>
  <si>
    <t>NO</t>
  </si>
  <si>
    <t>Not Applicable</t>
  </si>
  <si>
    <t>YES/NO/Not Applicable</t>
  </si>
  <si>
    <t>Tool Secure / “Locker” Development Environment(s). Explain how tool supports secure, isolated development environments (“lockers”) for controlled feature development, testing, and promotion of artifacts (max 2000 characters):</t>
  </si>
  <si>
    <t>Company DoW PlatformOne Experience? If yes, describe (max 2000 characters):</t>
  </si>
  <si>
    <t>Tool/Product Description (max 2000 characters):</t>
  </si>
  <si>
    <t>• Other (max 2000 characters):</t>
  </si>
  <si>
    <t>Instructions: Briefly describe the types of data and file formats your tool requires to operate (e.g., SysML models, PDF requirements, UON documents). (max 2000 characters)</t>
  </si>
  <si>
    <t>Instructions: Briefly describe the types of data and file formats your tool produces or delivers (e.g., requirements document in PDF, RFP in Word). (max 2000 characters)</t>
  </si>
  <si>
    <t>• No (please explain): (max 2000 characters)</t>
  </si>
  <si>
    <t>Instructions: Briefly describe the components of the tool and where they are hosted. For example, is the solution a SaaS solution hosted on AWS Gov. (max 2000 characters)</t>
  </si>
  <si>
    <t>Instructions: Briefly describe how your tool integrates with other systems or processes, including compatibility with existing workflows and any next-step handoff capabilities. (max 2000 characters)</t>
  </si>
  <si>
    <t>Instructions: Briefly describe the analytics and algorithms used by your tool and describe the performance. Clearly state the quantitative and qualitative measures used to characterize tool performance and how well the tool performs on these measures. (max 2000 characters)</t>
  </si>
  <si>
    <t>Instructions: Below is a graphic depicting the NIST AI RMF 100-1 Characteristics of Trustworthy AI Systems. If the tool contains AI components, briefly describe overall alignment to these characteristics. Additionally, elaborate tool alignment with the Explainable &amp; Interpretable and Fair – With Harmful Bias Managed characteristics. Explain how users can understand or interpret the outputs of your model (e.g., what information is provided to show how decisions are made, what transparency tools or documentation are available, and how users can trace or audit model results). If you do not have the bandwidth to provide a detailed explanation, please provide a URL to documentation or resources that describe your tool’s explainability features, and the government will review them. (max 2000 characters)</t>
  </si>
  <si>
    <t>Instructions: Briefly describe the measurable improvements your tool delivers, such as increased speed, improved accuracy, risk reduction, or other quantifiable benefits. (max 2000 characters)</t>
  </si>
  <si>
    <t>Instructions: Provide a summary of a relevant example or case study demonstrating your tool’s effectiveness. (max 2000 characters) You may also attach a supporting document if available.</t>
  </si>
  <si>
    <t>• No (please explain) (max 2000 characters):</t>
  </si>
  <si>
    <t>Instructions: Briefly describe the analytics and algorithms used by your tool, including any bias mitigation strategies and explainability features. Specifically, explain how users can understand or interpret the outputs of your model (e.g., what information is provided to show how decisions are made, what transparency tools or documentation are available, and how users can trace or audit model results). If you do not have the bandwidth to provide a detailed explanation, please provide a URL to documentation or resources that describe your tool’s explainability features, and the government will review them. (max 2000 characters)</t>
  </si>
  <si>
    <t>Instructions: Briefly describe how your solution prevents vendor lock-in and any limitations on data rights associated with your tool. (max 2000 characters)</t>
  </si>
  <si>
    <t>Instructions: Briefly describe the types of data and file formats your tool requires to operate (e.g., maintenance logs in Excel, performance data in CSV, feedback forms in PDF). (max 2000 characters)</t>
  </si>
  <si>
    <t>Instructions: Briefly describe the types of data and file formats your tool produces or delivers (e.g., performance dashboards, maintenance schedules, cybersecurity assessment reports). (max 2000 characters)</t>
  </si>
  <si>
    <t>Instructions: Briefly describe the types of data and file formats your tool requires to operate (e.g., SysML models, PDF requirements, UON documents).  (max 2000 characters)</t>
  </si>
  <si>
    <t>Provide a summary of estimated costs for deployment and sustainment. Include assumptions or variables that may affect cost.</t>
  </si>
  <si>
    <t>TITLE: Current and Emerging Artificial Intelligence (AI) Tools to Accelerate Air Force Mobility Aircraft Acquisition Activities RFI Response Form</t>
  </si>
  <si>
    <t>(Optional) Insert elaboration here.</t>
  </si>
  <si>
    <t>(Optional) If yes, please provide contract(s) information here.</t>
  </si>
  <si>
    <t xml:space="preserve">Tool FedRAMP designation (Authorized, Ready, In-Process, None): </t>
  </si>
  <si>
    <t>FedRAMP Future Implementation. If none, do you have a plan to secure FedRAMP designation? (Y/N)</t>
  </si>
  <si>
    <t xml:space="preserve">Is this tool currently available for purchase through an existing federal contract vehicle (e.g., GSA Schedule)? </t>
  </si>
  <si>
    <t>(Optional) Insert duration here.</t>
  </si>
  <si>
    <t xml:space="preserve">Automation and User Involvement. Explain how the tool distributes work between automated functions and human users (i.e., tasks performed automatically versus tasks that require user input, and how users interact with the tool). (Max 2000 characters): </t>
  </si>
  <si>
    <t>Instructions: Indicate whether all outputs generated by your tool are provided with Government Purpose Rights (GPR) at a minimum. If not, please explain any limitations or exceptions.</t>
  </si>
  <si>
    <t>• Yes, all outputs provided with GPR (at a minimum)</t>
  </si>
  <si>
    <r>
      <t xml:space="preserve">Instructions: Limit each response to 2000 characters or less. Attach supporting documents if needed. Concise responses are acceptable, and vendors do not need to provide exhaustive documentation. Responses do not require proprietary or sensitive information.
Many tools only support one or two phases of the acquisition lifecycle, while others support all three in different ways. The question sets for Phases I–III are intentionally similar and may appear repetitive. This is by design.  </t>
    </r>
    <r>
      <rPr>
        <b/>
        <sz val="11"/>
        <color theme="1"/>
        <rFont val="Aptos Narrow"/>
        <family val="2"/>
        <scheme val="minor"/>
      </rPr>
      <t>Please respond only for the phases where your tool is applicable</t>
    </r>
    <r>
      <rPr>
        <sz val="11"/>
        <color theme="1"/>
        <rFont val="Aptos Narrow"/>
        <family val="2"/>
        <scheme val="minor"/>
      </rPr>
      <t xml:space="preserve">, and answer the questions </t>
    </r>
    <r>
      <rPr>
        <b/>
        <sz val="11"/>
        <color theme="1"/>
        <rFont val="Aptos Narrow"/>
        <family val="2"/>
        <scheme val="minor"/>
      </rPr>
      <t>from the perspective of how the tool is used in that phase</t>
    </r>
    <r>
      <rPr>
        <sz val="11"/>
        <color theme="1"/>
        <rFont val="Aptos Narrow"/>
        <family val="2"/>
        <scheme val="minor"/>
      </rPr>
      <t>.</t>
    </r>
  </si>
  <si>
    <t>6. Government Purpose Rights (GPR) Confirmation and Proprietary Limitations</t>
  </si>
  <si>
    <t>Instructions: Indicate whether outputs produced by your tool are provided with Government Purpose Rights (GPR) at a minimum. Discuss proprietary aspects and limitations on data rights.</t>
  </si>
  <si>
    <t>• No (please explain proprietary aspects and limitations on data rights): (max 2000 characters)</t>
  </si>
  <si>
    <t>RFI Line Reference #</t>
  </si>
  <si>
    <t>Instructions: Briefly describe how your tool integrates with other systems or processes, including compatibility with existing workflows and any next-step handoff capabilities. Support your description with specific examples of open architecture capabilities and API strategies. (max 2000 characters)</t>
  </si>
  <si>
    <r>
      <t xml:space="preserve">RFI Submission Instructions:
  •  Please keep each response concise (max 2000 characters per field).
  •  Use dropdowns and checkboxes where provided.
  •  Attach supporting documents as needed.
  •  Submit completed form by </t>
    </r>
    <r>
      <rPr>
        <b/>
        <sz val="12"/>
        <color rgb="FFFF0000"/>
        <rFont val="Aptos Narrow"/>
        <family val="2"/>
        <scheme val="minor"/>
      </rPr>
      <t>20 March 2026</t>
    </r>
    <r>
      <rPr>
        <b/>
        <sz val="12"/>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</si>
</sst>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i/>
      <sz val="11"/>
      <color theme="1"/>
      <name val="Aptos Narrow"/>
      <family val="2"/>
      <scheme val="minor"/>
    </font>
    <font>
      <b/>
      <sz val="12"/>
      <color theme="1"/>
      <name val="Aptos Display"/>
      <family val="2"/>
      <scheme val="major"/>
    </font>
    <font>
      <b/>
      <sz val="11"/>
      <color theme="1"/>
      <name val="Aptos Display"/>
      <family val="2"/>
      <scheme val="major"/>
    </font>
    <font>
      <b/>
      <sz val="12"/>
      <color theme="1"/>
      <name val="Aptos Narrow"/>
      <family val="2"/>
      <scheme val="minor"/>
    </font>
    <font>
      <u/>
      <sz val="11"/>
      <color theme="10"/>
      <name val="Aptos Narrow"/>
      <family val="2"/>
      <scheme val="minor"/>
    </font>
    <font>
      <b/>
      <sz val="12"/>
      <color rgb="FFFF0000"/>
      <name val="Aptos Narrow"/>
      <family val="2"/>
      <scheme val="minor"/>
    </font>
    <font>
      <b/>
      <sz val="8"/>
      <color theme="1"/>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6" fillId="0" borderId="0" applyNumberFormat="0" applyFill="0" applyBorder="0" applyAlignment="0" applyProtection="0"/>
  </cellStyleXfs>
  <cellXfs count="38">
    <xf numFmtId="0" fontId="0" fillId="0" borderId="0" xfId="0"/>
    <xf numFmtId="0" fontId="0" fillId="0" borderId="0" xfId="0" quotePrefix="1"/>
    <xf numFmtId="0" fontId="0" fillId="2" borderId="0" xfId="0" applyFill="1" applyAlignment="1" applyProtection="1">
      <alignment vertical="center" wrapText="1"/>
      <protection locked="0"/>
    </xf>
    <xf numFmtId="0" fontId="0" fillId="2" borderId="0" xfId="0" applyFill="1" applyAlignment="1" applyProtection="1">
      <alignment vertical="center"/>
      <protection locked="0"/>
    </xf>
    <xf numFmtId="0" fontId="0" fillId="0" borderId="0" xfId="0" applyProtection="1">
      <protection locked="0"/>
    </xf>
    <xf numFmtId="0" fontId="0" fillId="3" borderId="1" xfId="0" applyFill="1" applyBorder="1" applyAlignment="1" applyProtection="1">
      <alignment vertical="center" wrapText="1"/>
      <protection locked="0"/>
    </xf>
    <xf numFmtId="0" fontId="0" fillId="0" borderId="0" xfId="0" applyAlignment="1" applyProtection="1">
      <alignment vertical="center" wrapText="1"/>
      <protection locked="0"/>
    </xf>
    <xf numFmtId="0" fontId="0" fillId="0" borderId="0" xfId="0" applyAlignment="1" applyProtection="1">
      <alignment vertical="center"/>
      <protection locked="0"/>
    </xf>
    <xf numFmtId="0" fontId="1" fillId="0" borderId="0" xfId="0" applyFont="1" applyAlignment="1">
      <alignment horizontal="center" vertical="center" wrapText="1"/>
    </xf>
    <xf numFmtId="0" fontId="0" fillId="2" borderId="0" xfId="0" applyFill="1" applyAlignment="1">
      <alignment horizontal="center"/>
    </xf>
    <xf numFmtId="0" fontId="1" fillId="0" borderId="0" xfId="0" applyFont="1"/>
    <xf numFmtId="0" fontId="0" fillId="0" borderId="0" xfId="0" applyAlignment="1">
      <alignment horizontal="center"/>
    </xf>
    <xf numFmtId="0" fontId="0" fillId="2" borderId="0" xfId="0" applyFill="1"/>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2" borderId="0" xfId="0" applyFill="1" applyAlignment="1">
      <alignment vertical="center" wrapText="1"/>
    </xf>
    <xf numFmtId="0" fontId="4" fillId="0" borderId="0" xfId="0" applyFont="1" applyAlignment="1" applyProtection="1">
      <alignment vertical="center" wrapText="1"/>
      <protection locked="0"/>
    </xf>
    <xf numFmtId="0" fontId="4" fillId="0" borderId="0" xfId="0" applyFont="1" applyAlignment="1" applyProtection="1">
      <alignment wrapText="1"/>
      <protection locked="0"/>
    </xf>
    <xf numFmtId="0" fontId="4" fillId="0" borderId="0" xfId="0" applyFont="1" applyAlignment="1" applyProtection="1">
      <alignment horizontal="left"/>
      <protection locked="0"/>
    </xf>
    <xf numFmtId="0" fontId="6" fillId="0" borderId="1" xfId="1" applyBorder="1" applyAlignment="1">
      <alignment vertical="center" wrapText="1"/>
    </xf>
    <xf numFmtId="0" fontId="1" fillId="0" borderId="0" xfId="0" applyFont="1" applyAlignment="1">
      <alignment horizontal="center" vertical="center"/>
    </xf>
    <xf numFmtId="0" fontId="1" fillId="0" borderId="0" xfId="0" applyFont="1" applyAlignment="1" applyProtection="1">
      <alignment horizontal="center" vertical="center"/>
      <protection locked="0"/>
    </xf>
    <xf numFmtId="0" fontId="8" fillId="0" borderId="0" xfId="0" applyFont="1" applyAlignment="1">
      <alignment horizontal="center" vertical="center" wrapText="1"/>
    </xf>
    <xf numFmtId="0" fontId="3" fillId="0" borderId="0" xfId="0" applyFont="1" applyAlignment="1">
      <alignment horizontal="left" vertical="center"/>
    </xf>
    <xf numFmtId="0" fontId="0" fillId="0" borderId="0" xfId="0" applyAlignment="1">
      <alignment vertical="center" wrapText="1"/>
    </xf>
    <xf numFmtId="0" fontId="0" fillId="0" borderId="7" xfId="0" applyBorder="1" applyAlignment="1">
      <alignment vertical="center" wrapText="1"/>
    </xf>
    <xf numFmtId="0" fontId="0" fillId="0" borderId="0" xfId="0"/>
    <xf numFmtId="0" fontId="1" fillId="0" borderId="0" xfId="0" applyFont="1"/>
    <xf numFmtId="0" fontId="2" fillId="4" borderId="0" xfId="0" applyFont="1" applyFill="1"/>
    <xf numFmtId="0" fontId="5" fillId="0" borderId="0" xfId="0" applyFont="1" applyAlignment="1">
      <alignment vertical="center" wrapText="1"/>
    </xf>
    <xf numFmtId="0" fontId="0" fillId="3" borderId="1" xfId="0" applyFill="1" applyBorder="1" applyAlignment="1" applyProtection="1">
      <alignment vertical="center" wrapText="1"/>
      <protection locked="0"/>
    </xf>
    <xf numFmtId="0" fontId="0" fillId="3" borderId="2" xfId="0" applyFill="1" applyBorder="1" applyAlignment="1" applyProtection="1">
      <alignment vertical="center" wrapText="1"/>
      <protection locked="0"/>
    </xf>
    <xf numFmtId="0" fontId="0" fillId="3" borderId="3" xfId="0" applyFill="1" applyBorder="1" applyAlignment="1" applyProtection="1">
      <alignment vertical="center" wrapText="1"/>
      <protection locked="0"/>
    </xf>
    <xf numFmtId="0" fontId="0" fillId="3" borderId="4" xfId="0" applyFill="1" applyBorder="1" applyAlignment="1" applyProtection="1">
      <alignment vertical="center" wrapText="1"/>
      <protection locked="0"/>
    </xf>
    <xf numFmtId="0" fontId="1" fillId="0" borderId="0" xfId="0" applyFont="1" applyAlignment="1" applyProtection="1">
      <alignment horizontal="left" vertical="center" wrapText="1"/>
      <protection locked="0"/>
    </xf>
    <xf numFmtId="0" fontId="0" fillId="3" borderId="5" xfId="0" applyFill="1" applyBorder="1" applyAlignment="1" applyProtection="1">
      <alignment vertical="center" wrapText="1"/>
      <protection locked="0"/>
    </xf>
    <xf numFmtId="0" fontId="0" fillId="3" borderId="6" xfId="0" applyFill="1" applyBorder="1" applyAlignment="1" applyProtection="1">
      <alignment vertical="center"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ic.gsa.gov/basics/cloud-security" TargetMode="External"/><Relationship Id="rId2" Type="http://schemas.openxmlformats.org/officeDocument/2006/relationships/hyperlink" Target="https://www.acquisition.gov/dfars/252.204-7025-notice-cybersecurity-maturity-model-certification-level-requirements." TargetMode="External"/><Relationship Id="rId1" Type="http://schemas.openxmlformats.org/officeDocument/2006/relationships/hyperlink" Target="https://aida.mitre.org/wp-content/uploads/2025/08/TMaF_TRL_with_OE-I_Critical_Activities.pdf" TargetMode="External"/><Relationship Id="rId5" Type="http://schemas.openxmlformats.org/officeDocument/2006/relationships/printerSettings" Target="../printerSettings/printerSettings1.bin"/><Relationship Id="rId4" Type="http://schemas.openxmlformats.org/officeDocument/2006/relationships/hyperlink" Target="https://www.fedramp.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D8FD6-5384-40C7-9D8E-4CFBA897A588}">
  <dimension ref="A1:F198"/>
  <sheetViews>
    <sheetView tabSelected="1" zoomScaleNormal="100" workbookViewId="0">
      <selection activeCell="A2" sqref="A2:C2"/>
    </sheetView>
  </sheetViews>
  <sheetFormatPr defaultColWidth="9.140625" defaultRowHeight="15" x14ac:dyDescent="0.25"/>
  <cols>
    <col min="1" max="1" width="12" style="11" customWidth="1"/>
    <col min="2" max="2" width="9.42578125" customWidth="1"/>
    <col min="3" max="3" width="70.5703125" style="14" customWidth="1"/>
    <col min="4" max="4" width="21.7109375" style="6" bestFit="1" customWidth="1"/>
    <col min="5" max="5" width="31.5703125" style="6" customWidth="1"/>
    <col min="6" max="6" width="83.7109375" style="7" customWidth="1"/>
    <col min="7" max="7" width="75" style="4" customWidth="1"/>
    <col min="8" max="16384" width="9.140625" style="4"/>
  </cols>
  <sheetData>
    <row r="1" spans="1:6" s="19" customFormat="1" ht="15.75" x14ac:dyDescent="0.25">
      <c r="A1" s="24" t="s">
        <v>140</v>
      </c>
      <c r="B1" s="24"/>
      <c r="C1" s="24"/>
      <c r="D1" s="24"/>
      <c r="E1" s="24"/>
      <c r="F1" s="24"/>
    </row>
    <row r="2" spans="1:6" s="18" customFormat="1" ht="87.75" customHeight="1" x14ac:dyDescent="0.25">
      <c r="A2" s="30" t="s">
        <v>156</v>
      </c>
      <c r="B2" s="30"/>
      <c r="C2" s="30"/>
      <c r="D2" s="17"/>
      <c r="E2" s="17"/>
      <c r="F2" s="17"/>
    </row>
    <row r="4" spans="1:6" s="22" customFormat="1" ht="26.45" customHeight="1" x14ac:dyDescent="0.25">
      <c r="A4" s="23" t="s">
        <v>154</v>
      </c>
      <c r="B4" s="21" t="s">
        <v>99</v>
      </c>
      <c r="C4" s="8" t="s">
        <v>100</v>
      </c>
      <c r="D4" s="35" t="s">
        <v>101</v>
      </c>
      <c r="E4" s="35"/>
      <c r="F4" s="35"/>
    </row>
    <row r="5" spans="1:6" x14ac:dyDescent="0.25">
      <c r="A5" s="9">
        <f>1</f>
        <v>1</v>
      </c>
      <c r="B5" s="28" t="s">
        <v>0</v>
      </c>
      <c r="C5" s="28"/>
      <c r="D5" s="2"/>
      <c r="E5" s="2"/>
      <c r="F5" s="3"/>
    </row>
    <row r="6" spans="1:6" x14ac:dyDescent="0.25">
      <c r="A6" s="11">
        <f>A5+1</f>
        <v>2</v>
      </c>
      <c r="B6" s="12"/>
      <c r="C6" s="13" t="s">
        <v>91</v>
      </c>
      <c r="D6" s="31"/>
      <c r="E6" s="31"/>
      <c r="F6" s="3"/>
    </row>
    <row r="7" spans="1:6" x14ac:dyDescent="0.25">
      <c r="A7" s="11">
        <f t="shared" ref="A7:A70" si="0">A6+1</f>
        <v>3</v>
      </c>
      <c r="B7" s="12"/>
      <c r="C7" s="13" t="s">
        <v>92</v>
      </c>
      <c r="D7" s="31"/>
      <c r="E7" s="31"/>
      <c r="F7" s="3"/>
    </row>
    <row r="8" spans="1:6" x14ac:dyDescent="0.25">
      <c r="A8" s="11">
        <f t="shared" si="0"/>
        <v>4</v>
      </c>
      <c r="B8" s="12"/>
      <c r="C8" s="13" t="s">
        <v>93</v>
      </c>
      <c r="D8" s="31"/>
      <c r="E8" s="31"/>
      <c r="F8" s="3"/>
    </row>
    <row r="9" spans="1:6" x14ac:dyDescent="0.25">
      <c r="A9" s="11">
        <f t="shared" si="0"/>
        <v>5</v>
      </c>
      <c r="B9" s="12"/>
      <c r="C9" s="13" t="s">
        <v>94</v>
      </c>
      <c r="D9" s="31"/>
      <c r="E9" s="31"/>
      <c r="F9" s="3"/>
    </row>
    <row r="10" spans="1:6" ht="30" x14ac:dyDescent="0.25">
      <c r="A10" s="11">
        <f t="shared" si="0"/>
        <v>6</v>
      </c>
      <c r="B10" s="12"/>
      <c r="C10" s="13" t="s">
        <v>145</v>
      </c>
      <c r="D10" s="5" t="s">
        <v>119</v>
      </c>
      <c r="E10" s="5" t="s">
        <v>142</v>
      </c>
      <c r="F10" s="3"/>
    </row>
    <row r="11" spans="1:6" ht="15.75" customHeight="1" x14ac:dyDescent="0.25">
      <c r="A11" s="11">
        <f t="shared" si="0"/>
        <v>7</v>
      </c>
      <c r="B11" s="12"/>
      <c r="C11" s="13" t="s">
        <v>121</v>
      </c>
      <c r="D11" s="31"/>
      <c r="E11" s="31"/>
      <c r="F11" s="3"/>
    </row>
    <row r="12" spans="1:6" x14ac:dyDescent="0.25">
      <c r="A12" s="11">
        <f t="shared" si="0"/>
        <v>8</v>
      </c>
      <c r="B12" s="12"/>
      <c r="C12" s="13" t="s">
        <v>95</v>
      </c>
      <c r="D12" s="31"/>
      <c r="E12" s="31"/>
      <c r="F12" s="3"/>
    </row>
    <row r="13" spans="1:6" x14ac:dyDescent="0.25">
      <c r="A13" s="11">
        <f t="shared" si="0"/>
        <v>9</v>
      </c>
      <c r="B13" s="12"/>
      <c r="C13" s="13" t="s">
        <v>96</v>
      </c>
      <c r="D13" s="31"/>
      <c r="E13" s="31"/>
      <c r="F13" s="3"/>
    </row>
    <row r="14" spans="1:6" x14ac:dyDescent="0.25">
      <c r="A14" s="11">
        <f t="shared" si="0"/>
        <v>10</v>
      </c>
      <c r="B14" s="12"/>
      <c r="C14" s="13" t="s">
        <v>97</v>
      </c>
      <c r="D14" s="31"/>
      <c r="E14" s="31"/>
      <c r="F14" s="3"/>
    </row>
    <row r="15" spans="1:6" x14ac:dyDescent="0.25">
      <c r="A15" s="11">
        <f t="shared" si="0"/>
        <v>11</v>
      </c>
      <c r="B15" s="12"/>
      <c r="C15" s="13" t="s">
        <v>102</v>
      </c>
      <c r="D15" s="31"/>
      <c r="E15" s="31"/>
      <c r="F15" s="3"/>
    </row>
    <row r="16" spans="1:6" x14ac:dyDescent="0.25">
      <c r="A16" s="11">
        <f t="shared" si="0"/>
        <v>12</v>
      </c>
      <c r="B16" s="12"/>
      <c r="C16" s="20" t="s">
        <v>143</v>
      </c>
      <c r="D16" s="31"/>
      <c r="E16" s="31"/>
      <c r="F16" s="3"/>
    </row>
    <row r="17" spans="1:6" ht="30" x14ac:dyDescent="0.25">
      <c r="A17" s="11">
        <f t="shared" si="0"/>
        <v>13</v>
      </c>
      <c r="B17" s="12"/>
      <c r="C17" s="13" t="s">
        <v>144</v>
      </c>
      <c r="D17" s="5" t="s">
        <v>119</v>
      </c>
      <c r="E17" s="5" t="s">
        <v>141</v>
      </c>
      <c r="F17" s="3"/>
    </row>
    <row r="18" spans="1:6" x14ac:dyDescent="0.25">
      <c r="A18" s="11">
        <f t="shared" si="0"/>
        <v>14</v>
      </c>
      <c r="B18" s="12"/>
      <c r="C18" s="13" t="s">
        <v>98</v>
      </c>
      <c r="D18" s="31"/>
      <c r="E18" s="31"/>
      <c r="F18" s="3"/>
    </row>
    <row r="19" spans="1:6" ht="30" x14ac:dyDescent="0.25">
      <c r="A19" s="11">
        <f t="shared" si="0"/>
        <v>15</v>
      </c>
      <c r="B19" s="12"/>
      <c r="C19" s="13" t="s">
        <v>103</v>
      </c>
      <c r="D19" s="5" t="s">
        <v>119</v>
      </c>
      <c r="E19" s="5" t="s">
        <v>141</v>
      </c>
      <c r="F19" s="3"/>
    </row>
    <row r="20" spans="1:6" x14ac:dyDescent="0.25">
      <c r="A20" s="11">
        <f t="shared" si="0"/>
        <v>16</v>
      </c>
      <c r="B20" s="12"/>
      <c r="C20" s="13" t="s">
        <v>104</v>
      </c>
      <c r="D20" s="32"/>
      <c r="E20" s="32"/>
      <c r="F20" s="3"/>
    </row>
    <row r="21" spans="1:6" ht="60" x14ac:dyDescent="0.25">
      <c r="A21" s="11">
        <f t="shared" si="0"/>
        <v>17</v>
      </c>
      <c r="B21" s="12"/>
      <c r="C21" s="13" t="s">
        <v>120</v>
      </c>
      <c r="D21" s="31"/>
      <c r="E21" s="31"/>
      <c r="F21" s="31"/>
    </row>
    <row r="22" spans="1:6" x14ac:dyDescent="0.25">
      <c r="A22" s="11">
        <f t="shared" si="0"/>
        <v>18</v>
      </c>
      <c r="B22" s="12"/>
      <c r="C22" s="13" t="s">
        <v>122</v>
      </c>
      <c r="D22" s="31"/>
      <c r="E22" s="31"/>
      <c r="F22" s="31"/>
    </row>
    <row r="23" spans="1:6" ht="60" x14ac:dyDescent="0.25">
      <c r="A23" s="11">
        <f t="shared" si="0"/>
        <v>19</v>
      </c>
      <c r="B23" s="12"/>
      <c r="C23" s="13" t="s">
        <v>147</v>
      </c>
      <c r="D23" s="31"/>
      <c r="E23" s="31"/>
      <c r="F23" s="31"/>
    </row>
    <row r="24" spans="1:6" x14ac:dyDescent="0.25">
      <c r="A24" s="11">
        <f t="shared" si="0"/>
        <v>20</v>
      </c>
      <c r="B24" s="12"/>
      <c r="C24" s="13" t="s">
        <v>105</v>
      </c>
      <c r="D24" s="5" t="s">
        <v>119</v>
      </c>
      <c r="E24" s="5" t="s">
        <v>146</v>
      </c>
      <c r="F24" s="3"/>
    </row>
    <row r="25" spans="1:6" x14ac:dyDescent="0.25">
      <c r="A25" s="11">
        <f t="shared" si="0"/>
        <v>21</v>
      </c>
      <c r="B25" s="28" t="s">
        <v>106</v>
      </c>
      <c r="C25" s="28"/>
      <c r="E25" s="2"/>
      <c r="F25" s="3"/>
    </row>
    <row r="26" spans="1:6" ht="103.9" customHeight="1" x14ac:dyDescent="0.25">
      <c r="A26" s="11">
        <f t="shared" si="0"/>
        <v>22</v>
      </c>
      <c r="B26" s="12"/>
      <c r="C26" s="25" t="s">
        <v>150</v>
      </c>
      <c r="D26" s="25"/>
      <c r="E26" s="2"/>
      <c r="F26" s="3"/>
    </row>
    <row r="27" spans="1:6" x14ac:dyDescent="0.25">
      <c r="A27" s="11">
        <f t="shared" si="0"/>
        <v>23</v>
      </c>
      <c r="B27" s="29" t="s">
        <v>1</v>
      </c>
      <c r="C27" s="29"/>
      <c r="D27" s="2"/>
      <c r="E27" s="2"/>
      <c r="F27" s="3"/>
    </row>
    <row r="28" spans="1:6" x14ac:dyDescent="0.25">
      <c r="A28" s="11">
        <f t="shared" si="0"/>
        <v>24</v>
      </c>
      <c r="B28" s="27" t="s">
        <v>115</v>
      </c>
      <c r="C28" s="27"/>
      <c r="D28" s="2"/>
      <c r="E28" s="2"/>
      <c r="F28" s="3"/>
    </row>
    <row r="29" spans="1:6" ht="30" x14ac:dyDescent="0.25">
      <c r="A29" s="11">
        <f t="shared" si="0"/>
        <v>25</v>
      </c>
      <c r="B29" s="12"/>
      <c r="C29" s="13" t="s">
        <v>3</v>
      </c>
      <c r="D29" s="5" t="s">
        <v>119</v>
      </c>
      <c r="E29" s="5" t="s">
        <v>141</v>
      </c>
      <c r="F29" s="3"/>
    </row>
    <row r="30" spans="1:6" ht="30" x14ac:dyDescent="0.25">
      <c r="A30" s="11">
        <f t="shared" si="0"/>
        <v>26</v>
      </c>
      <c r="B30" s="12"/>
      <c r="C30" s="13" t="s">
        <v>4</v>
      </c>
      <c r="D30" s="5" t="s">
        <v>119</v>
      </c>
      <c r="E30" s="5" t="s">
        <v>141</v>
      </c>
      <c r="F30" s="3"/>
    </row>
    <row r="31" spans="1:6" ht="30" x14ac:dyDescent="0.25">
      <c r="A31" s="11">
        <f t="shared" si="0"/>
        <v>27</v>
      </c>
      <c r="B31" s="12"/>
      <c r="C31" s="13" t="s">
        <v>5</v>
      </c>
      <c r="D31" s="5" t="s">
        <v>119</v>
      </c>
      <c r="E31" s="5" t="s">
        <v>141</v>
      </c>
      <c r="F31" s="3"/>
    </row>
    <row r="32" spans="1:6" ht="30" x14ac:dyDescent="0.25">
      <c r="A32" s="11">
        <f t="shared" si="0"/>
        <v>28</v>
      </c>
      <c r="B32" s="12"/>
      <c r="C32" s="13" t="s">
        <v>6</v>
      </c>
      <c r="D32" s="5" t="s">
        <v>119</v>
      </c>
      <c r="E32" s="5" t="s">
        <v>141</v>
      </c>
      <c r="F32" s="3"/>
    </row>
    <row r="33" spans="1:6" ht="30" x14ac:dyDescent="0.25">
      <c r="A33" s="11">
        <f t="shared" si="0"/>
        <v>29</v>
      </c>
      <c r="B33" s="12"/>
      <c r="C33" s="13" t="s">
        <v>7</v>
      </c>
      <c r="D33" s="5" t="s">
        <v>119</v>
      </c>
      <c r="E33" s="5" t="s">
        <v>141</v>
      </c>
      <c r="F33" s="3"/>
    </row>
    <row r="34" spans="1:6" ht="30" x14ac:dyDescent="0.25">
      <c r="A34" s="11">
        <f t="shared" si="0"/>
        <v>30</v>
      </c>
      <c r="B34" s="12"/>
      <c r="C34" s="13" t="s">
        <v>8</v>
      </c>
      <c r="D34" s="5" t="s">
        <v>119</v>
      </c>
      <c r="E34" s="5" t="s">
        <v>141</v>
      </c>
      <c r="F34" s="3"/>
    </row>
    <row r="35" spans="1:6" ht="30" x14ac:dyDescent="0.25">
      <c r="A35" s="11">
        <f t="shared" si="0"/>
        <v>31</v>
      </c>
      <c r="B35" s="12"/>
      <c r="C35" s="13" t="s">
        <v>9</v>
      </c>
      <c r="D35" s="5" t="s">
        <v>119</v>
      </c>
      <c r="E35" s="5" t="s">
        <v>141</v>
      </c>
      <c r="F35" s="3"/>
    </row>
    <row r="36" spans="1:6" ht="30" x14ac:dyDescent="0.25">
      <c r="A36" s="11">
        <f t="shared" si="0"/>
        <v>32</v>
      </c>
      <c r="B36" s="12"/>
      <c r="C36" s="13" t="s">
        <v>10</v>
      </c>
      <c r="D36" s="5" t="s">
        <v>119</v>
      </c>
      <c r="E36" s="5" t="s">
        <v>141</v>
      </c>
      <c r="F36" s="3"/>
    </row>
    <row r="37" spans="1:6" ht="30" x14ac:dyDescent="0.25">
      <c r="A37" s="11">
        <f t="shared" si="0"/>
        <v>33</v>
      </c>
      <c r="B37" s="12"/>
      <c r="C37" s="13" t="s">
        <v>11</v>
      </c>
      <c r="D37" s="5" t="s">
        <v>119</v>
      </c>
      <c r="E37" s="5" t="s">
        <v>141</v>
      </c>
      <c r="F37" s="3"/>
    </row>
    <row r="38" spans="1:6" x14ac:dyDescent="0.25">
      <c r="A38" s="11">
        <f t="shared" si="0"/>
        <v>34</v>
      </c>
      <c r="B38" s="12"/>
      <c r="C38" s="13" t="s">
        <v>123</v>
      </c>
      <c r="D38" s="31"/>
      <c r="E38" s="31"/>
      <c r="F38" s="31"/>
    </row>
    <row r="39" spans="1:6" x14ac:dyDescent="0.25">
      <c r="A39" s="11">
        <f t="shared" si="0"/>
        <v>35</v>
      </c>
      <c r="B39" s="27" t="s">
        <v>108</v>
      </c>
      <c r="C39" s="27"/>
      <c r="D39" s="2"/>
      <c r="E39" s="2"/>
      <c r="F39" s="3"/>
    </row>
    <row r="40" spans="1:6" ht="30" x14ac:dyDescent="0.25">
      <c r="A40" s="11">
        <f t="shared" si="0"/>
        <v>36</v>
      </c>
      <c r="B40" s="12"/>
      <c r="C40" s="13" t="s">
        <v>12</v>
      </c>
      <c r="D40" s="5" t="s">
        <v>119</v>
      </c>
      <c r="E40" s="5" t="s">
        <v>141</v>
      </c>
      <c r="F40" s="3"/>
    </row>
    <row r="41" spans="1:6" ht="30" x14ac:dyDescent="0.25">
      <c r="A41" s="11">
        <f t="shared" si="0"/>
        <v>37</v>
      </c>
      <c r="B41" s="12"/>
      <c r="C41" s="13" t="s">
        <v>13</v>
      </c>
      <c r="D41" s="5" t="s">
        <v>119</v>
      </c>
      <c r="E41" s="5" t="s">
        <v>141</v>
      </c>
      <c r="F41" s="3"/>
    </row>
    <row r="42" spans="1:6" ht="30" x14ac:dyDescent="0.25">
      <c r="A42" s="11">
        <f t="shared" si="0"/>
        <v>38</v>
      </c>
      <c r="B42" s="12"/>
      <c r="C42" s="13" t="s">
        <v>14</v>
      </c>
      <c r="D42" s="5" t="s">
        <v>119</v>
      </c>
      <c r="E42" s="5" t="s">
        <v>141</v>
      </c>
      <c r="F42" s="3"/>
    </row>
    <row r="43" spans="1:6" ht="30" x14ac:dyDescent="0.25">
      <c r="A43" s="11">
        <f t="shared" si="0"/>
        <v>39</v>
      </c>
      <c r="B43" s="12"/>
      <c r="C43" s="13" t="s">
        <v>15</v>
      </c>
      <c r="D43" s="5" t="s">
        <v>119</v>
      </c>
      <c r="E43" s="5" t="s">
        <v>141</v>
      </c>
      <c r="F43" s="3"/>
    </row>
    <row r="44" spans="1:6" ht="30" x14ac:dyDescent="0.25">
      <c r="A44" s="11">
        <f t="shared" si="0"/>
        <v>40</v>
      </c>
      <c r="B44" s="12"/>
      <c r="C44" s="13" t="s">
        <v>16</v>
      </c>
      <c r="D44" s="5" t="s">
        <v>119</v>
      </c>
      <c r="E44" s="5" t="s">
        <v>141</v>
      </c>
      <c r="F44" s="3"/>
    </row>
    <row r="45" spans="1:6" ht="30" x14ac:dyDescent="0.25">
      <c r="A45" s="11">
        <f t="shared" si="0"/>
        <v>41</v>
      </c>
      <c r="B45" s="12"/>
      <c r="C45" s="13" t="s">
        <v>17</v>
      </c>
      <c r="D45" s="5" t="s">
        <v>119</v>
      </c>
      <c r="E45" s="5" t="s">
        <v>141</v>
      </c>
      <c r="F45" s="3"/>
    </row>
    <row r="46" spans="1:6" ht="30" x14ac:dyDescent="0.25">
      <c r="A46" s="11">
        <f t="shared" si="0"/>
        <v>42</v>
      </c>
      <c r="B46" s="12"/>
      <c r="C46" s="13" t="s">
        <v>18</v>
      </c>
      <c r="D46" s="5" t="s">
        <v>119</v>
      </c>
      <c r="E46" s="5" t="s">
        <v>141</v>
      </c>
      <c r="F46" s="3"/>
    </row>
    <row r="47" spans="1:6" ht="30" x14ac:dyDescent="0.25">
      <c r="A47" s="11">
        <f t="shared" si="0"/>
        <v>43</v>
      </c>
      <c r="B47" s="12"/>
      <c r="C47" s="13" t="s">
        <v>19</v>
      </c>
      <c r="D47" s="5" t="s">
        <v>119</v>
      </c>
      <c r="E47" s="5" t="s">
        <v>141</v>
      </c>
      <c r="F47" s="3"/>
    </row>
    <row r="48" spans="1:6" ht="30" x14ac:dyDescent="0.25">
      <c r="A48" s="11">
        <f t="shared" si="0"/>
        <v>44</v>
      </c>
      <c r="B48" s="12"/>
      <c r="C48" s="13" t="s">
        <v>20</v>
      </c>
      <c r="D48" s="5" t="s">
        <v>119</v>
      </c>
      <c r="E48" s="5" t="s">
        <v>141</v>
      </c>
      <c r="F48" s="3"/>
    </row>
    <row r="49" spans="1:6" x14ac:dyDescent="0.25">
      <c r="A49" s="11">
        <f t="shared" si="0"/>
        <v>45</v>
      </c>
      <c r="B49" s="27" t="s">
        <v>114</v>
      </c>
      <c r="C49" s="27"/>
      <c r="D49" s="2"/>
      <c r="E49" s="2"/>
      <c r="F49" s="3"/>
    </row>
    <row r="50" spans="1:6" ht="30" x14ac:dyDescent="0.25">
      <c r="A50" s="11">
        <f t="shared" si="0"/>
        <v>46</v>
      </c>
      <c r="B50" s="12"/>
      <c r="C50" s="13" t="s">
        <v>21</v>
      </c>
      <c r="D50" s="5" t="s">
        <v>119</v>
      </c>
      <c r="E50" s="5" t="s">
        <v>141</v>
      </c>
      <c r="F50" s="3"/>
    </row>
    <row r="51" spans="1:6" ht="30" x14ac:dyDescent="0.25">
      <c r="A51" s="11">
        <f t="shared" si="0"/>
        <v>47</v>
      </c>
      <c r="B51" s="12"/>
      <c r="C51" s="13" t="s">
        <v>22</v>
      </c>
      <c r="D51" s="5" t="s">
        <v>119</v>
      </c>
      <c r="E51" s="5" t="s">
        <v>141</v>
      </c>
      <c r="F51" s="3"/>
    </row>
    <row r="52" spans="1:6" ht="30" x14ac:dyDescent="0.25">
      <c r="A52" s="11">
        <f t="shared" si="0"/>
        <v>48</v>
      </c>
      <c r="B52" s="12"/>
      <c r="C52" s="13" t="s">
        <v>23</v>
      </c>
      <c r="D52" s="5" t="s">
        <v>119</v>
      </c>
      <c r="E52" s="5" t="s">
        <v>141</v>
      </c>
      <c r="F52" s="3"/>
    </row>
    <row r="53" spans="1:6" ht="30" x14ac:dyDescent="0.25">
      <c r="A53" s="11">
        <f t="shared" si="0"/>
        <v>49</v>
      </c>
      <c r="B53" s="12"/>
      <c r="C53" s="13" t="s">
        <v>24</v>
      </c>
      <c r="D53" s="5" t="s">
        <v>119</v>
      </c>
      <c r="E53" s="5" t="s">
        <v>141</v>
      </c>
      <c r="F53" s="3"/>
    </row>
    <row r="54" spans="1:6" ht="30" x14ac:dyDescent="0.25">
      <c r="A54" s="11">
        <f t="shared" si="0"/>
        <v>50</v>
      </c>
      <c r="B54" s="12"/>
      <c r="C54" s="13" t="s">
        <v>25</v>
      </c>
      <c r="D54" s="5" t="s">
        <v>119</v>
      </c>
      <c r="E54" s="5" t="s">
        <v>141</v>
      </c>
      <c r="F54" s="3"/>
    </row>
    <row r="55" spans="1:6" x14ac:dyDescent="0.25">
      <c r="A55" s="11">
        <f t="shared" si="0"/>
        <v>51</v>
      </c>
      <c r="B55" s="12"/>
      <c r="C55" s="13" t="s">
        <v>123</v>
      </c>
      <c r="D55" s="34"/>
      <c r="E55" s="34"/>
      <c r="F55" s="34"/>
    </row>
    <row r="56" spans="1:6" x14ac:dyDescent="0.25">
      <c r="A56" s="11">
        <f t="shared" si="0"/>
        <v>52</v>
      </c>
      <c r="B56" s="27" t="s">
        <v>26</v>
      </c>
      <c r="C56" s="27"/>
      <c r="D56" s="2"/>
      <c r="E56" s="2"/>
      <c r="F56" s="3"/>
    </row>
    <row r="57" spans="1:6" ht="45" x14ac:dyDescent="0.25">
      <c r="A57" s="11">
        <f t="shared" si="0"/>
        <v>53</v>
      </c>
      <c r="B57" s="12"/>
      <c r="C57" s="13" t="s">
        <v>124</v>
      </c>
      <c r="D57" s="34"/>
      <c r="E57" s="34"/>
      <c r="F57" s="34"/>
    </row>
    <row r="58" spans="1:6" x14ac:dyDescent="0.25">
      <c r="A58" s="11">
        <f t="shared" si="0"/>
        <v>54</v>
      </c>
      <c r="B58" s="27" t="s">
        <v>27</v>
      </c>
      <c r="C58" s="27"/>
      <c r="D58" s="2"/>
      <c r="E58" s="2"/>
      <c r="F58" s="3"/>
    </row>
    <row r="59" spans="1:6" ht="45" x14ac:dyDescent="0.25">
      <c r="A59" s="11">
        <f t="shared" si="0"/>
        <v>55</v>
      </c>
      <c r="B59" s="12"/>
      <c r="C59" s="13" t="s">
        <v>125</v>
      </c>
      <c r="D59" s="31"/>
      <c r="E59" s="31"/>
      <c r="F59" s="31"/>
    </row>
    <row r="60" spans="1:6" x14ac:dyDescent="0.25">
      <c r="A60" s="11">
        <f t="shared" si="0"/>
        <v>56</v>
      </c>
      <c r="B60" s="27" t="s">
        <v>151</v>
      </c>
      <c r="C60" s="27"/>
      <c r="E60" s="2"/>
      <c r="F60" s="3"/>
    </row>
    <row r="61" spans="1:6" ht="32.25" customHeight="1" x14ac:dyDescent="0.25">
      <c r="A61" s="11">
        <f t="shared" si="0"/>
        <v>57</v>
      </c>
      <c r="B61" s="12"/>
      <c r="C61" s="26" t="s">
        <v>152</v>
      </c>
      <c r="D61" s="26"/>
      <c r="E61" s="2"/>
      <c r="F61" s="3"/>
    </row>
    <row r="62" spans="1:6" x14ac:dyDescent="0.25">
      <c r="A62" s="11">
        <f t="shared" si="0"/>
        <v>58</v>
      </c>
      <c r="B62" s="12"/>
      <c r="C62" s="13" t="s">
        <v>30</v>
      </c>
      <c r="D62" s="5" t="s">
        <v>119</v>
      </c>
      <c r="E62" s="2"/>
      <c r="F62" s="3"/>
    </row>
    <row r="63" spans="1:6" ht="30" x14ac:dyDescent="0.25">
      <c r="A63" s="11">
        <f t="shared" si="0"/>
        <v>59</v>
      </c>
      <c r="B63" s="12"/>
      <c r="C63" s="13" t="s">
        <v>153</v>
      </c>
      <c r="D63" s="31"/>
      <c r="E63" s="31"/>
      <c r="F63" s="31"/>
    </row>
    <row r="64" spans="1:6" x14ac:dyDescent="0.25">
      <c r="A64" s="11">
        <f t="shared" si="0"/>
        <v>60</v>
      </c>
      <c r="B64" s="27" t="s">
        <v>31</v>
      </c>
      <c r="C64" s="27"/>
      <c r="D64" s="2"/>
      <c r="E64" s="2"/>
      <c r="F64" s="3"/>
    </row>
    <row r="65" spans="1:6" ht="45" x14ac:dyDescent="0.25">
      <c r="A65" s="11">
        <f t="shared" si="0"/>
        <v>61</v>
      </c>
      <c r="B65" s="12"/>
      <c r="C65" s="13" t="s">
        <v>127</v>
      </c>
      <c r="D65" s="31"/>
      <c r="E65" s="31"/>
      <c r="F65" s="31"/>
    </row>
    <row r="66" spans="1:6" x14ac:dyDescent="0.25">
      <c r="A66" s="11">
        <f t="shared" si="0"/>
        <v>62</v>
      </c>
      <c r="B66" s="27" t="s">
        <v>32</v>
      </c>
      <c r="C66" s="27"/>
      <c r="D66" s="2"/>
      <c r="E66" s="2"/>
      <c r="F66" s="3"/>
    </row>
    <row r="67" spans="1:6" ht="60" x14ac:dyDescent="0.25">
      <c r="A67" s="11">
        <f t="shared" si="0"/>
        <v>63</v>
      </c>
      <c r="B67" s="12"/>
      <c r="C67" s="13" t="s">
        <v>155</v>
      </c>
      <c r="D67" s="31"/>
      <c r="E67" s="31"/>
      <c r="F67" s="31"/>
    </row>
    <row r="68" spans="1:6" x14ac:dyDescent="0.25">
      <c r="A68" s="11">
        <f t="shared" si="0"/>
        <v>64</v>
      </c>
      <c r="B68" s="27" t="s">
        <v>33</v>
      </c>
      <c r="C68" s="27"/>
      <c r="D68" s="2"/>
      <c r="E68" s="2"/>
      <c r="F68" s="3"/>
    </row>
    <row r="69" spans="1:6" ht="60" x14ac:dyDescent="0.25">
      <c r="A69" s="11">
        <f t="shared" si="0"/>
        <v>65</v>
      </c>
      <c r="B69" s="12"/>
      <c r="C69" s="13" t="s">
        <v>129</v>
      </c>
      <c r="D69" s="31"/>
      <c r="E69" s="31"/>
      <c r="F69" s="31"/>
    </row>
    <row r="70" spans="1:6" x14ac:dyDescent="0.25">
      <c r="A70" s="11">
        <f t="shared" si="0"/>
        <v>66</v>
      </c>
      <c r="B70" s="27" t="s">
        <v>34</v>
      </c>
      <c r="C70" s="27"/>
      <c r="D70" s="2"/>
      <c r="E70" s="2"/>
      <c r="F70" s="3"/>
    </row>
    <row r="71" spans="1:6" ht="165" x14ac:dyDescent="0.25">
      <c r="A71" s="11">
        <f t="shared" ref="A71:A75" si="1">A70+1</f>
        <v>67</v>
      </c>
      <c r="B71" s="12"/>
      <c r="C71" s="13" t="s">
        <v>130</v>
      </c>
      <c r="D71" s="31"/>
      <c r="E71" s="31"/>
      <c r="F71" s="31"/>
    </row>
    <row r="72" spans="1:6" x14ac:dyDescent="0.25">
      <c r="A72" s="11">
        <f t="shared" si="1"/>
        <v>68</v>
      </c>
      <c r="B72" s="27" t="s">
        <v>35</v>
      </c>
      <c r="C72" s="27"/>
      <c r="D72" s="2"/>
      <c r="E72" s="2"/>
      <c r="F72" s="3"/>
    </row>
    <row r="73" spans="1:6" ht="45" x14ac:dyDescent="0.25">
      <c r="A73" s="11">
        <f t="shared" si="1"/>
        <v>69</v>
      </c>
      <c r="B73" s="12"/>
      <c r="C73" s="13" t="s">
        <v>131</v>
      </c>
      <c r="D73" s="31"/>
      <c r="E73" s="31"/>
      <c r="F73" s="31"/>
    </row>
    <row r="74" spans="1:6" x14ac:dyDescent="0.25">
      <c r="A74" s="11">
        <f t="shared" si="1"/>
        <v>70</v>
      </c>
      <c r="B74" s="27" t="s">
        <v>36</v>
      </c>
      <c r="C74" s="27"/>
      <c r="D74" s="2"/>
      <c r="E74" s="2"/>
      <c r="F74" s="3"/>
    </row>
    <row r="75" spans="1:6" ht="45" x14ac:dyDescent="0.25">
      <c r="A75" s="11">
        <f t="shared" si="1"/>
        <v>71</v>
      </c>
      <c r="B75" s="12"/>
      <c r="C75" s="13" t="s">
        <v>132</v>
      </c>
      <c r="D75" s="31"/>
      <c r="E75" s="31"/>
      <c r="F75" s="31"/>
    </row>
    <row r="76" spans="1:6" x14ac:dyDescent="0.25">
      <c r="A76" s="11">
        <f t="shared" ref="A76:A107" si="2">A75+1</f>
        <v>72</v>
      </c>
      <c r="B76" s="29" t="s">
        <v>37</v>
      </c>
      <c r="C76" s="29"/>
      <c r="D76" s="2"/>
      <c r="E76" s="2"/>
      <c r="F76" s="3"/>
    </row>
    <row r="77" spans="1:6" x14ac:dyDescent="0.25">
      <c r="A77" s="11">
        <f t="shared" si="2"/>
        <v>73</v>
      </c>
      <c r="B77" s="27" t="s">
        <v>2</v>
      </c>
      <c r="C77" s="27"/>
      <c r="D77" s="2"/>
      <c r="E77" s="2"/>
      <c r="F77" s="3"/>
    </row>
    <row r="78" spans="1:6" ht="45" x14ac:dyDescent="0.25">
      <c r="A78" s="11">
        <f t="shared" si="2"/>
        <v>74</v>
      </c>
      <c r="B78" s="12"/>
      <c r="C78" s="13" t="s">
        <v>38</v>
      </c>
      <c r="D78" s="5" t="s">
        <v>119</v>
      </c>
      <c r="E78" s="5" t="s">
        <v>141</v>
      </c>
      <c r="F78" s="3"/>
    </row>
    <row r="79" spans="1:6" ht="45" x14ac:dyDescent="0.25">
      <c r="A79" s="11">
        <f t="shared" si="2"/>
        <v>75</v>
      </c>
      <c r="B79" s="12"/>
      <c r="C79" s="13" t="s">
        <v>39</v>
      </c>
      <c r="D79" s="5" t="s">
        <v>119</v>
      </c>
      <c r="E79" s="5" t="s">
        <v>141</v>
      </c>
      <c r="F79" s="3"/>
    </row>
    <row r="80" spans="1:6" ht="30" x14ac:dyDescent="0.25">
      <c r="A80" s="11">
        <f t="shared" si="2"/>
        <v>76</v>
      </c>
      <c r="B80" s="12"/>
      <c r="C80" s="13" t="s">
        <v>40</v>
      </c>
      <c r="D80" s="5" t="s">
        <v>119</v>
      </c>
      <c r="E80" s="5" t="s">
        <v>141</v>
      </c>
      <c r="F80" s="3"/>
    </row>
    <row r="81" spans="1:6" ht="30" x14ac:dyDescent="0.25">
      <c r="A81" s="11">
        <f t="shared" si="2"/>
        <v>77</v>
      </c>
      <c r="B81" s="12"/>
      <c r="C81" s="13" t="s">
        <v>41</v>
      </c>
      <c r="D81" s="5" t="s">
        <v>119</v>
      </c>
      <c r="E81" s="5" t="s">
        <v>141</v>
      </c>
      <c r="F81" s="3"/>
    </row>
    <row r="82" spans="1:6" ht="45" x14ac:dyDescent="0.25">
      <c r="A82" s="11">
        <f t="shared" si="2"/>
        <v>78</v>
      </c>
      <c r="B82" s="12"/>
      <c r="C82" s="13" t="s">
        <v>42</v>
      </c>
      <c r="D82" s="5" t="s">
        <v>119</v>
      </c>
      <c r="E82" s="5" t="s">
        <v>141</v>
      </c>
      <c r="F82" s="3"/>
    </row>
    <row r="83" spans="1:6" ht="30" x14ac:dyDescent="0.25">
      <c r="A83" s="11">
        <f t="shared" si="2"/>
        <v>79</v>
      </c>
      <c r="B83" s="12"/>
      <c r="C83" s="13" t="s">
        <v>43</v>
      </c>
      <c r="D83" s="5" t="s">
        <v>119</v>
      </c>
      <c r="E83" s="5" t="s">
        <v>141</v>
      </c>
      <c r="F83" s="3"/>
    </row>
    <row r="84" spans="1:6" ht="45" x14ac:dyDescent="0.25">
      <c r="A84" s="11">
        <f t="shared" si="2"/>
        <v>80</v>
      </c>
      <c r="B84" s="12"/>
      <c r="C84" s="13" t="s">
        <v>44</v>
      </c>
      <c r="D84" s="5" t="s">
        <v>119</v>
      </c>
      <c r="E84" s="5" t="s">
        <v>141</v>
      </c>
      <c r="F84" s="3"/>
    </row>
    <row r="85" spans="1:6" ht="30" x14ac:dyDescent="0.25">
      <c r="A85" s="11">
        <f t="shared" si="2"/>
        <v>81</v>
      </c>
      <c r="B85" s="12"/>
      <c r="C85" s="13" t="s">
        <v>45</v>
      </c>
      <c r="D85" s="5" t="s">
        <v>119</v>
      </c>
      <c r="E85" s="5" t="s">
        <v>141</v>
      </c>
      <c r="F85" s="3"/>
    </row>
    <row r="86" spans="1:6" ht="30" x14ac:dyDescent="0.25">
      <c r="A86" s="11">
        <f t="shared" si="2"/>
        <v>82</v>
      </c>
      <c r="B86" s="12"/>
      <c r="C86" s="13" t="s">
        <v>46</v>
      </c>
      <c r="D86" s="5" t="s">
        <v>119</v>
      </c>
      <c r="E86" s="5" t="s">
        <v>141</v>
      </c>
      <c r="F86" s="3"/>
    </row>
    <row r="87" spans="1:6" ht="30" x14ac:dyDescent="0.25">
      <c r="A87" s="11">
        <f t="shared" si="2"/>
        <v>83</v>
      </c>
      <c r="B87" s="12"/>
      <c r="C87" s="13" t="s">
        <v>47</v>
      </c>
      <c r="D87" s="5" t="s">
        <v>119</v>
      </c>
      <c r="E87" s="5" t="s">
        <v>141</v>
      </c>
      <c r="F87" s="3"/>
    </row>
    <row r="88" spans="1:6" ht="30" x14ac:dyDescent="0.25">
      <c r="A88" s="11">
        <f t="shared" si="2"/>
        <v>84</v>
      </c>
      <c r="B88" s="12"/>
      <c r="C88" s="13" t="s">
        <v>48</v>
      </c>
      <c r="D88" s="5" t="s">
        <v>119</v>
      </c>
      <c r="E88" s="5" t="s">
        <v>141</v>
      </c>
      <c r="F88" s="3"/>
    </row>
    <row r="89" spans="1:6" ht="30" x14ac:dyDescent="0.25">
      <c r="A89" s="11">
        <f t="shared" si="2"/>
        <v>85</v>
      </c>
      <c r="B89" s="12"/>
      <c r="C89" s="13" t="s">
        <v>49</v>
      </c>
      <c r="D89" s="5" t="s">
        <v>119</v>
      </c>
      <c r="E89" s="5" t="s">
        <v>141</v>
      </c>
      <c r="F89" s="3"/>
    </row>
    <row r="90" spans="1:6" ht="30" x14ac:dyDescent="0.25">
      <c r="A90" s="11">
        <f t="shared" si="2"/>
        <v>86</v>
      </c>
      <c r="B90" s="12"/>
      <c r="C90" s="13" t="s">
        <v>50</v>
      </c>
      <c r="D90" s="5" t="s">
        <v>119</v>
      </c>
      <c r="E90" s="5" t="s">
        <v>141</v>
      </c>
      <c r="F90" s="3"/>
    </row>
    <row r="91" spans="1:6" ht="30" x14ac:dyDescent="0.25">
      <c r="A91" s="11">
        <f t="shared" si="2"/>
        <v>87</v>
      </c>
      <c r="B91" s="12"/>
      <c r="C91" s="13" t="s">
        <v>51</v>
      </c>
      <c r="D91" s="5" t="s">
        <v>119</v>
      </c>
      <c r="E91" s="5" t="s">
        <v>141</v>
      </c>
      <c r="F91" s="3"/>
    </row>
    <row r="92" spans="1:6" x14ac:dyDescent="0.25">
      <c r="A92" s="11">
        <f t="shared" si="2"/>
        <v>88</v>
      </c>
      <c r="B92" s="12"/>
      <c r="C92" s="13" t="s">
        <v>123</v>
      </c>
      <c r="D92" s="31"/>
      <c r="E92" s="33"/>
      <c r="F92" s="31"/>
    </row>
    <row r="93" spans="1:6" x14ac:dyDescent="0.25">
      <c r="A93" s="11">
        <f t="shared" si="2"/>
        <v>89</v>
      </c>
      <c r="B93" s="27" t="s">
        <v>110</v>
      </c>
      <c r="C93" s="27"/>
      <c r="D93" s="2"/>
      <c r="E93" s="2"/>
      <c r="F93" s="3"/>
    </row>
    <row r="94" spans="1:6" ht="30" x14ac:dyDescent="0.25">
      <c r="A94" s="11">
        <f t="shared" si="2"/>
        <v>90</v>
      </c>
      <c r="B94" s="12"/>
      <c r="C94" s="13" t="s">
        <v>12</v>
      </c>
      <c r="D94" s="5" t="s">
        <v>119</v>
      </c>
      <c r="E94" s="5" t="s">
        <v>141</v>
      </c>
      <c r="F94" s="3"/>
    </row>
    <row r="95" spans="1:6" ht="30" x14ac:dyDescent="0.25">
      <c r="A95" s="11">
        <f t="shared" si="2"/>
        <v>91</v>
      </c>
      <c r="B95" s="12"/>
      <c r="C95" s="13" t="s">
        <v>13</v>
      </c>
      <c r="D95" s="5" t="s">
        <v>119</v>
      </c>
      <c r="E95" s="5" t="s">
        <v>141</v>
      </c>
      <c r="F95" s="3"/>
    </row>
    <row r="96" spans="1:6" ht="30" x14ac:dyDescent="0.25">
      <c r="A96" s="11">
        <f t="shared" si="2"/>
        <v>92</v>
      </c>
      <c r="B96" s="12"/>
      <c r="C96" s="13" t="s">
        <v>14</v>
      </c>
      <c r="D96" s="5" t="s">
        <v>119</v>
      </c>
      <c r="E96" s="5" t="s">
        <v>141</v>
      </c>
      <c r="F96" s="3"/>
    </row>
    <row r="97" spans="1:6" ht="30" x14ac:dyDescent="0.25">
      <c r="A97" s="11">
        <f t="shared" si="2"/>
        <v>93</v>
      </c>
      <c r="B97" s="12"/>
      <c r="C97" s="13" t="s">
        <v>52</v>
      </c>
      <c r="D97" s="5" t="s">
        <v>119</v>
      </c>
      <c r="E97" s="5" t="s">
        <v>141</v>
      </c>
      <c r="F97" s="3"/>
    </row>
    <row r="98" spans="1:6" ht="30" x14ac:dyDescent="0.25">
      <c r="A98" s="11">
        <f t="shared" si="2"/>
        <v>94</v>
      </c>
      <c r="B98" s="12"/>
      <c r="C98" s="13" t="s">
        <v>53</v>
      </c>
      <c r="D98" s="5" t="s">
        <v>119</v>
      </c>
      <c r="E98" s="5" t="s">
        <v>141</v>
      </c>
      <c r="F98" s="3"/>
    </row>
    <row r="99" spans="1:6" ht="30" x14ac:dyDescent="0.25">
      <c r="A99" s="11">
        <f t="shared" si="2"/>
        <v>95</v>
      </c>
      <c r="B99" s="12"/>
      <c r="C99" s="13" t="s">
        <v>54</v>
      </c>
      <c r="D99" s="5" t="s">
        <v>119</v>
      </c>
      <c r="E99" s="5" t="s">
        <v>141</v>
      </c>
      <c r="F99" s="3"/>
    </row>
    <row r="100" spans="1:6" ht="30" x14ac:dyDescent="0.25">
      <c r="A100" s="11">
        <f t="shared" si="2"/>
        <v>96</v>
      </c>
      <c r="B100" s="12"/>
      <c r="C100" s="13" t="s">
        <v>18</v>
      </c>
      <c r="D100" s="5" t="s">
        <v>119</v>
      </c>
      <c r="E100" s="5" t="s">
        <v>141</v>
      </c>
      <c r="F100" s="3"/>
    </row>
    <row r="101" spans="1:6" ht="30" x14ac:dyDescent="0.25">
      <c r="A101" s="11">
        <f t="shared" si="2"/>
        <v>97</v>
      </c>
      <c r="B101" s="12"/>
      <c r="C101" s="13" t="s">
        <v>19</v>
      </c>
      <c r="D101" s="5" t="s">
        <v>119</v>
      </c>
      <c r="E101" s="5" t="s">
        <v>141</v>
      </c>
      <c r="F101" s="3"/>
    </row>
    <row r="102" spans="1:6" ht="30" x14ac:dyDescent="0.25">
      <c r="A102" s="11">
        <f t="shared" si="2"/>
        <v>98</v>
      </c>
      <c r="B102" s="12"/>
      <c r="C102" s="13" t="s">
        <v>20</v>
      </c>
      <c r="D102" s="5" t="s">
        <v>119</v>
      </c>
      <c r="E102" s="5" t="s">
        <v>141</v>
      </c>
      <c r="F102" s="3"/>
    </row>
    <row r="103" spans="1:6" x14ac:dyDescent="0.25">
      <c r="A103" s="11">
        <f t="shared" si="2"/>
        <v>99</v>
      </c>
      <c r="B103" s="27" t="s">
        <v>109</v>
      </c>
      <c r="C103" s="27"/>
      <c r="D103" s="2"/>
      <c r="E103" s="2"/>
      <c r="F103" s="3"/>
    </row>
    <row r="104" spans="1:6" ht="30" x14ac:dyDescent="0.25">
      <c r="A104" s="11">
        <f t="shared" si="2"/>
        <v>100</v>
      </c>
      <c r="C104" s="13" t="s">
        <v>21</v>
      </c>
      <c r="D104" s="5" t="s">
        <v>119</v>
      </c>
      <c r="E104" s="5" t="s">
        <v>141</v>
      </c>
      <c r="F104" s="3"/>
    </row>
    <row r="105" spans="1:6" ht="30" x14ac:dyDescent="0.25">
      <c r="A105" s="11">
        <f t="shared" si="2"/>
        <v>101</v>
      </c>
      <c r="C105" s="13" t="s">
        <v>22</v>
      </c>
      <c r="D105" s="5" t="s">
        <v>119</v>
      </c>
      <c r="E105" s="5" t="s">
        <v>141</v>
      </c>
      <c r="F105" s="3"/>
    </row>
    <row r="106" spans="1:6" ht="30" x14ac:dyDescent="0.25">
      <c r="A106" s="11">
        <f t="shared" si="2"/>
        <v>102</v>
      </c>
      <c r="C106" s="13" t="s">
        <v>23</v>
      </c>
      <c r="D106" s="5" t="s">
        <v>119</v>
      </c>
      <c r="E106" s="5" t="s">
        <v>141</v>
      </c>
      <c r="F106" s="3"/>
    </row>
    <row r="107" spans="1:6" ht="30" x14ac:dyDescent="0.25">
      <c r="A107" s="11">
        <f t="shared" si="2"/>
        <v>103</v>
      </c>
      <c r="C107" s="13" t="s">
        <v>24</v>
      </c>
      <c r="D107" s="5" t="s">
        <v>119</v>
      </c>
      <c r="E107" s="5" t="s">
        <v>141</v>
      </c>
      <c r="F107" s="3"/>
    </row>
    <row r="108" spans="1:6" ht="30" x14ac:dyDescent="0.25">
      <c r="A108" s="11">
        <f t="shared" ref="A108:A139" si="3">A107+1</f>
        <v>104</v>
      </c>
      <c r="C108" s="13" t="s">
        <v>25</v>
      </c>
      <c r="D108" s="5" t="s">
        <v>119</v>
      </c>
      <c r="E108" s="5" t="s">
        <v>141</v>
      </c>
      <c r="F108" s="3"/>
    </row>
    <row r="109" spans="1:6" x14ac:dyDescent="0.25">
      <c r="A109" s="11">
        <f t="shared" si="3"/>
        <v>105</v>
      </c>
      <c r="B109" s="12"/>
      <c r="C109" s="13" t="s">
        <v>123</v>
      </c>
      <c r="D109" s="31"/>
      <c r="E109" s="33"/>
      <c r="F109" s="31"/>
    </row>
    <row r="110" spans="1:6" x14ac:dyDescent="0.25">
      <c r="A110" s="11">
        <f t="shared" si="3"/>
        <v>106</v>
      </c>
      <c r="B110" s="27" t="s">
        <v>26</v>
      </c>
      <c r="C110" s="27"/>
      <c r="D110" s="2"/>
      <c r="E110" s="2"/>
      <c r="F110" s="3"/>
    </row>
    <row r="111" spans="1:6" ht="45" x14ac:dyDescent="0.25">
      <c r="A111" s="11">
        <f t="shared" si="3"/>
        <v>107</v>
      </c>
      <c r="B111" s="12"/>
      <c r="C111" s="13" t="s">
        <v>55</v>
      </c>
      <c r="D111" s="31"/>
      <c r="E111" s="31"/>
      <c r="F111" s="31"/>
    </row>
    <row r="112" spans="1:6" x14ac:dyDescent="0.25">
      <c r="A112" s="11">
        <f t="shared" si="3"/>
        <v>108</v>
      </c>
      <c r="B112" s="27" t="s">
        <v>27</v>
      </c>
      <c r="C112" s="27"/>
      <c r="D112" s="2"/>
      <c r="E112" s="2"/>
      <c r="F112" s="3"/>
    </row>
    <row r="113" spans="1:6" ht="45" x14ac:dyDescent="0.25">
      <c r="A113" s="11">
        <f t="shared" si="3"/>
        <v>109</v>
      </c>
      <c r="B113" s="12"/>
      <c r="C113" s="13" t="s">
        <v>56</v>
      </c>
      <c r="D113" s="31"/>
      <c r="E113" s="31"/>
      <c r="F113" s="31"/>
    </row>
    <row r="114" spans="1:6" x14ac:dyDescent="0.25">
      <c r="A114" s="11">
        <f t="shared" si="3"/>
        <v>110</v>
      </c>
      <c r="B114" s="27" t="s">
        <v>28</v>
      </c>
      <c r="C114" s="27"/>
      <c r="E114" s="2"/>
      <c r="F114" s="3"/>
    </row>
    <row r="115" spans="1:6" ht="36" customHeight="1" x14ac:dyDescent="0.25">
      <c r="A115" s="11">
        <f t="shared" si="3"/>
        <v>111</v>
      </c>
      <c r="B115" s="12"/>
      <c r="C115" s="26" t="s">
        <v>148</v>
      </c>
      <c r="D115" s="26"/>
      <c r="E115" s="2"/>
      <c r="F115" s="3"/>
    </row>
    <row r="116" spans="1:6" x14ac:dyDescent="0.25">
      <c r="A116" s="11">
        <f t="shared" si="3"/>
        <v>112</v>
      </c>
      <c r="B116" s="12"/>
      <c r="C116" s="13" t="s">
        <v>149</v>
      </c>
      <c r="D116" s="5" t="s">
        <v>119</v>
      </c>
      <c r="E116" s="2"/>
      <c r="F116" s="3"/>
    </row>
    <row r="117" spans="1:6" x14ac:dyDescent="0.25">
      <c r="A117" s="11">
        <f t="shared" si="3"/>
        <v>113</v>
      </c>
      <c r="B117" s="12"/>
      <c r="C117" s="13" t="s">
        <v>133</v>
      </c>
      <c r="D117" s="31"/>
      <c r="E117" s="31"/>
      <c r="F117" s="31"/>
    </row>
    <row r="118" spans="1:6" x14ac:dyDescent="0.25">
      <c r="A118" s="11">
        <f t="shared" si="3"/>
        <v>114</v>
      </c>
      <c r="B118" s="27" t="s">
        <v>57</v>
      </c>
      <c r="C118" s="27"/>
      <c r="D118" s="2"/>
      <c r="E118" s="2"/>
      <c r="F118" s="3"/>
    </row>
    <row r="119" spans="1:6" ht="45" x14ac:dyDescent="0.25">
      <c r="A119" s="11">
        <f t="shared" si="3"/>
        <v>115</v>
      </c>
      <c r="B119" s="12"/>
      <c r="C119" s="13" t="s">
        <v>128</v>
      </c>
      <c r="D119" s="31"/>
      <c r="E119" s="31"/>
      <c r="F119" s="31"/>
    </row>
    <row r="120" spans="1:6" x14ac:dyDescent="0.25">
      <c r="A120" s="11">
        <f t="shared" si="3"/>
        <v>116</v>
      </c>
      <c r="B120" s="27" t="s">
        <v>58</v>
      </c>
      <c r="C120" s="27"/>
      <c r="D120" s="2"/>
      <c r="E120" s="2"/>
      <c r="F120" s="3"/>
    </row>
    <row r="121" spans="1:6" ht="135" x14ac:dyDescent="0.25">
      <c r="A121" s="11">
        <f t="shared" si="3"/>
        <v>117</v>
      </c>
      <c r="B121" s="12"/>
      <c r="C121" s="13" t="s">
        <v>134</v>
      </c>
      <c r="D121" s="31"/>
      <c r="E121" s="31"/>
      <c r="F121" s="31"/>
    </row>
    <row r="122" spans="1:6" x14ac:dyDescent="0.25">
      <c r="A122" s="11">
        <f t="shared" si="3"/>
        <v>118</v>
      </c>
      <c r="B122" t="s">
        <v>59</v>
      </c>
      <c r="C122" s="15"/>
      <c r="D122" s="2"/>
      <c r="E122" s="2"/>
      <c r="F122" s="3"/>
    </row>
    <row r="123" spans="1:6" ht="45" x14ac:dyDescent="0.25">
      <c r="A123" s="11">
        <f t="shared" si="3"/>
        <v>119</v>
      </c>
      <c r="B123" s="12"/>
      <c r="C123" s="13" t="s">
        <v>131</v>
      </c>
      <c r="D123" s="31"/>
      <c r="E123" s="31"/>
      <c r="F123" s="31"/>
    </row>
    <row r="124" spans="1:6" x14ac:dyDescent="0.25">
      <c r="A124" s="11">
        <f t="shared" si="3"/>
        <v>120</v>
      </c>
      <c r="B124" t="s">
        <v>60</v>
      </c>
      <c r="C124" s="15"/>
      <c r="D124" s="2"/>
      <c r="E124" s="2"/>
      <c r="F124" s="3"/>
    </row>
    <row r="125" spans="1:6" ht="45" x14ac:dyDescent="0.25">
      <c r="A125" s="11">
        <f t="shared" si="3"/>
        <v>121</v>
      </c>
      <c r="B125" s="12"/>
      <c r="C125" s="13" t="s">
        <v>132</v>
      </c>
      <c r="D125" s="31"/>
      <c r="E125" s="31"/>
      <c r="F125" s="31"/>
    </row>
    <row r="126" spans="1:6" x14ac:dyDescent="0.25">
      <c r="A126" s="11">
        <f t="shared" si="3"/>
        <v>122</v>
      </c>
      <c r="B126" t="s">
        <v>61</v>
      </c>
      <c r="C126" s="15"/>
      <c r="D126" s="2"/>
      <c r="E126" s="2"/>
      <c r="F126" s="3"/>
    </row>
    <row r="127" spans="1:6" ht="45" x14ac:dyDescent="0.25">
      <c r="A127" s="11">
        <f t="shared" si="3"/>
        <v>123</v>
      </c>
      <c r="B127" s="12"/>
      <c r="C127" s="13" t="s">
        <v>135</v>
      </c>
      <c r="D127" s="31"/>
      <c r="E127" s="31"/>
      <c r="F127" s="31"/>
    </row>
    <row r="128" spans="1:6" x14ac:dyDescent="0.25">
      <c r="A128" s="11">
        <f t="shared" si="3"/>
        <v>124</v>
      </c>
      <c r="B128" s="29" t="s">
        <v>62</v>
      </c>
      <c r="C128" s="29"/>
      <c r="D128" s="2"/>
      <c r="E128" s="2"/>
      <c r="F128" s="3"/>
    </row>
    <row r="129" spans="1:6" x14ac:dyDescent="0.25">
      <c r="A129" s="11">
        <f t="shared" si="3"/>
        <v>125</v>
      </c>
      <c r="B129" t="s">
        <v>107</v>
      </c>
      <c r="C129" s="15"/>
      <c r="D129" s="2"/>
      <c r="E129" s="2"/>
      <c r="F129" s="3"/>
    </row>
    <row r="130" spans="1:6" ht="30" x14ac:dyDescent="0.25">
      <c r="A130" s="11">
        <f t="shared" si="3"/>
        <v>126</v>
      </c>
      <c r="B130" s="12"/>
      <c r="C130" s="13" t="s">
        <v>63</v>
      </c>
      <c r="D130" s="5" t="s">
        <v>119</v>
      </c>
      <c r="E130" s="5" t="s">
        <v>141</v>
      </c>
      <c r="F130" s="3"/>
    </row>
    <row r="131" spans="1:6" ht="30" x14ac:dyDescent="0.25">
      <c r="A131" s="11">
        <f t="shared" si="3"/>
        <v>127</v>
      </c>
      <c r="B131" s="12"/>
      <c r="C131" s="13" t="s">
        <v>64</v>
      </c>
      <c r="D131" s="5" t="s">
        <v>119</v>
      </c>
      <c r="E131" s="5" t="s">
        <v>141</v>
      </c>
      <c r="F131" s="3"/>
    </row>
    <row r="132" spans="1:6" ht="30" x14ac:dyDescent="0.25">
      <c r="A132" s="11">
        <f t="shared" si="3"/>
        <v>128</v>
      </c>
      <c r="B132" s="12"/>
      <c r="C132" s="13" t="s">
        <v>65</v>
      </c>
      <c r="D132" s="5" t="s">
        <v>119</v>
      </c>
      <c r="E132" s="5" t="s">
        <v>141</v>
      </c>
      <c r="F132" s="3"/>
    </row>
    <row r="133" spans="1:6" ht="30" x14ac:dyDescent="0.25">
      <c r="A133" s="11">
        <f t="shared" si="3"/>
        <v>129</v>
      </c>
      <c r="B133" s="12"/>
      <c r="C133" s="13" t="s">
        <v>66</v>
      </c>
      <c r="D133" s="5" t="s">
        <v>119</v>
      </c>
      <c r="E133" s="5" t="s">
        <v>141</v>
      </c>
      <c r="F133" s="3"/>
    </row>
    <row r="134" spans="1:6" ht="45" x14ac:dyDescent="0.25">
      <c r="A134" s="11">
        <f t="shared" si="3"/>
        <v>130</v>
      </c>
      <c r="B134" s="12"/>
      <c r="C134" s="13" t="s">
        <v>67</v>
      </c>
      <c r="D134" s="5" t="s">
        <v>119</v>
      </c>
      <c r="E134" s="5" t="s">
        <v>141</v>
      </c>
      <c r="F134" s="3"/>
    </row>
    <row r="135" spans="1:6" ht="45" x14ac:dyDescent="0.25">
      <c r="A135" s="11">
        <f t="shared" si="3"/>
        <v>131</v>
      </c>
      <c r="B135" s="12"/>
      <c r="C135" s="13" t="s">
        <v>68</v>
      </c>
      <c r="D135" s="5" t="s">
        <v>119</v>
      </c>
      <c r="E135" s="5" t="s">
        <v>141</v>
      </c>
      <c r="F135" s="3"/>
    </row>
    <row r="136" spans="1:6" ht="30" x14ac:dyDescent="0.25">
      <c r="A136" s="11">
        <f t="shared" si="3"/>
        <v>132</v>
      </c>
      <c r="B136" s="12"/>
      <c r="C136" s="13" t="s">
        <v>69</v>
      </c>
      <c r="D136" s="5" t="s">
        <v>119</v>
      </c>
      <c r="E136" s="5" t="s">
        <v>141</v>
      </c>
      <c r="F136" s="3"/>
    </row>
    <row r="137" spans="1:6" ht="30" x14ac:dyDescent="0.25">
      <c r="A137" s="11">
        <f t="shared" si="3"/>
        <v>133</v>
      </c>
      <c r="B137" s="12"/>
      <c r="C137" s="13" t="s">
        <v>70</v>
      </c>
      <c r="D137" s="5" t="s">
        <v>119</v>
      </c>
      <c r="E137" s="5" t="s">
        <v>141</v>
      </c>
      <c r="F137" s="3"/>
    </row>
    <row r="138" spans="1:6" ht="45" x14ac:dyDescent="0.25">
      <c r="A138" s="11">
        <f t="shared" si="3"/>
        <v>134</v>
      </c>
      <c r="B138" s="12"/>
      <c r="C138" s="13" t="s">
        <v>71</v>
      </c>
      <c r="D138" s="5" t="s">
        <v>119</v>
      </c>
      <c r="E138" s="5" t="s">
        <v>141</v>
      </c>
      <c r="F138" s="3"/>
    </row>
    <row r="139" spans="1:6" ht="30" x14ac:dyDescent="0.25">
      <c r="A139" s="11">
        <f t="shared" si="3"/>
        <v>135</v>
      </c>
      <c r="B139" s="12"/>
      <c r="C139" s="13" t="s">
        <v>72</v>
      </c>
      <c r="D139" s="5" t="s">
        <v>119</v>
      </c>
      <c r="E139" s="5" t="s">
        <v>141</v>
      </c>
      <c r="F139" s="3"/>
    </row>
    <row r="140" spans="1:6" ht="45" x14ac:dyDescent="0.25">
      <c r="A140" s="11">
        <f t="shared" ref="A140:A171" si="4">A139+1</f>
        <v>136</v>
      </c>
      <c r="B140" s="12"/>
      <c r="C140" s="13" t="s">
        <v>73</v>
      </c>
      <c r="D140" s="5" t="s">
        <v>119</v>
      </c>
      <c r="E140" s="5" t="s">
        <v>141</v>
      </c>
      <c r="F140" s="3"/>
    </row>
    <row r="141" spans="1:6" ht="45" x14ac:dyDescent="0.25">
      <c r="A141" s="11">
        <f t="shared" si="4"/>
        <v>137</v>
      </c>
      <c r="B141" s="12"/>
      <c r="C141" s="13" t="s">
        <v>74</v>
      </c>
      <c r="D141" s="5" t="s">
        <v>119</v>
      </c>
      <c r="E141" s="5" t="s">
        <v>141</v>
      </c>
      <c r="F141" s="3"/>
    </row>
    <row r="142" spans="1:6" ht="45" x14ac:dyDescent="0.25">
      <c r="A142" s="11">
        <f t="shared" si="4"/>
        <v>138</v>
      </c>
      <c r="B142" s="12"/>
      <c r="C142" s="13" t="s">
        <v>75</v>
      </c>
      <c r="D142" s="5" t="s">
        <v>119</v>
      </c>
      <c r="E142" s="5" t="s">
        <v>141</v>
      </c>
      <c r="F142" s="3"/>
    </row>
    <row r="143" spans="1:6" x14ac:dyDescent="0.25">
      <c r="A143" s="11">
        <f t="shared" si="4"/>
        <v>139</v>
      </c>
      <c r="B143" s="12"/>
      <c r="C143" s="13" t="s">
        <v>123</v>
      </c>
      <c r="D143" s="31"/>
      <c r="E143" s="33"/>
      <c r="F143" s="31"/>
    </row>
    <row r="144" spans="1:6" x14ac:dyDescent="0.25">
      <c r="A144" s="11">
        <f t="shared" si="4"/>
        <v>140</v>
      </c>
      <c r="B144" t="s">
        <v>110</v>
      </c>
      <c r="C144" s="15"/>
      <c r="D144" s="2"/>
      <c r="E144" s="2"/>
      <c r="F144" s="3"/>
    </row>
    <row r="145" spans="1:6" ht="30" x14ac:dyDescent="0.25">
      <c r="A145" s="11">
        <f t="shared" si="4"/>
        <v>141</v>
      </c>
      <c r="B145" s="12"/>
      <c r="C145" s="13" t="s">
        <v>13</v>
      </c>
      <c r="D145" s="5" t="s">
        <v>119</v>
      </c>
      <c r="E145" s="5" t="s">
        <v>141</v>
      </c>
      <c r="F145" s="3"/>
    </row>
    <row r="146" spans="1:6" ht="30" x14ac:dyDescent="0.25">
      <c r="A146" s="11">
        <f t="shared" si="4"/>
        <v>142</v>
      </c>
      <c r="B146" s="12"/>
      <c r="C146" s="13" t="s">
        <v>53</v>
      </c>
      <c r="D146" s="5" t="s">
        <v>119</v>
      </c>
      <c r="E146" s="5" t="s">
        <v>141</v>
      </c>
      <c r="F146" s="3"/>
    </row>
    <row r="147" spans="1:6" ht="30" x14ac:dyDescent="0.25">
      <c r="A147" s="11">
        <f t="shared" si="4"/>
        <v>143</v>
      </c>
      <c r="B147" s="12"/>
      <c r="C147" s="13" t="s">
        <v>54</v>
      </c>
      <c r="D147" s="5" t="s">
        <v>119</v>
      </c>
      <c r="E147" s="5" t="s">
        <v>141</v>
      </c>
      <c r="F147" s="3"/>
    </row>
    <row r="148" spans="1:6" ht="30" x14ac:dyDescent="0.25">
      <c r="A148" s="11">
        <f t="shared" si="4"/>
        <v>144</v>
      </c>
      <c r="B148" s="12"/>
      <c r="C148" s="13" t="s">
        <v>18</v>
      </c>
      <c r="D148" s="5" t="s">
        <v>119</v>
      </c>
      <c r="E148" s="5" t="s">
        <v>141</v>
      </c>
      <c r="F148" s="3"/>
    </row>
    <row r="149" spans="1:6" ht="30" x14ac:dyDescent="0.25">
      <c r="A149" s="11">
        <f t="shared" si="4"/>
        <v>145</v>
      </c>
      <c r="B149" s="12"/>
      <c r="C149" s="13" t="s">
        <v>19</v>
      </c>
      <c r="D149" s="5" t="s">
        <v>119</v>
      </c>
      <c r="E149" s="5" t="s">
        <v>141</v>
      </c>
      <c r="F149" s="3"/>
    </row>
    <row r="150" spans="1:6" ht="30" x14ac:dyDescent="0.25">
      <c r="A150" s="11">
        <f t="shared" si="4"/>
        <v>146</v>
      </c>
      <c r="B150" s="12"/>
      <c r="C150" s="13" t="s">
        <v>76</v>
      </c>
      <c r="D150" s="5" t="s">
        <v>119</v>
      </c>
      <c r="E150" s="5" t="s">
        <v>141</v>
      </c>
      <c r="F150" s="3"/>
    </row>
    <row r="151" spans="1:6" ht="30" x14ac:dyDescent="0.25">
      <c r="A151" s="11">
        <f t="shared" si="4"/>
        <v>147</v>
      </c>
      <c r="B151" s="12"/>
      <c r="C151" s="13" t="s">
        <v>77</v>
      </c>
      <c r="D151" s="5" t="s">
        <v>119</v>
      </c>
      <c r="E151" s="5" t="s">
        <v>141</v>
      </c>
      <c r="F151" s="3"/>
    </row>
    <row r="152" spans="1:6" ht="30" x14ac:dyDescent="0.25">
      <c r="A152" s="11">
        <f t="shared" si="4"/>
        <v>148</v>
      </c>
      <c r="B152" s="12"/>
      <c r="C152" s="13" t="s">
        <v>78</v>
      </c>
      <c r="D152" s="5" t="s">
        <v>119</v>
      </c>
      <c r="E152" s="5" t="s">
        <v>141</v>
      </c>
      <c r="F152" s="3"/>
    </row>
    <row r="153" spans="1:6" ht="30" x14ac:dyDescent="0.25">
      <c r="A153" s="11">
        <f t="shared" si="4"/>
        <v>149</v>
      </c>
      <c r="B153" s="12"/>
      <c r="C153" s="13" t="s">
        <v>20</v>
      </c>
      <c r="D153" s="5" t="s">
        <v>119</v>
      </c>
      <c r="E153" s="5" t="s">
        <v>141</v>
      </c>
      <c r="F153" s="3"/>
    </row>
    <row r="154" spans="1:6" x14ac:dyDescent="0.25">
      <c r="A154" s="11">
        <f t="shared" si="4"/>
        <v>150</v>
      </c>
      <c r="B154" t="s">
        <v>109</v>
      </c>
      <c r="C154" s="15"/>
      <c r="D154" s="2"/>
      <c r="E154" s="2"/>
      <c r="F154" s="3"/>
    </row>
    <row r="155" spans="1:6" ht="30" x14ac:dyDescent="0.25">
      <c r="A155" s="11">
        <f t="shared" si="4"/>
        <v>151</v>
      </c>
      <c r="B155" s="12"/>
      <c r="C155" s="13" t="s">
        <v>21</v>
      </c>
      <c r="D155" s="5" t="s">
        <v>119</v>
      </c>
      <c r="E155" s="5" t="s">
        <v>141</v>
      </c>
      <c r="F155" s="3"/>
    </row>
    <row r="156" spans="1:6" ht="30" x14ac:dyDescent="0.25">
      <c r="A156" s="11">
        <f t="shared" si="4"/>
        <v>152</v>
      </c>
      <c r="B156" s="12"/>
      <c r="C156" s="13" t="s">
        <v>22</v>
      </c>
      <c r="D156" s="5" t="s">
        <v>119</v>
      </c>
      <c r="E156" s="5" t="s">
        <v>141</v>
      </c>
      <c r="F156" s="3"/>
    </row>
    <row r="157" spans="1:6" ht="30" x14ac:dyDescent="0.25">
      <c r="A157" s="11">
        <f t="shared" si="4"/>
        <v>153</v>
      </c>
      <c r="B157" s="12"/>
      <c r="C157" s="13" t="s">
        <v>23</v>
      </c>
      <c r="D157" s="5" t="s">
        <v>119</v>
      </c>
      <c r="E157" s="5" t="s">
        <v>141</v>
      </c>
      <c r="F157" s="3"/>
    </row>
    <row r="158" spans="1:6" ht="30" x14ac:dyDescent="0.25">
      <c r="A158" s="11">
        <f t="shared" si="4"/>
        <v>154</v>
      </c>
      <c r="B158" s="12"/>
      <c r="C158" s="13" t="s">
        <v>24</v>
      </c>
      <c r="D158" s="5" t="s">
        <v>119</v>
      </c>
      <c r="E158" s="5" t="s">
        <v>141</v>
      </c>
      <c r="F158" s="3"/>
    </row>
    <row r="159" spans="1:6" ht="30" x14ac:dyDescent="0.25">
      <c r="A159" s="11">
        <f t="shared" si="4"/>
        <v>155</v>
      </c>
      <c r="B159" s="12"/>
      <c r="C159" s="13" t="s">
        <v>25</v>
      </c>
      <c r="D159" s="5" t="s">
        <v>119</v>
      </c>
      <c r="E159" s="5" t="s">
        <v>141</v>
      </c>
      <c r="F159" s="3"/>
    </row>
    <row r="160" spans="1:6" x14ac:dyDescent="0.25">
      <c r="A160" s="11">
        <f t="shared" si="4"/>
        <v>156</v>
      </c>
      <c r="B160" s="12"/>
      <c r="C160" s="13" t="s">
        <v>123</v>
      </c>
      <c r="D160" s="31"/>
      <c r="E160" s="33"/>
      <c r="F160" s="31"/>
    </row>
    <row r="161" spans="1:6" x14ac:dyDescent="0.25">
      <c r="A161" s="11">
        <f t="shared" si="4"/>
        <v>157</v>
      </c>
      <c r="B161" t="s">
        <v>26</v>
      </c>
      <c r="C161" s="15"/>
      <c r="D161" s="2"/>
      <c r="E161" s="2"/>
      <c r="F161" s="3"/>
    </row>
    <row r="162" spans="1:6" ht="45" x14ac:dyDescent="0.25">
      <c r="A162" s="11">
        <f t="shared" si="4"/>
        <v>158</v>
      </c>
      <c r="B162" s="12"/>
      <c r="C162" s="13" t="s">
        <v>136</v>
      </c>
      <c r="D162" s="31"/>
      <c r="E162" s="31"/>
      <c r="F162" s="31"/>
    </row>
    <row r="163" spans="1:6" x14ac:dyDescent="0.25">
      <c r="A163" s="11">
        <f t="shared" si="4"/>
        <v>159</v>
      </c>
      <c r="B163" t="s">
        <v>27</v>
      </c>
      <c r="C163" s="15"/>
      <c r="D163" s="2"/>
      <c r="E163" s="2"/>
      <c r="F163" s="3"/>
    </row>
    <row r="164" spans="1:6" ht="45" x14ac:dyDescent="0.25">
      <c r="A164" s="11">
        <f t="shared" si="4"/>
        <v>160</v>
      </c>
      <c r="B164" s="12"/>
      <c r="C164" s="13" t="s">
        <v>137</v>
      </c>
      <c r="D164" s="31"/>
      <c r="E164" s="31"/>
      <c r="F164" s="31"/>
    </row>
    <row r="165" spans="1:6" x14ac:dyDescent="0.25">
      <c r="A165" s="11">
        <f t="shared" si="4"/>
        <v>161</v>
      </c>
      <c r="B165" t="s">
        <v>28</v>
      </c>
      <c r="C165" s="15"/>
      <c r="E165" s="2"/>
      <c r="F165" s="3"/>
    </row>
    <row r="166" spans="1:6" ht="33.75" customHeight="1" x14ac:dyDescent="0.25">
      <c r="A166" s="11">
        <f t="shared" si="4"/>
        <v>162</v>
      </c>
      <c r="B166" s="12"/>
      <c r="C166" s="26" t="s">
        <v>29</v>
      </c>
      <c r="D166" s="26"/>
      <c r="E166" s="2"/>
      <c r="F166" s="3"/>
    </row>
    <row r="167" spans="1:6" x14ac:dyDescent="0.25">
      <c r="A167" s="11">
        <f t="shared" si="4"/>
        <v>163</v>
      </c>
      <c r="B167" s="12"/>
      <c r="C167" s="13" t="s">
        <v>30</v>
      </c>
      <c r="D167" s="5" t="s">
        <v>119</v>
      </c>
      <c r="E167" s="2"/>
      <c r="F167" s="3"/>
    </row>
    <row r="168" spans="1:6" x14ac:dyDescent="0.25">
      <c r="A168" s="11">
        <f t="shared" si="4"/>
        <v>164</v>
      </c>
      <c r="B168" s="12"/>
      <c r="C168" s="13" t="s">
        <v>126</v>
      </c>
      <c r="D168" s="31"/>
      <c r="E168" s="31"/>
      <c r="F168" s="31"/>
    </row>
    <row r="169" spans="1:6" x14ac:dyDescent="0.25">
      <c r="A169" s="11">
        <f t="shared" si="4"/>
        <v>165</v>
      </c>
      <c r="B169" t="s">
        <v>57</v>
      </c>
      <c r="C169" s="15"/>
      <c r="D169" s="2"/>
      <c r="E169" s="2"/>
      <c r="F169" s="3"/>
    </row>
    <row r="170" spans="1:6" ht="45" x14ac:dyDescent="0.25">
      <c r="A170" s="11">
        <f t="shared" si="4"/>
        <v>166</v>
      </c>
      <c r="B170" s="12"/>
      <c r="C170" s="13" t="s">
        <v>128</v>
      </c>
      <c r="D170" s="31"/>
      <c r="E170" s="31"/>
      <c r="F170" s="31"/>
    </row>
    <row r="171" spans="1:6" x14ac:dyDescent="0.25">
      <c r="A171" s="11">
        <f t="shared" si="4"/>
        <v>167</v>
      </c>
      <c r="B171" t="s">
        <v>58</v>
      </c>
      <c r="C171" s="15"/>
      <c r="D171" s="2"/>
      <c r="E171" s="2"/>
      <c r="F171" s="3"/>
    </row>
    <row r="172" spans="1:6" ht="135" x14ac:dyDescent="0.25">
      <c r="A172" s="11">
        <f t="shared" ref="A172:A198" si="5">A171+1</f>
        <v>168</v>
      </c>
      <c r="B172" s="12"/>
      <c r="C172" s="13" t="s">
        <v>134</v>
      </c>
      <c r="D172" s="31"/>
      <c r="E172" s="31"/>
      <c r="F172" s="31"/>
    </row>
    <row r="173" spans="1:6" x14ac:dyDescent="0.25">
      <c r="A173" s="11">
        <f t="shared" si="5"/>
        <v>169</v>
      </c>
      <c r="B173" t="s">
        <v>59</v>
      </c>
      <c r="C173" s="15"/>
      <c r="D173" s="2"/>
      <c r="E173" s="2"/>
      <c r="F173" s="3"/>
    </row>
    <row r="174" spans="1:6" ht="45" x14ac:dyDescent="0.25">
      <c r="A174" s="11">
        <f t="shared" si="5"/>
        <v>170</v>
      </c>
      <c r="B174" s="12"/>
      <c r="C174" s="13" t="s">
        <v>131</v>
      </c>
      <c r="D174" s="31"/>
      <c r="E174" s="31"/>
      <c r="F174" s="31"/>
    </row>
    <row r="175" spans="1:6" x14ac:dyDescent="0.25">
      <c r="A175" s="11">
        <f t="shared" si="5"/>
        <v>171</v>
      </c>
      <c r="B175" t="s">
        <v>60</v>
      </c>
      <c r="C175" s="15"/>
      <c r="D175" s="2"/>
      <c r="E175" s="2"/>
      <c r="F175" s="3"/>
    </row>
    <row r="176" spans="1:6" ht="45" x14ac:dyDescent="0.25">
      <c r="A176" s="11">
        <f t="shared" si="5"/>
        <v>172</v>
      </c>
      <c r="B176" s="12"/>
      <c r="C176" s="13" t="s">
        <v>132</v>
      </c>
      <c r="D176" s="31"/>
      <c r="E176" s="31"/>
      <c r="F176" s="31"/>
    </row>
    <row r="177" spans="1:6" x14ac:dyDescent="0.25">
      <c r="A177" s="11">
        <f t="shared" si="5"/>
        <v>173</v>
      </c>
      <c r="B177" t="s">
        <v>61</v>
      </c>
      <c r="C177" s="15"/>
      <c r="D177" s="2"/>
      <c r="E177" s="2"/>
      <c r="F177" s="3"/>
    </row>
    <row r="178" spans="1:6" ht="45" x14ac:dyDescent="0.25">
      <c r="A178" s="11">
        <f t="shared" si="5"/>
        <v>174</v>
      </c>
      <c r="B178" s="12"/>
      <c r="C178" s="13" t="s">
        <v>135</v>
      </c>
      <c r="D178" s="31"/>
      <c r="E178" s="31"/>
      <c r="F178" s="31"/>
    </row>
    <row r="179" spans="1:6" x14ac:dyDescent="0.25">
      <c r="A179" s="11">
        <f t="shared" si="5"/>
        <v>175</v>
      </c>
      <c r="B179" s="10" t="s">
        <v>79</v>
      </c>
      <c r="C179" s="15"/>
      <c r="D179" s="2"/>
      <c r="E179" s="2"/>
      <c r="F179" s="3"/>
    </row>
    <row r="180" spans="1:6" ht="45" customHeight="1" x14ac:dyDescent="0.25">
      <c r="A180" s="11">
        <f t="shared" si="5"/>
        <v>176</v>
      </c>
      <c r="B180" s="12"/>
      <c r="C180" s="25" t="s">
        <v>80</v>
      </c>
      <c r="D180" s="25"/>
      <c r="E180" s="2"/>
      <c r="F180" s="3"/>
    </row>
    <row r="181" spans="1:6" x14ac:dyDescent="0.25">
      <c r="A181" s="11">
        <f t="shared" si="5"/>
        <v>177</v>
      </c>
      <c r="B181" t="s">
        <v>111</v>
      </c>
      <c r="C181" s="15"/>
      <c r="D181" s="2"/>
      <c r="E181" s="2"/>
      <c r="F181" s="3"/>
    </row>
    <row r="182" spans="1:6" ht="30" x14ac:dyDescent="0.25">
      <c r="A182" s="11">
        <f t="shared" si="5"/>
        <v>178</v>
      </c>
      <c r="B182" s="12"/>
      <c r="C182" s="13" t="s">
        <v>81</v>
      </c>
      <c r="D182" s="5" t="s">
        <v>119</v>
      </c>
      <c r="E182" s="5" t="s">
        <v>141</v>
      </c>
      <c r="F182" s="3"/>
    </row>
    <row r="183" spans="1:6" ht="30" x14ac:dyDescent="0.25">
      <c r="A183" s="11">
        <f t="shared" si="5"/>
        <v>179</v>
      </c>
      <c r="B183" s="12"/>
      <c r="C183" s="13" t="s">
        <v>82</v>
      </c>
      <c r="D183" s="5" t="s">
        <v>119</v>
      </c>
      <c r="E183" s="5" t="s">
        <v>141</v>
      </c>
      <c r="F183" s="3"/>
    </row>
    <row r="184" spans="1:6" ht="30" x14ac:dyDescent="0.25">
      <c r="A184" s="11">
        <f t="shared" si="5"/>
        <v>180</v>
      </c>
      <c r="B184" s="12"/>
      <c r="C184" s="13" t="s">
        <v>83</v>
      </c>
      <c r="D184" s="5" t="s">
        <v>119</v>
      </c>
      <c r="E184" s="5" t="s">
        <v>141</v>
      </c>
      <c r="F184" s="3"/>
    </row>
    <row r="185" spans="1:6" ht="30" x14ac:dyDescent="0.25">
      <c r="A185" s="11">
        <f t="shared" si="5"/>
        <v>181</v>
      </c>
      <c r="B185" s="12"/>
      <c r="C185" s="13" t="s">
        <v>84</v>
      </c>
      <c r="D185" s="5" t="s">
        <v>119</v>
      </c>
      <c r="E185" s="5" t="s">
        <v>141</v>
      </c>
      <c r="F185" s="3"/>
    </row>
    <row r="186" spans="1:6" x14ac:dyDescent="0.25">
      <c r="A186" s="11">
        <f t="shared" si="5"/>
        <v>182</v>
      </c>
      <c r="B186" s="12"/>
      <c r="C186" s="13" t="s">
        <v>123</v>
      </c>
      <c r="D186" s="31"/>
      <c r="E186" s="33"/>
      <c r="F186" s="31"/>
    </row>
    <row r="187" spans="1:6" x14ac:dyDescent="0.25">
      <c r="A187" s="11">
        <f t="shared" si="5"/>
        <v>183</v>
      </c>
      <c r="B187" t="s">
        <v>85</v>
      </c>
      <c r="C187" s="15"/>
      <c r="D187" s="2"/>
      <c r="E187" s="2"/>
      <c r="F187" s="3"/>
    </row>
    <row r="188" spans="1:6" ht="30" x14ac:dyDescent="0.25">
      <c r="A188" s="11">
        <f t="shared" si="5"/>
        <v>184</v>
      </c>
      <c r="B188" s="12"/>
      <c r="C188" s="13" t="s">
        <v>139</v>
      </c>
      <c r="D188" s="31"/>
      <c r="E188" s="31"/>
      <c r="F188" s="31"/>
    </row>
    <row r="189" spans="1:6" x14ac:dyDescent="0.25">
      <c r="A189" s="11">
        <f t="shared" si="5"/>
        <v>185</v>
      </c>
      <c r="B189" t="s">
        <v>112</v>
      </c>
      <c r="C189" s="15"/>
      <c r="D189" s="2"/>
      <c r="E189" s="2"/>
      <c r="F189" s="3"/>
    </row>
    <row r="190" spans="1:6" ht="30" x14ac:dyDescent="0.25">
      <c r="A190" s="11">
        <f t="shared" si="5"/>
        <v>186</v>
      </c>
      <c r="B190" s="12"/>
      <c r="C190" s="13" t="s">
        <v>86</v>
      </c>
      <c r="D190" s="5" t="s">
        <v>119</v>
      </c>
      <c r="E190" s="5" t="s">
        <v>141</v>
      </c>
      <c r="F190" s="3"/>
    </row>
    <row r="191" spans="1:6" ht="30" x14ac:dyDescent="0.25">
      <c r="A191" s="11">
        <f t="shared" si="5"/>
        <v>187</v>
      </c>
      <c r="B191" s="12"/>
      <c r="C191" s="13" t="s">
        <v>87</v>
      </c>
      <c r="D191" s="5" t="s">
        <v>119</v>
      </c>
      <c r="E191" s="5" t="s">
        <v>141</v>
      </c>
      <c r="F191" s="3"/>
    </row>
    <row r="192" spans="1:6" ht="30" x14ac:dyDescent="0.25">
      <c r="A192" s="11">
        <f t="shared" si="5"/>
        <v>188</v>
      </c>
      <c r="B192" s="12"/>
      <c r="C192" s="13" t="s">
        <v>88</v>
      </c>
      <c r="D192" s="5" t="s">
        <v>119</v>
      </c>
      <c r="E192" s="5" t="s">
        <v>141</v>
      </c>
      <c r="F192" s="3"/>
    </row>
    <row r="193" spans="1:6" x14ac:dyDescent="0.25">
      <c r="A193" s="11">
        <f t="shared" si="5"/>
        <v>189</v>
      </c>
      <c r="B193" s="12"/>
      <c r="C193" s="13" t="s">
        <v>123</v>
      </c>
      <c r="D193" s="31"/>
      <c r="E193" s="33"/>
      <c r="F193" s="31"/>
    </row>
    <row r="194" spans="1:6" x14ac:dyDescent="0.25">
      <c r="A194" s="11">
        <f t="shared" si="5"/>
        <v>190</v>
      </c>
      <c r="B194" t="s">
        <v>89</v>
      </c>
      <c r="C194" s="15"/>
      <c r="D194" s="2"/>
      <c r="E194" s="2"/>
      <c r="F194" s="3"/>
    </row>
    <row r="195" spans="1:6" x14ac:dyDescent="0.25">
      <c r="A195" s="11">
        <f t="shared" si="5"/>
        <v>191</v>
      </c>
      <c r="B195" s="12"/>
      <c r="C195" s="13" t="s">
        <v>113</v>
      </c>
      <c r="D195" s="31"/>
      <c r="E195" s="31"/>
      <c r="F195" s="3"/>
    </row>
    <row r="196" spans="1:6" x14ac:dyDescent="0.25">
      <c r="A196" s="11">
        <f t="shared" si="5"/>
        <v>192</v>
      </c>
      <c r="B196" s="10" t="s">
        <v>90</v>
      </c>
      <c r="C196" s="15"/>
      <c r="D196" s="2"/>
      <c r="E196" s="2"/>
      <c r="F196" s="3"/>
    </row>
    <row r="197" spans="1:6" ht="45" x14ac:dyDescent="0.25">
      <c r="A197" s="11">
        <f t="shared" si="5"/>
        <v>193</v>
      </c>
      <c r="B197" s="12"/>
      <c r="C197" s="13" t="s">
        <v>138</v>
      </c>
      <c r="D197" s="34"/>
      <c r="E197" s="36"/>
      <c r="F197" s="37"/>
    </row>
    <row r="198" spans="1:6" x14ac:dyDescent="0.25">
      <c r="A198" s="11">
        <f t="shared" si="5"/>
        <v>194</v>
      </c>
      <c r="B198" s="12"/>
      <c r="C198" s="16"/>
      <c r="D198" s="2"/>
      <c r="E198" s="2"/>
      <c r="F198" s="3"/>
    </row>
  </sheetData>
  <sheetProtection formatColumns="0" formatRows="0"/>
  <mergeCells count="84">
    <mergeCell ref="D23:F23"/>
    <mergeCell ref="D193:F193"/>
    <mergeCell ref="D197:F197"/>
    <mergeCell ref="D195:E195"/>
    <mergeCell ref="B128:C128"/>
    <mergeCell ref="D186:F186"/>
    <mergeCell ref="D188:F188"/>
    <mergeCell ref="D127:F127"/>
    <mergeCell ref="C166:D166"/>
    <mergeCell ref="B120:C120"/>
    <mergeCell ref="B118:C118"/>
    <mergeCell ref="D113:F113"/>
    <mergeCell ref="D63:F63"/>
    <mergeCell ref="D65:F65"/>
    <mergeCell ref="D67:F67"/>
    <mergeCell ref="D69:F69"/>
    <mergeCell ref="D4:F4"/>
    <mergeCell ref="D172:F172"/>
    <mergeCell ref="D174:F174"/>
    <mergeCell ref="D176:F176"/>
    <mergeCell ref="D178:F178"/>
    <mergeCell ref="D143:F143"/>
    <mergeCell ref="D160:F160"/>
    <mergeCell ref="D162:F162"/>
    <mergeCell ref="D164:F164"/>
    <mergeCell ref="D168:F168"/>
    <mergeCell ref="D170:F170"/>
    <mergeCell ref="D117:F117"/>
    <mergeCell ref="D119:F119"/>
    <mergeCell ref="D121:F121"/>
    <mergeCell ref="D123:F123"/>
    <mergeCell ref="D125:F125"/>
    <mergeCell ref="D109:F109"/>
    <mergeCell ref="D111:F111"/>
    <mergeCell ref="D38:F38"/>
    <mergeCell ref="D55:F55"/>
    <mergeCell ref="D57:F57"/>
    <mergeCell ref="D59:F59"/>
    <mergeCell ref="D71:F71"/>
    <mergeCell ref="D73:F73"/>
    <mergeCell ref="D75:F75"/>
    <mergeCell ref="D92:F92"/>
    <mergeCell ref="D15:E15"/>
    <mergeCell ref="D18:E18"/>
    <mergeCell ref="D20:E20"/>
    <mergeCell ref="D22:F22"/>
    <mergeCell ref="D16:E16"/>
    <mergeCell ref="D9:E9"/>
    <mergeCell ref="D11:E11"/>
    <mergeCell ref="D12:E12"/>
    <mergeCell ref="D13:E13"/>
    <mergeCell ref="D14:E14"/>
    <mergeCell ref="B58:C58"/>
    <mergeCell ref="C180:D180"/>
    <mergeCell ref="A2:C2"/>
    <mergeCell ref="B70:C70"/>
    <mergeCell ref="B72:C72"/>
    <mergeCell ref="B74:C74"/>
    <mergeCell ref="B76:C76"/>
    <mergeCell ref="B93:C93"/>
    <mergeCell ref="B103:C103"/>
    <mergeCell ref="B110:C110"/>
    <mergeCell ref="B112:C112"/>
    <mergeCell ref="B114:C114"/>
    <mergeCell ref="D21:F21"/>
    <mergeCell ref="D6:E6"/>
    <mergeCell ref="D7:E7"/>
    <mergeCell ref="D8:E8"/>
    <mergeCell ref="A1:F1"/>
    <mergeCell ref="C26:D26"/>
    <mergeCell ref="C61:D61"/>
    <mergeCell ref="C115:D115"/>
    <mergeCell ref="B60:C60"/>
    <mergeCell ref="B64:C64"/>
    <mergeCell ref="B66:C66"/>
    <mergeCell ref="B68:C68"/>
    <mergeCell ref="B5:C5"/>
    <mergeCell ref="B25:C25"/>
    <mergeCell ref="B27:C27"/>
    <mergeCell ref="B28:C28"/>
    <mergeCell ref="B39:C39"/>
    <mergeCell ref="B49:C49"/>
    <mergeCell ref="B77:C77"/>
    <mergeCell ref="B56:C56"/>
  </mergeCells>
  <dataValidations count="4">
    <dataValidation type="textLength" showInputMessage="1" showErrorMessage="1" errorTitle="Max characters exceeded." error="You have exceeded the 2,000 character max character input. Please adjust. Thank you." promptTitle="Max 2,000 characters" prompt="To paste content: please double click to bring up your cursor in this cell and then paste information. Thank you." sqref="D55:F55 D59:F59 D63:F63 D69:F69 D71:F71 D75:F75 D67:F67 D57:F57 D197:F197 D38:F38 D21:F23" xr:uid="{5DB7F587-4F86-402F-A40D-E395CF83D2F0}">
      <formula1>0</formula1>
      <formula2>2000</formula2>
    </dataValidation>
    <dataValidation type="textLength" allowBlank="1" showInputMessage="1" showErrorMessage="1" errorTitle="Max characters exceeded." error="You have exceeded the 2,000 character max character input. Please adjust. Thank you." promptTitle="Max 2,000 characters" prompt="To paste content: please double click to bring up your cursor in this cell and then paste information. Thank you." sqref="D65:F65 D92:F92 D109:F109 D193:F193 D186:F186 D117:F117 D119:F119 D121:F121 D123:F123 D125:F125 D127:F127 D143:F143 D160:F160 D162:F162 D164:F164 D168:F168 D170:F170 D172:F172 D174:F174 D176:F176 D178:F178" xr:uid="{112D5EEB-4B5D-4EA1-8B20-40EFC0EF4308}">
      <formula1>0</formula1>
      <formula2>2000</formula2>
    </dataValidation>
    <dataValidation type="textLength" showInputMessage="1" showErrorMessage="1" promptTitle="Max 2,000 characters" prompt="To paste content: please double click to bring up your cursor in this cell and then paste information. Thank you." sqref="D73:F73" xr:uid="{F89061B2-979C-4B0A-9E29-323C7169F320}">
      <formula1>0</formula1>
      <formula2>2000</formula2>
    </dataValidation>
    <dataValidation allowBlank="1" showInputMessage="1" showErrorMessage="1" errorTitle="Max characters exceeded." error="You have exceeded the 2,000 character max character input. Please adjust. Thank you." prompt="To paste content: please double click to bring up your cursor in this cell and then paste information. Thank you." sqref="D111:F111 D188:F188 D113:F113" xr:uid="{69FFF580-FA2D-4854-BCB0-34F33E48CE1F}"/>
  </dataValidations>
  <hyperlinks>
    <hyperlink ref="C14" r:id="rId1" xr:uid="{CF7ED70D-CF21-4A9D-9CCC-225CE0909684}"/>
    <hyperlink ref="C15" r:id="rId2" xr:uid="{CE600F1B-701C-4671-9A44-84FC1DC237DA}"/>
    <hyperlink ref="C18" r:id="rId3" xr:uid="{AF9008E4-47F2-47B8-B049-A898A54223B7}"/>
    <hyperlink ref="C16" r:id="rId4" xr:uid="{083E3835-5B54-4C25-BCE9-4F25A5A0AFFA}"/>
  </hyperlinks>
  <pageMargins left="0.7" right="0.7" top="0.75" bottom="0.75" header="0.3" footer="0.3"/>
  <pageSetup orientation="portrait" r:id="rId5"/>
  <extLst>
    <ext xmlns:x14="http://schemas.microsoft.com/office/spreadsheetml/2009/9/main" uri="{CCE6A557-97BC-4b89-ADB6-D9C93CAAB3DF}">
      <x14:dataValidations xmlns:xm="http://schemas.microsoft.com/office/excel/2006/main" count="2">
        <x14:dataValidation type="list" allowBlank="1" showInputMessage="1" showErrorMessage="1" xr:uid="{44FCDCB7-5C68-458E-883D-3CE241BF1C8B}">
          <x14:formula1>
            <xm:f>'(backup) Dropdown Menu Options'!$A$1:$A$3</xm:f>
          </x14:formula1>
          <xm:sqref>D49 D93 D103</xm:sqref>
        </x14:dataValidation>
        <x14:dataValidation type="list" allowBlank="1" showInputMessage="1" showErrorMessage="1" xr:uid="{17735767-A396-47C9-A5B2-6EB994A87C28}">
          <x14:formula1>
            <xm:f>'(backup) Dropdown Menu Options'!$A$1:$A$4</xm:f>
          </x14:formula1>
          <xm:sqref>D19 D29:D37 D40:D48 D50:D54 D62 D78:D91 D94:D102 D104:D108 D116 D130:D142 D145:D153 D155:D159 D167 D182:D185 D190:D192 D10 D17 D24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D7015-0111-49D5-B568-6956F5704AB4}">
  <dimension ref="A1:A4"/>
  <sheetViews>
    <sheetView workbookViewId="0">
      <selection activeCell="A10" sqref="A10"/>
    </sheetView>
  </sheetViews>
  <sheetFormatPr defaultRowHeight="15" x14ac:dyDescent="0.25"/>
  <cols>
    <col min="1" max="1" width="21.7109375" bestFit="1" customWidth="1"/>
  </cols>
  <sheetData>
    <row r="1" spans="1:1" x14ac:dyDescent="0.25">
      <c r="A1" t="s">
        <v>116</v>
      </c>
    </row>
    <row r="2" spans="1:1" x14ac:dyDescent="0.25">
      <c r="A2" t="s">
        <v>117</v>
      </c>
    </row>
    <row r="3" spans="1:1" x14ac:dyDescent="0.25">
      <c r="A3" t="s">
        <v>118</v>
      </c>
    </row>
    <row r="4" spans="1:1" x14ac:dyDescent="0.25">
      <c r="A4" s="1" t="s">
        <v>119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B7B1832110A25418D71C569358F9C44" ma:contentTypeVersion="11" ma:contentTypeDescription="Create a new document." ma:contentTypeScope="" ma:versionID="4b16b4caa723c3bd0c90e004d2bd69bd">
  <xsd:schema xmlns:xsd="http://www.w3.org/2001/XMLSchema" xmlns:xs="http://www.w3.org/2001/XMLSchema" xmlns:p="http://schemas.microsoft.com/office/2006/metadata/properties" xmlns:ns2="af9b03f7-ebd2-49f5-9df3-20e23dddc742" targetNamespace="http://schemas.microsoft.com/office/2006/metadata/properties" ma:root="true" ma:fieldsID="3724665072ef2e74f0be612892c418e0" ns2:_="">
    <xsd:import namespace="af9b03f7-ebd2-49f5-9df3-20e23dddc74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9b03f7-ebd2-49f5-9df3-20e23dddc7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9b03f7-ebd2-49f5-9df3-20e23dddc7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D90D53A-0712-4749-88AE-C9AEA1CB74DF}">
  <ds:schemaRefs>
    <ds:schemaRef ds:uri="http://schemas.microsoft.com/sharepoint/v3/contenttype/forms"/>
  </ds:schemaRefs>
</ds:datastoreItem>
</file>

<file path=customXml/itemProps2.xml><?xml version="1.0" encoding="utf-8"?>
<ds:datastoreItem xmlns:ds="http://schemas.openxmlformats.org/officeDocument/2006/customXml" ds:itemID="{08FE4558-A0F6-43E3-B720-03B08EC021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9b03f7-ebd2-49f5-9df3-20e23dddc7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87A2D3-311F-4AF2-BD1A-B148FBA425A3}">
  <ds:schemaRefs>
    <ds:schemaRef ds:uri="http://purl.org/dc/dcmitype/"/>
    <ds:schemaRef ds:uri="http://purl.org/dc/terms/"/>
    <ds:schemaRef ds:uri="http://schemas.microsoft.com/office/2006/documentManagement/types"/>
    <ds:schemaRef ds:uri="http://www.w3.org/XML/1998/namespace"/>
    <ds:schemaRef ds:uri="af9b03f7-ebd2-49f5-9df3-20e23dddc742"/>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RFI Ingest Form</vt:lpstr>
      <vt:lpstr>(backup) Dropdown Menu Options</vt:lpstr>
    </vt:vector>
  </TitlesOfParts>
  <Company>The MITRE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Oliver Posewitz</dc:creator>
  <cp:lastModifiedBy>KYLES, JASON A Capt USAF AFMC AFLCMC/WLY, Future Tanke</cp:lastModifiedBy>
  <dcterms:created xsi:type="dcterms:W3CDTF">2026-01-15T19:58:28Z</dcterms:created>
  <dcterms:modified xsi:type="dcterms:W3CDTF">2026-02-18T19:56:37Z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0x010100FB7B1832110A25418D71C569358F9C44</vt:lpwstr>
  </property>
  <property fmtid="{D5CDD505-2E9C-101B-9397-08002B2CF9AE}" pid="3" name="MediaServiceImageTags">
    <vt:lpwstr/>
  </property>
</Properties>
</file>