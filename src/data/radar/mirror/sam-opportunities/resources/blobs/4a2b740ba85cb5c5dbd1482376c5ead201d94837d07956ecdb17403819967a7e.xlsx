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lenisewallace\Box\01. klenisewallace Workspace\FY26-KSW\1164048 R5VaultToilPumping&amp;WasteDispIDIQ\A10 SOL 127EAS26R0003\"/>
    </mc:Choice>
  </mc:AlternateContent>
  <xr:revisionPtr revIDLastSave="0" documentId="13_ncr:1_{AF48D35A-F01C-4CE2-825A-141F36444540}" xr6:coauthVersionLast="47" xr6:coauthVersionMax="47" xr10:uidLastSave="{00000000-0000-0000-0000-000000000000}"/>
  <bookViews>
    <workbookView xWindow="-110" yWindow="-110" windowWidth="19420" windowHeight="11500" xr2:uid="{00000000-000D-0000-FFFF-FFFF00000000}"/>
  </bookViews>
  <sheets>
    <sheet name="SOI-Normal" sheetId="6" r:id="rId1"/>
    <sheet name="Sheet1" sheetId="7" r:id="rId2"/>
  </sheets>
  <definedNames>
    <definedName name="_xlnm.Print_Titles" localSheetId="0">'SOI-Normal'!$1:$7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9" i="6" l="1"/>
  <c r="F48" i="6"/>
  <c r="F46" i="6"/>
  <c r="F45" i="6"/>
  <c r="F43" i="6"/>
  <c r="F42" i="6"/>
  <c r="F40" i="6"/>
  <c r="F39" i="6"/>
  <c r="F54" i="6"/>
  <c r="F53" i="6"/>
  <c r="F52" i="6"/>
  <c r="F51" i="6"/>
  <c r="F36" i="6"/>
  <c r="F31" i="6"/>
  <c r="F30" i="6"/>
  <c r="F29" i="6"/>
  <c r="F28" i="6"/>
  <c r="F27" i="6"/>
  <c r="F26" i="6"/>
  <c r="F21" i="6"/>
  <c r="F20" i="6"/>
  <c r="F19" i="6"/>
  <c r="F18" i="6"/>
  <c r="F17" i="6"/>
  <c r="F16" i="6"/>
  <c r="F15" i="6"/>
  <c r="F14" i="6"/>
  <c r="F13" i="6"/>
  <c r="F12" i="6"/>
  <c r="F32" i="6"/>
  <c r="F25" i="6"/>
  <c r="F24" i="6"/>
  <c r="F23" i="6"/>
  <c r="F22" i="6"/>
  <c r="F33" i="6"/>
  <c r="F34" i="6"/>
  <c r="F9" i="6"/>
  <c r="F55" i="6"/>
  <c r="F37" i="6"/>
  <c r="F35" i="6"/>
  <c r="F56" i="6" l="1"/>
</calcChain>
</file>

<file path=xl/sharedStrings.xml><?xml version="1.0" encoding="utf-8"?>
<sst xmlns="http://schemas.openxmlformats.org/spreadsheetml/2006/main" count="148" uniqueCount="120">
  <si>
    <t>PRICE SUBMITTED BY</t>
  </si>
  <si>
    <t>Vendor</t>
  </si>
  <si>
    <t>QTY</t>
  </si>
  <si>
    <t>LSQ</t>
  </si>
  <si>
    <t>Optional</t>
  </si>
  <si>
    <t>Winterization</t>
  </si>
  <si>
    <t>0001</t>
  </si>
  <si>
    <t>0002</t>
  </si>
  <si>
    <t>0003</t>
  </si>
  <si>
    <t>0004</t>
  </si>
  <si>
    <t>Description</t>
  </si>
  <si>
    <t>Item No.</t>
  </si>
  <si>
    <t>Unit Price</t>
  </si>
  <si>
    <t>Total Price</t>
  </si>
  <si>
    <t>Parent Contract No.</t>
  </si>
  <si>
    <t>ORDER SCHEDULE OF ITEMS</t>
  </si>
  <si>
    <t>PROJECT TITLE</t>
  </si>
  <si>
    <t>UNIT (FOREST)</t>
  </si>
  <si>
    <t>ORDER SOL #</t>
  </si>
  <si>
    <t>USFS California Regional Vault and Septic Pumping Services IDIQ</t>
  </si>
  <si>
    <t>GEO ZONE</t>
  </si>
  <si>
    <t>UOM</t>
  </si>
  <si>
    <t>SAM UEI</t>
  </si>
  <si>
    <t>Contact Name</t>
  </si>
  <si>
    <t>Contact Email</t>
  </si>
  <si>
    <t>Contact Phone</t>
  </si>
  <si>
    <t>Schedule Notes</t>
  </si>
  <si>
    <t>0005</t>
  </si>
  <si>
    <t>0006</t>
  </si>
  <si>
    <t>Task Number</t>
  </si>
  <si>
    <t>Geographic Zone.</t>
  </si>
  <si>
    <t>Task 1 - Vault Toilet (Small/Medium)</t>
  </si>
  <si>
    <t>Task 1 - Vault Toilet (Extra Large)</t>
  </si>
  <si>
    <t>Task 1 - Vault Toilet (Large)</t>
  </si>
  <si>
    <t>Task 2 - Septic Tank (Small/Medium)</t>
  </si>
  <si>
    <t>Task 2 - Septic Tank (Large)</t>
  </si>
  <si>
    <t>Task 2 - Septic Tank (Extra Large)</t>
  </si>
  <si>
    <t>First Line should Always Be for Travel</t>
  </si>
  <si>
    <t>0007</t>
  </si>
  <si>
    <t>0008</t>
  </si>
  <si>
    <t>0009</t>
  </si>
  <si>
    <t>0010</t>
  </si>
  <si>
    <t>0011</t>
  </si>
  <si>
    <t>ORDER TOTAL VALUE</t>
  </si>
  <si>
    <t>Alaska National Forests</t>
  </si>
  <si>
    <t>Arizona National Forests</t>
  </si>
  <si>
    <t>New Mexico National Forests</t>
  </si>
  <si>
    <t>Oregon National Forests</t>
  </si>
  <si>
    <t>Washington State National Forests</t>
  </si>
  <si>
    <t>127EAS26R0003</t>
  </si>
  <si>
    <t>San Bernadino National Forest (BDF)</t>
  </si>
  <si>
    <t>Task 3 - Servicing of USFS Owned Portable Toilet</t>
  </si>
  <si>
    <t>Task 4 - Basic Inspections and Reporting</t>
  </si>
  <si>
    <t>CA Northern EAST</t>
  </si>
  <si>
    <t>CA Northern WEST</t>
  </si>
  <si>
    <t>CA Central Sierra NORTH</t>
  </si>
  <si>
    <t>CA Central Sierra SOUTH</t>
  </si>
  <si>
    <t>CA Southern Sierra NORTH</t>
  </si>
  <si>
    <t>CA Southern Sierra SOUTH</t>
  </si>
  <si>
    <t>CA Southern WEST</t>
  </si>
  <si>
    <t>CA Southern EAST</t>
  </si>
  <si>
    <t>0012</t>
  </si>
  <si>
    <t>0013</t>
  </si>
  <si>
    <t>0014</t>
  </si>
  <si>
    <t>0015</t>
  </si>
  <si>
    <t>0016</t>
  </si>
  <si>
    <t>0017</t>
  </si>
  <si>
    <t>0018</t>
  </si>
  <si>
    <t>0019</t>
  </si>
  <si>
    <t>0020</t>
  </si>
  <si>
    <t>0021</t>
  </si>
  <si>
    <t>0022</t>
  </si>
  <si>
    <t>0023</t>
  </si>
  <si>
    <t>0024</t>
  </si>
  <si>
    <t>0025</t>
  </si>
  <si>
    <t>0026</t>
  </si>
  <si>
    <t>0027</t>
  </si>
  <si>
    <t>Location</t>
  </si>
  <si>
    <t>Apple White picnic Area Host Site</t>
  </si>
  <si>
    <t>Apple White Picnic Area Vault</t>
  </si>
  <si>
    <t>Summit Staging Area</t>
  </si>
  <si>
    <t>Baldy Mesa Staging Area</t>
  </si>
  <si>
    <t>Middle Fork Trailhead</t>
  </si>
  <si>
    <t>Middle Fork Day Use Picnic Area</t>
  </si>
  <si>
    <t>Bonita Falls Day Use Area</t>
  </si>
  <si>
    <t xml:space="preserve">Forest Falls </t>
  </si>
  <si>
    <t>Thurman Flats Picnic Area</t>
  </si>
  <si>
    <t>Vivian Creek Trailhead</t>
  </si>
  <si>
    <t>Bayliss Park Picnic Area</t>
  </si>
  <si>
    <t>Crest Park Picnic Area</t>
  </si>
  <si>
    <t>Switzer Park Picnic Area</t>
  </si>
  <si>
    <t>Childrens Forest</t>
  </si>
  <si>
    <t>Heaps Peak Arboreutum</t>
  </si>
  <si>
    <t>Fishermans Group Campground.</t>
  </si>
  <si>
    <t>Aspen Glen Picnic Area</t>
  </si>
  <si>
    <t>Juniper Point Picnic Area</t>
  </si>
  <si>
    <t>Cougar Crest Trailhead</t>
  </si>
  <si>
    <t>Woodland Trailhead (Discovery Center)</t>
  </si>
  <si>
    <t>South Fork Trailhead</t>
  </si>
  <si>
    <t>Horse Spring Campground</t>
  </si>
  <si>
    <t>Big Pine Flat OHV Staging Area</t>
  </si>
  <si>
    <t>Cactus Flat OHV Staging Area</t>
  </si>
  <si>
    <t>Miller Canyon OHV Staging Area</t>
  </si>
  <si>
    <t>Pinnacles OHV Staging Area</t>
  </si>
  <si>
    <t>Map 1</t>
  </si>
  <si>
    <t>Map 2</t>
  </si>
  <si>
    <t>Map 3</t>
  </si>
  <si>
    <t>Map 4</t>
  </si>
  <si>
    <t>Map 5</t>
  </si>
  <si>
    <t>Map 6</t>
  </si>
  <si>
    <t>Map 7</t>
  </si>
  <si>
    <t>Map 8</t>
  </si>
  <si>
    <t>Map 9</t>
  </si>
  <si>
    <t>BDF 1165566 MTRD-FCRD Vault &amp; Septic FY26 TO</t>
  </si>
  <si>
    <t>1. Estimated quantities represent anticipated pumping needs for the San Bernardino National Forest; actual quantities may vary based on use and call-when-needed ordering.
2. All site map references (Map 1–Map 9) correspond to location identifiers provided by the Forest and are for navigation only; they do not indicate priority or frequency.
3. Several locations listed in this SOI are high-use day‑use areas, trailheads, and OHV staging areas. Access may be limited during weekends, holidays, or peak recreation periods; the Contractor shall plan accordingly.
4. Some sites may have restricted maneuvering space for pumping trucks. The Contractor shall evaluate access routes prior to dispatch to ensure selected equipment can safely reach the vaults.
5. All pricing is firm-fixed unit price per service per the IDIQ; travel shall be included as the first line item in accordance with SOI template requirements.
6. No septic tanks or portable toilet services are included in this order unless separately ordered; only vault toilet items under Task 1 are included in this SOI.
7. Trash removed from vaults shall not be placed in Forest Service dumpsters and must be disposed of off-site at approved facilities.</t>
  </si>
  <si>
    <t>Travel Options</t>
  </si>
  <si>
    <t>1-2 Hours (120 minutes)</t>
  </si>
  <si>
    <t>3-5 Hours (121 - 300 minutes)</t>
  </si>
  <si>
    <t>6-8 Hours (301-480 minutes)</t>
  </si>
  <si>
    <t xml:space="preserve"> 9 Hours and more (481 minutes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</si>
</sst>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3" x14ac:knownFonts="1">
    <font>
      <sz val="11"/>
      <color theme="1"/>
      <name val="Calibri"/>
      <family val="2"/>
      <scheme val="minor"/>
    </font>
    <font>
      <sz val="11"/>
      <color theme="1"/>
      <name val="Calibri"/>
      <family val="2"/>
      <scheme val="minor"/>
    </font>
    <font>
      <sz val="11"/>
      <color rgb="FF9C0006"/>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i/>
      <sz val="12"/>
      <color theme="1"/>
      <name val="Calibri"/>
      <family val="2"/>
      <scheme val="minor"/>
    </font>
    <font>
      <sz val="11"/>
      <name val="Calibri"/>
      <family val="2"/>
      <scheme val="minor"/>
    </font>
    <font>
      <b/>
      <sz val="16"/>
      <color theme="1"/>
      <name val="Calibri"/>
      <family val="2"/>
      <scheme val="minor"/>
    </font>
    <font>
      <b/>
      <sz val="12"/>
      <color theme="1"/>
      <name val="Calibri"/>
      <family val="2"/>
      <scheme val="minor"/>
    </font>
    <font>
      <sz val="8"/>
      <name val="Calibri"/>
      <family val="2"/>
      <scheme val="minor"/>
    </font>
    <font>
      <sz val="11"/>
      <color theme="0"/>
      <name val="Calibri"/>
      <family val="2"/>
      <scheme val="minor"/>
    </font>
    <font>
      <sz val="11"/>
      <color rgb="FF000000"/>
      <name val="Calibri"/>
      <family val="2"/>
    </font>
  </fonts>
  <fills count="12">
    <fill>
      <patternFill patternType="none"/>
    </fill>
    <fill>
      <patternFill patternType="gray125"/>
    </fill>
    <fill>
      <patternFill patternType="solid">
        <fgColor rgb="FFFFC7CE"/>
      </patternFill>
    </fill>
    <fill>
      <patternFill patternType="mediumGray">
        <fgColor auto="1"/>
        <bgColor theme="0"/>
      </patternFill>
    </fill>
    <fill>
      <patternFill patternType="darkUp"/>
    </fill>
    <fill>
      <patternFill patternType="mediumGray"/>
    </fill>
    <fill>
      <patternFill patternType="solid">
        <fgColor theme="9" tint="0.39997558519241921"/>
        <bgColor indexed="64"/>
      </patternFill>
    </fill>
    <fill>
      <patternFill patternType="solid">
        <fgColor theme="1"/>
        <bgColor indexed="64"/>
      </patternFill>
    </fill>
    <fill>
      <patternFill patternType="solid">
        <fgColor rgb="FFFFFF00"/>
        <bgColor indexed="64"/>
      </patternFill>
    </fill>
    <fill>
      <patternFill patternType="solid">
        <fgColor rgb="FF00FFFF"/>
        <bgColor indexed="64"/>
      </patternFill>
    </fill>
    <fill>
      <patternFill patternType="solid">
        <fgColor theme="0" tint="-0.14999847407452621"/>
        <bgColor indexed="64"/>
      </patternFill>
    </fill>
    <fill>
      <patternFill patternType="solid">
        <fgColor theme="0"/>
        <bgColor indexed="64"/>
      </patternFill>
    </fill>
  </fills>
  <borders count="22">
    <border>
      <left/>
      <right/>
      <top/>
      <bottom/>
      <diagonal/>
    </border>
    <border>
      <left style="medium">
        <color indexed="64"/>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theme="8"/>
      </right>
      <top style="dotted">
        <color indexed="64"/>
      </top>
      <bottom style="dotted">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bottom style="dotted">
        <color indexed="64"/>
      </bottom>
      <diagonal/>
    </border>
    <border>
      <left style="thin">
        <color indexed="64"/>
      </left>
      <right/>
      <top/>
      <bottom style="thin">
        <color indexed="64"/>
      </bottom>
      <diagonal/>
    </border>
    <border>
      <left/>
      <right/>
      <top/>
      <bottom style="dotted">
        <color indexed="64"/>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0" fontId="2" fillId="2" borderId="0" applyNumberFormat="0" applyBorder="0" applyAlignment="0" applyProtection="0"/>
  </cellStyleXfs>
  <cellXfs count="76">
    <xf numFmtId="0" fontId="0" fillId="0" borderId="0" xfId="0"/>
    <xf numFmtId="0" fontId="0" fillId="0" borderId="0" xfId="0" applyAlignment="1">
      <alignment horizontal="center"/>
    </xf>
    <xf numFmtId="0" fontId="7" fillId="0" borderId="0" xfId="2" applyFont="1" applyFill="1" applyAlignment="1">
      <alignment vertical="center" wrapText="1"/>
    </xf>
    <xf numFmtId="6" fontId="0" fillId="0" borderId="0" xfId="0" applyNumberFormat="1"/>
    <xf numFmtId="0" fontId="3" fillId="0" borderId="8" xfId="0" applyFont="1" applyBorder="1"/>
    <xf numFmtId="0" fontId="3" fillId="0" borderId="6" xfId="0" applyFont="1" applyBorder="1"/>
    <xf numFmtId="0" fontId="3" fillId="4" borderId="8" xfId="0" applyFont="1" applyFill="1" applyBorder="1"/>
    <xf numFmtId="0" fontId="3" fillId="4" borderId="0" xfId="0" applyFont="1" applyFill="1"/>
    <xf numFmtId="0" fontId="3" fillId="5" borderId="8" xfId="0" applyFont="1" applyFill="1" applyBorder="1"/>
    <xf numFmtId="0" fontId="3" fillId="5" borderId="0" xfId="0" applyFont="1" applyFill="1"/>
    <xf numFmtId="8" fontId="3" fillId="7" borderId="6" xfId="0" applyNumberFormat="1" applyFont="1" applyFill="1" applyBorder="1"/>
    <xf numFmtId="8" fontId="3" fillId="7" borderId="10" xfId="0" applyNumberFormat="1" applyFont="1" applyFill="1" applyBorder="1"/>
    <xf numFmtId="0" fontId="0" fillId="7" borderId="0" xfId="0" applyFill="1"/>
    <xf numFmtId="0" fontId="3" fillId="0" borderId="0" xfId="0" applyFont="1" applyAlignment="1">
      <alignment wrapText="1"/>
    </xf>
    <xf numFmtId="8" fontId="3" fillId="8" borderId="6" xfId="0" applyNumberFormat="1" applyFont="1" applyFill="1" applyBorder="1"/>
    <xf numFmtId="49" fontId="9" fillId="7" borderId="9" xfId="0" applyNumberFormat="1" applyFont="1" applyFill="1" applyBorder="1" applyAlignment="1">
      <alignment horizontal="center"/>
    </xf>
    <xf numFmtId="8" fontId="3" fillId="8" borderId="12" xfId="0" applyNumberFormat="1" applyFont="1" applyFill="1" applyBorder="1"/>
    <xf numFmtId="0" fontId="9" fillId="6" borderId="6" xfId="0" applyFont="1" applyFill="1" applyBorder="1" applyAlignment="1">
      <alignment horizontal="center"/>
    </xf>
    <xf numFmtId="0" fontId="9" fillId="6" borderId="6" xfId="0" applyFont="1" applyFill="1" applyBorder="1" applyAlignment="1">
      <alignment horizontal="center" wrapText="1"/>
    </xf>
    <xf numFmtId="0" fontId="9" fillId="6" borderId="10" xfId="0" applyFont="1" applyFill="1" applyBorder="1" applyAlignment="1">
      <alignment horizontal="center"/>
    </xf>
    <xf numFmtId="0" fontId="3" fillId="0" borderId="7" xfId="0" applyFont="1" applyBorder="1"/>
    <xf numFmtId="0" fontId="3" fillId="9" borderId="16" xfId="0" applyFont="1" applyFill="1" applyBorder="1" applyAlignment="1">
      <alignment horizontal="left"/>
    </xf>
    <xf numFmtId="0" fontId="3" fillId="9" borderId="17" xfId="0" applyFont="1" applyFill="1" applyBorder="1" applyAlignment="1">
      <alignment horizontal="left"/>
    </xf>
    <xf numFmtId="0" fontId="5" fillId="8" borderId="11" xfId="0" applyFont="1" applyFill="1" applyBorder="1"/>
    <xf numFmtId="0" fontId="5" fillId="5" borderId="0" xfId="0" applyFont="1" applyFill="1"/>
    <xf numFmtId="0" fontId="0" fillId="7" borderId="20" xfId="0" applyFill="1" applyBorder="1" applyAlignment="1">
      <alignment horizontal="left" vertical="center" wrapText="1"/>
    </xf>
    <xf numFmtId="0" fontId="0" fillId="7" borderId="18" xfId="0" applyFill="1" applyBorder="1" applyAlignment="1">
      <alignment horizontal="left" vertical="center" wrapText="1"/>
    </xf>
    <xf numFmtId="0" fontId="3" fillId="7" borderId="19" xfId="0" applyFont="1" applyFill="1" applyBorder="1"/>
    <xf numFmtId="8" fontId="9" fillId="0" borderId="14" xfId="1" applyNumberFormat="1" applyFont="1" applyBorder="1"/>
    <xf numFmtId="8" fontId="3" fillId="0" borderId="6" xfId="0" applyNumberFormat="1" applyFont="1" applyBorder="1"/>
    <xf numFmtId="0" fontId="0" fillId="10" borderId="6" xfId="0" applyFill="1" applyBorder="1" applyAlignment="1">
      <alignment horizontal="left" vertical="center" wrapText="1"/>
    </xf>
    <xf numFmtId="0" fontId="0" fillId="10" borderId="6" xfId="0" applyFill="1" applyBorder="1" applyAlignment="1">
      <alignment horizontal="center" vertical="center" wrapText="1"/>
    </xf>
    <xf numFmtId="0" fontId="0" fillId="10" borderId="6" xfId="0" applyFill="1" applyBorder="1" applyAlignment="1">
      <alignment horizontal="left" vertical="center"/>
    </xf>
    <xf numFmtId="0" fontId="0" fillId="10" borderId="6" xfId="0" applyFill="1" applyBorder="1" applyAlignment="1">
      <alignment horizontal="center" vertical="center"/>
    </xf>
    <xf numFmtId="0" fontId="12" fillId="10" borderId="6" xfId="0" applyFont="1" applyFill="1" applyBorder="1" applyAlignment="1">
      <alignment horizontal="center" vertical="center"/>
    </xf>
    <xf numFmtId="0" fontId="0" fillId="0" borderId="6" xfId="0" applyBorder="1" applyAlignment="1">
      <alignment horizontal="left" vertical="center" wrapText="1"/>
    </xf>
    <xf numFmtId="0" fontId="0" fillId="0" borderId="6" xfId="0" applyBorder="1" applyAlignment="1">
      <alignment horizontal="center" vertical="center" wrapText="1"/>
    </xf>
    <xf numFmtId="0" fontId="0" fillId="11" borderId="6" xfId="0" applyFill="1" applyBorder="1" applyAlignment="1">
      <alignment horizontal="left" vertical="center"/>
    </xf>
    <xf numFmtId="0" fontId="0" fillId="11" borderId="6" xfId="0" applyFill="1" applyBorder="1" applyAlignment="1">
      <alignment horizontal="center" vertical="center"/>
    </xf>
    <xf numFmtId="0" fontId="12" fillId="11" borderId="6" xfId="0" applyFont="1" applyFill="1" applyBorder="1" applyAlignment="1">
      <alignment horizontal="center" vertical="center"/>
    </xf>
    <xf numFmtId="49" fontId="0" fillId="9" borderId="6" xfId="0" applyNumberFormat="1" applyFill="1" applyBorder="1" applyAlignment="1">
      <alignment horizontal="center" wrapText="1"/>
    </xf>
    <xf numFmtId="49" fontId="0" fillId="9" borderId="6" xfId="0" applyNumberFormat="1" applyFill="1" applyBorder="1" applyAlignment="1">
      <alignment horizontal="center" vertical="center" wrapText="1"/>
    </xf>
    <xf numFmtId="0" fontId="0" fillId="11" borderId="6" xfId="0" applyFill="1" applyBorder="1" applyAlignment="1">
      <alignment wrapText="1"/>
    </xf>
    <xf numFmtId="0" fontId="0" fillId="11" borderId="6" xfId="0" applyFill="1" applyBorder="1" applyAlignment="1">
      <alignment horizontal="left" vertical="center" wrapText="1"/>
    </xf>
    <xf numFmtId="0" fontId="3" fillId="11" borderId="6" xfId="0" applyFont="1" applyFill="1" applyBorder="1"/>
    <xf numFmtId="49" fontId="0" fillId="11" borderId="6" xfId="0" applyNumberFormat="1" applyFill="1" applyBorder="1" applyAlignment="1">
      <alignment horizontal="center" vertical="center" wrapText="1"/>
    </xf>
    <xf numFmtId="16" fontId="0" fillId="0" borderId="0" xfId="0" applyNumberFormat="1"/>
    <xf numFmtId="0" fontId="6" fillId="9" borderId="8" xfId="0" applyFont="1" applyFill="1" applyBorder="1" applyAlignment="1">
      <alignment horizontal="left" vertical="top" wrapText="1"/>
    </xf>
    <xf numFmtId="0" fontId="6" fillId="9" borderId="0" xfId="0" applyFont="1" applyFill="1" applyAlignment="1">
      <alignment horizontal="left" vertical="top"/>
    </xf>
    <xf numFmtId="0" fontId="6" fillId="9" borderId="7" xfId="0" applyFont="1" applyFill="1" applyBorder="1" applyAlignment="1">
      <alignment horizontal="left" vertical="top"/>
    </xf>
    <xf numFmtId="0" fontId="6" fillId="9" borderId="8" xfId="0" applyFont="1" applyFill="1" applyBorder="1" applyAlignment="1">
      <alignment horizontal="left" vertical="top"/>
    </xf>
    <xf numFmtId="0" fontId="6" fillId="9" borderId="19" xfId="0" applyFont="1" applyFill="1" applyBorder="1" applyAlignment="1">
      <alignment horizontal="left" vertical="top"/>
    </xf>
    <xf numFmtId="0" fontId="6" fillId="9" borderId="21" xfId="0" applyFont="1" applyFill="1" applyBorder="1" applyAlignment="1">
      <alignment horizontal="left" vertical="top"/>
    </xf>
    <xf numFmtId="0" fontId="6" fillId="9" borderId="13" xfId="0" applyFont="1" applyFill="1" applyBorder="1" applyAlignment="1">
      <alignment horizontal="left" vertical="top"/>
    </xf>
    <xf numFmtId="0" fontId="9" fillId="6" borderId="6" xfId="0" applyFont="1" applyFill="1" applyBorder="1" applyAlignment="1">
      <alignment horizontal="left"/>
    </xf>
    <xf numFmtId="0" fontId="9" fillId="6" borderId="15" xfId="0" applyFont="1" applyFill="1" applyBorder="1" applyAlignment="1">
      <alignment horizontal="left"/>
    </xf>
    <xf numFmtId="0" fontId="9" fillId="0" borderId="0" xfId="0" applyFont="1" applyAlignment="1">
      <alignment horizontal="right"/>
    </xf>
    <xf numFmtId="0" fontId="9" fillId="0" borderId="7" xfId="0" applyFont="1" applyBorder="1" applyAlignment="1">
      <alignment horizontal="right"/>
    </xf>
    <xf numFmtId="0" fontId="8" fillId="0" borderId="1" xfId="0" applyFont="1" applyBorder="1" applyAlignment="1">
      <alignment horizontal="center"/>
    </xf>
    <xf numFmtId="0" fontId="8"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6" fillId="7" borderId="1" xfId="0" applyFont="1" applyFill="1" applyBorder="1" applyAlignment="1">
      <alignment horizontal="center"/>
    </xf>
    <xf numFmtId="0" fontId="6" fillId="7" borderId="0" xfId="0" applyFont="1" applyFill="1" applyAlignment="1">
      <alignment horizontal="center"/>
    </xf>
    <xf numFmtId="0" fontId="3" fillId="9" borderId="2" xfId="0" applyFont="1" applyFill="1" applyBorder="1"/>
    <xf numFmtId="0" fontId="3" fillId="9" borderId="3" xfId="0" applyFont="1" applyFill="1" applyBorder="1"/>
    <xf numFmtId="0" fontId="3" fillId="3" borderId="0" xfId="0" applyFont="1" applyFill="1" applyAlignment="1">
      <alignment horizontal="center"/>
    </xf>
    <xf numFmtId="0" fontId="3" fillId="9" borderId="4" xfId="0" applyFont="1" applyFill="1" applyBorder="1" applyAlignment="1">
      <alignment horizontal="left"/>
    </xf>
    <xf numFmtId="0" fontId="3" fillId="9" borderId="5" xfId="0" applyFont="1" applyFill="1" applyBorder="1" applyAlignment="1">
      <alignment horizontal="left"/>
    </xf>
    <xf numFmtId="0" fontId="3" fillId="9" borderId="16" xfId="0" applyFont="1" applyFill="1" applyBorder="1" applyAlignment="1">
      <alignment horizontal="left"/>
    </xf>
    <xf numFmtId="0" fontId="3" fillId="9" borderId="17" xfId="0" applyFont="1" applyFill="1" applyBorder="1" applyAlignment="1">
      <alignment horizontal="left"/>
    </xf>
    <xf numFmtId="0" fontId="11" fillId="7" borderId="11" xfId="0" applyFont="1" applyFill="1" applyBorder="1" applyAlignment="1">
      <alignment horizontal="center" wrapText="1"/>
    </xf>
    <xf numFmtId="0" fontId="11" fillId="7" borderId="4" xfId="0" applyFont="1" applyFill="1" applyBorder="1" applyAlignment="1">
      <alignment horizontal="center" wrapText="1"/>
    </xf>
    <xf numFmtId="0" fontId="11" fillId="7" borderId="10" xfId="0" applyFont="1" applyFill="1" applyBorder="1" applyAlignment="1">
      <alignment horizontal="center" wrapText="1"/>
    </xf>
    <xf numFmtId="0" fontId="9" fillId="6" borderId="11" xfId="0" applyFont="1" applyFill="1" applyBorder="1" applyAlignment="1">
      <alignment horizontal="center"/>
    </xf>
    <xf numFmtId="0" fontId="9" fillId="6" borderId="10" xfId="0" applyFont="1" applyFill="1" applyBorder="1" applyAlignment="1">
      <alignment horizontal="center"/>
    </xf>
  </cellXfs>
  <cellStyles count="3">
    <cellStyle name="Bad" xfId="2" builtinId="27"/>
    <cellStyle name="Currency" xfId="1" builtinId="4"/>
    <cellStyle name="Normal" xfId="0" builtinId="0"/>
  </cellStyles>
  <dxfs count="0"/>
  <tableStyles count="0" defaultTableStyle="TableStyleMedium2" defaultPivotStyle="PivotStyleLight16"/>
  <colors>
    <mruColors>
      <color rgb="FF00FFFF"/>
      <color rgb="FF0000CC"/>
      <color rgb="FF7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4D9C-BED5-4258-AB65-4D636D15FF08}">
  <dimension ref="A1:N68"/>
  <sheetViews>
    <sheetView tabSelected="1" view="pageBreakPreview" topLeftCell="A24" zoomScale="60" zoomScaleNormal="100" workbookViewId="0">
      <selection activeCell="B57" sqref="B57:F61"/>
    </sheetView>
  </sheetViews>
  <sheetFormatPr defaultRowHeight="14.5" x14ac:dyDescent="0.35"/>
  <cols>
    <col min="1" max="1" width="18.7265625" bestFit="1" customWidth="1"/>
    <col min="2" max="2" width="34.08984375" bestFit="1" customWidth="1"/>
    <col min="3" max="3" width="13" customWidth="1"/>
    <col min="4" max="4" width="4.6328125" bestFit="1" customWidth="1"/>
    <col min="5" max="5" width="11.54296875" bestFit="1" customWidth="1"/>
    <col min="6" max="6" width="13.1796875" bestFit="1" customWidth="1"/>
    <col min="12" max="12" width="7.81640625" customWidth="1"/>
    <col min="13" max="14" width="9.1796875" hidden="1" customWidth="1"/>
  </cols>
  <sheetData>
    <row r="1" spans="1:14" ht="18.649999999999999" customHeight="1" x14ac:dyDescent="0.5">
      <c r="A1" s="58" t="s">
        <v>15</v>
      </c>
      <c r="B1" s="59"/>
      <c r="C1" s="59"/>
      <c r="D1" s="59"/>
      <c r="E1" s="59"/>
      <c r="F1" s="59"/>
    </row>
    <row r="2" spans="1:14" ht="18.75" customHeight="1" x14ac:dyDescent="0.45">
      <c r="A2" s="60" t="s">
        <v>19</v>
      </c>
      <c r="B2" s="61"/>
      <c r="C2" s="61"/>
      <c r="D2" s="61"/>
      <c r="E2" s="61"/>
      <c r="F2" s="61"/>
    </row>
    <row r="3" spans="1:14" ht="16.5" customHeight="1" thickBot="1" x14ac:dyDescent="0.4">
      <c r="A3" s="62"/>
      <c r="B3" s="63"/>
      <c r="C3" s="63"/>
      <c r="D3" s="63"/>
      <c r="E3" s="63"/>
      <c r="F3" s="12"/>
    </row>
    <row r="4" spans="1:14" ht="15.5" x14ac:dyDescent="0.35">
      <c r="A4" s="5" t="s">
        <v>16</v>
      </c>
      <c r="B4" s="64" t="s">
        <v>113</v>
      </c>
      <c r="C4" s="65"/>
      <c r="D4" s="66"/>
      <c r="E4" s="66"/>
      <c r="F4" s="66"/>
    </row>
    <row r="5" spans="1:14" ht="15.5" x14ac:dyDescent="0.35">
      <c r="A5" s="5" t="s">
        <v>17</v>
      </c>
      <c r="B5" s="67" t="s">
        <v>50</v>
      </c>
      <c r="C5" s="68"/>
      <c r="D5" s="66"/>
      <c r="E5" s="66"/>
      <c r="F5" s="66"/>
    </row>
    <row r="6" spans="1:14" ht="15.5" x14ac:dyDescent="0.35">
      <c r="A6" s="5" t="s">
        <v>20</v>
      </c>
      <c r="B6" s="21" t="s">
        <v>60</v>
      </c>
      <c r="C6" s="22"/>
      <c r="D6" s="66"/>
      <c r="E6" s="66"/>
      <c r="F6" s="66"/>
    </row>
    <row r="7" spans="1:14" ht="15.5" x14ac:dyDescent="0.35">
      <c r="A7" s="5" t="s">
        <v>18</v>
      </c>
      <c r="B7" s="69" t="s">
        <v>49</v>
      </c>
      <c r="C7" s="70"/>
      <c r="D7" s="66"/>
      <c r="E7" s="66"/>
      <c r="F7" s="66"/>
    </row>
    <row r="8" spans="1:14" s="1" customFormat="1" ht="15.5" x14ac:dyDescent="0.35">
      <c r="A8" s="17" t="s">
        <v>11</v>
      </c>
      <c r="B8" s="19" t="s">
        <v>10</v>
      </c>
      <c r="C8" s="18" t="s">
        <v>21</v>
      </c>
      <c r="D8" s="17" t="s">
        <v>2</v>
      </c>
      <c r="E8" s="17" t="s">
        <v>12</v>
      </c>
      <c r="F8" s="17" t="s">
        <v>13</v>
      </c>
    </row>
    <row r="9" spans="1:14" ht="15.5" x14ac:dyDescent="0.35">
      <c r="A9" s="40" t="s">
        <v>6</v>
      </c>
      <c r="B9" s="42" t="s">
        <v>37</v>
      </c>
      <c r="C9" s="43"/>
      <c r="D9" s="44"/>
      <c r="E9" s="16">
        <v>0</v>
      </c>
      <c r="F9" s="29">
        <f>SUM(D9*E9)</f>
        <v>0</v>
      </c>
      <c r="I9" s="2"/>
      <c r="J9" s="2"/>
      <c r="K9" s="2"/>
      <c r="L9" s="2"/>
      <c r="M9" s="2"/>
      <c r="N9" s="2"/>
    </row>
    <row r="10" spans="1:14" ht="15.5" customHeight="1" x14ac:dyDescent="0.35">
      <c r="A10" s="71" t="s">
        <v>31</v>
      </c>
      <c r="B10" s="72"/>
      <c r="C10" s="72"/>
      <c r="D10" s="72"/>
      <c r="E10" s="72"/>
      <c r="F10" s="73"/>
      <c r="I10" s="2"/>
      <c r="J10" s="2"/>
      <c r="K10" s="2"/>
      <c r="L10" s="2"/>
      <c r="M10" s="2"/>
      <c r="N10" s="2"/>
    </row>
    <row r="11" spans="1:14" ht="15.5" customHeight="1" x14ac:dyDescent="0.35">
      <c r="A11" s="17" t="s">
        <v>11</v>
      </c>
      <c r="B11" s="74" t="s">
        <v>77</v>
      </c>
      <c r="C11" s="75"/>
      <c r="D11" s="17" t="s">
        <v>2</v>
      </c>
      <c r="E11" s="17" t="s">
        <v>12</v>
      </c>
      <c r="F11" s="17" t="s">
        <v>13</v>
      </c>
      <c r="I11" s="2"/>
      <c r="J11" s="2"/>
      <c r="K11" s="2"/>
      <c r="L11" s="2"/>
      <c r="M11" s="2"/>
      <c r="N11" s="2"/>
    </row>
    <row r="12" spans="1:14" ht="15.5" x14ac:dyDescent="0.35">
      <c r="A12" s="41" t="s">
        <v>7</v>
      </c>
      <c r="B12" s="30" t="s">
        <v>78</v>
      </c>
      <c r="C12" s="31" t="s">
        <v>104</v>
      </c>
      <c r="D12" s="31">
        <v>1</v>
      </c>
      <c r="E12" s="14">
        <v>0</v>
      </c>
      <c r="F12" s="29">
        <f t="shared" ref="F12:F16" si="0">SUM(D12*E12)</f>
        <v>0</v>
      </c>
      <c r="I12" s="2"/>
      <c r="J12" s="2"/>
      <c r="K12" s="2"/>
      <c r="L12" s="2"/>
      <c r="M12" s="2"/>
      <c r="N12" s="2"/>
    </row>
    <row r="13" spans="1:14" ht="15.5" x14ac:dyDescent="0.35">
      <c r="A13" s="40" t="s">
        <v>8</v>
      </c>
      <c r="B13" s="30" t="s">
        <v>79</v>
      </c>
      <c r="C13" s="31" t="s">
        <v>104</v>
      </c>
      <c r="D13" s="31">
        <v>12</v>
      </c>
      <c r="E13" s="14">
        <v>0</v>
      </c>
      <c r="F13" s="29">
        <f t="shared" si="0"/>
        <v>0</v>
      </c>
      <c r="I13" s="2"/>
      <c r="J13" s="2"/>
      <c r="K13" s="2"/>
      <c r="L13" s="2"/>
      <c r="M13" s="2"/>
      <c r="N13" s="2"/>
    </row>
    <row r="14" spans="1:14" ht="15.5" x14ac:dyDescent="0.35">
      <c r="A14" s="41" t="s">
        <v>9</v>
      </c>
      <c r="B14" s="30" t="s">
        <v>80</v>
      </c>
      <c r="C14" s="31" t="s">
        <v>104</v>
      </c>
      <c r="D14" s="31">
        <v>2</v>
      </c>
      <c r="E14" s="14">
        <v>0</v>
      </c>
      <c r="F14" s="29">
        <f t="shared" si="0"/>
        <v>0</v>
      </c>
      <c r="I14" s="2"/>
      <c r="J14" s="2"/>
      <c r="K14" s="2"/>
      <c r="L14" s="2"/>
      <c r="M14" s="2"/>
      <c r="N14" s="2"/>
    </row>
    <row r="15" spans="1:14" ht="15.5" x14ac:dyDescent="0.35">
      <c r="A15" s="40" t="s">
        <v>27</v>
      </c>
      <c r="B15" s="30" t="s">
        <v>81</v>
      </c>
      <c r="C15" s="31" t="s">
        <v>104</v>
      </c>
      <c r="D15" s="31">
        <v>2</v>
      </c>
      <c r="E15" s="14">
        <v>0</v>
      </c>
      <c r="F15" s="29">
        <f t="shared" si="0"/>
        <v>0</v>
      </c>
      <c r="I15" s="2"/>
      <c r="J15" s="2"/>
      <c r="K15" s="2"/>
      <c r="L15" s="2"/>
      <c r="M15" s="2"/>
      <c r="N15" s="2"/>
    </row>
    <row r="16" spans="1:14" ht="15.5" x14ac:dyDescent="0.35">
      <c r="A16" s="41" t="s">
        <v>28</v>
      </c>
      <c r="B16" s="30" t="s">
        <v>82</v>
      </c>
      <c r="C16" s="31" t="s">
        <v>104</v>
      </c>
      <c r="D16" s="31">
        <v>2</v>
      </c>
      <c r="E16" s="14">
        <v>0</v>
      </c>
      <c r="F16" s="29">
        <f t="shared" si="0"/>
        <v>0</v>
      </c>
      <c r="I16" s="2"/>
      <c r="J16" s="2"/>
      <c r="K16" s="2"/>
      <c r="L16" s="2"/>
      <c r="M16" s="2"/>
      <c r="N16" s="2"/>
    </row>
    <row r="17" spans="1:14" ht="15.5" x14ac:dyDescent="0.35">
      <c r="A17" s="41" t="s">
        <v>38</v>
      </c>
      <c r="B17" s="30" t="s">
        <v>83</v>
      </c>
      <c r="C17" s="31" t="s">
        <v>104</v>
      </c>
      <c r="D17" s="31">
        <v>2</v>
      </c>
      <c r="E17" s="14">
        <v>0</v>
      </c>
      <c r="F17" s="29">
        <f>SUM(D17*E17)</f>
        <v>0</v>
      </c>
      <c r="I17" s="2"/>
      <c r="J17" s="2"/>
      <c r="K17" s="2"/>
      <c r="L17" s="2"/>
      <c r="M17" s="2"/>
      <c r="N17" s="2"/>
    </row>
    <row r="18" spans="1:14" ht="15.5" x14ac:dyDescent="0.35">
      <c r="A18" s="40" t="s">
        <v>39</v>
      </c>
      <c r="B18" s="32" t="s">
        <v>84</v>
      </c>
      <c r="C18" s="33" t="s">
        <v>104</v>
      </c>
      <c r="D18" s="34">
        <v>6</v>
      </c>
      <c r="E18" s="14">
        <v>0</v>
      </c>
      <c r="F18" s="29">
        <f t="shared" ref="F18" si="1">SUM(D18*E18)</f>
        <v>0</v>
      </c>
      <c r="I18" s="2"/>
      <c r="J18" s="2"/>
      <c r="K18" s="2"/>
      <c r="L18" s="2"/>
      <c r="M18" s="2"/>
      <c r="N18" s="2"/>
    </row>
    <row r="19" spans="1:14" ht="15.5" x14ac:dyDescent="0.35">
      <c r="A19" s="41" t="s">
        <v>40</v>
      </c>
      <c r="B19" s="35" t="s">
        <v>85</v>
      </c>
      <c r="C19" s="36" t="s">
        <v>105</v>
      </c>
      <c r="D19" s="36">
        <v>2</v>
      </c>
      <c r="E19" s="16">
        <v>0</v>
      </c>
      <c r="F19" s="29">
        <f>SUM(D19*E19)</f>
        <v>0</v>
      </c>
      <c r="I19" s="2"/>
      <c r="J19" s="2"/>
      <c r="K19" s="2"/>
      <c r="L19" s="2"/>
      <c r="M19" s="2"/>
      <c r="N19" s="2"/>
    </row>
    <row r="20" spans="1:14" ht="15.5" x14ac:dyDescent="0.35">
      <c r="A20" s="41" t="s">
        <v>41</v>
      </c>
      <c r="B20" s="35" t="s">
        <v>86</v>
      </c>
      <c r="C20" s="36" t="s">
        <v>105</v>
      </c>
      <c r="D20" s="36">
        <v>2</v>
      </c>
      <c r="E20" s="14">
        <v>0</v>
      </c>
      <c r="F20" s="29">
        <f t="shared" ref="F20:F21" si="2">SUM(D20*E20)</f>
        <v>0</v>
      </c>
      <c r="I20" s="2"/>
      <c r="J20" s="2"/>
      <c r="K20" s="2"/>
      <c r="L20" s="2"/>
      <c r="M20" s="2"/>
      <c r="N20" s="2"/>
    </row>
    <row r="21" spans="1:14" ht="15.5" x14ac:dyDescent="0.35">
      <c r="A21" s="40" t="s">
        <v>42</v>
      </c>
      <c r="B21" s="35" t="s">
        <v>87</v>
      </c>
      <c r="C21" s="36" t="s">
        <v>105</v>
      </c>
      <c r="D21" s="36">
        <v>2</v>
      </c>
      <c r="E21" s="14">
        <v>0</v>
      </c>
      <c r="F21" s="29">
        <f t="shared" si="2"/>
        <v>0</v>
      </c>
      <c r="I21" s="2"/>
      <c r="J21" s="2"/>
      <c r="K21" s="2"/>
      <c r="L21" s="2"/>
      <c r="M21" s="2"/>
      <c r="N21" s="2"/>
    </row>
    <row r="22" spans="1:14" ht="15.5" x14ac:dyDescent="0.35">
      <c r="A22" s="41" t="s">
        <v>61</v>
      </c>
      <c r="B22" s="32" t="s">
        <v>88</v>
      </c>
      <c r="C22" s="33" t="s">
        <v>106</v>
      </c>
      <c r="D22" s="34">
        <v>2</v>
      </c>
      <c r="E22" s="14">
        <v>0</v>
      </c>
      <c r="F22" s="29">
        <f t="shared" ref="F22:F32" si="3">SUM(D22*E22)</f>
        <v>0</v>
      </c>
      <c r="I22" s="2"/>
      <c r="J22" s="2"/>
      <c r="K22" s="2"/>
      <c r="L22" s="2"/>
      <c r="M22" s="2"/>
      <c r="N22" s="2"/>
    </row>
    <row r="23" spans="1:14" ht="15.5" x14ac:dyDescent="0.35">
      <c r="A23" s="41" t="s">
        <v>62</v>
      </c>
      <c r="B23" s="32" t="s">
        <v>89</v>
      </c>
      <c r="C23" s="33" t="s">
        <v>106</v>
      </c>
      <c r="D23" s="34">
        <v>2</v>
      </c>
      <c r="E23" s="14">
        <v>0</v>
      </c>
      <c r="F23" s="29">
        <f t="shared" si="3"/>
        <v>0</v>
      </c>
      <c r="I23" s="2"/>
      <c r="J23" s="2"/>
      <c r="K23" s="2"/>
      <c r="L23" s="2"/>
      <c r="M23" s="2"/>
      <c r="N23" s="2"/>
    </row>
    <row r="24" spans="1:14" ht="15.5" x14ac:dyDescent="0.35">
      <c r="A24" s="40" t="s">
        <v>63</v>
      </c>
      <c r="B24" s="32" t="s">
        <v>90</v>
      </c>
      <c r="C24" s="33" t="s">
        <v>106</v>
      </c>
      <c r="D24" s="34">
        <v>2</v>
      </c>
      <c r="E24" s="14">
        <v>0</v>
      </c>
      <c r="F24" s="29">
        <f t="shared" si="3"/>
        <v>0</v>
      </c>
      <c r="I24" s="2"/>
      <c r="J24" s="2"/>
      <c r="K24" s="2"/>
      <c r="L24" s="2"/>
      <c r="M24" s="2"/>
      <c r="N24" s="2"/>
    </row>
    <row r="25" spans="1:14" ht="15.5" x14ac:dyDescent="0.35">
      <c r="A25" s="41" t="s">
        <v>64</v>
      </c>
      <c r="B25" s="32" t="s">
        <v>91</v>
      </c>
      <c r="C25" s="33" t="s">
        <v>106</v>
      </c>
      <c r="D25" s="34">
        <v>2</v>
      </c>
      <c r="E25" s="14">
        <v>0</v>
      </c>
      <c r="F25" s="29">
        <f t="shared" si="3"/>
        <v>0</v>
      </c>
      <c r="I25" s="2"/>
      <c r="J25" s="2"/>
      <c r="K25" s="2"/>
      <c r="L25" s="2"/>
      <c r="M25" s="2"/>
      <c r="N25" s="2"/>
    </row>
    <row r="26" spans="1:14" ht="15.5" x14ac:dyDescent="0.35">
      <c r="A26" s="41" t="s">
        <v>65</v>
      </c>
      <c r="B26" s="32" t="s">
        <v>92</v>
      </c>
      <c r="C26" s="33" t="s">
        <v>106</v>
      </c>
      <c r="D26" s="34">
        <v>2</v>
      </c>
      <c r="E26" s="14">
        <v>0</v>
      </c>
      <c r="F26" s="29">
        <f t="shared" ref="F26" si="4">SUM(D26*E26)</f>
        <v>0</v>
      </c>
      <c r="I26" s="2"/>
      <c r="J26" s="2"/>
      <c r="K26" s="2"/>
      <c r="L26" s="2"/>
      <c r="M26" s="2"/>
      <c r="N26" s="2"/>
    </row>
    <row r="27" spans="1:14" ht="15.5" x14ac:dyDescent="0.35">
      <c r="A27" s="41" t="s">
        <v>66</v>
      </c>
      <c r="B27" s="32" t="s">
        <v>93</v>
      </c>
      <c r="C27" s="33" t="s">
        <v>106</v>
      </c>
      <c r="D27" s="34">
        <v>4</v>
      </c>
      <c r="E27" s="14">
        <v>0</v>
      </c>
      <c r="F27" s="29">
        <f>SUM(D27*E27)</f>
        <v>0</v>
      </c>
      <c r="I27" s="2"/>
      <c r="J27" s="2"/>
      <c r="K27" s="2"/>
      <c r="L27" s="2"/>
      <c r="M27" s="2"/>
      <c r="N27" s="2"/>
    </row>
    <row r="28" spans="1:14" ht="15.5" x14ac:dyDescent="0.35">
      <c r="A28" s="40" t="s">
        <v>67</v>
      </c>
      <c r="B28" s="37" t="s">
        <v>94</v>
      </c>
      <c r="C28" s="38" t="s">
        <v>107</v>
      </c>
      <c r="D28" s="39">
        <v>2</v>
      </c>
      <c r="E28" s="14">
        <v>0</v>
      </c>
      <c r="F28" s="29">
        <f t="shared" ref="F28" si="5">SUM(D28*E28)</f>
        <v>0</v>
      </c>
      <c r="I28" s="2"/>
      <c r="J28" s="2"/>
      <c r="K28" s="2"/>
      <c r="L28" s="2"/>
      <c r="M28" s="2"/>
      <c r="N28" s="2"/>
    </row>
    <row r="29" spans="1:14" ht="15.5" x14ac:dyDescent="0.35">
      <c r="A29" s="41" t="s">
        <v>68</v>
      </c>
      <c r="B29" s="37" t="s">
        <v>95</v>
      </c>
      <c r="C29" s="38" t="s">
        <v>107</v>
      </c>
      <c r="D29" s="39">
        <v>2</v>
      </c>
      <c r="E29" s="16">
        <v>0</v>
      </c>
      <c r="F29" s="29">
        <f>SUM(D29*E29)</f>
        <v>0</v>
      </c>
      <c r="I29" s="2"/>
      <c r="J29" s="2"/>
      <c r="K29" s="2"/>
      <c r="L29" s="2"/>
      <c r="M29" s="2"/>
      <c r="N29" s="2"/>
    </row>
    <row r="30" spans="1:14" ht="15.5" x14ac:dyDescent="0.35">
      <c r="A30" s="41" t="s">
        <v>69</v>
      </c>
      <c r="B30" s="37" t="s">
        <v>96</v>
      </c>
      <c r="C30" s="38" t="s">
        <v>107</v>
      </c>
      <c r="D30" s="39">
        <v>2</v>
      </c>
      <c r="E30" s="14">
        <v>0</v>
      </c>
      <c r="F30" s="29">
        <f t="shared" ref="F30:F31" si="6">SUM(D30*E30)</f>
        <v>0</v>
      </c>
      <c r="I30" s="2"/>
      <c r="J30" s="2"/>
      <c r="K30" s="2"/>
      <c r="L30" s="2"/>
      <c r="M30" s="2"/>
      <c r="N30" s="2"/>
    </row>
    <row r="31" spans="1:14" ht="15.5" x14ac:dyDescent="0.35">
      <c r="A31" s="41" t="s">
        <v>70</v>
      </c>
      <c r="B31" s="37" t="s">
        <v>97</v>
      </c>
      <c r="C31" s="38" t="s">
        <v>107</v>
      </c>
      <c r="D31" s="39">
        <v>2</v>
      </c>
      <c r="E31" s="14">
        <v>0</v>
      </c>
      <c r="F31" s="29">
        <f t="shared" si="6"/>
        <v>0</v>
      </c>
      <c r="I31" s="2"/>
      <c r="J31" s="2"/>
      <c r="K31" s="2"/>
      <c r="L31" s="2"/>
      <c r="M31" s="2"/>
      <c r="N31" s="2"/>
    </row>
    <row r="32" spans="1:14" ht="15.5" x14ac:dyDescent="0.35">
      <c r="A32" s="40" t="s">
        <v>71</v>
      </c>
      <c r="B32" s="32" t="s">
        <v>98</v>
      </c>
      <c r="C32" s="33" t="s">
        <v>108</v>
      </c>
      <c r="D32" s="34">
        <v>2</v>
      </c>
      <c r="E32" s="14">
        <v>0</v>
      </c>
      <c r="F32" s="29">
        <f t="shared" si="3"/>
        <v>0</v>
      </c>
      <c r="I32" s="2"/>
      <c r="J32" s="2"/>
      <c r="K32" s="2"/>
      <c r="L32" s="2"/>
      <c r="M32" s="2"/>
      <c r="N32" s="2"/>
    </row>
    <row r="33" spans="1:14" ht="15.5" x14ac:dyDescent="0.35">
      <c r="A33" s="41" t="s">
        <v>72</v>
      </c>
      <c r="B33" s="37" t="s">
        <v>99</v>
      </c>
      <c r="C33" s="38" t="s">
        <v>109</v>
      </c>
      <c r="D33" s="39">
        <v>4</v>
      </c>
      <c r="E33" s="14">
        <v>0</v>
      </c>
      <c r="F33" s="29">
        <f>SUM(D33*E33)</f>
        <v>0</v>
      </c>
      <c r="I33" s="2"/>
      <c r="J33" s="2"/>
      <c r="K33" s="2"/>
      <c r="L33" s="2"/>
      <c r="M33" s="2"/>
      <c r="N33" s="2"/>
    </row>
    <row r="34" spans="1:14" ht="15.5" x14ac:dyDescent="0.35">
      <c r="A34" s="41" t="s">
        <v>73</v>
      </c>
      <c r="B34" s="37" t="s">
        <v>100</v>
      </c>
      <c r="C34" s="38" t="s">
        <v>109</v>
      </c>
      <c r="D34" s="39">
        <v>2</v>
      </c>
      <c r="E34" s="14">
        <v>0</v>
      </c>
      <c r="F34" s="29">
        <f t="shared" ref="F34" si="7">SUM(D34*E34)</f>
        <v>0</v>
      </c>
      <c r="I34" s="2"/>
      <c r="J34" s="2"/>
      <c r="K34" s="2"/>
      <c r="L34" s="2"/>
      <c r="M34" s="2"/>
      <c r="N34" s="2"/>
    </row>
    <row r="35" spans="1:14" ht="15.5" x14ac:dyDescent="0.35">
      <c r="A35" s="41" t="s">
        <v>74</v>
      </c>
      <c r="B35" s="32" t="s">
        <v>101</v>
      </c>
      <c r="C35" s="33" t="s">
        <v>110</v>
      </c>
      <c r="D35" s="34">
        <v>2</v>
      </c>
      <c r="E35" s="16">
        <v>0</v>
      </c>
      <c r="F35" s="29">
        <f>SUM(D35*E35)</f>
        <v>0</v>
      </c>
      <c r="I35" s="2"/>
      <c r="J35" s="2"/>
      <c r="K35" s="2"/>
      <c r="L35" s="2"/>
      <c r="M35" s="2"/>
      <c r="N35" s="2"/>
    </row>
    <row r="36" spans="1:14" ht="15.5" x14ac:dyDescent="0.35">
      <c r="A36" s="41" t="s">
        <v>75</v>
      </c>
      <c r="B36" s="37" t="s">
        <v>102</v>
      </c>
      <c r="C36" s="38" t="s">
        <v>111</v>
      </c>
      <c r="D36" s="39">
        <v>2</v>
      </c>
      <c r="E36" s="14">
        <v>0</v>
      </c>
      <c r="F36" s="29">
        <f t="shared" ref="F36" si="8">SUM(D36*E36)</f>
        <v>0</v>
      </c>
      <c r="I36" s="2"/>
      <c r="J36" s="2"/>
      <c r="K36" s="2"/>
      <c r="L36" s="2"/>
      <c r="M36" s="2"/>
      <c r="N36" s="2"/>
    </row>
    <row r="37" spans="1:14" ht="15.5" x14ac:dyDescent="0.35">
      <c r="A37" s="41" t="s">
        <v>76</v>
      </c>
      <c r="B37" s="32" t="s">
        <v>103</v>
      </c>
      <c r="C37" s="33" t="s">
        <v>112</v>
      </c>
      <c r="D37" s="34">
        <v>2</v>
      </c>
      <c r="E37" s="14">
        <v>0</v>
      </c>
      <c r="F37" s="29">
        <f t="shared" ref="F37" si="9">SUM(D37*E37)</f>
        <v>0</v>
      </c>
      <c r="G37" s="3"/>
      <c r="I37" s="2"/>
      <c r="J37" s="2"/>
      <c r="K37" s="2"/>
      <c r="L37" s="2"/>
      <c r="M37" s="2"/>
      <c r="N37" s="2"/>
    </row>
    <row r="38" spans="1:14" x14ac:dyDescent="0.35">
      <c r="A38" s="71" t="s">
        <v>33</v>
      </c>
      <c r="B38" s="72"/>
      <c r="C38" s="72"/>
      <c r="D38" s="72"/>
      <c r="E38" s="72"/>
      <c r="F38" s="73"/>
      <c r="G38" s="3"/>
      <c r="I38" s="2"/>
      <c r="J38" s="2"/>
      <c r="K38" s="2"/>
      <c r="L38" s="2"/>
      <c r="M38" s="2"/>
      <c r="N38" s="2"/>
    </row>
    <row r="39" spans="1:14" ht="15.5" x14ac:dyDescent="0.35">
      <c r="A39" s="45"/>
      <c r="B39" s="37"/>
      <c r="C39" s="38"/>
      <c r="D39" s="39"/>
      <c r="E39" s="14">
        <v>0</v>
      </c>
      <c r="F39" s="29">
        <f t="shared" ref="F39:F40" si="10">SUM(D39*E39)</f>
        <v>0</v>
      </c>
      <c r="G39" s="3"/>
      <c r="I39" s="2"/>
      <c r="J39" s="2"/>
      <c r="K39" s="2"/>
      <c r="L39" s="2"/>
      <c r="M39" s="2"/>
      <c r="N39" s="2"/>
    </row>
    <row r="40" spans="1:14" ht="15.5" x14ac:dyDescent="0.35">
      <c r="A40" s="45"/>
      <c r="B40" s="37"/>
      <c r="C40" s="38"/>
      <c r="D40" s="39"/>
      <c r="E40" s="14">
        <v>0</v>
      </c>
      <c r="F40" s="29">
        <f t="shared" si="10"/>
        <v>0</v>
      </c>
      <c r="G40" s="3"/>
      <c r="I40" s="2"/>
      <c r="J40" s="2"/>
      <c r="K40" s="2"/>
      <c r="L40" s="2"/>
      <c r="M40" s="2"/>
      <c r="N40" s="2"/>
    </row>
    <row r="41" spans="1:14" x14ac:dyDescent="0.35">
      <c r="A41" s="71" t="s">
        <v>34</v>
      </c>
      <c r="B41" s="72"/>
      <c r="C41" s="72"/>
      <c r="D41" s="72"/>
      <c r="E41" s="72"/>
      <c r="F41" s="73"/>
      <c r="G41" s="3"/>
      <c r="I41" s="2"/>
      <c r="J41" s="2"/>
      <c r="K41" s="2"/>
      <c r="L41" s="2"/>
      <c r="M41" s="2"/>
      <c r="N41" s="2"/>
    </row>
    <row r="42" spans="1:14" ht="15.5" x14ac:dyDescent="0.35">
      <c r="A42" s="45"/>
      <c r="B42" s="37"/>
      <c r="C42" s="38"/>
      <c r="D42" s="39"/>
      <c r="E42" s="14">
        <v>0</v>
      </c>
      <c r="F42" s="29">
        <f t="shared" ref="F42:F43" si="11">SUM(D42*E42)</f>
        <v>0</v>
      </c>
      <c r="G42" s="3"/>
      <c r="I42" s="2"/>
      <c r="J42" s="2"/>
      <c r="K42" s="2"/>
      <c r="L42" s="2"/>
      <c r="M42" s="2"/>
      <c r="N42" s="2"/>
    </row>
    <row r="43" spans="1:14" ht="15.5" x14ac:dyDescent="0.35">
      <c r="A43" s="45"/>
      <c r="B43" s="37"/>
      <c r="C43" s="38"/>
      <c r="D43" s="39"/>
      <c r="E43" s="14">
        <v>0</v>
      </c>
      <c r="F43" s="29">
        <f t="shared" si="11"/>
        <v>0</v>
      </c>
      <c r="G43" s="3"/>
      <c r="I43" s="2"/>
      <c r="J43" s="2"/>
      <c r="K43" s="2"/>
      <c r="L43" s="2"/>
      <c r="M43" s="2"/>
      <c r="N43" s="2"/>
    </row>
    <row r="44" spans="1:14" x14ac:dyDescent="0.35">
      <c r="A44" s="71" t="s">
        <v>51</v>
      </c>
      <c r="B44" s="72"/>
      <c r="C44" s="72"/>
      <c r="D44" s="72"/>
      <c r="E44" s="72"/>
      <c r="F44" s="73"/>
      <c r="G44" s="3"/>
      <c r="I44" s="2"/>
      <c r="J44" s="2"/>
      <c r="K44" s="2"/>
      <c r="L44" s="2"/>
      <c r="M44" s="2"/>
      <c r="N44" s="2"/>
    </row>
    <row r="45" spans="1:14" ht="15.5" x14ac:dyDescent="0.35">
      <c r="A45" s="45"/>
      <c r="B45" s="37"/>
      <c r="C45" s="38"/>
      <c r="D45" s="39"/>
      <c r="E45" s="14">
        <v>0</v>
      </c>
      <c r="F45" s="29">
        <f t="shared" ref="F45:F46" si="12">SUM(D45*E45)</f>
        <v>0</v>
      </c>
      <c r="G45" s="3"/>
      <c r="I45" s="2"/>
      <c r="J45" s="2"/>
      <c r="K45" s="2"/>
      <c r="L45" s="2"/>
      <c r="M45" s="2"/>
      <c r="N45" s="2"/>
    </row>
    <row r="46" spans="1:14" ht="15.5" x14ac:dyDescent="0.35">
      <c r="A46" s="45"/>
      <c r="B46" s="37"/>
      <c r="C46" s="38"/>
      <c r="D46" s="39"/>
      <c r="E46" s="14">
        <v>0</v>
      </c>
      <c r="F46" s="29">
        <f t="shared" si="12"/>
        <v>0</v>
      </c>
      <c r="G46" s="3"/>
      <c r="I46" s="2"/>
      <c r="J46" s="2"/>
      <c r="K46" s="2"/>
      <c r="L46" s="2"/>
      <c r="M46" s="2"/>
      <c r="N46" s="2"/>
    </row>
    <row r="47" spans="1:14" x14ac:dyDescent="0.35">
      <c r="A47" s="71" t="s">
        <v>52</v>
      </c>
      <c r="B47" s="72"/>
      <c r="C47" s="72"/>
      <c r="D47" s="72"/>
      <c r="E47" s="72"/>
      <c r="F47" s="73"/>
      <c r="G47" s="3"/>
      <c r="I47" s="2"/>
      <c r="J47" s="2"/>
      <c r="K47" s="2"/>
      <c r="L47" s="2"/>
      <c r="M47" s="2"/>
      <c r="N47" s="2"/>
    </row>
    <row r="48" spans="1:14" ht="15.5" x14ac:dyDescent="0.35">
      <c r="A48" s="45"/>
      <c r="B48" s="37"/>
      <c r="C48" s="38"/>
      <c r="D48" s="39"/>
      <c r="E48" s="14">
        <v>0</v>
      </c>
      <c r="F48" s="29">
        <f t="shared" ref="F48:F49" si="13">SUM(D48*E48)</f>
        <v>0</v>
      </c>
      <c r="G48" s="3"/>
      <c r="I48" s="2"/>
      <c r="J48" s="2"/>
      <c r="K48" s="2"/>
      <c r="L48" s="2"/>
      <c r="M48" s="2"/>
      <c r="N48" s="2"/>
    </row>
    <row r="49" spans="1:14" ht="15.5" x14ac:dyDescent="0.35">
      <c r="A49" s="45"/>
      <c r="B49" s="37"/>
      <c r="C49" s="38"/>
      <c r="D49" s="39"/>
      <c r="E49" s="14">
        <v>0</v>
      </c>
      <c r="F49" s="29">
        <f t="shared" si="13"/>
        <v>0</v>
      </c>
      <c r="G49" s="3"/>
      <c r="I49" s="2"/>
      <c r="J49" s="2"/>
      <c r="K49" s="2"/>
      <c r="L49" s="2"/>
      <c r="M49" s="2"/>
      <c r="N49" s="2"/>
    </row>
    <row r="50" spans="1:14" x14ac:dyDescent="0.35">
      <c r="A50" s="71" t="s">
        <v>31</v>
      </c>
      <c r="B50" s="72"/>
      <c r="C50" s="72"/>
      <c r="D50" s="72"/>
      <c r="E50" s="72"/>
      <c r="F50" s="73"/>
      <c r="G50" s="3"/>
      <c r="I50" s="2"/>
      <c r="J50" s="2"/>
      <c r="K50" s="2"/>
      <c r="L50" s="2"/>
      <c r="M50" s="2"/>
      <c r="N50" s="2"/>
    </row>
    <row r="51" spans="1:14" ht="15.5" x14ac:dyDescent="0.35">
      <c r="A51" s="45"/>
      <c r="B51" s="37"/>
      <c r="C51" s="38"/>
      <c r="D51" s="39"/>
      <c r="E51" s="14">
        <v>0</v>
      </c>
      <c r="F51" s="29">
        <f t="shared" ref="F51:F54" si="14">SUM(D51*E51)</f>
        <v>0</v>
      </c>
    </row>
    <row r="52" spans="1:14" ht="15.5" x14ac:dyDescent="0.35">
      <c r="A52" s="45"/>
      <c r="B52" s="37"/>
      <c r="C52" s="38"/>
      <c r="D52" s="39"/>
      <c r="E52" s="14">
        <v>0</v>
      </c>
      <c r="F52" s="29">
        <f t="shared" si="14"/>
        <v>0</v>
      </c>
    </row>
    <row r="53" spans="1:14" ht="15.5" x14ac:dyDescent="0.35">
      <c r="A53" s="45"/>
      <c r="B53" s="37"/>
      <c r="C53" s="38"/>
      <c r="D53" s="39"/>
      <c r="E53" s="14">
        <v>0</v>
      </c>
      <c r="F53" s="29">
        <f t="shared" si="14"/>
        <v>0</v>
      </c>
    </row>
    <row r="54" spans="1:14" ht="15.5" x14ac:dyDescent="0.35">
      <c r="A54" s="45"/>
      <c r="B54" s="37"/>
      <c r="C54" s="38"/>
      <c r="D54" s="39"/>
      <c r="E54" s="14">
        <v>0</v>
      </c>
      <c r="F54" s="29">
        <f t="shared" si="14"/>
        <v>0</v>
      </c>
    </row>
    <row r="55" spans="1:14" ht="15.5" x14ac:dyDescent="0.35">
      <c r="A55" s="15" t="s">
        <v>4</v>
      </c>
      <c r="B55" s="25" t="s">
        <v>5</v>
      </c>
      <c r="C55" s="26" t="s">
        <v>3</v>
      </c>
      <c r="D55" s="27">
        <v>1</v>
      </c>
      <c r="E55" s="10">
        <v>0</v>
      </c>
      <c r="F55" s="11">
        <f t="shared" ref="F55" si="15">SUM(D55*E55)</f>
        <v>0</v>
      </c>
    </row>
    <row r="56" spans="1:14" ht="16" thickBot="1" x14ac:dyDescent="0.4">
      <c r="A56" s="6"/>
      <c r="B56" s="7"/>
      <c r="C56" s="56" t="s">
        <v>43</v>
      </c>
      <c r="D56" s="56"/>
      <c r="E56" s="57"/>
      <c r="F56" s="28">
        <f>SUM(F9:F37)</f>
        <v>0</v>
      </c>
    </row>
    <row r="57" spans="1:14" ht="15.5" x14ac:dyDescent="0.35">
      <c r="A57" s="4" t="s">
        <v>26</v>
      </c>
      <c r="B57" s="47" t="s">
        <v>114</v>
      </c>
      <c r="C57" s="48"/>
      <c r="D57" s="48"/>
      <c r="E57" s="48"/>
      <c r="F57" s="49"/>
    </row>
    <row r="58" spans="1:14" ht="15.5" x14ac:dyDescent="0.35">
      <c r="A58" s="8"/>
      <c r="B58" s="50"/>
      <c r="C58" s="48"/>
      <c r="D58" s="48"/>
      <c r="E58" s="48"/>
      <c r="F58" s="49"/>
    </row>
    <row r="59" spans="1:14" ht="15.5" x14ac:dyDescent="0.35">
      <c r="A59" s="9"/>
      <c r="B59" s="50"/>
      <c r="C59" s="48"/>
      <c r="D59" s="48"/>
      <c r="E59" s="48"/>
      <c r="F59" s="49"/>
    </row>
    <row r="60" spans="1:14" ht="45" customHeight="1" x14ac:dyDescent="0.35">
      <c r="A60" s="8"/>
      <c r="B60" s="50"/>
      <c r="C60" s="48"/>
      <c r="D60" s="48"/>
      <c r="E60" s="48"/>
      <c r="F60" s="49"/>
    </row>
    <row r="61" spans="1:14" ht="130" customHeight="1" x14ac:dyDescent="0.35">
      <c r="A61" s="9"/>
      <c r="B61" s="51"/>
      <c r="C61" s="52"/>
      <c r="D61" s="52"/>
      <c r="E61" s="52"/>
      <c r="F61" s="53"/>
    </row>
    <row r="62" spans="1:14" ht="32.4" customHeight="1" x14ac:dyDescent="0.35">
      <c r="A62" s="54" t="s">
        <v>0</v>
      </c>
      <c r="B62" s="54"/>
      <c r="C62" s="55"/>
      <c r="D62" s="55"/>
      <c r="E62" s="55"/>
      <c r="F62" s="55"/>
    </row>
    <row r="63" spans="1:14" ht="21" x14ac:dyDescent="0.5">
      <c r="A63" s="5" t="s">
        <v>1</v>
      </c>
      <c r="B63" s="23"/>
      <c r="C63" s="24"/>
      <c r="D63" s="24"/>
      <c r="E63" s="24"/>
      <c r="F63" s="24"/>
    </row>
    <row r="64" spans="1:14" ht="21" x14ac:dyDescent="0.5">
      <c r="A64" s="5" t="s">
        <v>22</v>
      </c>
      <c r="B64" s="23"/>
      <c r="C64" s="24"/>
      <c r="D64" s="24"/>
      <c r="E64" s="24"/>
      <c r="F64" s="24"/>
    </row>
    <row r="65" spans="1:6" ht="21" x14ac:dyDescent="0.5">
      <c r="A65" s="5" t="s">
        <v>14</v>
      </c>
      <c r="B65" s="23"/>
      <c r="C65" s="24"/>
      <c r="D65" s="24"/>
      <c r="E65" s="24"/>
      <c r="F65" s="24"/>
    </row>
    <row r="66" spans="1:6" ht="21" x14ac:dyDescent="0.5">
      <c r="A66" s="13" t="s">
        <v>23</v>
      </c>
      <c r="B66" s="23"/>
      <c r="C66" s="24"/>
      <c r="D66" s="24"/>
      <c r="E66" s="24"/>
      <c r="F66" s="24"/>
    </row>
    <row r="67" spans="1:6" ht="21" x14ac:dyDescent="0.5">
      <c r="A67" s="5" t="s">
        <v>24</v>
      </c>
      <c r="B67" s="23"/>
      <c r="C67" s="24"/>
      <c r="D67" s="24"/>
      <c r="E67" s="24"/>
      <c r="F67" s="24"/>
    </row>
    <row r="68" spans="1:6" ht="21" x14ac:dyDescent="0.5">
      <c r="A68" s="20" t="s">
        <v>25</v>
      </c>
      <c r="B68" s="23"/>
      <c r="C68" s="24"/>
      <c r="D68" s="24"/>
      <c r="E68" s="24"/>
      <c r="F68" s="24"/>
    </row>
  </sheetData>
  <mergeCells count="17">
    <mergeCell ref="A50:F50"/>
    <mergeCell ref="B57:F61"/>
    <mergeCell ref="A62:F62"/>
    <mergeCell ref="C56:E56"/>
    <mergeCell ref="A1:F1"/>
    <mergeCell ref="A2:F2"/>
    <mergeCell ref="A3:E3"/>
    <mergeCell ref="B4:C4"/>
    <mergeCell ref="D4:F7"/>
    <mergeCell ref="B5:C5"/>
    <mergeCell ref="B7:C7"/>
    <mergeCell ref="A10:F10"/>
    <mergeCell ref="B11:C11"/>
    <mergeCell ref="A38:F38"/>
    <mergeCell ref="A41:F41"/>
    <mergeCell ref="A44:F44"/>
    <mergeCell ref="A47:F47"/>
  </mergeCells>
  <phoneticPr fontId="10" type="noConversion"/>
  <printOptions horizontalCentered="1"/>
  <pageMargins left="0.2" right="0.2" top="0.75" bottom="0.75" header="0.3" footer="0.3"/>
  <pageSetup paperSize="256" scale="115" orientation="portrait" r:id="rId1"/>
  <headerFooter>
    <oddHeader>&amp;C&amp;16&amp;KFF0000DRAFT</oddHeader>
  </headerFooter>
  <rowBreaks count="2" manualBreakCount="2">
    <brk id="43" max="16383" man="1"/>
    <brk id="56"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ABEB0D53-0665-463E-A69B-646B2E5E863A}">
          <x14:formula1>
            <xm:f>Sheet1!$C$2:$C$15</xm:f>
          </x14:formula1>
          <xm:sqref>B6</xm:sqref>
        </x14:dataValidation>
        <x14:dataValidation type="list" allowBlank="1" showInputMessage="1" showErrorMessage="1" xr:uid="{3C158103-656C-40A2-B5A0-5EE49429488F}">
          <x14:formula1>
            <xm:f>Sheet1!$A$2:$A$10</xm:f>
          </x14:formula1>
          <xm:sqref>A10 A38 A41 A44 A47 A50</xm:sqref>
        </x14:dataValidation>
        <x14:dataValidation type="list" allowBlank="1" showInputMessage="1" showErrorMessage="1" xr:uid="{1B64DC75-7C1E-47B6-88FB-B56CF664E74B}">
          <x14:formula1>
            <xm:f>Sheet1!$E$2:$E$6</xm:f>
          </x14:formula1>
          <xm:sqref>D9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9B84-946C-4E92-8262-4EFDE3BF4B12}">
  <dimension ref="A1:E15"/>
  <sheetViews>
    <sheetView workbookViewId="0">
      <selection activeCell="E3" sqref="E3:E6"/>
    </sheetView>
  </sheetViews>
  <sheetFormatPr defaultRowHeight="14.5" x14ac:dyDescent="0.35"/>
  <cols>
    <col min="1" max="1" width="40" bestFit="1" customWidth="1"/>
    <col min="3" max="3" width="43.08984375" customWidth="1"/>
    <col min="5" max="5" width="21.08984375" bestFit="1" customWidth="1"/>
  </cols>
  <sheetData>
    <row r="1" spans="1:5" x14ac:dyDescent="0.35">
      <c r="A1" t="s">
        <v>29</v>
      </c>
      <c r="C1" t="s">
        <v>30</v>
      </c>
      <c r="E1" t="s">
        <v>115</v>
      </c>
    </row>
    <row r="3" spans="1:5" x14ac:dyDescent="0.35">
      <c r="A3" t="s">
        <v>31</v>
      </c>
      <c r="C3" t="s">
        <v>53</v>
      </c>
      <c r="E3" s="46" t="s">
        <v>116</v>
      </c>
    </row>
    <row r="4" spans="1:5" x14ac:dyDescent="0.35">
      <c r="A4" t="s">
        <v>33</v>
      </c>
      <c r="C4" t="s">
        <v>54</v>
      </c>
      <c r="E4" t="s">
        <v>117</v>
      </c>
    </row>
    <row r="5" spans="1:5" x14ac:dyDescent="0.35">
      <c r="A5" t="s">
        <v>32</v>
      </c>
      <c r="C5" t="s">
        <v>55</v>
      </c>
      <c r="E5" t="s">
        <v>118</v>
      </c>
    </row>
    <row r="6" spans="1:5" x14ac:dyDescent="0.35">
      <c r="A6" t="s">
        <v>34</v>
      </c>
      <c r="C6" t="s">
        <v>56</v>
      </c>
      <c r="E6" t="s">
        <v>119</v>
      </c>
    </row>
    <row r="7" spans="1:5" x14ac:dyDescent="0.35">
      <c r="A7" t="s">
        <v>35</v>
      </c>
      <c r="C7" t="s">
        <v>57</v>
      </c>
    </row>
    <row r="8" spans="1:5" x14ac:dyDescent="0.35">
      <c r="A8" t="s">
        <v>36</v>
      </c>
      <c r="C8" t="s">
        <v>58</v>
      </c>
    </row>
    <row r="9" spans="1:5" x14ac:dyDescent="0.35">
      <c r="A9" t="s">
        <v>51</v>
      </c>
      <c r="C9" t="s">
        <v>60</v>
      </c>
    </row>
    <row r="10" spans="1:5" x14ac:dyDescent="0.35">
      <c r="A10" t="s">
        <v>52</v>
      </c>
      <c r="C10" t="s">
        <v>59</v>
      </c>
    </row>
    <row r="11" spans="1:5" x14ac:dyDescent="0.35">
      <c r="C11" t="s">
        <v>44</v>
      </c>
    </row>
    <row r="12" spans="1:5" x14ac:dyDescent="0.35">
      <c r="C12" t="s">
        <v>45</v>
      </c>
    </row>
    <row r="13" spans="1:5" x14ac:dyDescent="0.35">
      <c r="C13" t="s">
        <v>46</v>
      </c>
    </row>
    <row r="14" spans="1:5" x14ac:dyDescent="0.35">
      <c r="C14" t="s">
        <v>47</v>
      </c>
    </row>
    <row r="15" spans="1:5" x14ac:dyDescent="0.35">
      <c r="C1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SOI-Normal</vt:lpstr>
      <vt:lpstr>Sheet1</vt:lpstr>
      <vt:lpstr>'SOI-Normal'!Print_Titles</vt:lpstr>
    </vt:vector>
  </TitlesOfParts>
  <Company>USDA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Prout-Garcia, Annie -FS</dc:creator>
  <cp:lastModifiedBy>Wallace, Klenise - FS, CO</cp:lastModifiedBy>
  <cp:lastPrinted>2026-04-25T06:38:16Z</cp:lastPrinted>
  <dcterms:created xsi:type="dcterms:W3CDTF">2017-10-04T20:24:43Z</dcterms:created>
  <dcterms:modified xsi:type="dcterms:W3CDTF">2026-04-25T06:38:41Z</dcterms:modified>
</cp:coreProperties>
</file>