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.biza\Desktop\Rewrite\Regional 8a Janitorial\SECTION J\"/>
    </mc:Choice>
  </mc:AlternateContent>
  <xr:revisionPtr revIDLastSave="0" documentId="13_ncr:1_{3FD8FB00-C2D7-4CF4-9221-DDD805DEA464}" xr6:coauthVersionLast="47" xr6:coauthVersionMax="47" xr10:uidLastSave="{00000000-0000-0000-0000-000000000000}"/>
  <bookViews>
    <workbookView xWindow="-120" yWindow="90" windowWidth="20730" windowHeight="10950" firstSheet="30" activeTab="30" xr2:uid="{00000000-000D-0000-FFFF-FFFF00000000}"/>
  </bookViews>
  <sheets>
    <sheet name="BLDG 1SN" sheetId="27" r:id="rId1"/>
    <sheet name="BLDG 266 " sheetId="9" r:id="rId2"/>
    <sheet name="BLDG 289" sheetId="10" r:id="rId3"/>
    <sheet name="BLDG 290" sheetId="11" r:id="rId4"/>
    <sheet name="BLDG 320" sheetId="12" r:id="rId5"/>
    <sheet name="BLDG 323" sheetId="13" r:id="rId6"/>
    <sheet name="BLDG 351" sheetId="14" r:id="rId7"/>
    <sheet name="BLDG 421" sheetId="15" r:id="rId8"/>
    <sheet name="YOUTH CENTER BLDG 441" sheetId="39" r:id="rId9"/>
    <sheet name="BLDG 503" sheetId="16" r:id="rId10"/>
    <sheet name="BLDG 3134 Teen Center  " sheetId="42" r:id="rId11"/>
    <sheet name="BLDG 525" sheetId="17" r:id="rId12"/>
    <sheet name="BLDG 551" sheetId="18" r:id="rId13"/>
    <sheet name="BLDG 554" sheetId="19" r:id="rId14"/>
    <sheet name="BLDG 620" sheetId="20" r:id="rId15"/>
    <sheet name="BLDG 698" sheetId="21" r:id="rId16"/>
    <sheet name="BLDG 878" sheetId="22" r:id="rId17"/>
    <sheet name="BLDG 900" sheetId="41" r:id="rId18"/>
    <sheet name="BLDG 1660" sheetId="23" r:id="rId19"/>
    <sheet name="BLDG 1751" sheetId="24" r:id="rId20"/>
    <sheet name="BLDG 1779" sheetId="25" r:id="rId21"/>
    <sheet name="CDC BLDG 1901 " sheetId="40" r:id="rId22"/>
    <sheet name="BLDG 2220SN" sheetId="29" r:id="rId23"/>
    <sheet name="BLDG 3106" sheetId="26" r:id="rId24"/>
    <sheet name="BLDG D28" sheetId="30" r:id="rId25"/>
    <sheet name="BLDG D63" sheetId="31" r:id="rId26"/>
    <sheet name="BLDG D323" sheetId="32" r:id="rId27"/>
    <sheet name="BLDG D324" sheetId="33" r:id="rId28"/>
    <sheet name="BLDG D327" sheetId="34" r:id="rId29"/>
    <sheet name="BLDG D328" sheetId="35" r:id="rId30"/>
    <sheet name="BLDG D339" sheetId="36" r:id="rId3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42" l="1"/>
  <c r="F11" i="42"/>
  <c r="F115" i="41" l="1"/>
  <c r="I83" i="40" l="1"/>
  <c r="G83" i="40"/>
  <c r="F83" i="40"/>
  <c r="F22" i="39" l="1"/>
  <c r="F8" i="36" l="1"/>
  <c r="F7" i="35"/>
  <c r="F8" i="34"/>
  <c r="F7" i="33"/>
  <c r="F8" i="32"/>
  <c r="F6" i="31"/>
  <c r="F9" i="30"/>
  <c r="F8" i="29"/>
  <c r="F9" i="27"/>
  <c r="F5" i="26"/>
  <c r="F8" i="25"/>
  <c r="F5" i="24"/>
  <c r="F8" i="23"/>
  <c r="F8" i="22"/>
  <c r="F6" i="21"/>
  <c r="F7" i="20"/>
  <c r="F8" i="19"/>
  <c r="F8" i="18"/>
  <c r="F6" i="17"/>
  <c r="F8" i="16"/>
  <c r="F8" i="15"/>
  <c r="F8" i="14"/>
  <c r="F5" i="13"/>
  <c r="F7" i="12"/>
  <c r="F8" i="11"/>
  <c r="F7" i="10"/>
  <c r="F6" i="9"/>
</calcChain>
</file>

<file path=xl/sharedStrings.xml><?xml version="1.0" encoding="utf-8"?>
<sst xmlns="http://schemas.openxmlformats.org/spreadsheetml/2006/main" count="1516" uniqueCount="186">
  <si>
    <t>PWD SOUTH POTOMAC</t>
  </si>
  <si>
    <t>Customer:  REGION INDIAN HEAD</t>
  </si>
  <si>
    <t>Building No.</t>
  </si>
  <si>
    <t>Floor No.</t>
  </si>
  <si>
    <t>Room No.</t>
  </si>
  <si>
    <t>Type of Space</t>
  </si>
  <si>
    <t>Floor Type</t>
  </si>
  <si>
    <t>Area (SF)</t>
  </si>
  <si>
    <t>Security Requirements       Y/N</t>
  </si>
  <si>
    <t>COL               Level</t>
  </si>
  <si>
    <t>1SN</t>
  </si>
  <si>
    <t>Weight Room</t>
  </si>
  <si>
    <t>Rubber</t>
  </si>
  <si>
    <t>N</t>
  </si>
  <si>
    <t>Standard</t>
  </si>
  <si>
    <t>Admin/Vestibule</t>
  </si>
  <si>
    <t>Tile</t>
  </si>
  <si>
    <t>handball court</t>
  </si>
  <si>
    <t>wood</t>
  </si>
  <si>
    <t>workout room</t>
  </si>
  <si>
    <t>carpet</t>
  </si>
  <si>
    <t>Restroom (2)</t>
  </si>
  <si>
    <t>TOTAL SF</t>
  </si>
  <si>
    <t xml:space="preserve">Admin </t>
  </si>
  <si>
    <t>Restroom</t>
  </si>
  <si>
    <t>Admin</t>
  </si>
  <si>
    <t>Carpet</t>
  </si>
  <si>
    <t>Kitchen</t>
  </si>
  <si>
    <t>Restrooms (2)</t>
  </si>
  <si>
    <t>Kitchen (2)</t>
  </si>
  <si>
    <t xml:space="preserve">Tile </t>
  </si>
  <si>
    <t>Customer: REGION INDIAN HEAD - YOUTH CENTER</t>
  </si>
  <si>
    <t>FREQUENCY PER ATTACHMENT J-1503010-04 CHILD YOUTH PROGRAM ACTIVITES</t>
  </si>
  <si>
    <t>Window Count</t>
  </si>
  <si>
    <t>Size</t>
  </si>
  <si>
    <t>Area   Rug    Count</t>
  </si>
  <si>
    <t>R101</t>
  </si>
  <si>
    <t xml:space="preserve">Restroom   </t>
  </si>
  <si>
    <t>Vinyl Tile</t>
  </si>
  <si>
    <t>R102</t>
  </si>
  <si>
    <t>Classroom</t>
  </si>
  <si>
    <t>Reception</t>
  </si>
  <si>
    <t>Office Areas</t>
  </si>
  <si>
    <t>H101</t>
  </si>
  <si>
    <t>Hall Areas</t>
  </si>
  <si>
    <t>R103</t>
  </si>
  <si>
    <t>R104</t>
  </si>
  <si>
    <t>R105</t>
  </si>
  <si>
    <t>Food Service Areas</t>
  </si>
  <si>
    <t>H102</t>
  </si>
  <si>
    <t>Corridor</t>
  </si>
  <si>
    <t>Janitorial</t>
  </si>
  <si>
    <t>N/A</t>
  </si>
  <si>
    <t>NIC</t>
  </si>
  <si>
    <t>Storage Areas</t>
  </si>
  <si>
    <t>Fitness Center</t>
  </si>
  <si>
    <t>Resilient Tile</t>
  </si>
  <si>
    <t xml:space="preserve">8A Janitorial </t>
  </si>
  <si>
    <t>Custodial - Mandated Service Classes for Child Youth Program Facilities</t>
  </si>
  <si>
    <t>Bldg 3134  -  Add  to Region inventory</t>
  </si>
  <si>
    <t>Storage Area</t>
  </si>
  <si>
    <t>Restroom 1</t>
  </si>
  <si>
    <t>Restroom 2</t>
  </si>
  <si>
    <t>Hall Area</t>
  </si>
  <si>
    <t>Total</t>
  </si>
  <si>
    <t>Restroom (3)</t>
  </si>
  <si>
    <t>Restroom (4)</t>
  </si>
  <si>
    <t xml:space="preserve">Kitchen </t>
  </si>
  <si>
    <t>S101</t>
  </si>
  <si>
    <t>Stairway</t>
  </si>
  <si>
    <t>Y</t>
  </si>
  <si>
    <t>V101</t>
  </si>
  <si>
    <t>Main Entrance</t>
  </si>
  <si>
    <t>113A</t>
  </si>
  <si>
    <t>Office</t>
  </si>
  <si>
    <t>Hallway</t>
  </si>
  <si>
    <t>117A</t>
  </si>
  <si>
    <t>117B</t>
  </si>
  <si>
    <t>V102</t>
  </si>
  <si>
    <t>Westside Entrance</t>
  </si>
  <si>
    <t>S102</t>
  </si>
  <si>
    <t>H103</t>
  </si>
  <si>
    <t>Admin Support</t>
  </si>
  <si>
    <t>116A</t>
  </si>
  <si>
    <t>116B</t>
  </si>
  <si>
    <t>H110</t>
  </si>
  <si>
    <t>S103</t>
  </si>
  <si>
    <t>100B</t>
  </si>
  <si>
    <t>H104</t>
  </si>
  <si>
    <t>H105</t>
  </si>
  <si>
    <t>H106</t>
  </si>
  <si>
    <t>117C</t>
  </si>
  <si>
    <t>H107</t>
  </si>
  <si>
    <t>118A</t>
  </si>
  <si>
    <t>Conference Room</t>
  </si>
  <si>
    <t>118B</t>
  </si>
  <si>
    <t>S106</t>
  </si>
  <si>
    <t>H108</t>
  </si>
  <si>
    <t>H109</t>
  </si>
  <si>
    <t>129A</t>
  </si>
  <si>
    <t>128A</t>
  </si>
  <si>
    <t>127A</t>
  </si>
  <si>
    <t>134A</t>
  </si>
  <si>
    <t>134B</t>
  </si>
  <si>
    <t>134C</t>
  </si>
  <si>
    <t>S201</t>
  </si>
  <si>
    <t>235A</t>
  </si>
  <si>
    <t>V201</t>
  </si>
  <si>
    <t>Vestibule</t>
  </si>
  <si>
    <t>S202</t>
  </si>
  <si>
    <t>H201</t>
  </si>
  <si>
    <t>231A</t>
  </si>
  <si>
    <t>237A</t>
  </si>
  <si>
    <t>237B</t>
  </si>
  <si>
    <t>237C</t>
  </si>
  <si>
    <t>H202</t>
  </si>
  <si>
    <t>226A</t>
  </si>
  <si>
    <t>226B</t>
  </si>
  <si>
    <t>H203</t>
  </si>
  <si>
    <t>H204</t>
  </si>
  <si>
    <t>S203</t>
  </si>
  <si>
    <t>200A</t>
  </si>
  <si>
    <t>203A</t>
  </si>
  <si>
    <t>203B</t>
  </si>
  <si>
    <t>S205</t>
  </si>
  <si>
    <t>204A</t>
  </si>
  <si>
    <t>204E</t>
  </si>
  <si>
    <t>205A</t>
  </si>
  <si>
    <t>208A</t>
  </si>
  <si>
    <t>208B</t>
  </si>
  <si>
    <t>210B</t>
  </si>
  <si>
    <t>H205</t>
  </si>
  <si>
    <t>S204</t>
  </si>
  <si>
    <t>246A</t>
  </si>
  <si>
    <t>246B</t>
  </si>
  <si>
    <t>Rubber Mats</t>
  </si>
  <si>
    <t>Wood</t>
  </si>
  <si>
    <t>Customer: REGION INDIAN HEAD - CHILD DEVELOPMENT CENTER</t>
  </si>
  <si>
    <t>Foyer</t>
  </si>
  <si>
    <t>103A</t>
  </si>
  <si>
    <t>Storage</t>
  </si>
  <si>
    <t>104A</t>
  </si>
  <si>
    <t>105A</t>
  </si>
  <si>
    <t xml:space="preserve">Unisex Restroom   </t>
  </si>
  <si>
    <t>Hourly Care</t>
  </si>
  <si>
    <t>115A</t>
  </si>
  <si>
    <t>Infant Room</t>
  </si>
  <si>
    <t>Isolation Room</t>
  </si>
  <si>
    <t>Janitor's Closet</t>
  </si>
  <si>
    <t>123A</t>
  </si>
  <si>
    <t>Laundry Room</t>
  </si>
  <si>
    <t>Pre-Toddler Room</t>
  </si>
  <si>
    <t>125A</t>
  </si>
  <si>
    <t>126A</t>
  </si>
  <si>
    <t>Preschool Room</t>
  </si>
  <si>
    <t>128B</t>
  </si>
  <si>
    <t>129B</t>
  </si>
  <si>
    <t>130A</t>
  </si>
  <si>
    <t>130B</t>
  </si>
  <si>
    <t>131A</t>
  </si>
  <si>
    <t>131B</t>
  </si>
  <si>
    <t>Teacher's Lounge</t>
  </si>
  <si>
    <t>132A</t>
  </si>
  <si>
    <t>132B</t>
  </si>
  <si>
    <t>Training Room</t>
  </si>
  <si>
    <t>133A</t>
  </si>
  <si>
    <t>133B</t>
  </si>
  <si>
    <t>Toddler Room</t>
  </si>
  <si>
    <t>135A</t>
  </si>
  <si>
    <t>135B</t>
  </si>
  <si>
    <t>136A</t>
  </si>
  <si>
    <t>136B</t>
  </si>
  <si>
    <t>2220SN</t>
  </si>
  <si>
    <t>Concrete</t>
  </si>
  <si>
    <t>D28</t>
  </si>
  <si>
    <t>D63</t>
  </si>
  <si>
    <t>D323</t>
  </si>
  <si>
    <t>tile</t>
  </si>
  <si>
    <t>Kitchen(2)</t>
  </si>
  <si>
    <t>D324</t>
  </si>
  <si>
    <t>Restroom (7)</t>
  </si>
  <si>
    <t>D327</t>
  </si>
  <si>
    <t>D-328</t>
  </si>
  <si>
    <t xml:space="preserve">Admin Area </t>
  </si>
  <si>
    <t>BUILDING IS CURRENTLY UNDER CONSTRUCTION-MODIFICATION WILL BE DONE WHEN BUILDING IS COMPLETE</t>
  </si>
  <si>
    <t>D339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</si>
</sst>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</cellStyleXfs>
  <cellXfs count="52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right"/>
    </xf>
    <xf numFmtId="1" fontId="3" fillId="3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>
      <alignment horizontal="right" vertical="center" wrapText="1"/>
    </xf>
    <xf numFmtId="1" fontId="3" fillId="3" borderId="1" xfId="0" applyNumberFormat="1" applyFont="1" applyFill="1" applyBorder="1" applyAlignment="1">
      <alignment horizontal="right"/>
    </xf>
    <xf numFmtId="1" fontId="3" fillId="0" borderId="1" xfId="8" applyNumberFormat="1" applyFont="1" applyBorder="1" applyAlignment="1">
      <alignment horizontal="right" wrapText="1"/>
    </xf>
    <xf numFmtId="0" fontId="3" fillId="0" borderId="1" xfId="8" applyFont="1" applyBorder="1" applyAlignment="1">
      <alignment horizontal="center"/>
    </xf>
    <xf numFmtId="0" fontId="3" fillId="0" borderId="1" xfId="8" applyFont="1" applyBorder="1" applyAlignment="1">
      <alignment horizontal="left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" fontId="3" fillId="3" borderId="1" xfId="0" applyNumberFormat="1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6" fillId="0" borderId="0" xfId="0" applyFont="1"/>
    <xf numFmtId="3" fontId="6" fillId="0" borderId="0" xfId="0" applyNumberFormat="1" applyFont="1"/>
    <xf numFmtId="1" fontId="6" fillId="0" borderId="0" xfId="0" applyNumberFormat="1" applyFont="1"/>
    <xf numFmtId="3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7" fillId="0" borderId="0" xfId="0" applyFont="1"/>
    <xf numFmtId="0" fontId="10" fillId="0" borderId="0" xfId="0" applyFont="1"/>
    <xf numFmtId="0" fontId="3" fillId="3" borderId="1" xfId="8" applyFont="1" applyFill="1" applyBorder="1" applyAlignment="1">
      <alignment horizontal="center" vertical="center" wrapText="1"/>
    </xf>
    <xf numFmtId="0" fontId="3" fillId="3" borderId="1" xfId="8" applyFont="1" applyFill="1" applyBorder="1" applyAlignment="1">
      <alignment horizontal="left" vertical="center" wrapText="1"/>
    </xf>
    <xf numFmtId="0" fontId="3" fillId="3" borderId="1" xfId="8" applyFont="1" applyFill="1" applyBorder="1" applyAlignment="1">
      <alignment horizontal="right" vertical="center" wrapText="1"/>
    </xf>
    <xf numFmtId="0" fontId="3" fillId="3" borderId="1" xfId="8" applyFont="1" applyFill="1" applyBorder="1" applyAlignment="1">
      <alignment horizontal="center" wrapText="1"/>
    </xf>
    <xf numFmtId="0" fontId="3" fillId="3" borderId="1" xfId="8" applyFont="1" applyFill="1" applyBorder="1" applyAlignment="1">
      <alignment horizontal="left" wrapText="1"/>
    </xf>
    <xf numFmtId="0" fontId="3" fillId="3" borderId="1" xfId="8" applyFont="1" applyFill="1" applyBorder="1" applyAlignment="1">
      <alignment horizontal="right" wrapText="1"/>
    </xf>
    <xf numFmtId="3" fontId="3" fillId="5" borderId="1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</cellXfs>
  <cellStyles count="11">
    <cellStyle name="Comma 2" xfId="3" xr:uid="{00000000-0005-0000-0000-000000000000}"/>
    <cellStyle name="Currency 2" xfId="4" xr:uid="{00000000-0005-0000-0000-000001000000}"/>
    <cellStyle name="Normal" xfId="0" builtinId="0"/>
    <cellStyle name="Normal 2" xfId="5" xr:uid="{00000000-0005-0000-0000-000003000000}"/>
    <cellStyle name="Normal 2 2" xfId="2" xr:uid="{00000000-0005-0000-0000-000004000000}"/>
    <cellStyle name="Normal 2 2 2" xfId="6" xr:uid="{00000000-0005-0000-0000-000005000000}"/>
    <cellStyle name="Normal 2 3" xfId="8" xr:uid="{00000000-0005-0000-0000-000006000000}"/>
    <cellStyle name="Normal 2 3 2" xfId="10" xr:uid="{00000000-0005-0000-0000-000007000000}"/>
    <cellStyle name="Normal 2 4" xfId="9" xr:uid="{00000000-0005-0000-0000-000008000000}"/>
    <cellStyle name="Normal 3" xfId="1" xr:uid="{00000000-0005-0000-0000-000009000000}"/>
    <cellStyle name="Normal 6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H4" sqref="H4:H8"/>
    </sheetView>
  </sheetViews>
  <sheetFormatPr defaultColWidth="9.140625" defaultRowHeight="15"/>
  <cols>
    <col min="1" max="2" width="9.28515625" customWidth="1"/>
    <col min="3" max="3" width="9.5703125" customWidth="1"/>
    <col min="4" max="4" width="14.28515625" customWidth="1"/>
    <col min="5" max="5" width="10.2851562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7" t="s">
        <v>10</v>
      </c>
      <c r="B4" s="8"/>
      <c r="C4" s="8"/>
      <c r="D4" s="8" t="s">
        <v>11</v>
      </c>
      <c r="E4" s="8" t="s">
        <v>12</v>
      </c>
      <c r="F4" s="13">
        <v>1023</v>
      </c>
      <c r="G4" s="26" t="s">
        <v>13</v>
      </c>
      <c r="H4" s="2" t="s">
        <v>14</v>
      </c>
    </row>
    <row r="5" spans="1:8" ht="17.25" customHeight="1">
      <c r="A5" s="7" t="s">
        <v>10</v>
      </c>
      <c r="B5" s="8"/>
      <c r="C5" s="8"/>
      <c r="D5" s="8" t="s">
        <v>15</v>
      </c>
      <c r="E5" s="8" t="s">
        <v>16</v>
      </c>
      <c r="F5" s="13">
        <v>144</v>
      </c>
      <c r="G5" s="26" t="s">
        <v>13</v>
      </c>
      <c r="H5" s="2" t="s">
        <v>14</v>
      </c>
    </row>
    <row r="6" spans="1:8" ht="17.25" customHeight="1">
      <c r="A6" s="7" t="s">
        <v>10</v>
      </c>
      <c r="B6" s="8"/>
      <c r="C6" s="8"/>
      <c r="D6" s="8" t="s">
        <v>17</v>
      </c>
      <c r="E6" s="8" t="s">
        <v>18</v>
      </c>
      <c r="F6" s="13">
        <v>800</v>
      </c>
      <c r="G6" s="26" t="s">
        <v>13</v>
      </c>
      <c r="H6" s="2" t="s">
        <v>14</v>
      </c>
    </row>
    <row r="7" spans="1:8" ht="17.25" customHeight="1">
      <c r="A7" s="7" t="s">
        <v>10</v>
      </c>
      <c r="B7" s="8"/>
      <c r="C7" s="8"/>
      <c r="D7" s="8" t="s">
        <v>19</v>
      </c>
      <c r="E7" s="8" t="s">
        <v>20</v>
      </c>
      <c r="F7" s="13">
        <v>1132</v>
      </c>
      <c r="G7" s="26" t="s">
        <v>13</v>
      </c>
      <c r="H7" s="2" t="s">
        <v>14</v>
      </c>
    </row>
    <row r="8" spans="1:8" ht="17.25" customHeight="1">
      <c r="A8" s="7" t="s">
        <v>10</v>
      </c>
      <c r="B8" s="8"/>
      <c r="C8" s="8"/>
      <c r="D8" s="8" t="s">
        <v>21</v>
      </c>
      <c r="E8" s="8" t="s">
        <v>16</v>
      </c>
      <c r="F8" s="13">
        <v>578</v>
      </c>
      <c r="G8" s="26" t="s">
        <v>13</v>
      </c>
      <c r="H8" s="2" t="s">
        <v>14</v>
      </c>
    </row>
    <row r="9" spans="1:8">
      <c r="E9" s="23" t="s">
        <v>22</v>
      </c>
      <c r="F9" s="25">
        <f>SUM(F4:F8)</f>
        <v>3677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H4" sqref="H4:H5"/>
    </sheetView>
  </sheetViews>
  <sheetFormatPr defaultColWidth="9.140625" defaultRowHeight="15"/>
  <cols>
    <col min="1" max="2" width="9.28515625" customWidth="1"/>
    <col min="3" max="3" width="9.5703125" customWidth="1"/>
    <col min="4" max="4" width="11.85546875" customWidth="1"/>
    <col min="5" max="5" width="9.570312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4">
        <v>266</v>
      </c>
      <c r="B4" s="5"/>
      <c r="C4" s="5"/>
      <c r="D4" s="5" t="s">
        <v>23</v>
      </c>
      <c r="E4" s="5" t="s">
        <v>16</v>
      </c>
      <c r="F4" s="9">
        <v>253</v>
      </c>
      <c r="G4" s="26" t="s">
        <v>13</v>
      </c>
      <c r="H4" s="2" t="s">
        <v>14</v>
      </c>
    </row>
    <row r="5" spans="1:8" ht="17.25" customHeight="1">
      <c r="A5" s="4">
        <v>266</v>
      </c>
      <c r="B5" s="5"/>
      <c r="C5" s="5"/>
      <c r="D5" s="5" t="s">
        <v>24</v>
      </c>
      <c r="E5" s="5" t="s">
        <v>16</v>
      </c>
      <c r="F5" s="9">
        <v>60</v>
      </c>
      <c r="G5" s="26" t="s">
        <v>13</v>
      </c>
      <c r="H5" s="2" t="s">
        <v>14</v>
      </c>
    </row>
    <row r="6" spans="1:8">
      <c r="A6" s="22"/>
      <c r="B6" s="22"/>
      <c r="C6" s="22"/>
      <c r="D6" s="22"/>
      <c r="E6" s="23" t="s">
        <v>22</v>
      </c>
      <c r="F6" s="24">
        <f>SUM(F4:F5)</f>
        <v>313</v>
      </c>
      <c r="G6" s="22"/>
      <c r="H6" s="22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H4" sqref="H4:H6"/>
    </sheetView>
  </sheetViews>
  <sheetFormatPr defaultColWidth="9.140625" defaultRowHeight="15"/>
  <cols>
    <col min="1" max="2" width="9.28515625" customWidth="1"/>
    <col min="3" max="3" width="9.5703125" customWidth="1"/>
    <col min="4" max="4" width="14.140625" customWidth="1"/>
    <col min="5" max="5" width="12.2851562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4">
        <v>289</v>
      </c>
      <c r="B4" s="5"/>
      <c r="C4" s="5"/>
      <c r="D4" s="5" t="s">
        <v>25</v>
      </c>
      <c r="E4" s="5" t="s">
        <v>26</v>
      </c>
      <c r="F4" s="12">
        <v>1593</v>
      </c>
      <c r="G4" s="26" t="s">
        <v>13</v>
      </c>
      <c r="H4" s="2" t="s">
        <v>14</v>
      </c>
    </row>
    <row r="5" spans="1:8" ht="17.25" customHeight="1">
      <c r="A5" s="4">
        <v>289</v>
      </c>
      <c r="B5" s="5"/>
      <c r="C5" s="5"/>
      <c r="D5" s="5" t="s">
        <v>21</v>
      </c>
      <c r="E5" s="5" t="s">
        <v>16</v>
      </c>
      <c r="F5" s="12">
        <v>87</v>
      </c>
      <c r="G5" s="26" t="s">
        <v>13</v>
      </c>
      <c r="H5" s="2" t="s">
        <v>14</v>
      </c>
    </row>
    <row r="6" spans="1:8" ht="17.25" customHeight="1">
      <c r="A6" s="4">
        <v>289</v>
      </c>
      <c r="B6" s="5"/>
      <c r="C6" s="5"/>
      <c r="D6" s="5" t="s">
        <v>27</v>
      </c>
      <c r="E6" s="5" t="s">
        <v>16</v>
      </c>
      <c r="F6" s="12">
        <v>51</v>
      </c>
      <c r="G6" s="26" t="s">
        <v>13</v>
      </c>
      <c r="H6" s="2" t="s">
        <v>14</v>
      </c>
    </row>
    <row r="7" spans="1:8">
      <c r="E7" s="23" t="s">
        <v>22</v>
      </c>
      <c r="F7" s="25">
        <f>SUM(F4:F6)</f>
        <v>1731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selection activeCell="H4" sqref="H4:H7"/>
    </sheetView>
  </sheetViews>
  <sheetFormatPr defaultColWidth="9.140625" defaultRowHeight="15"/>
  <cols>
    <col min="1" max="2" width="9.28515625" customWidth="1"/>
    <col min="3" max="3" width="9.5703125" customWidth="1"/>
    <col min="4" max="4" width="14.140625" customWidth="1"/>
    <col min="5" max="5" width="12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4">
        <v>290</v>
      </c>
      <c r="B4" s="5"/>
      <c r="C4" s="5"/>
      <c r="D4" s="5" t="s">
        <v>25</v>
      </c>
      <c r="E4" s="5" t="s">
        <v>26</v>
      </c>
      <c r="F4" s="12">
        <v>1484</v>
      </c>
      <c r="G4" s="26" t="s">
        <v>13</v>
      </c>
      <c r="H4" s="2" t="s">
        <v>14</v>
      </c>
    </row>
    <row r="5" spans="1:8" ht="17.25" customHeight="1">
      <c r="A5" s="4">
        <v>290</v>
      </c>
      <c r="B5" s="5"/>
      <c r="C5" s="5"/>
      <c r="D5" s="5" t="s">
        <v>25</v>
      </c>
      <c r="E5" s="5" t="s">
        <v>16</v>
      </c>
      <c r="F5" s="12">
        <v>535</v>
      </c>
      <c r="G5" s="26" t="s">
        <v>13</v>
      </c>
      <c r="H5" s="2" t="s">
        <v>14</v>
      </c>
    </row>
    <row r="6" spans="1:8" ht="17.25" customHeight="1">
      <c r="A6" s="4">
        <v>290</v>
      </c>
      <c r="B6" s="5"/>
      <c r="C6" s="5"/>
      <c r="D6" s="5" t="s">
        <v>27</v>
      </c>
      <c r="E6" s="5" t="s">
        <v>16</v>
      </c>
      <c r="F6" s="12">
        <v>405</v>
      </c>
      <c r="G6" s="26" t="s">
        <v>13</v>
      </c>
      <c r="H6" s="2" t="s">
        <v>14</v>
      </c>
    </row>
    <row r="7" spans="1:8" ht="17.25" customHeight="1">
      <c r="A7" s="4">
        <v>290</v>
      </c>
      <c r="B7" s="5"/>
      <c r="C7" s="5"/>
      <c r="D7" s="5" t="s">
        <v>21</v>
      </c>
      <c r="E7" s="5" t="s">
        <v>16</v>
      </c>
      <c r="F7" s="12">
        <v>646</v>
      </c>
      <c r="G7" s="26" t="s">
        <v>13</v>
      </c>
      <c r="H7" s="2" t="s">
        <v>14</v>
      </c>
    </row>
    <row r="8" spans="1:8">
      <c r="E8" s="23" t="s">
        <v>22</v>
      </c>
      <c r="F8" s="25">
        <f>SUM(F4:F7)</f>
        <v>3070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>
      <selection activeCell="H4" sqref="H4:H6"/>
    </sheetView>
  </sheetViews>
  <sheetFormatPr defaultColWidth="9.140625" defaultRowHeight="15"/>
  <cols>
    <col min="1" max="2" width="9.28515625" customWidth="1"/>
    <col min="3" max="3" width="9.5703125" customWidth="1"/>
    <col min="4" max="4" width="13" customWidth="1"/>
    <col min="5" max="5" width="11.4257812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4">
        <v>320</v>
      </c>
      <c r="B4" s="5"/>
      <c r="C4" s="5"/>
      <c r="D4" s="5" t="s">
        <v>25</v>
      </c>
      <c r="E4" s="5" t="s">
        <v>26</v>
      </c>
      <c r="F4" s="12">
        <v>1310</v>
      </c>
      <c r="G4" s="26" t="s">
        <v>13</v>
      </c>
      <c r="H4" s="6" t="s">
        <v>14</v>
      </c>
    </row>
    <row r="5" spans="1:8" ht="17.25" customHeight="1">
      <c r="A5" s="4">
        <v>320</v>
      </c>
      <c r="B5" s="5"/>
      <c r="C5" s="5"/>
      <c r="D5" s="5" t="s">
        <v>25</v>
      </c>
      <c r="E5" s="5" t="s">
        <v>16</v>
      </c>
      <c r="F5" s="12">
        <v>1014</v>
      </c>
      <c r="G5" s="26" t="s">
        <v>13</v>
      </c>
      <c r="H5" s="6" t="s">
        <v>14</v>
      </c>
    </row>
    <row r="6" spans="1:8" ht="17.25" customHeight="1">
      <c r="A6" s="4">
        <v>320</v>
      </c>
      <c r="B6" s="5"/>
      <c r="C6" s="5"/>
      <c r="D6" s="5" t="s">
        <v>21</v>
      </c>
      <c r="E6" s="5" t="s">
        <v>16</v>
      </c>
      <c r="F6" s="12">
        <v>108</v>
      </c>
      <c r="G6" s="26" t="s">
        <v>13</v>
      </c>
      <c r="H6" s="6" t="s">
        <v>14</v>
      </c>
    </row>
    <row r="7" spans="1:8">
      <c r="E7" s="23" t="s">
        <v>22</v>
      </c>
      <c r="F7" s="25">
        <f>SUM(F4:F6)</f>
        <v>2432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>
      <selection activeCell="H4" sqref="H4"/>
    </sheetView>
  </sheetViews>
  <sheetFormatPr defaultColWidth="9.140625" defaultRowHeight="15"/>
  <cols>
    <col min="1" max="2" width="9.28515625" customWidth="1"/>
    <col min="3" max="3" width="9.5703125" customWidth="1"/>
    <col min="4" max="4" width="13.28515625" customWidth="1"/>
    <col min="5" max="5" width="10.570312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7">
        <v>323</v>
      </c>
      <c r="B4" s="8"/>
      <c r="C4" s="8"/>
      <c r="D4" s="8" t="s">
        <v>21</v>
      </c>
      <c r="E4" s="8" t="s">
        <v>16</v>
      </c>
      <c r="F4" s="10">
        <v>180</v>
      </c>
      <c r="G4" s="26" t="s">
        <v>13</v>
      </c>
      <c r="H4" s="2" t="s">
        <v>14</v>
      </c>
    </row>
    <row r="5" spans="1:8">
      <c r="E5" s="23" t="s">
        <v>22</v>
      </c>
      <c r="F5" s="25">
        <f>SUM(F2:F4)</f>
        <v>180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>
      <selection activeCell="H4" sqref="H4:H7"/>
    </sheetView>
  </sheetViews>
  <sheetFormatPr defaultColWidth="9.140625" defaultRowHeight="15"/>
  <cols>
    <col min="1" max="2" width="9.28515625" customWidth="1"/>
    <col min="3" max="3" width="9.5703125" customWidth="1"/>
    <col min="4" max="4" width="13.5703125" customWidth="1"/>
    <col min="5" max="5" width="11.8554687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7">
        <v>351</v>
      </c>
      <c r="B4" s="8"/>
      <c r="C4" s="8"/>
      <c r="D4" s="8" t="s">
        <v>23</v>
      </c>
      <c r="E4" s="8" t="s">
        <v>26</v>
      </c>
      <c r="F4" s="13">
        <v>3444</v>
      </c>
      <c r="G4" s="26" t="s">
        <v>13</v>
      </c>
      <c r="H4" s="2" t="s">
        <v>14</v>
      </c>
    </row>
    <row r="5" spans="1:8" ht="17.25" customHeight="1">
      <c r="A5" s="7">
        <v>351</v>
      </c>
      <c r="B5" s="8"/>
      <c r="C5" s="8"/>
      <c r="D5" s="8" t="s">
        <v>23</v>
      </c>
      <c r="E5" s="8" t="s">
        <v>16</v>
      </c>
      <c r="F5" s="13">
        <v>512</v>
      </c>
      <c r="G5" s="26" t="s">
        <v>13</v>
      </c>
      <c r="H5" s="2" t="s">
        <v>14</v>
      </c>
    </row>
    <row r="6" spans="1:8" ht="17.25" customHeight="1">
      <c r="A6" s="7">
        <v>351</v>
      </c>
      <c r="B6" s="8"/>
      <c r="C6" s="8"/>
      <c r="D6" s="8" t="s">
        <v>28</v>
      </c>
      <c r="E6" s="8" t="s">
        <v>16</v>
      </c>
      <c r="F6" s="13">
        <v>190</v>
      </c>
      <c r="G6" s="26" t="s">
        <v>13</v>
      </c>
      <c r="H6" s="2" t="s">
        <v>14</v>
      </c>
    </row>
    <row r="7" spans="1:8" ht="17.25" customHeight="1">
      <c r="A7" s="7">
        <v>351</v>
      </c>
      <c r="B7" s="8"/>
      <c r="C7" s="8"/>
      <c r="D7" s="8" t="s">
        <v>29</v>
      </c>
      <c r="E7" s="8" t="s">
        <v>16</v>
      </c>
      <c r="F7" s="13">
        <v>104</v>
      </c>
      <c r="G7" s="26" t="s">
        <v>13</v>
      </c>
      <c r="H7" s="2" t="s">
        <v>14</v>
      </c>
    </row>
    <row r="8" spans="1:8">
      <c r="E8" s="23" t="s">
        <v>22</v>
      </c>
      <c r="F8" s="25">
        <f>SUM(F4:F7)</f>
        <v>4250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workbookViewId="0">
      <selection activeCell="H4" sqref="H4:H7"/>
    </sheetView>
  </sheetViews>
  <sheetFormatPr defaultColWidth="9.140625" defaultRowHeight="15"/>
  <cols>
    <col min="1" max="2" width="9.28515625" customWidth="1"/>
    <col min="3" max="3" width="9.5703125" customWidth="1"/>
    <col min="4" max="4" width="14" customWidth="1"/>
    <col min="5" max="5" width="11.8554687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7">
        <v>421</v>
      </c>
      <c r="B4" s="8"/>
      <c r="C4" s="8"/>
      <c r="D4" s="8" t="s">
        <v>25</v>
      </c>
      <c r="E4" s="8" t="s">
        <v>26</v>
      </c>
      <c r="F4" s="13">
        <v>1302</v>
      </c>
      <c r="G4" s="26" t="s">
        <v>13</v>
      </c>
      <c r="H4" s="2" t="s">
        <v>14</v>
      </c>
    </row>
    <row r="5" spans="1:8" ht="17.25" customHeight="1">
      <c r="A5" s="7">
        <v>421</v>
      </c>
      <c r="B5" s="8"/>
      <c r="C5" s="8"/>
      <c r="D5" s="8" t="s">
        <v>25</v>
      </c>
      <c r="E5" s="8" t="s">
        <v>16</v>
      </c>
      <c r="F5" s="13">
        <v>120</v>
      </c>
      <c r="G5" s="26" t="s">
        <v>13</v>
      </c>
      <c r="H5" s="2" t="s">
        <v>14</v>
      </c>
    </row>
    <row r="6" spans="1:8" ht="17.25" customHeight="1">
      <c r="A6" s="7">
        <v>421</v>
      </c>
      <c r="B6" s="8"/>
      <c r="C6" s="8"/>
      <c r="D6" s="8" t="s">
        <v>27</v>
      </c>
      <c r="E6" s="8" t="s">
        <v>16</v>
      </c>
      <c r="F6" s="13">
        <v>88</v>
      </c>
      <c r="G6" s="26" t="s">
        <v>13</v>
      </c>
      <c r="H6" s="2" t="s">
        <v>14</v>
      </c>
    </row>
    <row r="7" spans="1:8" ht="17.25" customHeight="1">
      <c r="A7" s="7">
        <v>421</v>
      </c>
      <c r="B7" s="8"/>
      <c r="C7" s="8"/>
      <c r="D7" s="8" t="s">
        <v>21</v>
      </c>
      <c r="E7" s="8" t="s">
        <v>30</v>
      </c>
      <c r="F7" s="13">
        <v>267</v>
      </c>
      <c r="G7" s="26" t="s">
        <v>13</v>
      </c>
      <c r="H7" s="2" t="s">
        <v>14</v>
      </c>
    </row>
    <row r="8" spans="1:8">
      <c r="E8" s="23" t="s">
        <v>22</v>
      </c>
      <c r="F8" s="25">
        <f>SUM(F4:F7)</f>
        <v>1777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2"/>
  <sheetViews>
    <sheetView workbookViewId="0">
      <selection activeCell="A3" sqref="A3:XFD3"/>
    </sheetView>
  </sheetViews>
  <sheetFormatPr defaultColWidth="9.140625" defaultRowHeight="15"/>
  <cols>
    <col min="1" max="1" width="11" customWidth="1"/>
    <col min="2" max="2" width="9.28515625" customWidth="1"/>
    <col min="3" max="3" width="10.85546875" customWidth="1"/>
    <col min="4" max="4" width="16" customWidth="1"/>
    <col min="5" max="5" width="13" customWidth="1"/>
    <col min="6" max="6" width="9.140625" customWidth="1"/>
    <col min="10" max="10" width="13.140625" customWidth="1"/>
  </cols>
  <sheetData>
    <row r="1" spans="1:10" ht="15" customHeight="1">
      <c r="A1" s="48" t="s">
        <v>0</v>
      </c>
      <c r="B1" s="46"/>
      <c r="C1" s="46"/>
      <c r="D1" s="46"/>
      <c r="E1" s="46"/>
      <c r="F1" s="46"/>
      <c r="G1" s="46"/>
      <c r="H1" s="46"/>
      <c r="I1" s="46"/>
      <c r="J1" s="47"/>
    </row>
    <row r="2" spans="1:10" ht="15" customHeight="1">
      <c r="A2" s="49" t="s">
        <v>31</v>
      </c>
      <c r="B2" s="50"/>
      <c r="C2" s="50"/>
      <c r="D2" s="50"/>
      <c r="E2" s="50"/>
      <c r="F2" s="50"/>
      <c r="G2" s="50"/>
      <c r="H2" s="50"/>
      <c r="I2" s="50"/>
      <c r="J2" s="51"/>
    </row>
    <row r="3" spans="1:10" ht="16.5" customHeight="1">
      <c r="A3" s="48" t="s">
        <v>32</v>
      </c>
      <c r="B3" s="46"/>
      <c r="C3" s="46"/>
      <c r="D3" s="46"/>
      <c r="E3" s="46"/>
      <c r="F3" s="46"/>
      <c r="G3" s="46"/>
      <c r="H3" s="46"/>
      <c r="I3" s="46"/>
      <c r="J3" s="47"/>
    </row>
    <row r="4" spans="1:10" ht="47.2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7" t="s">
        <v>33</v>
      </c>
      <c r="H4" s="17" t="s">
        <v>34</v>
      </c>
      <c r="I4" s="17" t="s">
        <v>35</v>
      </c>
      <c r="J4" s="18" t="s">
        <v>34</v>
      </c>
    </row>
    <row r="5" spans="1:10">
      <c r="A5" s="4">
        <v>441</v>
      </c>
      <c r="B5" s="6">
        <v>1</v>
      </c>
      <c r="C5" s="5" t="s">
        <v>36</v>
      </c>
      <c r="D5" s="5" t="s">
        <v>37</v>
      </c>
      <c r="E5" s="5" t="s">
        <v>38</v>
      </c>
      <c r="F5" s="9">
        <v>47</v>
      </c>
      <c r="G5" s="3">
        <v>0</v>
      </c>
      <c r="H5" s="3">
        <v>0</v>
      </c>
      <c r="I5" s="3">
        <v>0</v>
      </c>
      <c r="J5" s="3">
        <v>0</v>
      </c>
    </row>
    <row r="6" spans="1:10">
      <c r="A6" s="4">
        <v>441</v>
      </c>
      <c r="B6" s="6">
        <v>1</v>
      </c>
      <c r="C6" s="5" t="s">
        <v>39</v>
      </c>
      <c r="D6" s="5" t="s">
        <v>24</v>
      </c>
      <c r="E6" s="5" t="s">
        <v>38</v>
      </c>
      <c r="F6" s="9">
        <v>47</v>
      </c>
      <c r="G6" s="3">
        <v>0</v>
      </c>
      <c r="H6" s="3">
        <v>0</v>
      </c>
      <c r="I6" s="3">
        <v>0</v>
      </c>
      <c r="J6" s="3">
        <v>0</v>
      </c>
    </row>
    <row r="7" spans="1:10">
      <c r="A7" s="4">
        <v>441</v>
      </c>
      <c r="B7" s="6">
        <v>1</v>
      </c>
      <c r="C7" s="5">
        <v>101</v>
      </c>
      <c r="D7" s="5" t="s">
        <v>40</v>
      </c>
      <c r="E7" s="5" t="s">
        <v>26</v>
      </c>
      <c r="F7" s="9">
        <v>600</v>
      </c>
      <c r="G7" s="3">
        <v>8</v>
      </c>
      <c r="H7" s="3"/>
      <c r="I7" s="3">
        <v>0</v>
      </c>
      <c r="J7" s="3">
        <v>0</v>
      </c>
    </row>
    <row r="8" spans="1:10">
      <c r="A8" s="4">
        <v>441</v>
      </c>
      <c r="B8" s="6">
        <v>1</v>
      </c>
      <c r="C8" s="5">
        <v>101</v>
      </c>
      <c r="D8" s="5" t="s">
        <v>40</v>
      </c>
      <c r="E8" s="5" t="s">
        <v>16</v>
      </c>
      <c r="F8" s="9">
        <v>827</v>
      </c>
      <c r="G8" s="3"/>
      <c r="H8" s="3"/>
      <c r="I8" s="3"/>
      <c r="J8" s="3"/>
    </row>
    <row r="9" spans="1:10">
      <c r="A9" s="4">
        <v>441</v>
      </c>
      <c r="B9" s="6">
        <v>1</v>
      </c>
      <c r="C9" s="5">
        <v>102</v>
      </c>
      <c r="D9" s="5" t="s">
        <v>40</v>
      </c>
      <c r="E9" s="5" t="s">
        <v>26</v>
      </c>
      <c r="F9" s="9">
        <v>388</v>
      </c>
      <c r="G9" s="3">
        <v>7</v>
      </c>
      <c r="H9" s="3"/>
      <c r="I9" s="3">
        <v>0</v>
      </c>
      <c r="J9" s="3">
        <v>0</v>
      </c>
    </row>
    <row r="10" spans="1:10">
      <c r="A10" s="4">
        <v>441</v>
      </c>
      <c r="B10" s="6">
        <v>1</v>
      </c>
      <c r="C10" s="5">
        <v>102</v>
      </c>
      <c r="D10" s="5" t="s">
        <v>41</v>
      </c>
      <c r="E10" s="5" t="s">
        <v>16</v>
      </c>
      <c r="F10" s="9">
        <v>80</v>
      </c>
      <c r="G10" s="3">
        <v>0</v>
      </c>
      <c r="H10" s="3">
        <v>0</v>
      </c>
      <c r="I10" s="3">
        <v>0</v>
      </c>
      <c r="J10" s="3">
        <v>0</v>
      </c>
    </row>
    <row r="11" spans="1:10">
      <c r="A11" s="4">
        <v>441</v>
      </c>
      <c r="B11" s="6">
        <v>1</v>
      </c>
      <c r="C11" s="5">
        <v>103</v>
      </c>
      <c r="D11" s="5" t="s">
        <v>42</v>
      </c>
      <c r="E11" s="5" t="s">
        <v>16</v>
      </c>
      <c r="F11" s="9">
        <v>289</v>
      </c>
      <c r="G11" s="3">
        <v>7</v>
      </c>
      <c r="H11" s="3"/>
      <c r="I11" s="3">
        <v>0</v>
      </c>
      <c r="J11" s="3">
        <v>0</v>
      </c>
    </row>
    <row r="12" spans="1:10">
      <c r="A12" s="4">
        <v>441</v>
      </c>
      <c r="B12" s="6">
        <v>1</v>
      </c>
      <c r="C12" s="5" t="s">
        <v>43</v>
      </c>
      <c r="D12" s="5" t="s">
        <v>44</v>
      </c>
      <c r="E12" s="5" t="s">
        <v>16</v>
      </c>
      <c r="F12" s="9">
        <v>155</v>
      </c>
      <c r="G12" s="3">
        <v>0</v>
      </c>
      <c r="H12" s="3">
        <v>0</v>
      </c>
      <c r="I12" s="3">
        <v>0</v>
      </c>
      <c r="J12" s="3">
        <v>0</v>
      </c>
    </row>
    <row r="13" spans="1:10">
      <c r="A13" s="4">
        <v>441</v>
      </c>
      <c r="B13" s="6">
        <v>1</v>
      </c>
      <c r="C13" s="5" t="s">
        <v>45</v>
      </c>
      <c r="D13" s="5" t="s">
        <v>24</v>
      </c>
      <c r="E13" s="5" t="s">
        <v>38</v>
      </c>
      <c r="F13" s="9">
        <v>29</v>
      </c>
      <c r="G13" s="3">
        <v>0</v>
      </c>
      <c r="H13" s="3">
        <v>0</v>
      </c>
      <c r="I13" s="3">
        <v>0</v>
      </c>
      <c r="J13" s="3">
        <v>0</v>
      </c>
    </row>
    <row r="14" spans="1:10">
      <c r="A14" s="4">
        <v>441</v>
      </c>
      <c r="B14" s="6">
        <v>1</v>
      </c>
      <c r="C14" s="5" t="s">
        <v>46</v>
      </c>
      <c r="D14" s="5" t="s">
        <v>24</v>
      </c>
      <c r="E14" s="5" t="s">
        <v>38</v>
      </c>
      <c r="F14" s="9">
        <v>28</v>
      </c>
      <c r="G14" s="3">
        <v>0</v>
      </c>
      <c r="H14" s="3">
        <v>0</v>
      </c>
      <c r="I14" s="3">
        <v>0</v>
      </c>
      <c r="J14" s="3">
        <v>0</v>
      </c>
    </row>
    <row r="15" spans="1:10">
      <c r="A15" s="4">
        <v>441</v>
      </c>
      <c r="B15" s="6">
        <v>1</v>
      </c>
      <c r="C15" s="5" t="s">
        <v>47</v>
      </c>
      <c r="D15" s="5" t="s">
        <v>24</v>
      </c>
      <c r="E15" s="5" t="s">
        <v>38</v>
      </c>
      <c r="F15" s="9">
        <v>29</v>
      </c>
      <c r="G15" s="3">
        <v>0</v>
      </c>
      <c r="H15" s="3">
        <v>0</v>
      </c>
      <c r="I15" s="3">
        <v>0</v>
      </c>
      <c r="J15" s="3">
        <v>0</v>
      </c>
    </row>
    <row r="16" spans="1:10">
      <c r="A16" s="4">
        <v>441</v>
      </c>
      <c r="B16" s="4">
        <v>1</v>
      </c>
      <c r="C16" s="27">
        <v>104</v>
      </c>
      <c r="D16" s="27" t="s">
        <v>48</v>
      </c>
      <c r="E16" s="5" t="s">
        <v>16</v>
      </c>
      <c r="F16" s="28">
        <v>56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 s="4">
        <v>441</v>
      </c>
      <c r="B17" s="6">
        <v>1</v>
      </c>
      <c r="C17" s="5" t="s">
        <v>49</v>
      </c>
      <c r="D17" s="5" t="s">
        <v>50</v>
      </c>
      <c r="E17" s="5" t="s">
        <v>16</v>
      </c>
      <c r="F17" s="9">
        <v>102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 s="4">
        <v>441</v>
      </c>
      <c r="B18" s="6">
        <v>1</v>
      </c>
      <c r="C18" s="5">
        <v>105</v>
      </c>
      <c r="D18" s="5" t="s">
        <v>51</v>
      </c>
      <c r="E18" s="5" t="s">
        <v>52</v>
      </c>
      <c r="F18" s="9" t="s">
        <v>53</v>
      </c>
      <c r="G18" s="3"/>
      <c r="H18" s="3"/>
      <c r="I18" s="3">
        <v>0</v>
      </c>
      <c r="J18" s="3">
        <v>0</v>
      </c>
    </row>
    <row r="19" spans="1:10">
      <c r="A19" s="4">
        <v>441</v>
      </c>
      <c r="B19" s="6">
        <v>1</v>
      </c>
      <c r="C19" s="5">
        <v>107</v>
      </c>
      <c r="D19" s="5" t="s">
        <v>54</v>
      </c>
      <c r="E19" s="5" t="s">
        <v>52</v>
      </c>
      <c r="F19" s="9">
        <v>112</v>
      </c>
      <c r="G19" s="3"/>
      <c r="H19" s="3"/>
      <c r="I19" s="3">
        <v>0</v>
      </c>
      <c r="J19" s="3">
        <v>0</v>
      </c>
    </row>
    <row r="20" spans="1:10">
      <c r="A20" s="4">
        <v>441</v>
      </c>
      <c r="B20" s="6">
        <v>1</v>
      </c>
      <c r="C20" s="5">
        <v>108</v>
      </c>
      <c r="D20" s="5" t="s">
        <v>42</v>
      </c>
      <c r="E20" s="5" t="s">
        <v>16</v>
      </c>
      <c r="F20" s="9">
        <v>231</v>
      </c>
      <c r="G20" s="3">
        <v>7</v>
      </c>
      <c r="H20" s="3"/>
      <c r="I20" s="3">
        <v>0</v>
      </c>
      <c r="J20" s="3">
        <v>0</v>
      </c>
    </row>
    <row r="21" spans="1:10">
      <c r="A21" s="4">
        <v>441</v>
      </c>
      <c r="B21" s="6">
        <v>1</v>
      </c>
      <c r="C21" s="5">
        <v>109</v>
      </c>
      <c r="D21" s="5" t="s">
        <v>55</v>
      </c>
      <c r="E21" s="5" t="s">
        <v>56</v>
      </c>
      <c r="F21" s="9">
        <v>2636</v>
      </c>
      <c r="G21" s="3">
        <v>0</v>
      </c>
      <c r="H21" s="3">
        <v>0</v>
      </c>
      <c r="I21" s="3">
        <v>0</v>
      </c>
      <c r="J21" s="3">
        <v>0</v>
      </c>
    </row>
    <row r="22" spans="1:10">
      <c r="B22" s="19"/>
      <c r="E22" s="29" t="s">
        <v>22</v>
      </c>
      <c r="F22" s="24">
        <f>SUM(F5:F21)</f>
        <v>5656</v>
      </c>
    </row>
  </sheetData>
  <mergeCells count="3">
    <mergeCell ref="A1:J1"/>
    <mergeCell ref="A2:J2"/>
    <mergeCell ref="A3:J3"/>
  </mergeCells>
  <pageMargins left="0.7" right="0.7" top="0.75" bottom="0.75" header="0.3" footer="0.3"/>
  <pageSetup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"/>
  <sheetViews>
    <sheetView workbookViewId="0">
      <selection activeCell="H4" sqref="H4:H7"/>
    </sheetView>
  </sheetViews>
  <sheetFormatPr defaultColWidth="9.140625" defaultRowHeight="15"/>
  <cols>
    <col min="1" max="2" width="9.28515625" customWidth="1"/>
    <col min="3" max="3" width="9.5703125" customWidth="1"/>
    <col min="4" max="4" width="14.28515625" customWidth="1"/>
    <col min="5" max="5" width="11.14062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7">
        <v>503</v>
      </c>
      <c r="B4" s="8"/>
      <c r="C4" s="8"/>
      <c r="D4" s="8" t="s">
        <v>25</v>
      </c>
      <c r="E4" s="8" t="s">
        <v>26</v>
      </c>
      <c r="F4" s="13">
        <v>2613</v>
      </c>
      <c r="G4" s="26" t="s">
        <v>13</v>
      </c>
      <c r="H4" s="2" t="s">
        <v>14</v>
      </c>
    </row>
    <row r="5" spans="1:8" ht="17.25" customHeight="1">
      <c r="A5" s="7">
        <v>503</v>
      </c>
      <c r="B5" s="8"/>
      <c r="C5" s="8"/>
      <c r="D5" s="8" t="s">
        <v>25</v>
      </c>
      <c r="E5" s="8" t="s">
        <v>16</v>
      </c>
      <c r="F5" s="13">
        <v>150</v>
      </c>
      <c r="G5" s="26" t="s">
        <v>13</v>
      </c>
      <c r="H5" s="2" t="s">
        <v>14</v>
      </c>
    </row>
    <row r="6" spans="1:8" ht="17.25" customHeight="1">
      <c r="A6" s="7">
        <v>503</v>
      </c>
      <c r="B6" s="8"/>
      <c r="C6" s="8"/>
      <c r="D6" s="8" t="s">
        <v>27</v>
      </c>
      <c r="E6" s="8" t="s">
        <v>16</v>
      </c>
      <c r="F6" s="13">
        <v>124</v>
      </c>
      <c r="G6" s="26" t="s">
        <v>13</v>
      </c>
      <c r="H6" s="2" t="s">
        <v>14</v>
      </c>
    </row>
    <row r="7" spans="1:8" ht="17.25" customHeight="1">
      <c r="A7" s="7">
        <v>503</v>
      </c>
      <c r="B7" s="8"/>
      <c r="C7" s="8"/>
      <c r="D7" s="8" t="s">
        <v>28</v>
      </c>
      <c r="E7" s="8" t="s">
        <v>16</v>
      </c>
      <c r="F7" s="13">
        <v>120</v>
      </c>
      <c r="G7" s="26" t="s">
        <v>13</v>
      </c>
      <c r="H7" s="2" t="s">
        <v>14</v>
      </c>
    </row>
    <row r="8" spans="1:8">
      <c r="E8" s="23" t="s">
        <v>22</v>
      </c>
      <c r="F8" s="25">
        <f>SUM(F4:F7)</f>
        <v>3007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D15C-CCF3-4F9C-991D-8295ED36664A}">
  <sheetPr>
    <tabColor rgb="FFFFFF00"/>
  </sheetPr>
  <dimension ref="A1:G11"/>
  <sheetViews>
    <sheetView workbookViewId="0">
      <selection activeCell="J8" sqref="J8"/>
    </sheetView>
  </sheetViews>
  <sheetFormatPr defaultRowHeight="15"/>
  <sheetData>
    <row r="1" spans="1:7">
      <c r="A1" t="s">
        <v>57</v>
      </c>
    </row>
    <row r="2" spans="1:7">
      <c r="A2" t="s">
        <v>58</v>
      </c>
    </row>
    <row r="3" spans="1:7">
      <c r="A3" t="s">
        <v>59</v>
      </c>
    </row>
    <row r="4" spans="1:7" ht="34.5" customHeight="1">
      <c r="A4" s="49" t="s">
        <v>32</v>
      </c>
      <c r="B4" s="50"/>
      <c r="C4" s="50"/>
      <c r="D4" s="50"/>
      <c r="E4" s="50"/>
      <c r="F4" s="50"/>
      <c r="G4" s="50"/>
    </row>
    <row r="5" spans="1:7" ht="30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30" t="s">
        <v>7</v>
      </c>
      <c r="G5" s="31" t="s">
        <v>33</v>
      </c>
    </row>
    <row r="6" spans="1:7">
      <c r="A6" s="32">
        <v>3134</v>
      </c>
      <c r="B6" s="4">
        <v>1</v>
      </c>
      <c r="C6" s="27" t="s">
        <v>52</v>
      </c>
      <c r="D6" s="27" t="s">
        <v>40</v>
      </c>
      <c r="E6" s="27" t="s">
        <v>26</v>
      </c>
      <c r="F6" s="33">
        <v>897</v>
      </c>
      <c r="G6" s="3">
        <v>6</v>
      </c>
    </row>
    <row r="7" spans="1:7">
      <c r="A7" s="32">
        <v>3134</v>
      </c>
      <c r="B7" s="4">
        <v>1</v>
      </c>
      <c r="C7" s="27" t="s">
        <v>52</v>
      </c>
      <c r="D7" s="27" t="s">
        <v>60</v>
      </c>
      <c r="E7" s="27" t="s">
        <v>26</v>
      </c>
      <c r="F7" s="33">
        <v>152</v>
      </c>
      <c r="G7" s="3">
        <v>3</v>
      </c>
    </row>
    <row r="8" spans="1:7">
      <c r="A8" s="32">
        <v>3134</v>
      </c>
      <c r="B8" s="4">
        <v>1</v>
      </c>
      <c r="C8" s="27" t="s">
        <v>52</v>
      </c>
      <c r="D8" s="27" t="s">
        <v>61</v>
      </c>
      <c r="E8" s="27" t="s">
        <v>16</v>
      </c>
      <c r="F8" s="33">
        <v>100</v>
      </c>
      <c r="G8" s="3">
        <v>1</v>
      </c>
    </row>
    <row r="9" spans="1:7">
      <c r="A9" s="32">
        <v>3134</v>
      </c>
      <c r="B9" s="4">
        <v>1</v>
      </c>
      <c r="C9" s="27" t="s">
        <v>52</v>
      </c>
      <c r="D9" s="27" t="s">
        <v>62</v>
      </c>
      <c r="E9" s="27" t="s">
        <v>16</v>
      </c>
      <c r="F9" s="33">
        <v>100</v>
      </c>
      <c r="G9" s="3">
        <v>1</v>
      </c>
    </row>
    <row r="10" spans="1:7">
      <c r="A10" s="32">
        <v>3134</v>
      </c>
      <c r="B10" s="4">
        <v>1</v>
      </c>
      <c r="C10" s="27" t="s">
        <v>52</v>
      </c>
      <c r="D10" s="27" t="s">
        <v>63</v>
      </c>
      <c r="E10" s="27" t="s">
        <v>26</v>
      </c>
      <c r="F10" s="33">
        <v>110</v>
      </c>
      <c r="G10" s="3">
        <v>0</v>
      </c>
    </row>
    <row r="11" spans="1:7">
      <c r="A11" s="19"/>
      <c r="E11" s="35" t="s">
        <v>64</v>
      </c>
      <c r="F11">
        <f>SUM(F6:F10)</f>
        <v>1359</v>
      </c>
      <c r="G11">
        <f>SUM(G6:G10)</f>
        <v>11</v>
      </c>
    </row>
  </sheetData>
  <mergeCells count="1">
    <mergeCell ref="A4:G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"/>
  <sheetViews>
    <sheetView workbookViewId="0">
      <selection activeCell="H4" sqref="H4:H5"/>
    </sheetView>
  </sheetViews>
  <sheetFormatPr defaultColWidth="9.140625" defaultRowHeight="15"/>
  <cols>
    <col min="1" max="2" width="9.28515625" customWidth="1"/>
    <col min="3" max="3" width="9.5703125" customWidth="1"/>
    <col min="4" max="4" width="12.7109375" customWidth="1"/>
    <col min="5" max="5" width="10.4257812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7">
        <v>525</v>
      </c>
      <c r="B4" s="8"/>
      <c r="C4" s="8"/>
      <c r="D4" s="8" t="s">
        <v>25</v>
      </c>
      <c r="E4" s="8" t="s">
        <v>26</v>
      </c>
      <c r="F4" s="10">
        <v>88</v>
      </c>
      <c r="G4" s="26" t="s">
        <v>13</v>
      </c>
      <c r="H4" s="2" t="s">
        <v>14</v>
      </c>
    </row>
    <row r="5" spans="1:8" ht="17.25" customHeight="1">
      <c r="A5" s="7">
        <v>525</v>
      </c>
      <c r="B5" s="8"/>
      <c r="C5" s="8"/>
      <c r="D5" s="8" t="s">
        <v>25</v>
      </c>
      <c r="E5" s="8" t="s">
        <v>16</v>
      </c>
      <c r="F5" s="10">
        <v>512</v>
      </c>
      <c r="G5" s="26" t="s">
        <v>13</v>
      </c>
      <c r="H5" s="2" t="s">
        <v>14</v>
      </c>
    </row>
    <row r="6" spans="1:8">
      <c r="E6" s="23" t="s">
        <v>22</v>
      </c>
      <c r="F6" s="25">
        <f>SUM(F4:F5)</f>
        <v>600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8"/>
  <sheetViews>
    <sheetView workbookViewId="0">
      <selection activeCell="H4" sqref="H4:H5"/>
    </sheetView>
  </sheetViews>
  <sheetFormatPr defaultColWidth="9.140625" defaultRowHeight="15"/>
  <cols>
    <col min="1" max="2" width="9.28515625" customWidth="1"/>
    <col min="3" max="3" width="9.5703125" customWidth="1"/>
    <col min="4" max="4" width="14.140625" customWidth="1"/>
    <col min="5" max="5" width="12.4257812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7">
        <v>551</v>
      </c>
      <c r="B4" s="8"/>
      <c r="C4" s="8"/>
      <c r="D4" s="8" t="s">
        <v>23</v>
      </c>
      <c r="E4" s="8" t="s">
        <v>26</v>
      </c>
      <c r="F4" s="13">
        <v>5113</v>
      </c>
      <c r="G4" s="26" t="s">
        <v>13</v>
      </c>
      <c r="H4" s="2" t="s">
        <v>14</v>
      </c>
    </row>
    <row r="5" spans="1:8" ht="17.25" customHeight="1">
      <c r="A5" s="7">
        <v>551</v>
      </c>
      <c r="B5" s="8"/>
      <c r="C5" s="8"/>
      <c r="D5" s="8" t="s">
        <v>23</v>
      </c>
      <c r="E5" s="8" t="s">
        <v>16</v>
      </c>
      <c r="F5" s="13">
        <v>211</v>
      </c>
      <c r="G5" s="26" t="s">
        <v>13</v>
      </c>
      <c r="H5" s="2" t="s">
        <v>14</v>
      </c>
    </row>
    <row r="6" spans="1:8" ht="17.25" customHeight="1">
      <c r="A6" s="7">
        <v>551</v>
      </c>
      <c r="B6" s="8"/>
      <c r="C6" s="8"/>
      <c r="D6" s="8" t="s">
        <v>65</v>
      </c>
      <c r="E6" s="8" t="s">
        <v>16</v>
      </c>
      <c r="F6" s="13">
        <v>153</v>
      </c>
      <c r="G6" s="26" t="s">
        <v>13</v>
      </c>
      <c r="H6" s="2" t="s">
        <v>14</v>
      </c>
    </row>
    <row r="7" spans="1:8" ht="17.25" customHeight="1">
      <c r="A7" s="7">
        <v>551</v>
      </c>
      <c r="B7" s="8"/>
      <c r="C7" s="8"/>
      <c r="D7" s="8" t="s">
        <v>27</v>
      </c>
      <c r="E7" s="8" t="s">
        <v>16</v>
      </c>
      <c r="F7" s="13">
        <v>120</v>
      </c>
      <c r="G7" s="26" t="s">
        <v>13</v>
      </c>
      <c r="H7" s="2" t="s">
        <v>14</v>
      </c>
    </row>
    <row r="8" spans="1:8">
      <c r="E8" s="23" t="s">
        <v>22</v>
      </c>
      <c r="F8" s="25">
        <f>SUM(F4:F7)</f>
        <v>5597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8"/>
  <sheetViews>
    <sheetView workbookViewId="0">
      <selection activeCell="H4" sqref="H4:H5"/>
    </sheetView>
  </sheetViews>
  <sheetFormatPr defaultColWidth="9.140625" defaultRowHeight="15"/>
  <cols>
    <col min="1" max="2" width="9.28515625" customWidth="1"/>
    <col min="3" max="3" width="9.5703125" customWidth="1"/>
    <col min="4" max="4" width="14.5703125" customWidth="1"/>
    <col min="5" max="5" width="12.2851562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7">
        <v>554</v>
      </c>
      <c r="B4" s="8"/>
      <c r="C4" s="8"/>
      <c r="D4" s="8" t="s">
        <v>25</v>
      </c>
      <c r="E4" s="8" t="s">
        <v>26</v>
      </c>
      <c r="F4" s="13">
        <v>1799</v>
      </c>
      <c r="G4" s="26" t="s">
        <v>13</v>
      </c>
      <c r="H4" s="2" t="s">
        <v>14</v>
      </c>
    </row>
    <row r="5" spans="1:8" ht="17.25" customHeight="1">
      <c r="A5" s="7">
        <v>554</v>
      </c>
      <c r="B5" s="8"/>
      <c r="C5" s="8"/>
      <c r="D5" s="8" t="s">
        <v>25</v>
      </c>
      <c r="E5" s="8" t="s">
        <v>16</v>
      </c>
      <c r="F5" s="13">
        <v>750</v>
      </c>
      <c r="G5" s="26" t="s">
        <v>13</v>
      </c>
      <c r="H5" s="2" t="s">
        <v>14</v>
      </c>
    </row>
    <row r="6" spans="1:8" ht="17.25" customHeight="1">
      <c r="A6" s="7">
        <v>554</v>
      </c>
      <c r="B6" s="8"/>
      <c r="C6" s="8"/>
      <c r="D6" s="8" t="s">
        <v>27</v>
      </c>
      <c r="E6" s="8" t="s">
        <v>16</v>
      </c>
      <c r="F6" s="13">
        <v>54</v>
      </c>
      <c r="G6" s="26" t="s">
        <v>13</v>
      </c>
      <c r="H6" s="2" t="s">
        <v>14</v>
      </c>
    </row>
    <row r="7" spans="1:8" ht="17.25" customHeight="1">
      <c r="A7" s="7">
        <v>554</v>
      </c>
      <c r="B7" s="8"/>
      <c r="C7" s="8"/>
      <c r="D7" s="8" t="s">
        <v>21</v>
      </c>
      <c r="E7" s="8" t="s">
        <v>16</v>
      </c>
      <c r="F7" s="13">
        <v>230</v>
      </c>
      <c r="G7" s="26" t="s">
        <v>13</v>
      </c>
      <c r="H7" s="2" t="s">
        <v>14</v>
      </c>
    </row>
    <row r="8" spans="1:8">
      <c r="E8" s="23" t="s">
        <v>22</v>
      </c>
      <c r="F8" s="25">
        <f>SUM(F4:F7)</f>
        <v>2833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7"/>
  <sheetViews>
    <sheetView workbookViewId="0">
      <selection activeCell="H4" sqref="H4:H6"/>
    </sheetView>
  </sheetViews>
  <sheetFormatPr defaultColWidth="9.140625" defaultRowHeight="15"/>
  <cols>
    <col min="1" max="2" width="9.28515625" customWidth="1"/>
    <col min="3" max="3" width="9.5703125" customWidth="1"/>
    <col min="4" max="4" width="14.42578125" customWidth="1"/>
    <col min="5" max="5" width="11.710937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7">
        <v>620</v>
      </c>
      <c r="B4" s="8"/>
      <c r="C4" s="11"/>
      <c r="D4" s="8" t="s">
        <v>23</v>
      </c>
      <c r="E4" s="8" t="s">
        <v>26</v>
      </c>
      <c r="F4" s="13">
        <v>2410</v>
      </c>
      <c r="G4" s="26" t="s">
        <v>13</v>
      </c>
      <c r="H4" s="2" t="s">
        <v>14</v>
      </c>
    </row>
    <row r="5" spans="1:8" ht="17.25" customHeight="1">
      <c r="A5" s="7">
        <v>620</v>
      </c>
      <c r="B5" s="8"/>
      <c r="C5" s="8"/>
      <c r="D5" s="8" t="s">
        <v>23</v>
      </c>
      <c r="E5" s="8" t="s">
        <v>16</v>
      </c>
      <c r="F5" s="13">
        <v>439</v>
      </c>
      <c r="G5" s="26" t="s">
        <v>13</v>
      </c>
      <c r="H5" s="2" t="s">
        <v>14</v>
      </c>
    </row>
    <row r="6" spans="1:8" ht="17.25" customHeight="1">
      <c r="A6" s="7">
        <v>620</v>
      </c>
      <c r="B6" s="8"/>
      <c r="C6" s="8"/>
      <c r="D6" s="8" t="s">
        <v>66</v>
      </c>
      <c r="E6" s="8" t="s">
        <v>16</v>
      </c>
      <c r="F6" s="13">
        <v>579</v>
      </c>
      <c r="G6" s="26" t="s">
        <v>13</v>
      </c>
      <c r="H6" s="2" t="s">
        <v>14</v>
      </c>
    </row>
    <row r="7" spans="1:8">
      <c r="E7" s="23" t="s">
        <v>22</v>
      </c>
      <c r="F7" s="25">
        <f>SUM(F4:F6)</f>
        <v>3428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"/>
  <sheetViews>
    <sheetView workbookViewId="0">
      <selection activeCell="H4" sqref="H4:H5"/>
    </sheetView>
  </sheetViews>
  <sheetFormatPr defaultColWidth="9.140625" defaultRowHeight="15"/>
  <cols>
    <col min="1" max="2" width="9.28515625" customWidth="1"/>
    <col min="3" max="3" width="9.5703125" customWidth="1"/>
    <col min="4" max="4" width="13.85546875" customWidth="1"/>
    <col min="5" max="5" width="12.14062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7">
        <v>698</v>
      </c>
      <c r="B4" s="8"/>
      <c r="C4" s="8"/>
      <c r="D4" s="8" t="s">
        <v>25</v>
      </c>
      <c r="E4" s="8" t="s">
        <v>26</v>
      </c>
      <c r="F4" s="10">
        <v>700</v>
      </c>
      <c r="G4" s="26" t="s">
        <v>13</v>
      </c>
      <c r="H4" s="2" t="s">
        <v>14</v>
      </c>
    </row>
    <row r="5" spans="1:8" ht="17.25" customHeight="1">
      <c r="A5" s="7">
        <v>698</v>
      </c>
      <c r="B5" s="8"/>
      <c r="C5" s="8"/>
      <c r="D5" s="8" t="s">
        <v>21</v>
      </c>
      <c r="E5" s="8" t="s">
        <v>16</v>
      </c>
      <c r="F5" s="10">
        <v>150</v>
      </c>
      <c r="G5" s="26" t="s">
        <v>13</v>
      </c>
      <c r="H5" s="2" t="s">
        <v>14</v>
      </c>
    </row>
    <row r="6" spans="1:8">
      <c r="E6" s="23" t="s">
        <v>22</v>
      </c>
      <c r="F6" s="25">
        <f>SUM(F4:F5)</f>
        <v>850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8"/>
  <sheetViews>
    <sheetView workbookViewId="0">
      <selection activeCell="H4" sqref="H4:H7"/>
    </sheetView>
  </sheetViews>
  <sheetFormatPr defaultColWidth="9.140625" defaultRowHeight="15"/>
  <cols>
    <col min="1" max="2" width="9.28515625" customWidth="1"/>
    <col min="3" max="3" width="9.5703125" customWidth="1"/>
    <col min="4" max="4" width="15.28515625" customWidth="1"/>
    <col min="5" max="5" width="12.8554687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7">
        <v>878</v>
      </c>
      <c r="B4" s="8"/>
      <c r="C4" s="8"/>
      <c r="D4" s="8" t="s">
        <v>25</v>
      </c>
      <c r="E4" s="8" t="s">
        <v>26</v>
      </c>
      <c r="F4" s="13">
        <v>416</v>
      </c>
      <c r="G4" s="26" t="s">
        <v>13</v>
      </c>
      <c r="H4" s="2" t="s">
        <v>14</v>
      </c>
    </row>
    <row r="5" spans="1:8" ht="17.25" customHeight="1">
      <c r="A5" s="7">
        <v>878</v>
      </c>
      <c r="B5" s="8"/>
      <c r="C5" s="11"/>
      <c r="D5" s="8" t="s">
        <v>25</v>
      </c>
      <c r="E5" s="8" t="s">
        <v>16</v>
      </c>
      <c r="F5" s="13">
        <v>2599</v>
      </c>
      <c r="G5" s="26" t="s">
        <v>13</v>
      </c>
      <c r="H5" s="2" t="s">
        <v>14</v>
      </c>
    </row>
    <row r="6" spans="1:8" ht="17.25" customHeight="1">
      <c r="A6" s="7">
        <v>878</v>
      </c>
      <c r="B6" s="8"/>
      <c r="C6" s="8"/>
      <c r="D6" s="8" t="s">
        <v>67</v>
      </c>
      <c r="E6" s="8" t="s">
        <v>16</v>
      </c>
      <c r="F6" s="13">
        <v>413</v>
      </c>
      <c r="G6" s="26" t="s">
        <v>13</v>
      </c>
      <c r="H6" s="2" t="s">
        <v>14</v>
      </c>
    </row>
    <row r="7" spans="1:8" ht="17.25" customHeight="1">
      <c r="A7" s="7">
        <v>878</v>
      </c>
      <c r="B7" s="8"/>
      <c r="C7" s="8"/>
      <c r="D7" s="8" t="s">
        <v>65</v>
      </c>
      <c r="E7" s="8" t="s">
        <v>16</v>
      </c>
      <c r="F7" s="13">
        <v>1087</v>
      </c>
      <c r="G7" s="26" t="s">
        <v>13</v>
      </c>
      <c r="H7" s="2" t="s">
        <v>14</v>
      </c>
    </row>
    <row r="8" spans="1:8">
      <c r="E8" s="23" t="s">
        <v>22</v>
      </c>
      <c r="F8" s="25">
        <f>SUM(F4:F7)</f>
        <v>4515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H115"/>
  <sheetViews>
    <sheetView topLeftCell="A6" workbookViewId="0">
      <selection activeCell="H4" sqref="H4:H114"/>
    </sheetView>
  </sheetViews>
  <sheetFormatPr defaultColWidth="9.140625" defaultRowHeight="15"/>
  <cols>
    <col min="1" max="2" width="9.28515625" customWidth="1"/>
    <col min="3" max="3" width="9.5703125" customWidth="1"/>
    <col min="4" max="4" width="16.7109375" customWidth="1"/>
    <col min="5" max="5" width="12.4257812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39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7">
        <v>900</v>
      </c>
      <c r="B4" s="7">
        <v>1</v>
      </c>
      <c r="C4" s="8" t="s">
        <v>68</v>
      </c>
      <c r="D4" s="8" t="s">
        <v>69</v>
      </c>
      <c r="E4" s="8" t="s">
        <v>16</v>
      </c>
      <c r="F4" s="10">
        <v>100</v>
      </c>
      <c r="G4" s="43" t="s">
        <v>70</v>
      </c>
      <c r="H4" s="2" t="s">
        <v>14</v>
      </c>
    </row>
    <row r="5" spans="1:8" ht="17.25" customHeight="1">
      <c r="A5" s="7">
        <v>900</v>
      </c>
      <c r="B5" s="7">
        <v>1</v>
      </c>
      <c r="C5" s="8" t="s">
        <v>71</v>
      </c>
      <c r="D5" s="8" t="s">
        <v>72</v>
      </c>
      <c r="E5" s="8" t="s">
        <v>16</v>
      </c>
      <c r="F5" s="10">
        <v>130</v>
      </c>
      <c r="G5" s="43" t="s">
        <v>70</v>
      </c>
      <c r="H5" s="2" t="s">
        <v>14</v>
      </c>
    </row>
    <row r="6" spans="1:8" ht="17.25" customHeight="1">
      <c r="A6" s="7">
        <v>900</v>
      </c>
      <c r="B6" s="7">
        <v>1</v>
      </c>
      <c r="C6" s="8" t="s">
        <v>73</v>
      </c>
      <c r="D6" s="8" t="s">
        <v>74</v>
      </c>
      <c r="E6" s="8" t="s">
        <v>26</v>
      </c>
      <c r="F6" s="10">
        <v>180</v>
      </c>
      <c r="G6" s="43" t="s">
        <v>70</v>
      </c>
      <c r="H6" s="2" t="s">
        <v>14</v>
      </c>
    </row>
    <row r="7" spans="1:8" ht="17.25" customHeight="1">
      <c r="A7" s="7">
        <v>900</v>
      </c>
      <c r="B7" s="7">
        <v>1</v>
      </c>
      <c r="C7" s="8">
        <v>113</v>
      </c>
      <c r="D7" s="8" t="s">
        <v>74</v>
      </c>
      <c r="E7" s="8" t="s">
        <v>26</v>
      </c>
      <c r="F7" s="10">
        <v>200</v>
      </c>
      <c r="G7" s="43" t="s">
        <v>70</v>
      </c>
      <c r="H7" s="2" t="s">
        <v>14</v>
      </c>
    </row>
    <row r="8" spans="1:8" ht="17.25" customHeight="1">
      <c r="A8" s="7">
        <v>900</v>
      </c>
      <c r="B8" s="7">
        <v>1</v>
      </c>
      <c r="C8" s="8">
        <v>114</v>
      </c>
      <c r="D8" s="8" t="s">
        <v>74</v>
      </c>
      <c r="E8" s="8" t="s">
        <v>26</v>
      </c>
      <c r="F8" s="10">
        <v>160</v>
      </c>
      <c r="G8" s="43" t="s">
        <v>70</v>
      </c>
      <c r="H8" s="2" t="s">
        <v>14</v>
      </c>
    </row>
    <row r="9" spans="1:8" ht="17.25" customHeight="1">
      <c r="A9" s="7">
        <v>900</v>
      </c>
      <c r="B9" s="7">
        <v>1</v>
      </c>
      <c r="C9" s="8">
        <v>115</v>
      </c>
      <c r="D9" s="8" t="s">
        <v>74</v>
      </c>
      <c r="E9" s="8" t="s">
        <v>26</v>
      </c>
      <c r="F9" s="10">
        <v>280</v>
      </c>
      <c r="G9" s="43" t="s">
        <v>70</v>
      </c>
      <c r="H9" s="2" t="s">
        <v>14</v>
      </c>
    </row>
    <row r="10" spans="1:8" ht="17.25" customHeight="1">
      <c r="A10" s="7">
        <v>900</v>
      </c>
      <c r="B10" s="7">
        <v>1</v>
      </c>
      <c r="C10" s="8" t="s">
        <v>43</v>
      </c>
      <c r="D10" s="8" t="s">
        <v>75</v>
      </c>
      <c r="E10" s="8" t="s">
        <v>26</v>
      </c>
      <c r="F10" s="10">
        <v>65</v>
      </c>
      <c r="G10" s="43" t="s">
        <v>70</v>
      </c>
      <c r="H10" s="2" t="s">
        <v>14</v>
      </c>
    </row>
    <row r="11" spans="1:8" ht="17.25" customHeight="1">
      <c r="A11" s="7">
        <v>900</v>
      </c>
      <c r="B11" s="7">
        <v>1</v>
      </c>
      <c r="C11" s="8" t="s">
        <v>76</v>
      </c>
      <c r="D11" s="8" t="s">
        <v>24</v>
      </c>
      <c r="E11" s="8" t="s">
        <v>16</v>
      </c>
      <c r="F11" s="10">
        <v>201</v>
      </c>
      <c r="G11" s="43" t="s">
        <v>70</v>
      </c>
      <c r="H11" s="2" t="s">
        <v>14</v>
      </c>
    </row>
    <row r="12" spans="1:8" ht="17.25" customHeight="1">
      <c r="A12" s="7">
        <v>900</v>
      </c>
      <c r="B12" s="7">
        <v>1</v>
      </c>
      <c r="C12" s="8" t="s">
        <v>77</v>
      </c>
      <c r="D12" s="8" t="s">
        <v>24</v>
      </c>
      <c r="E12" s="8" t="s">
        <v>16</v>
      </c>
      <c r="F12" s="10">
        <v>123</v>
      </c>
      <c r="G12" s="43" t="s">
        <v>70</v>
      </c>
      <c r="H12" s="2" t="s">
        <v>14</v>
      </c>
    </row>
    <row r="13" spans="1:8" ht="17.25" customHeight="1">
      <c r="A13" s="7">
        <v>900</v>
      </c>
      <c r="B13" s="7">
        <v>1</v>
      </c>
      <c r="C13" s="8" t="s">
        <v>78</v>
      </c>
      <c r="D13" s="8" t="s">
        <v>79</v>
      </c>
      <c r="E13" s="8" t="s">
        <v>16</v>
      </c>
      <c r="F13" s="10">
        <v>145</v>
      </c>
      <c r="G13" s="43" t="s">
        <v>70</v>
      </c>
      <c r="H13" s="2" t="s">
        <v>14</v>
      </c>
    </row>
    <row r="14" spans="1:8" ht="17.25" customHeight="1">
      <c r="A14" s="7">
        <v>900</v>
      </c>
      <c r="B14" s="7">
        <v>1</v>
      </c>
      <c r="C14" s="8" t="s">
        <v>80</v>
      </c>
      <c r="D14" s="8" t="s">
        <v>69</v>
      </c>
      <c r="E14" s="8" t="s">
        <v>16</v>
      </c>
      <c r="F14" s="10">
        <v>70</v>
      </c>
      <c r="G14" s="43" t="s">
        <v>70</v>
      </c>
      <c r="H14" s="2" t="s">
        <v>14</v>
      </c>
    </row>
    <row r="15" spans="1:8" ht="17.25" customHeight="1">
      <c r="A15" s="7">
        <v>900</v>
      </c>
      <c r="B15" s="7">
        <v>1</v>
      </c>
      <c r="C15" s="8" t="s">
        <v>81</v>
      </c>
      <c r="D15" s="8" t="s">
        <v>69</v>
      </c>
      <c r="E15" s="8" t="s">
        <v>16</v>
      </c>
      <c r="F15" s="10">
        <v>140</v>
      </c>
      <c r="G15" s="43" t="s">
        <v>70</v>
      </c>
      <c r="H15" s="2" t="s">
        <v>14</v>
      </c>
    </row>
    <row r="16" spans="1:8" ht="17.25" customHeight="1">
      <c r="A16" s="7">
        <v>900</v>
      </c>
      <c r="B16" s="7">
        <v>1</v>
      </c>
      <c r="C16" s="8">
        <v>112</v>
      </c>
      <c r="D16" s="8" t="s">
        <v>82</v>
      </c>
      <c r="E16" s="8" t="s">
        <v>26</v>
      </c>
      <c r="F16" s="10">
        <v>570</v>
      </c>
      <c r="G16" s="43" t="s">
        <v>70</v>
      </c>
      <c r="H16" s="2" t="s">
        <v>14</v>
      </c>
    </row>
    <row r="17" spans="1:8" ht="17.25" customHeight="1">
      <c r="A17" s="7">
        <v>900</v>
      </c>
      <c r="B17" s="7">
        <v>1</v>
      </c>
      <c r="C17" s="8" t="s">
        <v>83</v>
      </c>
      <c r="D17" s="8" t="s">
        <v>74</v>
      </c>
      <c r="E17" s="8" t="s">
        <v>26</v>
      </c>
      <c r="F17" s="10">
        <v>90</v>
      </c>
      <c r="G17" s="43" t="s">
        <v>70</v>
      </c>
      <c r="H17" s="2" t="s">
        <v>14</v>
      </c>
    </row>
    <row r="18" spans="1:8" ht="17.25" customHeight="1">
      <c r="A18" s="7">
        <v>900</v>
      </c>
      <c r="B18" s="7">
        <v>1</v>
      </c>
      <c r="C18" s="8" t="s">
        <v>84</v>
      </c>
      <c r="D18" s="8" t="s">
        <v>74</v>
      </c>
      <c r="E18" s="8" t="s">
        <v>26</v>
      </c>
      <c r="F18" s="10">
        <v>95</v>
      </c>
      <c r="G18" s="43" t="s">
        <v>70</v>
      </c>
      <c r="H18" s="2" t="s">
        <v>14</v>
      </c>
    </row>
    <row r="19" spans="1:8" ht="17.25" customHeight="1">
      <c r="A19" s="7">
        <v>900</v>
      </c>
      <c r="B19" s="7">
        <v>1</v>
      </c>
      <c r="C19" s="8" t="s">
        <v>85</v>
      </c>
      <c r="D19" s="8" t="s">
        <v>75</v>
      </c>
      <c r="E19" s="8" t="s">
        <v>26</v>
      </c>
      <c r="F19" s="10">
        <v>280</v>
      </c>
      <c r="G19" s="43" t="s">
        <v>70</v>
      </c>
      <c r="H19" s="2" t="s">
        <v>14</v>
      </c>
    </row>
    <row r="20" spans="1:8" ht="17.25" customHeight="1">
      <c r="A20" s="7">
        <v>900</v>
      </c>
      <c r="B20" s="7">
        <v>1</v>
      </c>
      <c r="C20" s="8" t="s">
        <v>86</v>
      </c>
      <c r="D20" s="8" t="s">
        <v>69</v>
      </c>
      <c r="E20" s="8" t="s">
        <v>16</v>
      </c>
      <c r="F20" s="10">
        <v>100</v>
      </c>
      <c r="G20" s="43" t="s">
        <v>70</v>
      </c>
      <c r="H20" s="2" t="s">
        <v>14</v>
      </c>
    </row>
    <row r="21" spans="1:8" ht="17.25" customHeight="1">
      <c r="A21" s="7">
        <v>900</v>
      </c>
      <c r="B21" s="7">
        <v>1</v>
      </c>
      <c r="C21" s="8">
        <v>100</v>
      </c>
      <c r="D21" s="8" t="s">
        <v>27</v>
      </c>
      <c r="E21" s="8" t="s">
        <v>16</v>
      </c>
      <c r="F21" s="10">
        <v>1407</v>
      </c>
      <c r="G21" s="43" t="s">
        <v>70</v>
      </c>
      <c r="H21" s="2" t="s">
        <v>14</v>
      </c>
    </row>
    <row r="22" spans="1:8" ht="17.25" customHeight="1">
      <c r="A22" s="40">
        <v>900</v>
      </c>
      <c r="B22" s="40">
        <v>1</v>
      </c>
      <c r="C22" s="41" t="s">
        <v>87</v>
      </c>
      <c r="D22" s="41" t="s">
        <v>27</v>
      </c>
      <c r="E22" s="41" t="s">
        <v>16</v>
      </c>
      <c r="F22" s="42">
        <v>104</v>
      </c>
      <c r="G22" s="43" t="s">
        <v>70</v>
      </c>
      <c r="H22" s="2" t="s">
        <v>14</v>
      </c>
    </row>
    <row r="23" spans="1:8" ht="17.25" customHeight="1">
      <c r="A23" s="37">
        <v>900</v>
      </c>
      <c r="B23" s="37">
        <v>1</v>
      </c>
      <c r="C23" s="38">
        <v>102</v>
      </c>
      <c r="D23" s="38" t="s">
        <v>24</v>
      </c>
      <c r="E23" s="38" t="s">
        <v>16</v>
      </c>
      <c r="F23" s="39">
        <v>119</v>
      </c>
      <c r="G23" s="43" t="s">
        <v>70</v>
      </c>
      <c r="H23" s="2" t="s">
        <v>14</v>
      </c>
    </row>
    <row r="24" spans="1:8" ht="17.25" customHeight="1">
      <c r="A24" s="37">
        <v>900</v>
      </c>
      <c r="B24" s="37">
        <v>1</v>
      </c>
      <c r="C24" s="38">
        <v>103</v>
      </c>
      <c r="D24" s="38" t="s">
        <v>24</v>
      </c>
      <c r="E24" s="38" t="s">
        <v>16</v>
      </c>
      <c r="F24" s="39">
        <v>110</v>
      </c>
      <c r="G24" s="43" t="s">
        <v>70</v>
      </c>
      <c r="H24" s="2" t="s">
        <v>14</v>
      </c>
    </row>
    <row r="25" spans="1:8" ht="17.25" customHeight="1">
      <c r="A25" s="7">
        <v>900</v>
      </c>
      <c r="B25" s="7">
        <v>1</v>
      </c>
      <c r="C25" s="8" t="s">
        <v>88</v>
      </c>
      <c r="D25" s="8" t="s">
        <v>75</v>
      </c>
      <c r="E25" s="8" t="s">
        <v>26</v>
      </c>
      <c r="F25" s="10">
        <v>190</v>
      </c>
      <c r="G25" s="43" t="s">
        <v>70</v>
      </c>
      <c r="H25" s="2" t="s">
        <v>14</v>
      </c>
    </row>
    <row r="26" spans="1:8" ht="17.25" customHeight="1">
      <c r="A26" s="7">
        <v>900</v>
      </c>
      <c r="B26" s="7">
        <v>1</v>
      </c>
      <c r="C26" s="8" t="s">
        <v>89</v>
      </c>
      <c r="D26" s="8" t="s">
        <v>75</v>
      </c>
      <c r="E26" s="8" t="s">
        <v>26</v>
      </c>
      <c r="F26" s="10">
        <v>230</v>
      </c>
      <c r="G26" s="43" t="s">
        <v>70</v>
      </c>
      <c r="H26" s="2" t="s">
        <v>14</v>
      </c>
    </row>
    <row r="27" spans="1:8" ht="17.25" customHeight="1">
      <c r="A27" s="7">
        <v>900</v>
      </c>
      <c r="B27" s="7">
        <v>1</v>
      </c>
      <c r="C27" s="8" t="s">
        <v>90</v>
      </c>
      <c r="D27" s="8" t="s">
        <v>75</v>
      </c>
      <c r="E27" s="8" t="s">
        <v>26</v>
      </c>
      <c r="F27" s="10">
        <v>190</v>
      </c>
      <c r="G27" s="43" t="s">
        <v>70</v>
      </c>
      <c r="H27" s="2" t="s">
        <v>14</v>
      </c>
    </row>
    <row r="28" spans="1:8" ht="17.25" customHeight="1">
      <c r="A28" s="7">
        <v>900</v>
      </c>
      <c r="B28" s="7">
        <v>1</v>
      </c>
      <c r="C28" s="8" t="s">
        <v>91</v>
      </c>
      <c r="D28" s="8" t="s">
        <v>82</v>
      </c>
      <c r="E28" s="8" t="s">
        <v>26</v>
      </c>
      <c r="F28" s="10">
        <v>770</v>
      </c>
      <c r="G28" s="43" t="s">
        <v>70</v>
      </c>
      <c r="H28" s="2" t="s">
        <v>14</v>
      </c>
    </row>
    <row r="29" spans="1:8" ht="17.25" customHeight="1">
      <c r="A29" s="7">
        <v>900</v>
      </c>
      <c r="B29" s="7">
        <v>1</v>
      </c>
      <c r="C29" s="8" t="s">
        <v>92</v>
      </c>
      <c r="D29" s="8" t="s">
        <v>75</v>
      </c>
      <c r="E29" s="8" t="s">
        <v>26</v>
      </c>
      <c r="F29" s="10">
        <v>340</v>
      </c>
      <c r="G29" s="43" t="s">
        <v>70</v>
      </c>
      <c r="H29" s="2" t="s">
        <v>14</v>
      </c>
    </row>
    <row r="30" spans="1:8" ht="17.25" customHeight="1">
      <c r="A30" s="7">
        <v>900</v>
      </c>
      <c r="B30" s="7">
        <v>1</v>
      </c>
      <c r="C30" s="8" t="s">
        <v>93</v>
      </c>
      <c r="D30" s="8" t="s">
        <v>82</v>
      </c>
      <c r="E30" s="8" t="s">
        <v>26</v>
      </c>
      <c r="F30" s="10">
        <v>500</v>
      </c>
      <c r="G30" s="43" t="s">
        <v>70</v>
      </c>
      <c r="H30" s="2" t="s">
        <v>14</v>
      </c>
    </row>
    <row r="31" spans="1:8" ht="17.25" customHeight="1">
      <c r="A31" s="7">
        <v>900</v>
      </c>
      <c r="B31" s="7">
        <v>1</v>
      </c>
      <c r="C31" s="8">
        <v>119</v>
      </c>
      <c r="D31" s="8" t="s">
        <v>94</v>
      </c>
      <c r="E31" s="8" t="s">
        <v>26</v>
      </c>
      <c r="F31" s="10">
        <v>650</v>
      </c>
      <c r="G31" s="43" t="s">
        <v>70</v>
      </c>
      <c r="H31" s="2" t="s">
        <v>14</v>
      </c>
    </row>
    <row r="32" spans="1:8" ht="17.25" customHeight="1">
      <c r="A32" s="7">
        <v>900</v>
      </c>
      <c r="B32" s="7">
        <v>1</v>
      </c>
      <c r="C32" s="8" t="s">
        <v>95</v>
      </c>
      <c r="D32" s="8" t="s">
        <v>82</v>
      </c>
      <c r="E32" s="8" t="s">
        <v>26</v>
      </c>
      <c r="F32" s="10">
        <v>1427</v>
      </c>
      <c r="G32" s="43" t="s">
        <v>70</v>
      </c>
      <c r="H32" s="2" t="s">
        <v>14</v>
      </c>
    </row>
    <row r="33" spans="1:8" ht="17.25" customHeight="1">
      <c r="A33" s="7">
        <v>900</v>
      </c>
      <c r="B33" s="7">
        <v>1</v>
      </c>
      <c r="C33" s="8">
        <v>108</v>
      </c>
      <c r="D33" s="8" t="s">
        <v>74</v>
      </c>
      <c r="E33" s="8" t="s">
        <v>26</v>
      </c>
      <c r="F33" s="10">
        <v>200</v>
      </c>
      <c r="G33" s="43" t="s">
        <v>70</v>
      </c>
      <c r="H33" s="2" t="s">
        <v>14</v>
      </c>
    </row>
    <row r="34" spans="1:8" ht="17.25" customHeight="1">
      <c r="A34" s="7">
        <v>900</v>
      </c>
      <c r="B34" s="7">
        <v>1</v>
      </c>
      <c r="C34" s="8">
        <v>109</v>
      </c>
      <c r="D34" s="8" t="s">
        <v>82</v>
      </c>
      <c r="E34" s="8" t="s">
        <v>26</v>
      </c>
      <c r="F34" s="10">
        <v>550</v>
      </c>
      <c r="G34" s="43" t="s">
        <v>70</v>
      </c>
      <c r="H34" s="2" t="s">
        <v>14</v>
      </c>
    </row>
    <row r="35" spans="1:8" ht="17.25" customHeight="1">
      <c r="A35" s="7">
        <v>900</v>
      </c>
      <c r="B35" s="7">
        <v>1</v>
      </c>
      <c r="C35" s="8">
        <v>110</v>
      </c>
      <c r="D35" s="8" t="s">
        <v>74</v>
      </c>
      <c r="E35" s="8" t="s">
        <v>26</v>
      </c>
      <c r="F35" s="10">
        <v>720</v>
      </c>
      <c r="G35" s="43" t="s">
        <v>70</v>
      </c>
      <c r="H35" s="2" t="s">
        <v>14</v>
      </c>
    </row>
    <row r="36" spans="1:8" ht="17.25" customHeight="1">
      <c r="A36" s="7">
        <v>900</v>
      </c>
      <c r="B36" s="7">
        <v>1</v>
      </c>
      <c r="C36" s="8" t="s">
        <v>96</v>
      </c>
      <c r="D36" s="8" t="s">
        <v>69</v>
      </c>
      <c r="E36" s="8" t="s">
        <v>16</v>
      </c>
      <c r="F36" s="10">
        <v>68</v>
      </c>
      <c r="G36" s="43" t="s">
        <v>70</v>
      </c>
      <c r="H36" s="2" t="s">
        <v>14</v>
      </c>
    </row>
    <row r="37" spans="1:8" ht="17.25" customHeight="1">
      <c r="A37" s="7">
        <v>900</v>
      </c>
      <c r="B37" s="7">
        <v>1</v>
      </c>
      <c r="C37" s="8" t="s">
        <v>97</v>
      </c>
      <c r="D37" s="8" t="s">
        <v>75</v>
      </c>
      <c r="E37" s="8" t="s">
        <v>26</v>
      </c>
      <c r="F37" s="10">
        <v>360</v>
      </c>
      <c r="G37" s="43" t="s">
        <v>70</v>
      </c>
      <c r="H37" s="2" t="s">
        <v>14</v>
      </c>
    </row>
    <row r="38" spans="1:8" ht="17.25" customHeight="1">
      <c r="A38" s="7">
        <v>900</v>
      </c>
      <c r="B38" s="7">
        <v>1</v>
      </c>
      <c r="C38" s="8" t="s">
        <v>98</v>
      </c>
      <c r="D38" s="8" t="s">
        <v>75</v>
      </c>
      <c r="E38" s="8" t="s">
        <v>26</v>
      </c>
      <c r="F38" s="10">
        <v>400</v>
      </c>
      <c r="G38" s="43" t="s">
        <v>70</v>
      </c>
      <c r="H38" s="2" t="s">
        <v>14</v>
      </c>
    </row>
    <row r="39" spans="1:8" ht="17.25" customHeight="1">
      <c r="A39" s="7">
        <v>900</v>
      </c>
      <c r="B39" s="7">
        <v>1</v>
      </c>
      <c r="C39" s="8">
        <v>129</v>
      </c>
      <c r="D39" s="8" t="s">
        <v>74</v>
      </c>
      <c r="E39" s="8" t="s">
        <v>26</v>
      </c>
      <c r="F39" s="10">
        <v>840</v>
      </c>
      <c r="G39" s="43" t="s">
        <v>70</v>
      </c>
      <c r="H39" s="2" t="s">
        <v>14</v>
      </c>
    </row>
    <row r="40" spans="1:8" ht="17.25" customHeight="1">
      <c r="A40" s="7">
        <v>900</v>
      </c>
      <c r="B40" s="7">
        <v>1</v>
      </c>
      <c r="C40" s="8" t="s">
        <v>99</v>
      </c>
      <c r="D40" s="8" t="s">
        <v>74</v>
      </c>
      <c r="E40" s="8" t="s">
        <v>26</v>
      </c>
      <c r="F40" s="10">
        <v>40</v>
      </c>
      <c r="G40" s="43" t="s">
        <v>70</v>
      </c>
      <c r="H40" s="2" t="s">
        <v>14</v>
      </c>
    </row>
    <row r="41" spans="1:8" ht="17.25" customHeight="1">
      <c r="A41" s="7">
        <v>900</v>
      </c>
      <c r="B41" s="7">
        <v>1</v>
      </c>
      <c r="C41" s="8">
        <v>128</v>
      </c>
      <c r="D41" s="8" t="s">
        <v>74</v>
      </c>
      <c r="E41" s="8" t="s">
        <v>26</v>
      </c>
      <c r="F41" s="10">
        <v>560</v>
      </c>
      <c r="G41" s="43" t="s">
        <v>70</v>
      </c>
      <c r="H41" s="2" t="s">
        <v>14</v>
      </c>
    </row>
    <row r="42" spans="1:8" ht="17.25" customHeight="1">
      <c r="A42" s="7">
        <v>900</v>
      </c>
      <c r="B42" s="7">
        <v>1</v>
      </c>
      <c r="C42" s="8" t="s">
        <v>100</v>
      </c>
      <c r="D42" s="8" t="s">
        <v>74</v>
      </c>
      <c r="E42" s="8" t="s">
        <v>26</v>
      </c>
      <c r="F42" s="10">
        <v>40</v>
      </c>
      <c r="G42" s="43" t="s">
        <v>70</v>
      </c>
      <c r="H42" s="2" t="s">
        <v>14</v>
      </c>
    </row>
    <row r="43" spans="1:8" ht="17.25" customHeight="1">
      <c r="A43" s="7">
        <v>900</v>
      </c>
      <c r="B43" s="7">
        <v>1</v>
      </c>
      <c r="C43" s="8" t="s">
        <v>101</v>
      </c>
      <c r="D43" s="8" t="s">
        <v>74</v>
      </c>
      <c r="E43" s="8" t="s">
        <v>26</v>
      </c>
      <c r="F43" s="10">
        <v>170</v>
      </c>
      <c r="G43" s="43" t="s">
        <v>70</v>
      </c>
      <c r="H43" s="2" t="s">
        <v>14</v>
      </c>
    </row>
    <row r="44" spans="1:8" ht="17.25" customHeight="1">
      <c r="A44" s="7">
        <v>900</v>
      </c>
      <c r="B44" s="7">
        <v>1</v>
      </c>
      <c r="C44" s="8">
        <v>126</v>
      </c>
      <c r="D44" s="8" t="s">
        <v>94</v>
      </c>
      <c r="E44" s="8" t="s">
        <v>26</v>
      </c>
      <c r="F44" s="10">
        <v>1500</v>
      </c>
      <c r="G44" s="43" t="s">
        <v>70</v>
      </c>
      <c r="H44" s="2" t="s">
        <v>14</v>
      </c>
    </row>
    <row r="45" spans="1:8" ht="17.25" customHeight="1">
      <c r="A45" s="37">
        <v>900</v>
      </c>
      <c r="B45" s="37">
        <v>1</v>
      </c>
      <c r="C45" s="38" t="s">
        <v>102</v>
      </c>
      <c r="D45" s="38" t="s">
        <v>24</v>
      </c>
      <c r="E45" s="38" t="s">
        <v>16</v>
      </c>
      <c r="F45" s="39">
        <v>186</v>
      </c>
      <c r="G45" s="43" t="s">
        <v>70</v>
      </c>
      <c r="H45" s="2" t="s">
        <v>14</v>
      </c>
    </row>
    <row r="46" spans="1:8" ht="17.25" customHeight="1">
      <c r="A46" s="37">
        <v>900</v>
      </c>
      <c r="B46" s="37">
        <v>1</v>
      </c>
      <c r="C46" s="38" t="s">
        <v>103</v>
      </c>
      <c r="D46" s="38" t="s">
        <v>24</v>
      </c>
      <c r="E46" s="38" t="s">
        <v>16</v>
      </c>
      <c r="F46" s="39">
        <v>37</v>
      </c>
      <c r="G46" s="43" t="s">
        <v>70</v>
      </c>
      <c r="H46" s="2" t="s">
        <v>14</v>
      </c>
    </row>
    <row r="47" spans="1:8" ht="17.25" customHeight="1">
      <c r="A47" s="37">
        <v>900</v>
      </c>
      <c r="B47" s="37">
        <v>1</v>
      </c>
      <c r="C47" s="38" t="s">
        <v>104</v>
      </c>
      <c r="D47" s="38" t="s">
        <v>24</v>
      </c>
      <c r="E47" s="38" t="s">
        <v>16</v>
      </c>
      <c r="F47" s="39">
        <v>17</v>
      </c>
      <c r="G47" s="43" t="s">
        <v>70</v>
      </c>
      <c r="H47" s="2" t="s">
        <v>14</v>
      </c>
    </row>
    <row r="48" spans="1:8" ht="17.25" customHeight="1">
      <c r="A48" s="7">
        <v>900</v>
      </c>
      <c r="B48" s="7">
        <v>2</v>
      </c>
      <c r="C48" s="8" t="s">
        <v>105</v>
      </c>
      <c r="D48" s="8" t="s">
        <v>69</v>
      </c>
      <c r="E48" s="8" t="s">
        <v>16</v>
      </c>
      <c r="F48" s="10">
        <v>40</v>
      </c>
      <c r="G48" s="43" t="s">
        <v>70</v>
      </c>
      <c r="H48" s="2" t="s">
        <v>14</v>
      </c>
    </row>
    <row r="49" spans="1:8" ht="17.25" customHeight="1">
      <c r="A49" s="7">
        <v>900</v>
      </c>
      <c r="B49" s="7">
        <v>2</v>
      </c>
      <c r="C49" s="8">
        <v>234</v>
      </c>
      <c r="D49" s="8" t="s">
        <v>74</v>
      </c>
      <c r="E49" s="8" t="s">
        <v>26</v>
      </c>
      <c r="F49" s="10">
        <v>405</v>
      </c>
      <c r="G49" s="43" t="s">
        <v>70</v>
      </c>
      <c r="H49" s="2" t="s">
        <v>14</v>
      </c>
    </row>
    <row r="50" spans="1:8" ht="17.25" customHeight="1">
      <c r="A50" s="7">
        <v>900</v>
      </c>
      <c r="B50" s="7">
        <v>2</v>
      </c>
      <c r="C50" s="8" t="s">
        <v>106</v>
      </c>
      <c r="D50" s="8" t="s">
        <v>74</v>
      </c>
      <c r="E50" s="8" t="s">
        <v>26</v>
      </c>
      <c r="F50" s="10">
        <v>227</v>
      </c>
      <c r="G50" s="43" t="s">
        <v>70</v>
      </c>
      <c r="H50" s="2" t="s">
        <v>14</v>
      </c>
    </row>
    <row r="51" spans="1:8" ht="17.25" customHeight="1">
      <c r="A51" s="7">
        <v>900</v>
      </c>
      <c r="B51" s="7">
        <v>2</v>
      </c>
      <c r="C51" s="8">
        <v>235</v>
      </c>
      <c r="D51" s="8" t="s">
        <v>74</v>
      </c>
      <c r="E51" s="8" t="s">
        <v>26</v>
      </c>
      <c r="F51" s="10">
        <v>318</v>
      </c>
      <c r="G51" s="43" t="s">
        <v>70</v>
      </c>
      <c r="H51" s="2" t="s">
        <v>14</v>
      </c>
    </row>
    <row r="52" spans="1:8" ht="17.25" customHeight="1">
      <c r="A52" s="7">
        <v>900</v>
      </c>
      <c r="B52" s="7">
        <v>2</v>
      </c>
      <c r="C52" s="8" t="s">
        <v>107</v>
      </c>
      <c r="D52" s="8" t="s">
        <v>108</v>
      </c>
      <c r="E52" s="8" t="s">
        <v>16</v>
      </c>
      <c r="F52" s="10">
        <v>170</v>
      </c>
      <c r="G52" s="43" t="s">
        <v>70</v>
      </c>
      <c r="H52" s="2" t="s">
        <v>14</v>
      </c>
    </row>
    <row r="53" spans="1:8" ht="17.25" customHeight="1">
      <c r="A53" s="7">
        <v>900</v>
      </c>
      <c r="B53" s="7">
        <v>2</v>
      </c>
      <c r="C53" s="8">
        <v>236</v>
      </c>
      <c r="D53" s="8" t="s">
        <v>74</v>
      </c>
      <c r="E53" s="8" t="s">
        <v>26</v>
      </c>
      <c r="F53" s="10">
        <v>95</v>
      </c>
      <c r="G53" s="43" t="s">
        <v>70</v>
      </c>
      <c r="H53" s="2" t="s">
        <v>14</v>
      </c>
    </row>
    <row r="54" spans="1:8" ht="17.25" customHeight="1">
      <c r="A54" s="7">
        <v>900</v>
      </c>
      <c r="B54" s="7">
        <v>2</v>
      </c>
      <c r="C54" s="8" t="s">
        <v>109</v>
      </c>
      <c r="D54" s="8" t="s">
        <v>69</v>
      </c>
      <c r="E54" s="8" t="s">
        <v>16</v>
      </c>
      <c r="F54" s="10">
        <v>70</v>
      </c>
      <c r="G54" s="43" t="s">
        <v>70</v>
      </c>
      <c r="H54" s="2" t="s">
        <v>14</v>
      </c>
    </row>
    <row r="55" spans="1:8" ht="17.25" customHeight="1">
      <c r="A55" s="7">
        <v>900</v>
      </c>
      <c r="B55" s="7">
        <v>2</v>
      </c>
      <c r="C55" s="8" t="s">
        <v>110</v>
      </c>
      <c r="D55" s="8" t="s">
        <v>75</v>
      </c>
      <c r="E55" s="8" t="s">
        <v>26</v>
      </c>
      <c r="F55" s="10">
        <v>288</v>
      </c>
      <c r="G55" s="43" t="s">
        <v>70</v>
      </c>
      <c r="H55" s="2" t="s">
        <v>14</v>
      </c>
    </row>
    <row r="56" spans="1:8" ht="17.25" customHeight="1">
      <c r="A56" s="7">
        <v>900</v>
      </c>
      <c r="B56" s="7">
        <v>2</v>
      </c>
      <c r="C56" s="8">
        <v>233</v>
      </c>
      <c r="D56" s="8" t="s">
        <v>74</v>
      </c>
      <c r="E56" s="8" t="s">
        <v>26</v>
      </c>
      <c r="F56" s="10">
        <v>99</v>
      </c>
      <c r="G56" s="43" t="s">
        <v>70</v>
      </c>
      <c r="H56" s="2" t="s">
        <v>14</v>
      </c>
    </row>
    <row r="57" spans="1:8" ht="17.25" customHeight="1">
      <c r="A57" s="7">
        <v>900</v>
      </c>
      <c r="B57" s="7">
        <v>2</v>
      </c>
      <c r="C57" s="8">
        <v>232</v>
      </c>
      <c r="D57" s="8" t="s">
        <v>74</v>
      </c>
      <c r="E57" s="8" t="s">
        <v>26</v>
      </c>
      <c r="F57" s="10">
        <v>92</v>
      </c>
      <c r="G57" s="43" t="s">
        <v>70</v>
      </c>
      <c r="H57" s="2" t="s">
        <v>14</v>
      </c>
    </row>
    <row r="58" spans="1:8" ht="17.25" customHeight="1">
      <c r="A58" s="7">
        <v>900</v>
      </c>
      <c r="B58" s="7">
        <v>2</v>
      </c>
      <c r="C58" s="8">
        <v>231</v>
      </c>
      <c r="D58" s="8" t="s">
        <v>74</v>
      </c>
      <c r="E58" s="8" t="s">
        <v>26</v>
      </c>
      <c r="F58" s="10">
        <v>1151</v>
      </c>
      <c r="G58" s="43" t="s">
        <v>70</v>
      </c>
      <c r="H58" s="2" t="s">
        <v>14</v>
      </c>
    </row>
    <row r="59" spans="1:8" ht="17.25" customHeight="1">
      <c r="A59" s="7">
        <v>900</v>
      </c>
      <c r="B59" s="7">
        <v>2</v>
      </c>
      <c r="C59" s="8" t="s">
        <v>111</v>
      </c>
      <c r="D59" s="8" t="s">
        <v>74</v>
      </c>
      <c r="E59" s="8" t="s">
        <v>26</v>
      </c>
      <c r="F59" s="10">
        <v>100</v>
      </c>
      <c r="G59" s="43" t="s">
        <v>70</v>
      </c>
      <c r="H59" s="2" t="s">
        <v>14</v>
      </c>
    </row>
    <row r="60" spans="1:8" ht="17.25" customHeight="1">
      <c r="A60" s="7">
        <v>900</v>
      </c>
      <c r="B60" s="7">
        <v>2</v>
      </c>
      <c r="C60" s="8" t="s">
        <v>112</v>
      </c>
      <c r="D60" s="8" t="s">
        <v>24</v>
      </c>
      <c r="E60" s="8" t="s">
        <v>16</v>
      </c>
      <c r="F60" s="10">
        <v>155</v>
      </c>
      <c r="G60" s="43" t="s">
        <v>70</v>
      </c>
      <c r="H60" s="2" t="s">
        <v>14</v>
      </c>
    </row>
    <row r="61" spans="1:8" ht="17.25" customHeight="1">
      <c r="A61" s="7">
        <v>900</v>
      </c>
      <c r="B61" s="7">
        <v>2</v>
      </c>
      <c r="C61" s="8" t="s">
        <v>113</v>
      </c>
      <c r="D61" s="8" t="s">
        <v>24</v>
      </c>
      <c r="E61" s="8" t="s">
        <v>16</v>
      </c>
      <c r="F61" s="10">
        <v>174</v>
      </c>
      <c r="G61" s="43" t="s">
        <v>70</v>
      </c>
      <c r="H61" s="2" t="s">
        <v>14</v>
      </c>
    </row>
    <row r="62" spans="1:8" ht="17.25" customHeight="1">
      <c r="A62" s="7">
        <v>900</v>
      </c>
      <c r="B62" s="7">
        <v>2</v>
      </c>
      <c r="C62" s="8" t="s">
        <v>114</v>
      </c>
      <c r="D62" s="8" t="s">
        <v>27</v>
      </c>
      <c r="E62" s="8" t="s">
        <v>16</v>
      </c>
      <c r="F62" s="10">
        <v>100</v>
      </c>
      <c r="G62" s="43" t="s">
        <v>70</v>
      </c>
      <c r="H62" s="2" t="s">
        <v>14</v>
      </c>
    </row>
    <row r="63" spans="1:8" ht="17.25" customHeight="1">
      <c r="A63" s="7">
        <v>900</v>
      </c>
      <c r="B63" s="7">
        <v>2</v>
      </c>
      <c r="C63" s="8">
        <v>239</v>
      </c>
      <c r="D63" s="8" t="s">
        <v>74</v>
      </c>
      <c r="E63" s="8" t="s">
        <v>26</v>
      </c>
      <c r="F63" s="10">
        <v>128</v>
      </c>
      <c r="G63" s="43" t="s">
        <v>70</v>
      </c>
      <c r="H63" s="2" t="s">
        <v>14</v>
      </c>
    </row>
    <row r="64" spans="1:8" ht="17.25" customHeight="1">
      <c r="A64" s="7">
        <v>900</v>
      </c>
      <c r="B64" s="7">
        <v>2</v>
      </c>
      <c r="C64" s="8">
        <v>240</v>
      </c>
      <c r="D64" s="8" t="s">
        <v>74</v>
      </c>
      <c r="E64" s="8" t="s">
        <v>26</v>
      </c>
      <c r="F64" s="10">
        <v>130</v>
      </c>
      <c r="G64" s="43" t="s">
        <v>70</v>
      </c>
      <c r="H64" s="2" t="s">
        <v>14</v>
      </c>
    </row>
    <row r="65" spans="1:8" ht="17.25" customHeight="1">
      <c r="A65" s="7">
        <v>900</v>
      </c>
      <c r="B65" s="7">
        <v>2</v>
      </c>
      <c r="C65" s="8">
        <v>241</v>
      </c>
      <c r="D65" s="8" t="s">
        <v>74</v>
      </c>
      <c r="E65" s="8" t="s">
        <v>26</v>
      </c>
      <c r="F65" s="10">
        <v>86</v>
      </c>
      <c r="G65" s="43" t="s">
        <v>70</v>
      </c>
      <c r="H65" s="2" t="s">
        <v>14</v>
      </c>
    </row>
    <row r="66" spans="1:8" ht="17.25" customHeight="1">
      <c r="A66" s="7">
        <v>900</v>
      </c>
      <c r="B66" s="7">
        <v>2</v>
      </c>
      <c r="C66" s="8">
        <v>242</v>
      </c>
      <c r="D66" s="8" t="s">
        <v>74</v>
      </c>
      <c r="E66" s="8" t="s">
        <v>26</v>
      </c>
      <c r="F66" s="10">
        <v>106</v>
      </c>
      <c r="G66" s="43" t="s">
        <v>70</v>
      </c>
      <c r="H66" s="2" t="s">
        <v>14</v>
      </c>
    </row>
    <row r="67" spans="1:8" ht="17.25" customHeight="1">
      <c r="A67" s="7">
        <v>900</v>
      </c>
      <c r="B67" s="7">
        <v>2</v>
      </c>
      <c r="C67" s="8">
        <v>243</v>
      </c>
      <c r="D67" s="8" t="s">
        <v>74</v>
      </c>
      <c r="E67" s="8" t="s">
        <v>26</v>
      </c>
      <c r="F67" s="10">
        <v>106</v>
      </c>
      <c r="G67" s="43" t="s">
        <v>70</v>
      </c>
      <c r="H67" s="2" t="s">
        <v>14</v>
      </c>
    </row>
    <row r="68" spans="1:8" ht="17.25" customHeight="1">
      <c r="A68" s="7">
        <v>900</v>
      </c>
      <c r="B68" s="7">
        <v>2</v>
      </c>
      <c r="C68" s="8" t="s">
        <v>115</v>
      </c>
      <c r="D68" s="8" t="s">
        <v>75</v>
      </c>
      <c r="E68" s="8" t="s">
        <v>26</v>
      </c>
      <c r="F68" s="10">
        <v>557</v>
      </c>
      <c r="G68" s="43" t="s">
        <v>70</v>
      </c>
      <c r="H68" s="2" t="s">
        <v>14</v>
      </c>
    </row>
    <row r="69" spans="1:8" ht="17.25" customHeight="1">
      <c r="A69" s="7">
        <v>900</v>
      </c>
      <c r="B69" s="7">
        <v>2</v>
      </c>
      <c r="C69" s="8">
        <v>245</v>
      </c>
      <c r="D69" s="8" t="s">
        <v>74</v>
      </c>
      <c r="E69" s="8" t="s">
        <v>26</v>
      </c>
      <c r="F69" s="10">
        <v>122</v>
      </c>
      <c r="G69" s="43" t="s">
        <v>70</v>
      </c>
      <c r="H69" s="2" t="s">
        <v>14</v>
      </c>
    </row>
    <row r="70" spans="1:8" ht="17.25" customHeight="1">
      <c r="A70" s="7">
        <v>900</v>
      </c>
      <c r="B70" s="7">
        <v>2</v>
      </c>
      <c r="C70" s="8">
        <v>220</v>
      </c>
      <c r="D70" s="8" t="s">
        <v>74</v>
      </c>
      <c r="E70" s="8" t="s">
        <v>26</v>
      </c>
      <c r="F70" s="10">
        <v>151</v>
      </c>
      <c r="G70" s="43" t="s">
        <v>70</v>
      </c>
      <c r="H70" s="2" t="s">
        <v>14</v>
      </c>
    </row>
    <row r="71" spans="1:8" ht="17.25" customHeight="1">
      <c r="A71" s="7">
        <v>900</v>
      </c>
      <c r="B71" s="7">
        <v>2</v>
      </c>
      <c r="C71" s="8">
        <v>221</v>
      </c>
      <c r="D71" s="8" t="s">
        <v>74</v>
      </c>
      <c r="E71" s="8" t="s">
        <v>26</v>
      </c>
      <c r="F71" s="10">
        <v>401</v>
      </c>
      <c r="G71" s="43" t="s">
        <v>70</v>
      </c>
      <c r="H71" s="2" t="s">
        <v>14</v>
      </c>
    </row>
    <row r="72" spans="1:8" ht="17.25" customHeight="1">
      <c r="A72" s="7">
        <v>900</v>
      </c>
      <c r="B72" s="7">
        <v>2</v>
      </c>
      <c r="C72" s="8">
        <v>224</v>
      </c>
      <c r="D72" s="8" t="s">
        <v>94</v>
      </c>
      <c r="E72" s="8" t="s">
        <v>26</v>
      </c>
      <c r="F72" s="10">
        <v>515</v>
      </c>
      <c r="G72" s="43" t="s">
        <v>70</v>
      </c>
      <c r="H72" s="2" t="s">
        <v>14</v>
      </c>
    </row>
    <row r="73" spans="1:8" ht="17.25" customHeight="1">
      <c r="A73" s="7">
        <v>900</v>
      </c>
      <c r="B73" s="7">
        <v>2</v>
      </c>
      <c r="C73" s="8">
        <v>236</v>
      </c>
      <c r="D73" s="8" t="s">
        <v>74</v>
      </c>
      <c r="E73" s="8" t="s">
        <v>26</v>
      </c>
      <c r="F73" s="10">
        <v>53</v>
      </c>
      <c r="G73" s="43" t="s">
        <v>70</v>
      </c>
      <c r="H73" s="2" t="s">
        <v>14</v>
      </c>
    </row>
    <row r="74" spans="1:8" ht="17.25" customHeight="1">
      <c r="A74" s="7">
        <v>900</v>
      </c>
      <c r="B74" s="7">
        <v>2</v>
      </c>
      <c r="C74" s="8">
        <v>225</v>
      </c>
      <c r="D74" s="8" t="s">
        <v>74</v>
      </c>
      <c r="E74" s="8" t="s">
        <v>26</v>
      </c>
      <c r="F74" s="10">
        <v>96</v>
      </c>
      <c r="G74" s="43" t="s">
        <v>70</v>
      </c>
      <c r="H74" s="2" t="s">
        <v>14</v>
      </c>
    </row>
    <row r="75" spans="1:8" ht="17.25" customHeight="1">
      <c r="A75" s="7">
        <v>900</v>
      </c>
      <c r="B75" s="7">
        <v>2</v>
      </c>
      <c r="C75" s="8" t="s">
        <v>116</v>
      </c>
      <c r="D75" s="8" t="s">
        <v>74</v>
      </c>
      <c r="E75" s="8" t="s">
        <v>26</v>
      </c>
      <c r="F75" s="10">
        <v>100</v>
      </c>
      <c r="G75" s="43" t="s">
        <v>70</v>
      </c>
      <c r="H75" s="2" t="s">
        <v>14</v>
      </c>
    </row>
    <row r="76" spans="1:8" ht="17.25" customHeight="1">
      <c r="A76" s="7">
        <v>900</v>
      </c>
      <c r="B76" s="7">
        <v>2</v>
      </c>
      <c r="C76" s="8">
        <v>226</v>
      </c>
      <c r="D76" s="8" t="s">
        <v>74</v>
      </c>
      <c r="E76" s="8" t="s">
        <v>26</v>
      </c>
      <c r="F76" s="10">
        <v>100</v>
      </c>
      <c r="G76" s="43" t="s">
        <v>70</v>
      </c>
      <c r="H76" s="2" t="s">
        <v>14</v>
      </c>
    </row>
    <row r="77" spans="1:8" ht="17.25" customHeight="1">
      <c r="A77" s="7">
        <v>900</v>
      </c>
      <c r="B77" s="7">
        <v>2</v>
      </c>
      <c r="C77" s="8" t="s">
        <v>117</v>
      </c>
      <c r="D77" s="8" t="s">
        <v>74</v>
      </c>
      <c r="E77" s="8" t="s">
        <v>26</v>
      </c>
      <c r="F77" s="10">
        <v>100</v>
      </c>
      <c r="G77" s="43" t="s">
        <v>70</v>
      </c>
      <c r="H77" s="2" t="s">
        <v>14</v>
      </c>
    </row>
    <row r="78" spans="1:8" ht="17.25" customHeight="1">
      <c r="A78" s="7">
        <v>900</v>
      </c>
      <c r="B78" s="7">
        <v>2</v>
      </c>
      <c r="C78" s="8">
        <v>223</v>
      </c>
      <c r="D78" s="8" t="s">
        <v>74</v>
      </c>
      <c r="E78" s="8" t="s">
        <v>26</v>
      </c>
      <c r="F78" s="10">
        <v>155</v>
      </c>
      <c r="G78" s="43" t="s">
        <v>70</v>
      </c>
      <c r="H78" s="2" t="s">
        <v>14</v>
      </c>
    </row>
    <row r="79" spans="1:8" ht="17.25" customHeight="1">
      <c r="A79" s="7">
        <v>900</v>
      </c>
      <c r="B79" s="7">
        <v>2</v>
      </c>
      <c r="C79" s="8" t="s">
        <v>118</v>
      </c>
      <c r="D79" s="8" t="s">
        <v>75</v>
      </c>
      <c r="E79" s="8" t="s">
        <v>26</v>
      </c>
      <c r="F79" s="10">
        <v>688</v>
      </c>
      <c r="G79" s="43" t="s">
        <v>70</v>
      </c>
      <c r="H79" s="2" t="s">
        <v>14</v>
      </c>
    </row>
    <row r="80" spans="1:8" ht="17.25" customHeight="1">
      <c r="A80" s="7">
        <v>900</v>
      </c>
      <c r="B80" s="7">
        <v>2</v>
      </c>
      <c r="C80" s="8">
        <v>222</v>
      </c>
      <c r="D80" s="8" t="s">
        <v>74</v>
      </c>
      <c r="E80" s="8" t="s">
        <v>26</v>
      </c>
      <c r="F80" s="10">
        <v>155</v>
      </c>
      <c r="G80" s="43" t="s">
        <v>70</v>
      </c>
      <c r="H80" s="2" t="s">
        <v>14</v>
      </c>
    </row>
    <row r="81" spans="1:8" ht="17.25" customHeight="1">
      <c r="A81" s="7">
        <v>900</v>
      </c>
      <c r="B81" s="7">
        <v>2</v>
      </c>
      <c r="C81" s="8">
        <v>219</v>
      </c>
      <c r="D81" s="8" t="s">
        <v>74</v>
      </c>
      <c r="E81" s="8" t="s">
        <v>26</v>
      </c>
      <c r="F81" s="10">
        <v>148</v>
      </c>
      <c r="G81" s="43" t="s">
        <v>70</v>
      </c>
      <c r="H81" s="2" t="s">
        <v>14</v>
      </c>
    </row>
    <row r="82" spans="1:8" ht="17.25" customHeight="1">
      <c r="A82" s="7">
        <v>900</v>
      </c>
      <c r="B82" s="7">
        <v>2</v>
      </c>
      <c r="C82" s="8" t="s">
        <v>119</v>
      </c>
      <c r="D82" s="8" t="s">
        <v>75</v>
      </c>
      <c r="E82" s="8" t="s">
        <v>26</v>
      </c>
      <c r="F82" s="10">
        <v>193</v>
      </c>
      <c r="G82" s="43" t="s">
        <v>70</v>
      </c>
      <c r="H82" s="2" t="s">
        <v>14</v>
      </c>
    </row>
    <row r="83" spans="1:8" ht="17.25" customHeight="1">
      <c r="A83" s="7">
        <v>900</v>
      </c>
      <c r="B83" s="7">
        <v>2</v>
      </c>
      <c r="C83" s="8" t="s">
        <v>120</v>
      </c>
      <c r="D83" s="8" t="s">
        <v>69</v>
      </c>
      <c r="E83" s="8" t="s">
        <v>16</v>
      </c>
      <c r="F83" s="10">
        <v>63</v>
      </c>
      <c r="G83" s="43" t="s">
        <v>70</v>
      </c>
      <c r="H83" s="2" t="s">
        <v>14</v>
      </c>
    </row>
    <row r="84" spans="1:8" ht="17.25" customHeight="1">
      <c r="A84" s="7">
        <v>900</v>
      </c>
      <c r="B84" s="7">
        <v>2</v>
      </c>
      <c r="C84" s="8">
        <v>200</v>
      </c>
      <c r="D84" s="8" t="s">
        <v>74</v>
      </c>
      <c r="E84" s="8" t="s">
        <v>26</v>
      </c>
      <c r="F84" s="10">
        <v>146</v>
      </c>
      <c r="G84" s="43" t="s">
        <v>70</v>
      </c>
      <c r="H84" s="2" t="s">
        <v>14</v>
      </c>
    </row>
    <row r="85" spans="1:8" ht="17.25" customHeight="1">
      <c r="A85" s="7">
        <v>900</v>
      </c>
      <c r="B85" s="7">
        <v>2</v>
      </c>
      <c r="C85" s="8" t="s">
        <v>121</v>
      </c>
      <c r="D85" s="8" t="s">
        <v>74</v>
      </c>
      <c r="E85" s="8" t="s">
        <v>26</v>
      </c>
      <c r="F85" s="10">
        <v>30</v>
      </c>
      <c r="G85" s="43" t="s">
        <v>70</v>
      </c>
      <c r="H85" s="2" t="s">
        <v>14</v>
      </c>
    </row>
    <row r="86" spans="1:8" ht="17.25" customHeight="1">
      <c r="A86" s="7">
        <v>900</v>
      </c>
      <c r="B86" s="7">
        <v>2</v>
      </c>
      <c r="C86" s="8">
        <v>201</v>
      </c>
      <c r="D86" s="8" t="s">
        <v>94</v>
      </c>
      <c r="E86" s="8" t="s">
        <v>26</v>
      </c>
      <c r="F86" s="10">
        <v>345</v>
      </c>
      <c r="G86" s="43" t="s">
        <v>70</v>
      </c>
      <c r="H86" s="2" t="s">
        <v>14</v>
      </c>
    </row>
    <row r="87" spans="1:8" ht="17.25" customHeight="1">
      <c r="A87" s="7">
        <v>900</v>
      </c>
      <c r="B87" s="7">
        <v>2</v>
      </c>
      <c r="C87" s="8">
        <v>203</v>
      </c>
      <c r="D87" s="8" t="s">
        <v>74</v>
      </c>
      <c r="E87" s="8" t="s">
        <v>26</v>
      </c>
      <c r="F87" s="10">
        <v>218</v>
      </c>
      <c r="G87" s="43" t="s">
        <v>70</v>
      </c>
      <c r="H87" s="2" t="s">
        <v>14</v>
      </c>
    </row>
    <row r="88" spans="1:8" ht="17.25" customHeight="1">
      <c r="A88" s="7">
        <v>900</v>
      </c>
      <c r="B88" s="7">
        <v>2</v>
      </c>
      <c r="C88" s="8" t="s">
        <v>122</v>
      </c>
      <c r="D88" s="8" t="s">
        <v>74</v>
      </c>
      <c r="E88" s="8" t="s">
        <v>26</v>
      </c>
      <c r="F88" s="10">
        <v>137</v>
      </c>
      <c r="G88" s="43" t="s">
        <v>70</v>
      </c>
      <c r="H88" s="2" t="s">
        <v>14</v>
      </c>
    </row>
    <row r="89" spans="1:8" ht="17.25" customHeight="1">
      <c r="A89" s="7">
        <v>900</v>
      </c>
      <c r="B89" s="7">
        <v>2</v>
      </c>
      <c r="C89" s="8" t="s">
        <v>123</v>
      </c>
      <c r="D89" s="8" t="s">
        <v>74</v>
      </c>
      <c r="E89" s="8" t="s">
        <v>26</v>
      </c>
      <c r="F89" s="10">
        <v>181</v>
      </c>
      <c r="G89" s="43" t="s">
        <v>70</v>
      </c>
      <c r="H89" s="2" t="s">
        <v>14</v>
      </c>
    </row>
    <row r="90" spans="1:8" ht="17.25" customHeight="1">
      <c r="A90" s="7">
        <v>900</v>
      </c>
      <c r="B90" s="7">
        <v>2</v>
      </c>
      <c r="C90" s="8" t="s">
        <v>124</v>
      </c>
      <c r="D90" s="8" t="s">
        <v>69</v>
      </c>
      <c r="E90" s="8" t="s">
        <v>16</v>
      </c>
      <c r="F90" s="10">
        <v>70</v>
      </c>
      <c r="G90" s="43" t="s">
        <v>70</v>
      </c>
      <c r="H90" s="2" t="s">
        <v>14</v>
      </c>
    </row>
    <row r="91" spans="1:8" ht="17.25" customHeight="1">
      <c r="A91" s="7">
        <v>900</v>
      </c>
      <c r="B91" s="7">
        <v>2</v>
      </c>
      <c r="C91" s="8">
        <v>204</v>
      </c>
      <c r="D91" s="8" t="s">
        <v>82</v>
      </c>
      <c r="E91" s="8" t="s">
        <v>26</v>
      </c>
      <c r="F91" s="10">
        <v>370</v>
      </c>
      <c r="G91" s="43" t="s">
        <v>70</v>
      </c>
      <c r="H91" s="2" t="s">
        <v>14</v>
      </c>
    </row>
    <row r="92" spans="1:8" ht="17.25" customHeight="1">
      <c r="A92" s="7">
        <v>900</v>
      </c>
      <c r="B92" s="7">
        <v>2</v>
      </c>
      <c r="C92" s="8" t="s">
        <v>125</v>
      </c>
      <c r="D92" s="8" t="s">
        <v>74</v>
      </c>
      <c r="E92" s="8" t="s">
        <v>26</v>
      </c>
      <c r="F92" s="10">
        <v>146</v>
      </c>
      <c r="G92" s="43" t="s">
        <v>70</v>
      </c>
      <c r="H92" s="2" t="s">
        <v>14</v>
      </c>
    </row>
    <row r="93" spans="1:8" ht="17.25" customHeight="1">
      <c r="A93" s="7">
        <v>900</v>
      </c>
      <c r="B93" s="7">
        <v>2</v>
      </c>
      <c r="C93" s="8" t="s">
        <v>126</v>
      </c>
      <c r="D93" s="8" t="s">
        <v>74</v>
      </c>
      <c r="E93" s="8" t="s">
        <v>26</v>
      </c>
      <c r="F93" s="10">
        <v>113</v>
      </c>
      <c r="G93" s="43" t="s">
        <v>70</v>
      </c>
      <c r="H93" s="2" t="s">
        <v>14</v>
      </c>
    </row>
    <row r="94" spans="1:8" ht="17.25" customHeight="1">
      <c r="A94" s="7">
        <v>900</v>
      </c>
      <c r="B94" s="7">
        <v>2</v>
      </c>
      <c r="C94" s="8">
        <v>205</v>
      </c>
      <c r="D94" s="8" t="s">
        <v>74</v>
      </c>
      <c r="E94" s="8" t="s">
        <v>26</v>
      </c>
      <c r="F94" s="10">
        <v>1000</v>
      </c>
      <c r="G94" s="43" t="s">
        <v>70</v>
      </c>
      <c r="H94" s="2" t="s">
        <v>14</v>
      </c>
    </row>
    <row r="95" spans="1:8" ht="17.25" customHeight="1">
      <c r="A95" s="7">
        <v>900</v>
      </c>
      <c r="B95" s="7">
        <v>2</v>
      </c>
      <c r="C95" s="8" t="s">
        <v>127</v>
      </c>
      <c r="D95" s="8" t="s">
        <v>74</v>
      </c>
      <c r="E95" s="8" t="s">
        <v>26</v>
      </c>
      <c r="F95" s="10">
        <v>113</v>
      </c>
      <c r="G95" s="43" t="s">
        <v>70</v>
      </c>
      <c r="H95" s="2" t="s">
        <v>14</v>
      </c>
    </row>
    <row r="96" spans="1:8" ht="17.25" customHeight="1">
      <c r="A96" s="7">
        <v>900</v>
      </c>
      <c r="B96" s="7">
        <v>2</v>
      </c>
      <c r="C96" s="8">
        <v>206</v>
      </c>
      <c r="D96" s="8" t="s">
        <v>74</v>
      </c>
      <c r="E96" s="8" t="s">
        <v>26</v>
      </c>
      <c r="F96" s="10">
        <v>96</v>
      </c>
      <c r="G96" s="43" t="s">
        <v>70</v>
      </c>
      <c r="H96" s="2" t="s">
        <v>14</v>
      </c>
    </row>
    <row r="97" spans="1:8" ht="17.25" customHeight="1">
      <c r="A97" s="7">
        <v>900</v>
      </c>
      <c r="B97" s="7">
        <v>2</v>
      </c>
      <c r="C97" s="8">
        <v>207</v>
      </c>
      <c r="D97" s="8" t="s">
        <v>74</v>
      </c>
      <c r="E97" s="8" t="s">
        <v>26</v>
      </c>
      <c r="F97" s="10">
        <v>135</v>
      </c>
      <c r="G97" s="43" t="s">
        <v>70</v>
      </c>
      <c r="H97" s="2" t="s">
        <v>14</v>
      </c>
    </row>
    <row r="98" spans="1:8" ht="17.25" customHeight="1">
      <c r="A98" s="7">
        <v>900</v>
      </c>
      <c r="B98" s="7">
        <v>2</v>
      </c>
      <c r="C98" s="8">
        <v>208</v>
      </c>
      <c r="D98" s="8" t="s">
        <v>74</v>
      </c>
      <c r="E98" s="8" t="s">
        <v>26</v>
      </c>
      <c r="F98" s="10">
        <v>376</v>
      </c>
      <c r="G98" s="43" t="s">
        <v>70</v>
      </c>
      <c r="H98" s="2" t="s">
        <v>14</v>
      </c>
    </row>
    <row r="99" spans="1:8" ht="17.25" customHeight="1">
      <c r="A99" s="7">
        <v>900</v>
      </c>
      <c r="B99" s="7">
        <v>2</v>
      </c>
      <c r="C99" s="8" t="s">
        <v>128</v>
      </c>
      <c r="D99" s="8" t="s">
        <v>74</v>
      </c>
      <c r="E99" s="8" t="s">
        <v>26</v>
      </c>
      <c r="F99" s="10">
        <v>114</v>
      </c>
      <c r="G99" s="43" t="s">
        <v>70</v>
      </c>
      <c r="H99" s="2" t="s">
        <v>14</v>
      </c>
    </row>
    <row r="100" spans="1:8" ht="17.25" customHeight="1">
      <c r="A100" s="7">
        <v>900</v>
      </c>
      <c r="B100" s="7">
        <v>2</v>
      </c>
      <c r="C100" s="8" t="s">
        <v>129</v>
      </c>
      <c r="D100" s="8" t="s">
        <v>74</v>
      </c>
      <c r="E100" s="8" t="s">
        <v>26</v>
      </c>
      <c r="F100" s="10">
        <v>90</v>
      </c>
      <c r="G100" s="43" t="s">
        <v>70</v>
      </c>
      <c r="H100" s="2" t="s">
        <v>14</v>
      </c>
    </row>
    <row r="101" spans="1:8" ht="17.25" customHeight="1">
      <c r="A101" s="7">
        <v>900</v>
      </c>
      <c r="B101" s="7">
        <v>2</v>
      </c>
      <c r="C101" s="8">
        <v>209</v>
      </c>
      <c r="D101" s="8" t="s">
        <v>74</v>
      </c>
      <c r="E101" s="8" t="s">
        <v>26</v>
      </c>
      <c r="F101" s="10">
        <v>427</v>
      </c>
      <c r="G101" s="43" t="s">
        <v>70</v>
      </c>
      <c r="H101" s="2" t="s">
        <v>14</v>
      </c>
    </row>
    <row r="102" spans="1:8" ht="17.25" customHeight="1">
      <c r="A102" s="7">
        <v>900</v>
      </c>
      <c r="B102" s="7">
        <v>2</v>
      </c>
      <c r="C102" s="8">
        <v>210</v>
      </c>
      <c r="D102" s="8" t="s">
        <v>74</v>
      </c>
      <c r="E102" s="8" t="s">
        <v>26</v>
      </c>
      <c r="F102" s="10">
        <v>685</v>
      </c>
      <c r="G102" s="43" t="s">
        <v>70</v>
      </c>
      <c r="H102" s="2" t="s">
        <v>14</v>
      </c>
    </row>
    <row r="103" spans="1:8" ht="17.25" customHeight="1">
      <c r="A103" s="7">
        <v>900</v>
      </c>
      <c r="B103" s="7">
        <v>2</v>
      </c>
      <c r="C103" s="8" t="s">
        <v>130</v>
      </c>
      <c r="D103" s="8" t="s">
        <v>74</v>
      </c>
      <c r="E103" s="8" t="s">
        <v>26</v>
      </c>
      <c r="F103" s="10">
        <v>202</v>
      </c>
      <c r="G103" s="43" t="s">
        <v>70</v>
      </c>
      <c r="H103" s="2" t="s">
        <v>14</v>
      </c>
    </row>
    <row r="104" spans="1:8" ht="17.25" customHeight="1">
      <c r="A104" s="7">
        <v>900</v>
      </c>
      <c r="B104" s="7">
        <v>2</v>
      </c>
      <c r="C104" s="8">
        <v>211</v>
      </c>
      <c r="D104" s="8" t="s">
        <v>24</v>
      </c>
      <c r="E104" s="8" t="s">
        <v>16</v>
      </c>
      <c r="F104" s="10">
        <v>58</v>
      </c>
      <c r="G104" s="43" t="s">
        <v>70</v>
      </c>
      <c r="H104" s="2" t="s">
        <v>14</v>
      </c>
    </row>
    <row r="105" spans="1:8" ht="17.25" customHeight="1">
      <c r="A105" s="7">
        <v>900</v>
      </c>
      <c r="B105" s="7">
        <v>2</v>
      </c>
      <c r="C105" s="8">
        <v>212</v>
      </c>
      <c r="D105" s="8" t="s">
        <v>24</v>
      </c>
      <c r="E105" s="8" t="s">
        <v>16</v>
      </c>
      <c r="F105" s="10">
        <v>58</v>
      </c>
      <c r="G105" s="43" t="s">
        <v>70</v>
      </c>
      <c r="H105" s="2" t="s">
        <v>14</v>
      </c>
    </row>
    <row r="106" spans="1:8" ht="17.25" customHeight="1">
      <c r="A106" s="7">
        <v>900</v>
      </c>
      <c r="B106" s="7">
        <v>2</v>
      </c>
      <c r="C106" s="8" t="s">
        <v>131</v>
      </c>
      <c r="D106" s="8" t="s">
        <v>75</v>
      </c>
      <c r="E106" s="8" t="s">
        <v>26</v>
      </c>
      <c r="F106" s="10">
        <v>265</v>
      </c>
      <c r="G106" s="43" t="s">
        <v>70</v>
      </c>
      <c r="H106" s="2" t="s">
        <v>14</v>
      </c>
    </row>
    <row r="107" spans="1:8" ht="17.25" customHeight="1">
      <c r="A107" s="7">
        <v>900</v>
      </c>
      <c r="B107" s="7">
        <v>2</v>
      </c>
      <c r="C107" s="8">
        <v>213</v>
      </c>
      <c r="D107" s="8" t="s">
        <v>74</v>
      </c>
      <c r="E107" s="8" t="s">
        <v>26</v>
      </c>
      <c r="F107" s="10">
        <v>180</v>
      </c>
      <c r="G107" s="43" t="s">
        <v>70</v>
      </c>
      <c r="H107" s="2" t="s">
        <v>14</v>
      </c>
    </row>
    <row r="108" spans="1:8" ht="17.25" customHeight="1">
      <c r="A108" s="7">
        <v>900</v>
      </c>
      <c r="B108" s="7">
        <v>2</v>
      </c>
      <c r="C108" s="8">
        <v>214</v>
      </c>
      <c r="D108" s="8" t="s">
        <v>74</v>
      </c>
      <c r="E108" s="8" t="s">
        <v>26</v>
      </c>
      <c r="F108" s="10">
        <v>180</v>
      </c>
      <c r="G108" s="43" t="s">
        <v>70</v>
      </c>
      <c r="H108" s="2" t="s">
        <v>14</v>
      </c>
    </row>
    <row r="109" spans="1:8" ht="17.25" customHeight="1">
      <c r="A109" s="7">
        <v>900</v>
      </c>
      <c r="B109" s="7">
        <v>2</v>
      </c>
      <c r="C109" s="8">
        <v>215</v>
      </c>
      <c r="D109" s="8" t="s">
        <v>74</v>
      </c>
      <c r="E109" s="8" t="s">
        <v>26</v>
      </c>
      <c r="F109" s="10">
        <v>170</v>
      </c>
      <c r="G109" s="43" t="s">
        <v>70</v>
      </c>
      <c r="H109" s="2" t="s">
        <v>14</v>
      </c>
    </row>
    <row r="110" spans="1:8" ht="17.25" customHeight="1">
      <c r="A110" s="7">
        <v>900</v>
      </c>
      <c r="B110" s="7">
        <v>2</v>
      </c>
      <c r="C110" s="8" t="s">
        <v>132</v>
      </c>
      <c r="D110" s="8" t="s">
        <v>69</v>
      </c>
      <c r="E110" s="8" t="s">
        <v>16</v>
      </c>
      <c r="F110" s="10">
        <v>50</v>
      </c>
      <c r="G110" s="43" t="s">
        <v>70</v>
      </c>
      <c r="H110" s="2" t="s">
        <v>14</v>
      </c>
    </row>
    <row r="111" spans="1:8" ht="17.25" customHeight="1">
      <c r="A111" s="7">
        <v>900</v>
      </c>
      <c r="B111" s="7">
        <v>2</v>
      </c>
      <c r="C111" s="8">
        <v>217</v>
      </c>
      <c r="D111" s="8" t="s">
        <v>74</v>
      </c>
      <c r="E111" s="8" t="s">
        <v>26</v>
      </c>
      <c r="F111" s="10">
        <v>114</v>
      </c>
      <c r="G111" s="43" t="s">
        <v>70</v>
      </c>
      <c r="H111" s="2" t="s">
        <v>14</v>
      </c>
    </row>
    <row r="112" spans="1:8" ht="17.25" customHeight="1">
      <c r="A112" s="7">
        <v>900</v>
      </c>
      <c r="B112" s="7">
        <v>2</v>
      </c>
      <c r="C112" s="8">
        <v>246</v>
      </c>
      <c r="D112" s="8" t="s">
        <v>74</v>
      </c>
      <c r="E112" s="8" t="s">
        <v>26</v>
      </c>
      <c r="F112" s="10">
        <v>2626</v>
      </c>
      <c r="G112" s="43" t="s">
        <v>70</v>
      </c>
      <c r="H112" s="2" t="s">
        <v>14</v>
      </c>
    </row>
    <row r="113" spans="1:8" ht="17.25" customHeight="1">
      <c r="A113" s="7">
        <v>900</v>
      </c>
      <c r="B113" s="7">
        <v>2</v>
      </c>
      <c r="C113" s="8" t="s">
        <v>133</v>
      </c>
      <c r="D113" s="8" t="s">
        <v>74</v>
      </c>
      <c r="E113" s="8" t="s">
        <v>26</v>
      </c>
      <c r="F113" s="10">
        <v>125</v>
      </c>
      <c r="G113" s="43" t="s">
        <v>70</v>
      </c>
      <c r="H113" s="2" t="s">
        <v>14</v>
      </c>
    </row>
    <row r="114" spans="1:8" ht="17.25" customHeight="1">
      <c r="A114" s="7">
        <v>900</v>
      </c>
      <c r="B114" s="7">
        <v>2</v>
      </c>
      <c r="C114" s="8" t="s">
        <v>134</v>
      </c>
      <c r="D114" s="8" t="s">
        <v>74</v>
      </c>
      <c r="E114" s="8" t="s">
        <v>26</v>
      </c>
      <c r="F114" s="10">
        <v>121</v>
      </c>
      <c r="G114" s="43" t="s">
        <v>70</v>
      </c>
      <c r="H114" s="2" t="s">
        <v>14</v>
      </c>
    </row>
    <row r="115" spans="1:8">
      <c r="E115" s="23" t="s">
        <v>22</v>
      </c>
      <c r="F115" s="24">
        <f>SUM(F4:F114)</f>
        <v>31232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8"/>
  <sheetViews>
    <sheetView workbookViewId="0">
      <selection activeCell="H4" sqref="H4:H7"/>
    </sheetView>
  </sheetViews>
  <sheetFormatPr defaultColWidth="9.140625" defaultRowHeight="15"/>
  <cols>
    <col min="1" max="2" width="9.28515625" customWidth="1"/>
    <col min="3" max="3" width="9.5703125" customWidth="1"/>
    <col min="4" max="4" width="16.28515625" customWidth="1"/>
    <col min="5" max="5" width="14.570312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20">
        <v>1660</v>
      </c>
      <c r="B4" s="8"/>
      <c r="C4" s="8"/>
      <c r="D4" s="8" t="s">
        <v>11</v>
      </c>
      <c r="E4" s="8" t="s">
        <v>135</v>
      </c>
      <c r="F4" s="13">
        <v>6269</v>
      </c>
      <c r="G4" s="26" t="s">
        <v>13</v>
      </c>
      <c r="H4" s="2" t="s">
        <v>14</v>
      </c>
    </row>
    <row r="5" spans="1:8" ht="17.25" customHeight="1">
      <c r="A5" s="20">
        <v>1660</v>
      </c>
      <c r="B5" s="8"/>
      <c r="C5" s="8"/>
      <c r="D5" s="8" t="s">
        <v>11</v>
      </c>
      <c r="E5" s="8" t="s">
        <v>136</v>
      </c>
      <c r="F5" s="13">
        <v>1600</v>
      </c>
      <c r="G5" s="26" t="s">
        <v>13</v>
      </c>
      <c r="H5" s="2" t="s">
        <v>14</v>
      </c>
    </row>
    <row r="6" spans="1:8" ht="17.25" customHeight="1">
      <c r="A6" s="20">
        <v>1660</v>
      </c>
      <c r="B6" s="8"/>
      <c r="C6" s="8"/>
      <c r="D6" s="8" t="s">
        <v>25</v>
      </c>
      <c r="E6" s="8" t="s">
        <v>26</v>
      </c>
      <c r="F6" s="13">
        <v>1552</v>
      </c>
      <c r="G6" s="26" t="s">
        <v>13</v>
      </c>
      <c r="H6" s="2" t="s">
        <v>14</v>
      </c>
    </row>
    <row r="7" spans="1:8" ht="17.25" customHeight="1">
      <c r="A7" s="20">
        <v>1660</v>
      </c>
      <c r="B7" s="8"/>
      <c r="C7" s="8"/>
      <c r="D7" s="8" t="s">
        <v>21</v>
      </c>
      <c r="E7" s="8" t="s">
        <v>16</v>
      </c>
      <c r="F7" s="13">
        <v>740</v>
      </c>
      <c r="G7" s="26" t="s">
        <v>13</v>
      </c>
      <c r="H7" s="2" t="s">
        <v>14</v>
      </c>
    </row>
    <row r="8" spans="1:8">
      <c r="E8" s="23" t="s">
        <v>22</v>
      </c>
      <c r="F8" s="25">
        <f>SUM(F4:F7)</f>
        <v>10161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"/>
  <sheetViews>
    <sheetView workbookViewId="0">
      <selection activeCell="H4" sqref="H4"/>
    </sheetView>
  </sheetViews>
  <sheetFormatPr defaultColWidth="9.140625" defaultRowHeight="15"/>
  <cols>
    <col min="1" max="2" width="9.28515625" customWidth="1"/>
    <col min="3" max="3" width="9.5703125" customWidth="1"/>
    <col min="4" max="4" width="14.140625" customWidth="1"/>
    <col min="5" max="5" width="11.2851562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20">
        <v>1751</v>
      </c>
      <c r="B4" s="8"/>
      <c r="C4" s="8"/>
      <c r="D4" s="8" t="s">
        <v>21</v>
      </c>
      <c r="E4" s="8" t="s">
        <v>16</v>
      </c>
      <c r="F4" s="10">
        <v>609</v>
      </c>
      <c r="G4" s="26" t="s">
        <v>13</v>
      </c>
      <c r="H4" s="2" t="s">
        <v>14</v>
      </c>
    </row>
    <row r="5" spans="1:8">
      <c r="E5" s="23" t="s">
        <v>22</v>
      </c>
      <c r="F5" s="25">
        <f>SUM(F1:F4)</f>
        <v>609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8"/>
  <sheetViews>
    <sheetView workbookViewId="0">
      <selection activeCell="H4" sqref="H4:H7"/>
    </sheetView>
  </sheetViews>
  <sheetFormatPr defaultColWidth="9.140625" defaultRowHeight="15"/>
  <cols>
    <col min="1" max="2" width="9.28515625" customWidth="1"/>
    <col min="3" max="3" width="9.5703125" customWidth="1"/>
    <col min="4" max="4" width="13.85546875" customWidth="1"/>
    <col min="5" max="5" width="11.2851562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20">
        <v>1779</v>
      </c>
      <c r="B4" s="8"/>
      <c r="C4" s="8"/>
      <c r="D4" s="8" t="s">
        <v>25</v>
      </c>
      <c r="E4" s="8" t="s">
        <v>26</v>
      </c>
      <c r="F4" s="10">
        <v>861</v>
      </c>
      <c r="G4" s="26" t="s">
        <v>13</v>
      </c>
      <c r="H4" s="2" t="s">
        <v>14</v>
      </c>
    </row>
    <row r="5" spans="1:8" ht="17.25" customHeight="1">
      <c r="A5" s="20">
        <v>1779</v>
      </c>
      <c r="B5" s="8"/>
      <c r="C5" s="8"/>
      <c r="D5" s="8" t="s">
        <v>25</v>
      </c>
      <c r="E5" s="8" t="s">
        <v>16</v>
      </c>
      <c r="F5" s="10">
        <v>780</v>
      </c>
      <c r="G5" s="26" t="s">
        <v>13</v>
      </c>
      <c r="H5" s="2" t="s">
        <v>14</v>
      </c>
    </row>
    <row r="6" spans="1:8" ht="17.25" customHeight="1">
      <c r="A6" s="20">
        <v>1779</v>
      </c>
      <c r="B6" s="8"/>
      <c r="C6" s="8"/>
      <c r="D6" s="8" t="s">
        <v>27</v>
      </c>
      <c r="E6" s="8" t="s">
        <v>16</v>
      </c>
      <c r="F6" s="10">
        <v>48</v>
      </c>
      <c r="G6" s="26" t="s">
        <v>13</v>
      </c>
      <c r="H6" s="2" t="s">
        <v>14</v>
      </c>
    </row>
    <row r="7" spans="1:8" ht="17.25" customHeight="1">
      <c r="A7" s="20">
        <v>1779</v>
      </c>
      <c r="B7" s="8"/>
      <c r="C7" s="8"/>
      <c r="D7" s="8" t="s">
        <v>21</v>
      </c>
      <c r="E7" s="8" t="s">
        <v>16</v>
      </c>
      <c r="F7" s="10">
        <v>78</v>
      </c>
      <c r="G7" s="26" t="s">
        <v>13</v>
      </c>
      <c r="H7" s="2" t="s">
        <v>14</v>
      </c>
    </row>
    <row r="8" spans="1:8">
      <c r="E8" s="23" t="s">
        <v>22</v>
      </c>
      <c r="F8" s="25">
        <f>SUM(F4:F7)</f>
        <v>1767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91"/>
  <sheetViews>
    <sheetView workbookViewId="0">
      <selection activeCell="A3" sqref="A3:J3"/>
    </sheetView>
  </sheetViews>
  <sheetFormatPr defaultColWidth="9.140625" defaultRowHeight="15"/>
  <cols>
    <col min="1" max="1" width="11" customWidth="1"/>
    <col min="2" max="2" width="9.28515625" customWidth="1"/>
    <col min="3" max="3" width="10.85546875" customWidth="1"/>
    <col min="4" max="4" width="19.42578125" customWidth="1"/>
    <col min="5" max="5" width="13.140625" customWidth="1"/>
    <col min="6" max="6" width="9.140625" customWidth="1"/>
    <col min="10" max="10" width="9.140625" customWidth="1"/>
  </cols>
  <sheetData>
    <row r="1" spans="1:10" ht="15" customHeight="1">
      <c r="A1" s="48" t="s">
        <v>0</v>
      </c>
      <c r="B1" s="46"/>
      <c r="C1" s="46"/>
      <c r="D1" s="46"/>
      <c r="E1" s="46"/>
      <c r="F1" s="46"/>
      <c r="G1" s="46"/>
      <c r="H1" s="46"/>
      <c r="I1" s="46"/>
      <c r="J1" s="47"/>
    </row>
    <row r="2" spans="1:10" ht="15" customHeight="1">
      <c r="A2" s="49" t="s">
        <v>137</v>
      </c>
      <c r="B2" s="50"/>
      <c r="C2" s="50"/>
      <c r="D2" s="50"/>
      <c r="E2" s="50"/>
      <c r="F2" s="50"/>
      <c r="G2" s="50"/>
      <c r="H2" s="50"/>
      <c r="I2" s="50"/>
      <c r="J2" s="51"/>
    </row>
    <row r="3" spans="1:10" ht="16.5" customHeight="1">
      <c r="A3" s="48" t="s">
        <v>32</v>
      </c>
      <c r="B3" s="46"/>
      <c r="C3" s="46"/>
      <c r="D3" s="46"/>
      <c r="E3" s="46"/>
      <c r="F3" s="46"/>
      <c r="G3" s="46"/>
      <c r="H3" s="46"/>
      <c r="I3" s="46"/>
      <c r="J3" s="47"/>
    </row>
    <row r="4" spans="1:10" ht="47.2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30" t="s">
        <v>7</v>
      </c>
      <c r="G4" s="31" t="s">
        <v>33</v>
      </c>
      <c r="H4" s="17" t="s">
        <v>34</v>
      </c>
      <c r="I4" s="17" t="s">
        <v>35</v>
      </c>
      <c r="J4" s="18" t="s">
        <v>34</v>
      </c>
    </row>
    <row r="5" spans="1:10">
      <c r="A5" s="32">
        <v>1901</v>
      </c>
      <c r="B5" s="4">
        <v>1</v>
      </c>
      <c r="C5" s="27">
        <v>101</v>
      </c>
      <c r="D5" s="27" t="s">
        <v>138</v>
      </c>
      <c r="E5" s="27" t="s">
        <v>16</v>
      </c>
      <c r="F5" s="33">
        <v>68</v>
      </c>
      <c r="G5" s="3">
        <v>0</v>
      </c>
      <c r="H5" s="3">
        <v>0</v>
      </c>
      <c r="I5" s="3">
        <v>0</v>
      </c>
      <c r="J5" s="34">
        <v>0</v>
      </c>
    </row>
    <row r="6" spans="1:10">
      <c r="A6" s="32">
        <v>1901</v>
      </c>
      <c r="B6" s="4">
        <v>1</v>
      </c>
      <c r="C6" s="27" t="s">
        <v>43</v>
      </c>
      <c r="D6" s="27" t="s">
        <v>50</v>
      </c>
      <c r="E6" s="27" t="s">
        <v>16</v>
      </c>
      <c r="F6" s="33">
        <v>2102</v>
      </c>
      <c r="G6" s="3">
        <v>0</v>
      </c>
      <c r="H6" s="3">
        <v>0</v>
      </c>
      <c r="I6" s="3">
        <v>0</v>
      </c>
      <c r="J6" s="34">
        <v>0</v>
      </c>
    </row>
    <row r="7" spans="1:10">
      <c r="A7" s="32">
        <v>1901</v>
      </c>
      <c r="B7" s="4">
        <v>1</v>
      </c>
      <c r="C7" s="27">
        <v>102</v>
      </c>
      <c r="D7" s="27" t="s">
        <v>82</v>
      </c>
      <c r="E7" s="27" t="s">
        <v>16</v>
      </c>
      <c r="F7" s="33">
        <v>244</v>
      </c>
      <c r="G7" s="3">
        <v>0</v>
      </c>
      <c r="H7" s="3">
        <v>0</v>
      </c>
      <c r="I7" s="3">
        <v>0</v>
      </c>
      <c r="J7" s="34">
        <v>0</v>
      </c>
    </row>
    <row r="8" spans="1:10">
      <c r="A8" s="32">
        <v>1901</v>
      </c>
      <c r="B8" s="4">
        <v>1</v>
      </c>
      <c r="C8" s="27">
        <v>103</v>
      </c>
      <c r="D8" s="27" t="s">
        <v>74</v>
      </c>
      <c r="E8" s="27" t="s">
        <v>26</v>
      </c>
      <c r="F8" s="33">
        <v>120</v>
      </c>
      <c r="G8" s="3">
        <v>1</v>
      </c>
      <c r="H8" s="3"/>
      <c r="I8" s="3">
        <v>0</v>
      </c>
      <c r="J8" s="34">
        <v>0</v>
      </c>
    </row>
    <row r="9" spans="1:10">
      <c r="A9" s="32">
        <v>1901</v>
      </c>
      <c r="B9" s="4">
        <v>1</v>
      </c>
      <c r="C9" s="27" t="s">
        <v>139</v>
      </c>
      <c r="D9" s="27" t="s">
        <v>140</v>
      </c>
      <c r="E9" s="27" t="s">
        <v>52</v>
      </c>
      <c r="F9" s="33" t="s">
        <v>53</v>
      </c>
      <c r="G9" s="3"/>
      <c r="H9" s="3"/>
      <c r="I9" s="3"/>
      <c r="J9" s="34"/>
    </row>
    <row r="10" spans="1:10">
      <c r="A10" s="32">
        <v>1901</v>
      </c>
      <c r="B10" s="4">
        <v>1</v>
      </c>
      <c r="C10" s="27" t="s">
        <v>141</v>
      </c>
      <c r="D10" s="27" t="s">
        <v>140</v>
      </c>
      <c r="E10" s="27" t="s">
        <v>52</v>
      </c>
      <c r="F10" s="33" t="s">
        <v>53</v>
      </c>
      <c r="G10" s="3"/>
      <c r="H10" s="3"/>
      <c r="I10" s="3"/>
      <c r="J10" s="34"/>
    </row>
    <row r="11" spans="1:10">
      <c r="A11" s="32">
        <v>1901</v>
      </c>
      <c r="B11" s="4">
        <v>1</v>
      </c>
      <c r="C11" s="27">
        <v>104</v>
      </c>
      <c r="D11" s="27" t="s">
        <v>74</v>
      </c>
      <c r="E11" s="27" t="s">
        <v>26</v>
      </c>
      <c r="F11" s="33">
        <v>99</v>
      </c>
      <c r="G11" s="3">
        <v>1</v>
      </c>
      <c r="H11" s="3"/>
      <c r="I11" s="3">
        <v>0</v>
      </c>
      <c r="J11" s="34">
        <v>0</v>
      </c>
    </row>
    <row r="12" spans="1:10">
      <c r="A12" s="32">
        <v>1901</v>
      </c>
      <c r="B12" s="4">
        <v>1</v>
      </c>
      <c r="C12" s="27">
        <v>105</v>
      </c>
      <c r="D12" s="27" t="s">
        <v>82</v>
      </c>
      <c r="E12" s="27" t="s">
        <v>26</v>
      </c>
      <c r="F12" s="33">
        <v>147</v>
      </c>
      <c r="G12" s="3">
        <v>1</v>
      </c>
      <c r="H12" s="3"/>
      <c r="I12" s="3">
        <v>0</v>
      </c>
      <c r="J12" s="34">
        <v>0</v>
      </c>
    </row>
    <row r="13" spans="1:10">
      <c r="A13" s="32">
        <v>1901</v>
      </c>
      <c r="B13" s="4">
        <v>1</v>
      </c>
      <c r="C13" s="27" t="s">
        <v>142</v>
      </c>
      <c r="D13" s="27" t="s">
        <v>140</v>
      </c>
      <c r="E13" s="27" t="s">
        <v>52</v>
      </c>
      <c r="F13" s="33" t="s">
        <v>53</v>
      </c>
      <c r="G13" s="3"/>
      <c r="H13" s="3"/>
      <c r="I13" s="3"/>
      <c r="J13" s="34"/>
    </row>
    <row r="14" spans="1:10">
      <c r="A14" s="32">
        <v>1901</v>
      </c>
      <c r="B14" s="4">
        <v>1</v>
      </c>
      <c r="C14" s="27">
        <v>106</v>
      </c>
      <c r="D14" s="27" t="s">
        <v>74</v>
      </c>
      <c r="E14" s="27" t="s">
        <v>26</v>
      </c>
      <c r="F14" s="33">
        <v>106</v>
      </c>
      <c r="G14" s="3">
        <v>1</v>
      </c>
      <c r="H14" s="3"/>
      <c r="I14" s="3">
        <v>0</v>
      </c>
      <c r="J14" s="34">
        <v>0</v>
      </c>
    </row>
    <row r="15" spans="1:10">
      <c r="A15" s="32">
        <v>1901</v>
      </c>
      <c r="B15" s="4">
        <v>1</v>
      </c>
      <c r="C15" s="27">
        <v>107</v>
      </c>
      <c r="D15" s="27" t="s">
        <v>74</v>
      </c>
      <c r="E15" s="27" t="s">
        <v>26</v>
      </c>
      <c r="F15" s="33">
        <v>126</v>
      </c>
      <c r="G15" s="3">
        <v>1</v>
      </c>
      <c r="H15" s="3"/>
      <c r="I15" s="3">
        <v>0</v>
      </c>
      <c r="J15" s="34">
        <v>0</v>
      </c>
    </row>
    <row r="16" spans="1:10">
      <c r="A16" s="32">
        <v>1901</v>
      </c>
      <c r="B16" s="4">
        <v>1</v>
      </c>
      <c r="C16" s="27">
        <v>110</v>
      </c>
      <c r="D16" s="27" t="s">
        <v>74</v>
      </c>
      <c r="E16" s="27" t="s">
        <v>16</v>
      </c>
      <c r="F16" s="33">
        <v>100</v>
      </c>
      <c r="G16" s="3">
        <v>0</v>
      </c>
      <c r="H16" s="3">
        <v>0</v>
      </c>
      <c r="I16" s="3">
        <v>0</v>
      </c>
      <c r="J16" s="34">
        <v>0</v>
      </c>
    </row>
    <row r="17" spans="1:10">
      <c r="A17" s="32">
        <v>1901</v>
      </c>
      <c r="B17" s="4">
        <v>1</v>
      </c>
      <c r="C17" s="27">
        <v>111</v>
      </c>
      <c r="D17" s="27" t="s">
        <v>37</v>
      </c>
      <c r="E17" s="27" t="s">
        <v>16</v>
      </c>
      <c r="F17" s="33">
        <v>23</v>
      </c>
      <c r="G17" s="3">
        <v>0</v>
      </c>
      <c r="H17" s="3">
        <v>0</v>
      </c>
      <c r="I17" s="3">
        <v>0</v>
      </c>
      <c r="J17" s="34">
        <v>0</v>
      </c>
    </row>
    <row r="18" spans="1:10">
      <c r="A18" s="32">
        <v>1901</v>
      </c>
      <c r="B18" s="4">
        <v>1</v>
      </c>
      <c r="C18" s="27">
        <v>112</v>
      </c>
      <c r="D18" s="27" t="s">
        <v>140</v>
      </c>
      <c r="E18" s="27" t="s">
        <v>52</v>
      </c>
      <c r="F18" s="33" t="s">
        <v>53</v>
      </c>
      <c r="G18" s="3"/>
      <c r="H18" s="3"/>
      <c r="I18" s="3"/>
      <c r="J18" s="34"/>
    </row>
    <row r="19" spans="1:10">
      <c r="A19" s="32">
        <v>1901</v>
      </c>
      <c r="B19" s="4">
        <v>1</v>
      </c>
      <c r="C19" s="27">
        <v>113</v>
      </c>
      <c r="D19" s="27" t="s">
        <v>143</v>
      </c>
      <c r="E19" s="27" t="s">
        <v>16</v>
      </c>
      <c r="F19" s="33">
        <v>57</v>
      </c>
      <c r="G19" s="3">
        <v>0</v>
      </c>
      <c r="H19" s="3">
        <v>0</v>
      </c>
      <c r="I19" s="3">
        <v>0</v>
      </c>
      <c r="J19" s="34">
        <v>0</v>
      </c>
    </row>
    <row r="20" spans="1:10">
      <c r="A20" s="32">
        <v>1901</v>
      </c>
      <c r="B20" s="4">
        <v>1</v>
      </c>
      <c r="C20" s="27">
        <v>114</v>
      </c>
      <c r="D20" s="27" t="s">
        <v>143</v>
      </c>
      <c r="E20" s="27" t="s">
        <v>16</v>
      </c>
      <c r="F20" s="33">
        <v>58</v>
      </c>
      <c r="G20" s="3">
        <v>0</v>
      </c>
      <c r="H20" s="3">
        <v>0</v>
      </c>
      <c r="I20" s="3">
        <v>0</v>
      </c>
      <c r="J20" s="34">
        <v>0</v>
      </c>
    </row>
    <row r="21" spans="1:10">
      <c r="A21" s="32">
        <v>1901</v>
      </c>
      <c r="B21" s="4">
        <v>1</v>
      </c>
      <c r="C21" s="27">
        <v>115</v>
      </c>
      <c r="D21" s="27" t="s">
        <v>144</v>
      </c>
      <c r="E21" s="27" t="s">
        <v>26</v>
      </c>
      <c r="F21" s="33">
        <v>465</v>
      </c>
      <c r="G21" s="3">
        <v>10</v>
      </c>
      <c r="H21" s="3"/>
      <c r="I21" s="3">
        <v>2</v>
      </c>
      <c r="J21" s="34"/>
    </row>
    <row r="22" spans="1:10">
      <c r="A22" s="32">
        <v>1901</v>
      </c>
      <c r="B22" s="4">
        <v>1</v>
      </c>
      <c r="C22" s="27">
        <v>115</v>
      </c>
      <c r="D22" s="27" t="s">
        <v>144</v>
      </c>
      <c r="E22" s="27" t="s">
        <v>16</v>
      </c>
      <c r="F22" s="33">
        <v>100</v>
      </c>
      <c r="G22" s="3"/>
      <c r="H22" s="3"/>
      <c r="I22" s="3"/>
      <c r="J22" s="34"/>
    </row>
    <row r="23" spans="1:10">
      <c r="A23" s="32">
        <v>1901</v>
      </c>
      <c r="B23" s="4">
        <v>1</v>
      </c>
      <c r="C23" s="27" t="s">
        <v>145</v>
      </c>
      <c r="D23" s="27" t="s">
        <v>140</v>
      </c>
      <c r="E23" s="27" t="s">
        <v>52</v>
      </c>
      <c r="F23" s="33" t="s">
        <v>53</v>
      </c>
      <c r="G23" s="3"/>
      <c r="H23" s="3"/>
      <c r="I23" s="3"/>
      <c r="J23" s="34"/>
    </row>
    <row r="24" spans="1:10">
      <c r="A24" s="32">
        <v>1901</v>
      </c>
      <c r="B24" s="4">
        <v>1</v>
      </c>
      <c r="C24" s="27">
        <v>116</v>
      </c>
      <c r="D24" s="27" t="s">
        <v>146</v>
      </c>
      <c r="E24" s="27" t="s">
        <v>26</v>
      </c>
      <c r="F24" s="33">
        <v>504</v>
      </c>
      <c r="G24" s="3">
        <v>10</v>
      </c>
      <c r="H24" s="3"/>
      <c r="I24" s="3">
        <v>1</v>
      </c>
      <c r="J24" s="34"/>
    </row>
    <row r="25" spans="1:10">
      <c r="A25" s="32">
        <v>1901</v>
      </c>
      <c r="B25" s="4">
        <v>1</v>
      </c>
      <c r="C25" s="27">
        <v>116</v>
      </c>
      <c r="D25" s="27" t="s">
        <v>146</v>
      </c>
      <c r="E25" s="27" t="s">
        <v>16</v>
      </c>
      <c r="F25" s="33">
        <v>60</v>
      </c>
      <c r="G25" s="3"/>
      <c r="H25" s="3"/>
      <c r="I25" s="3"/>
      <c r="J25" s="34"/>
    </row>
    <row r="26" spans="1:10">
      <c r="A26" s="32">
        <v>1901</v>
      </c>
      <c r="B26" s="4">
        <v>1</v>
      </c>
      <c r="C26" s="27" t="s">
        <v>83</v>
      </c>
      <c r="D26" s="27" t="s">
        <v>140</v>
      </c>
      <c r="E26" s="27" t="s">
        <v>52</v>
      </c>
      <c r="F26" s="33" t="s">
        <v>53</v>
      </c>
      <c r="G26" s="3"/>
      <c r="H26" s="3"/>
      <c r="I26" s="3"/>
      <c r="J26" s="34"/>
    </row>
    <row r="27" spans="1:10">
      <c r="A27" s="32">
        <v>1901</v>
      </c>
      <c r="B27" s="4">
        <v>1</v>
      </c>
      <c r="C27" s="27">
        <v>117</v>
      </c>
      <c r="D27" s="27" t="s">
        <v>146</v>
      </c>
      <c r="E27" s="27" t="s">
        <v>26</v>
      </c>
      <c r="F27" s="33">
        <v>504</v>
      </c>
      <c r="G27" s="3">
        <v>10</v>
      </c>
      <c r="H27" s="3"/>
      <c r="I27" s="3"/>
      <c r="J27" s="34"/>
    </row>
    <row r="28" spans="1:10">
      <c r="A28" s="32">
        <v>1901</v>
      </c>
      <c r="B28" s="4">
        <v>1</v>
      </c>
      <c r="C28" s="27">
        <v>117</v>
      </c>
      <c r="D28" s="27" t="s">
        <v>146</v>
      </c>
      <c r="E28" s="27" t="s">
        <v>16</v>
      </c>
      <c r="F28" s="33">
        <v>60</v>
      </c>
      <c r="G28" s="3"/>
      <c r="H28" s="3"/>
      <c r="I28" s="3"/>
      <c r="J28" s="34"/>
    </row>
    <row r="29" spans="1:10">
      <c r="A29" s="32">
        <v>1901</v>
      </c>
      <c r="B29" s="4">
        <v>1</v>
      </c>
      <c r="C29" s="27" t="s">
        <v>76</v>
      </c>
      <c r="D29" s="27" t="s">
        <v>140</v>
      </c>
      <c r="E29" s="27" t="s">
        <v>52</v>
      </c>
      <c r="F29" s="33" t="s">
        <v>53</v>
      </c>
      <c r="G29" s="3"/>
      <c r="H29" s="3"/>
      <c r="I29" s="3"/>
      <c r="J29" s="34"/>
    </row>
    <row r="30" spans="1:10">
      <c r="A30" s="32">
        <v>1901</v>
      </c>
      <c r="B30" s="4">
        <v>1</v>
      </c>
      <c r="C30" s="27">
        <v>118</v>
      </c>
      <c r="D30" s="27" t="s">
        <v>146</v>
      </c>
      <c r="E30" s="27" t="s">
        <v>26</v>
      </c>
      <c r="F30" s="33">
        <v>504</v>
      </c>
      <c r="G30" s="3">
        <v>10</v>
      </c>
      <c r="H30" s="3"/>
      <c r="I30" s="3"/>
      <c r="J30" s="34"/>
    </row>
    <row r="31" spans="1:10">
      <c r="A31" s="32">
        <v>1901</v>
      </c>
      <c r="B31" s="4">
        <v>1</v>
      </c>
      <c r="C31" s="27">
        <v>118</v>
      </c>
      <c r="D31" s="27" t="s">
        <v>146</v>
      </c>
      <c r="E31" s="27" t="s">
        <v>16</v>
      </c>
      <c r="F31" s="33">
        <v>60</v>
      </c>
      <c r="G31" s="3"/>
      <c r="H31" s="3"/>
      <c r="I31" s="3"/>
      <c r="J31" s="34"/>
    </row>
    <row r="32" spans="1:10">
      <c r="A32" s="32">
        <v>1901</v>
      </c>
      <c r="B32" s="4">
        <v>1</v>
      </c>
      <c r="C32" s="27" t="s">
        <v>93</v>
      </c>
      <c r="D32" s="27" t="s">
        <v>140</v>
      </c>
      <c r="E32" s="27" t="s">
        <v>52</v>
      </c>
      <c r="F32" s="33" t="s">
        <v>53</v>
      </c>
      <c r="G32" s="3"/>
      <c r="H32" s="3"/>
      <c r="I32" s="3"/>
      <c r="J32" s="34"/>
    </row>
    <row r="33" spans="1:10">
      <c r="A33" s="32">
        <v>1901</v>
      </c>
      <c r="B33" s="4">
        <v>1</v>
      </c>
      <c r="C33" s="27">
        <v>109</v>
      </c>
      <c r="D33" s="27" t="s">
        <v>147</v>
      </c>
      <c r="E33" s="27" t="s">
        <v>16</v>
      </c>
      <c r="F33" s="33">
        <v>8</v>
      </c>
      <c r="G33" s="3">
        <v>0</v>
      </c>
      <c r="H33" s="3">
        <v>0</v>
      </c>
      <c r="I33" s="3">
        <v>0</v>
      </c>
      <c r="J33" s="34">
        <v>0</v>
      </c>
    </row>
    <row r="34" spans="1:10">
      <c r="A34" s="32">
        <v>1901</v>
      </c>
      <c r="B34" s="4">
        <v>1</v>
      </c>
      <c r="C34" s="27">
        <v>120</v>
      </c>
      <c r="D34" s="27" t="s">
        <v>148</v>
      </c>
      <c r="E34" s="27" t="s">
        <v>52</v>
      </c>
      <c r="F34" s="33" t="s">
        <v>53</v>
      </c>
      <c r="G34" s="3"/>
      <c r="H34" s="3"/>
      <c r="I34" s="3"/>
      <c r="J34" s="34"/>
    </row>
    <row r="35" spans="1:10">
      <c r="A35" s="32">
        <v>1901</v>
      </c>
      <c r="B35" s="4">
        <v>1</v>
      </c>
      <c r="C35" s="27">
        <v>121</v>
      </c>
      <c r="D35" s="27" t="s">
        <v>140</v>
      </c>
      <c r="E35" s="27" t="s">
        <v>52</v>
      </c>
      <c r="F35" s="33" t="s">
        <v>53</v>
      </c>
      <c r="G35" s="3"/>
      <c r="H35" s="3"/>
      <c r="I35" s="3"/>
      <c r="J35" s="34"/>
    </row>
    <row r="36" spans="1:10">
      <c r="A36" s="32">
        <v>1901</v>
      </c>
      <c r="B36" s="4">
        <v>1</v>
      </c>
      <c r="C36" s="27" t="s">
        <v>149</v>
      </c>
      <c r="D36" s="27" t="s">
        <v>140</v>
      </c>
      <c r="E36" s="27" t="s">
        <v>52</v>
      </c>
      <c r="F36" s="33" t="s">
        <v>53</v>
      </c>
      <c r="G36" s="3"/>
      <c r="H36" s="3"/>
      <c r="I36" s="3"/>
      <c r="J36" s="34"/>
    </row>
    <row r="37" spans="1:10">
      <c r="A37" s="32">
        <v>1901</v>
      </c>
      <c r="B37" s="4">
        <v>1</v>
      </c>
      <c r="C37" s="27">
        <v>123</v>
      </c>
      <c r="D37" s="27" t="s">
        <v>27</v>
      </c>
      <c r="E37" s="27" t="s">
        <v>52</v>
      </c>
      <c r="F37" s="33" t="s">
        <v>53</v>
      </c>
      <c r="G37" s="3"/>
      <c r="H37" s="3"/>
      <c r="I37" s="3"/>
      <c r="J37" s="34"/>
    </row>
    <row r="38" spans="1:10">
      <c r="A38" s="32">
        <v>1901</v>
      </c>
      <c r="B38" s="4">
        <v>1</v>
      </c>
      <c r="C38" s="27">
        <v>124</v>
      </c>
      <c r="D38" s="27" t="s">
        <v>150</v>
      </c>
      <c r="E38" s="27" t="s">
        <v>52</v>
      </c>
      <c r="F38" s="33" t="s">
        <v>53</v>
      </c>
      <c r="G38" s="3"/>
      <c r="H38" s="3"/>
      <c r="I38" s="3"/>
      <c r="J38" s="34"/>
    </row>
    <row r="39" spans="1:10">
      <c r="A39" s="32">
        <v>1901</v>
      </c>
      <c r="B39" s="4">
        <v>1</v>
      </c>
      <c r="C39" s="27">
        <v>125</v>
      </c>
      <c r="D39" s="27" t="s">
        <v>151</v>
      </c>
      <c r="E39" s="27" t="s">
        <v>26</v>
      </c>
      <c r="F39" s="33">
        <v>342</v>
      </c>
      <c r="G39" s="3">
        <v>10</v>
      </c>
      <c r="H39" s="3"/>
      <c r="I39" s="3">
        <v>1</v>
      </c>
      <c r="J39" s="34"/>
    </row>
    <row r="40" spans="1:10">
      <c r="A40" s="32">
        <v>1901</v>
      </c>
      <c r="B40" s="4">
        <v>1</v>
      </c>
      <c r="C40" s="27">
        <v>125</v>
      </c>
      <c r="D40" s="27" t="s">
        <v>151</v>
      </c>
      <c r="E40" s="27" t="s">
        <v>16</v>
      </c>
      <c r="F40" s="33">
        <v>125</v>
      </c>
      <c r="G40" s="3"/>
      <c r="H40" s="3"/>
      <c r="I40" s="3"/>
      <c r="J40" s="34"/>
    </row>
    <row r="41" spans="1:10">
      <c r="A41" s="32">
        <v>1901</v>
      </c>
      <c r="B41" s="4">
        <v>1</v>
      </c>
      <c r="C41" s="27" t="s">
        <v>152</v>
      </c>
      <c r="D41" s="27" t="s">
        <v>140</v>
      </c>
      <c r="E41" s="27" t="s">
        <v>52</v>
      </c>
      <c r="F41" s="33" t="s">
        <v>53</v>
      </c>
      <c r="G41" s="3"/>
      <c r="H41" s="3"/>
      <c r="I41" s="3"/>
      <c r="J41" s="34"/>
    </row>
    <row r="42" spans="1:10">
      <c r="A42" s="32">
        <v>1901</v>
      </c>
      <c r="B42" s="4">
        <v>1</v>
      </c>
      <c r="C42" s="27">
        <v>126</v>
      </c>
      <c r="D42" s="27" t="s">
        <v>151</v>
      </c>
      <c r="E42" s="27" t="s">
        <v>26</v>
      </c>
      <c r="F42" s="33">
        <v>342</v>
      </c>
      <c r="G42" s="3">
        <v>10</v>
      </c>
      <c r="H42" s="3"/>
      <c r="I42" s="3">
        <v>2</v>
      </c>
      <c r="J42" s="34"/>
    </row>
    <row r="43" spans="1:10">
      <c r="A43" s="32">
        <v>1901</v>
      </c>
      <c r="B43" s="4">
        <v>1</v>
      </c>
      <c r="C43" s="27">
        <v>126</v>
      </c>
      <c r="D43" s="27" t="s">
        <v>151</v>
      </c>
      <c r="E43" s="27" t="s">
        <v>16</v>
      </c>
      <c r="F43" s="33">
        <v>125</v>
      </c>
      <c r="G43" s="3"/>
      <c r="H43" s="3"/>
      <c r="I43" s="3"/>
      <c r="J43" s="34"/>
    </row>
    <row r="44" spans="1:10">
      <c r="A44" s="32">
        <v>1901</v>
      </c>
      <c r="B44" s="4">
        <v>1</v>
      </c>
      <c r="C44" s="27" t="s">
        <v>153</v>
      </c>
      <c r="D44" s="27" t="s">
        <v>140</v>
      </c>
      <c r="E44" s="27" t="s">
        <v>52</v>
      </c>
      <c r="F44" s="33" t="s">
        <v>53</v>
      </c>
      <c r="G44" s="3"/>
      <c r="H44" s="3"/>
      <c r="I44" s="3"/>
      <c r="J44" s="34"/>
    </row>
    <row r="45" spans="1:10">
      <c r="A45" s="32">
        <v>1901</v>
      </c>
      <c r="B45" s="4">
        <v>1</v>
      </c>
      <c r="C45" s="27">
        <v>127</v>
      </c>
      <c r="D45" s="27" t="s">
        <v>151</v>
      </c>
      <c r="E45" s="27" t="s">
        <v>26</v>
      </c>
      <c r="F45" s="33">
        <v>342</v>
      </c>
      <c r="G45" s="3">
        <v>10</v>
      </c>
      <c r="H45" s="3"/>
      <c r="I45" s="3">
        <v>2</v>
      </c>
      <c r="J45" s="34"/>
    </row>
    <row r="46" spans="1:10">
      <c r="A46" s="32">
        <v>1901</v>
      </c>
      <c r="B46" s="4">
        <v>1</v>
      </c>
      <c r="C46" s="27">
        <v>127</v>
      </c>
      <c r="D46" s="27" t="s">
        <v>151</v>
      </c>
      <c r="E46" s="27" t="s">
        <v>16</v>
      </c>
      <c r="F46" s="33">
        <v>125</v>
      </c>
      <c r="G46" s="3"/>
      <c r="H46" s="3"/>
      <c r="I46" s="3"/>
      <c r="J46" s="34"/>
    </row>
    <row r="47" spans="1:10">
      <c r="A47" s="32">
        <v>1901</v>
      </c>
      <c r="B47" s="4">
        <v>1</v>
      </c>
      <c r="C47" s="27" t="s">
        <v>101</v>
      </c>
      <c r="D47" s="27" t="s">
        <v>140</v>
      </c>
      <c r="E47" s="27" t="s">
        <v>52</v>
      </c>
      <c r="F47" s="33" t="s">
        <v>53</v>
      </c>
      <c r="G47" s="3"/>
      <c r="H47" s="3"/>
      <c r="I47" s="3"/>
      <c r="J47" s="34"/>
    </row>
    <row r="48" spans="1:10">
      <c r="A48" s="32">
        <v>1901</v>
      </c>
      <c r="B48" s="4">
        <v>1</v>
      </c>
      <c r="C48" s="27">
        <v>128</v>
      </c>
      <c r="D48" s="27" t="s">
        <v>154</v>
      </c>
      <c r="E48" s="27" t="s">
        <v>26</v>
      </c>
      <c r="F48" s="33">
        <v>958</v>
      </c>
      <c r="G48" s="3">
        <v>10</v>
      </c>
      <c r="H48" s="3"/>
      <c r="I48" s="3">
        <v>2</v>
      </c>
      <c r="J48" s="34"/>
    </row>
    <row r="49" spans="1:10">
      <c r="A49" s="32">
        <v>1901</v>
      </c>
      <c r="B49" s="4">
        <v>1</v>
      </c>
      <c r="C49" s="27">
        <v>128</v>
      </c>
      <c r="D49" s="27" t="s">
        <v>154</v>
      </c>
      <c r="E49" s="27" t="s">
        <v>16</v>
      </c>
      <c r="F49" s="33"/>
      <c r="G49" s="3"/>
      <c r="H49" s="3"/>
      <c r="I49" s="3"/>
      <c r="J49" s="34"/>
    </row>
    <row r="50" spans="1:10">
      <c r="A50" s="32">
        <v>1901</v>
      </c>
      <c r="B50" s="4">
        <v>1</v>
      </c>
      <c r="C50" s="27" t="s">
        <v>100</v>
      </c>
      <c r="D50" s="27" t="s">
        <v>140</v>
      </c>
      <c r="E50" s="27" t="s">
        <v>52</v>
      </c>
      <c r="F50" s="33" t="s">
        <v>53</v>
      </c>
      <c r="G50" s="3"/>
      <c r="H50" s="3"/>
      <c r="I50" s="3"/>
      <c r="J50" s="34"/>
    </row>
    <row r="51" spans="1:10">
      <c r="A51" s="32">
        <v>1901</v>
      </c>
      <c r="B51" s="4">
        <v>1</v>
      </c>
      <c r="C51" s="27" t="s">
        <v>155</v>
      </c>
      <c r="D51" s="27" t="s">
        <v>140</v>
      </c>
      <c r="E51" s="27" t="s">
        <v>52</v>
      </c>
      <c r="F51" s="33" t="s">
        <v>53</v>
      </c>
      <c r="G51" s="3"/>
      <c r="H51" s="3"/>
      <c r="I51" s="3"/>
      <c r="J51" s="34"/>
    </row>
    <row r="52" spans="1:10">
      <c r="A52" s="32">
        <v>1901</v>
      </c>
      <c r="B52" s="4">
        <v>1</v>
      </c>
      <c r="C52" s="27">
        <v>129</v>
      </c>
      <c r="D52" s="27" t="s">
        <v>154</v>
      </c>
      <c r="E52" s="27" t="s">
        <v>26</v>
      </c>
      <c r="F52" s="33">
        <v>804</v>
      </c>
      <c r="G52" s="3">
        <v>10</v>
      </c>
      <c r="H52" s="3"/>
      <c r="I52" s="3"/>
      <c r="J52" s="34"/>
    </row>
    <row r="53" spans="1:10">
      <c r="A53" s="32">
        <v>1901</v>
      </c>
      <c r="B53" s="4">
        <v>1</v>
      </c>
      <c r="C53" s="27">
        <v>129</v>
      </c>
      <c r="D53" s="27" t="s">
        <v>154</v>
      </c>
      <c r="E53" s="27" t="s">
        <v>16</v>
      </c>
      <c r="F53" s="33">
        <v>150</v>
      </c>
      <c r="G53" s="3"/>
      <c r="H53" s="3"/>
      <c r="I53" s="3"/>
      <c r="J53" s="34"/>
    </row>
    <row r="54" spans="1:10">
      <c r="A54" s="32">
        <v>1901</v>
      </c>
      <c r="B54" s="4">
        <v>1</v>
      </c>
      <c r="C54" s="27" t="s">
        <v>99</v>
      </c>
      <c r="D54" s="27" t="s">
        <v>140</v>
      </c>
      <c r="E54" s="27" t="s">
        <v>52</v>
      </c>
      <c r="F54" s="33" t="s">
        <v>53</v>
      </c>
      <c r="G54" s="3"/>
      <c r="H54" s="3"/>
      <c r="I54" s="3"/>
      <c r="J54" s="34"/>
    </row>
    <row r="55" spans="1:10">
      <c r="A55" s="32">
        <v>1901</v>
      </c>
      <c r="B55" s="4">
        <v>1</v>
      </c>
      <c r="C55" s="27" t="s">
        <v>156</v>
      </c>
      <c r="D55" s="27" t="s">
        <v>140</v>
      </c>
      <c r="E55" s="27" t="s">
        <v>52</v>
      </c>
      <c r="F55" s="33" t="s">
        <v>53</v>
      </c>
      <c r="G55" s="3"/>
      <c r="H55" s="3"/>
      <c r="I55" s="3"/>
      <c r="J55" s="34"/>
    </row>
    <row r="56" spans="1:10">
      <c r="A56" s="32">
        <v>1901</v>
      </c>
      <c r="B56" s="4">
        <v>1</v>
      </c>
      <c r="C56" s="27">
        <v>130</v>
      </c>
      <c r="D56" s="27" t="s">
        <v>154</v>
      </c>
      <c r="E56" s="27" t="s">
        <v>26</v>
      </c>
      <c r="F56" s="33">
        <v>804</v>
      </c>
      <c r="G56" s="3">
        <v>11</v>
      </c>
      <c r="H56" s="3"/>
      <c r="I56" s="3"/>
      <c r="J56" s="34"/>
    </row>
    <row r="57" spans="1:10">
      <c r="A57" s="32">
        <v>1901</v>
      </c>
      <c r="B57" s="4">
        <v>1</v>
      </c>
      <c r="C57" s="27">
        <v>130</v>
      </c>
      <c r="D57" s="27" t="s">
        <v>154</v>
      </c>
      <c r="E57" s="27" t="s">
        <v>16</v>
      </c>
      <c r="F57" s="33">
        <v>150</v>
      </c>
      <c r="G57" s="3"/>
      <c r="H57" s="3"/>
      <c r="I57" s="3"/>
      <c r="J57" s="34"/>
    </row>
    <row r="58" spans="1:10">
      <c r="A58" s="32">
        <v>1901</v>
      </c>
      <c r="B58" s="4">
        <v>1</v>
      </c>
      <c r="C58" s="27" t="s">
        <v>157</v>
      </c>
      <c r="D58" s="27" t="s">
        <v>140</v>
      </c>
      <c r="E58" s="27" t="s">
        <v>52</v>
      </c>
      <c r="F58" s="33" t="s">
        <v>53</v>
      </c>
      <c r="G58" s="3"/>
      <c r="H58" s="3"/>
      <c r="I58" s="3"/>
      <c r="J58" s="34"/>
    </row>
    <row r="59" spans="1:10">
      <c r="A59" s="32">
        <v>1901</v>
      </c>
      <c r="B59" s="4">
        <v>1</v>
      </c>
      <c r="C59" s="27" t="s">
        <v>158</v>
      </c>
      <c r="D59" s="27" t="s">
        <v>140</v>
      </c>
      <c r="E59" s="27" t="s">
        <v>52</v>
      </c>
      <c r="F59" s="33" t="s">
        <v>53</v>
      </c>
      <c r="G59" s="3"/>
      <c r="H59" s="3"/>
      <c r="I59" s="3"/>
      <c r="J59" s="34"/>
    </row>
    <row r="60" spans="1:10">
      <c r="A60" s="32">
        <v>1901</v>
      </c>
      <c r="B60" s="4">
        <v>1</v>
      </c>
      <c r="C60" s="27">
        <v>131</v>
      </c>
      <c r="D60" s="27" t="s">
        <v>140</v>
      </c>
      <c r="E60" s="27" t="s">
        <v>52</v>
      </c>
      <c r="F60" s="33" t="s">
        <v>53</v>
      </c>
      <c r="G60" s="3"/>
      <c r="H60" s="3"/>
      <c r="I60" s="3"/>
      <c r="J60" s="34"/>
    </row>
    <row r="61" spans="1:10">
      <c r="A61" s="32">
        <v>1901</v>
      </c>
      <c r="B61" s="4">
        <v>1</v>
      </c>
      <c r="C61" s="27" t="s">
        <v>159</v>
      </c>
      <c r="D61" s="27" t="s">
        <v>140</v>
      </c>
      <c r="E61" s="27" t="s">
        <v>52</v>
      </c>
      <c r="F61" s="33" t="s">
        <v>53</v>
      </c>
      <c r="G61" s="3"/>
      <c r="H61" s="3"/>
      <c r="I61" s="3"/>
      <c r="J61" s="34"/>
    </row>
    <row r="62" spans="1:10">
      <c r="A62" s="32">
        <v>1901</v>
      </c>
      <c r="B62" s="4">
        <v>1</v>
      </c>
      <c r="C62" s="27" t="s">
        <v>160</v>
      </c>
      <c r="D62" s="27" t="s">
        <v>140</v>
      </c>
      <c r="E62" s="27" t="s">
        <v>52</v>
      </c>
      <c r="F62" s="33" t="s">
        <v>53</v>
      </c>
      <c r="G62" s="3"/>
      <c r="H62" s="3"/>
      <c r="I62" s="3"/>
      <c r="J62" s="3"/>
    </row>
    <row r="63" spans="1:10">
      <c r="A63" s="32">
        <v>1901</v>
      </c>
      <c r="B63" s="4">
        <v>1</v>
      </c>
      <c r="C63" s="27">
        <v>132</v>
      </c>
      <c r="D63" s="27" t="s">
        <v>161</v>
      </c>
      <c r="E63" s="27" t="s">
        <v>26</v>
      </c>
      <c r="F63" s="33">
        <v>853</v>
      </c>
      <c r="G63" s="3">
        <v>9</v>
      </c>
      <c r="H63" s="3"/>
      <c r="I63" s="3"/>
      <c r="J63" s="3"/>
    </row>
    <row r="64" spans="1:10">
      <c r="A64" s="32">
        <v>1901</v>
      </c>
      <c r="B64" s="4">
        <v>1</v>
      </c>
      <c r="C64" s="27">
        <v>132</v>
      </c>
      <c r="D64" s="27" t="s">
        <v>161</v>
      </c>
      <c r="E64" s="27" t="s">
        <v>16</v>
      </c>
      <c r="F64" s="33">
        <v>100</v>
      </c>
      <c r="G64" s="3"/>
      <c r="H64" s="3"/>
      <c r="I64" s="3"/>
      <c r="J64" s="3"/>
    </row>
    <row r="65" spans="1:10">
      <c r="A65" s="32">
        <v>1901</v>
      </c>
      <c r="B65" s="4">
        <v>1</v>
      </c>
      <c r="C65" s="27" t="s">
        <v>162</v>
      </c>
      <c r="D65" s="27" t="s">
        <v>140</v>
      </c>
      <c r="E65" s="27" t="s">
        <v>52</v>
      </c>
      <c r="F65" s="33" t="s">
        <v>53</v>
      </c>
      <c r="G65" s="3"/>
      <c r="H65" s="3"/>
      <c r="I65" s="3"/>
      <c r="J65" s="3"/>
    </row>
    <row r="66" spans="1:10">
      <c r="A66" s="32">
        <v>1901</v>
      </c>
      <c r="B66" s="4">
        <v>1</v>
      </c>
      <c r="C66" s="27" t="s">
        <v>163</v>
      </c>
      <c r="D66" s="27" t="s">
        <v>140</v>
      </c>
      <c r="E66" s="27" t="s">
        <v>52</v>
      </c>
      <c r="F66" s="33" t="s">
        <v>53</v>
      </c>
      <c r="G66" s="3"/>
      <c r="H66" s="3"/>
      <c r="I66" s="3"/>
      <c r="J66" s="3"/>
    </row>
    <row r="67" spans="1:10">
      <c r="A67" s="32">
        <v>1901</v>
      </c>
      <c r="B67" s="4">
        <v>1</v>
      </c>
      <c r="C67" s="27">
        <v>133</v>
      </c>
      <c r="D67" s="27" t="s">
        <v>164</v>
      </c>
      <c r="E67" s="27" t="s">
        <v>26</v>
      </c>
      <c r="F67" s="33">
        <v>473</v>
      </c>
      <c r="G67" s="3">
        <v>10</v>
      </c>
      <c r="H67" s="3"/>
      <c r="I67" s="3"/>
      <c r="J67" s="3"/>
    </row>
    <row r="68" spans="1:10">
      <c r="A68" s="32">
        <v>1901</v>
      </c>
      <c r="B68" s="4">
        <v>1</v>
      </c>
      <c r="C68" s="27">
        <v>133</v>
      </c>
      <c r="D68" s="27" t="s">
        <v>164</v>
      </c>
      <c r="E68" s="27" t="s">
        <v>16</v>
      </c>
      <c r="F68" s="33">
        <v>100</v>
      </c>
      <c r="G68" s="3"/>
      <c r="H68" s="3"/>
      <c r="I68" s="3"/>
      <c r="J68" s="3"/>
    </row>
    <row r="69" spans="1:10">
      <c r="A69" s="32">
        <v>1901</v>
      </c>
      <c r="B69" s="4">
        <v>1</v>
      </c>
      <c r="C69" s="27" t="s">
        <v>165</v>
      </c>
      <c r="D69" s="27" t="s">
        <v>140</v>
      </c>
      <c r="E69" s="27" t="s">
        <v>52</v>
      </c>
      <c r="F69" s="33" t="s">
        <v>53</v>
      </c>
      <c r="G69" s="3"/>
      <c r="H69" s="3"/>
      <c r="I69" s="3"/>
      <c r="J69" s="3"/>
    </row>
    <row r="70" spans="1:10">
      <c r="A70" s="32">
        <v>1901</v>
      </c>
      <c r="B70" s="4">
        <v>1</v>
      </c>
      <c r="C70" s="27" t="s">
        <v>166</v>
      </c>
      <c r="D70" s="27" t="s">
        <v>140</v>
      </c>
      <c r="E70" s="27" t="s">
        <v>52</v>
      </c>
      <c r="F70" s="33" t="s">
        <v>53</v>
      </c>
      <c r="G70" s="3"/>
      <c r="H70" s="3"/>
      <c r="I70" s="3"/>
      <c r="J70" s="3"/>
    </row>
    <row r="71" spans="1:10">
      <c r="A71" s="32">
        <v>1901</v>
      </c>
      <c r="B71" s="4">
        <v>1</v>
      </c>
      <c r="C71" s="27">
        <v>134</v>
      </c>
      <c r="D71" s="27" t="s">
        <v>167</v>
      </c>
      <c r="E71" s="27" t="s">
        <v>26</v>
      </c>
      <c r="F71" s="33">
        <v>433</v>
      </c>
      <c r="G71" s="3">
        <v>10</v>
      </c>
      <c r="H71" s="3"/>
      <c r="I71" s="3"/>
      <c r="J71" s="3"/>
    </row>
    <row r="72" spans="1:10">
      <c r="A72" s="32">
        <v>1901</v>
      </c>
      <c r="B72" s="4">
        <v>1</v>
      </c>
      <c r="C72" s="27">
        <v>134</v>
      </c>
      <c r="D72" s="27" t="s">
        <v>167</v>
      </c>
      <c r="E72" s="27" t="s">
        <v>16</v>
      </c>
      <c r="F72" s="33">
        <v>150</v>
      </c>
      <c r="G72" s="3"/>
      <c r="H72" s="3"/>
      <c r="I72" s="3"/>
      <c r="J72" s="3"/>
    </row>
    <row r="73" spans="1:10">
      <c r="A73" s="32">
        <v>1901</v>
      </c>
      <c r="B73" s="4">
        <v>1</v>
      </c>
      <c r="C73" s="27" t="s">
        <v>102</v>
      </c>
      <c r="D73" s="27" t="s">
        <v>140</v>
      </c>
      <c r="E73" s="27" t="s">
        <v>52</v>
      </c>
      <c r="F73" s="33" t="s">
        <v>53</v>
      </c>
      <c r="G73" s="3"/>
      <c r="H73" s="3"/>
      <c r="I73" s="3"/>
      <c r="J73" s="3"/>
    </row>
    <row r="74" spans="1:10">
      <c r="A74" s="32">
        <v>1901</v>
      </c>
      <c r="B74" s="4">
        <v>1</v>
      </c>
      <c r="C74" s="27" t="s">
        <v>103</v>
      </c>
      <c r="D74" s="27" t="s">
        <v>140</v>
      </c>
      <c r="E74" s="27" t="s">
        <v>52</v>
      </c>
      <c r="F74" s="33" t="s">
        <v>53</v>
      </c>
      <c r="G74" s="3"/>
      <c r="H74" s="3"/>
      <c r="I74" s="3"/>
      <c r="J74" s="3"/>
    </row>
    <row r="75" spans="1:10">
      <c r="A75" s="32">
        <v>1901</v>
      </c>
      <c r="B75" s="4">
        <v>1</v>
      </c>
      <c r="C75" s="27">
        <v>135</v>
      </c>
      <c r="D75" s="27" t="s">
        <v>167</v>
      </c>
      <c r="E75" s="27" t="s">
        <v>26</v>
      </c>
      <c r="F75" s="33">
        <v>429</v>
      </c>
      <c r="G75" s="3">
        <v>10</v>
      </c>
      <c r="H75" s="3"/>
      <c r="I75" s="3">
        <v>2</v>
      </c>
      <c r="J75" s="3"/>
    </row>
    <row r="76" spans="1:10">
      <c r="A76" s="32">
        <v>1901</v>
      </c>
      <c r="B76" s="4">
        <v>1</v>
      </c>
      <c r="C76" s="27">
        <v>135</v>
      </c>
      <c r="D76" s="27" t="s">
        <v>167</v>
      </c>
      <c r="E76" s="27" t="s">
        <v>16</v>
      </c>
      <c r="F76" s="33">
        <v>150</v>
      </c>
      <c r="G76" s="3"/>
      <c r="H76" s="3"/>
      <c r="I76" s="3"/>
      <c r="J76" s="3"/>
    </row>
    <row r="77" spans="1:10">
      <c r="A77" s="32">
        <v>1901</v>
      </c>
      <c r="B77" s="4">
        <v>1</v>
      </c>
      <c r="C77" s="27" t="s">
        <v>168</v>
      </c>
      <c r="D77" s="27" t="s">
        <v>140</v>
      </c>
      <c r="E77" s="27" t="s">
        <v>52</v>
      </c>
      <c r="F77" s="33" t="s">
        <v>53</v>
      </c>
      <c r="G77" s="3"/>
      <c r="H77" s="3"/>
      <c r="I77" s="3"/>
      <c r="J77" s="3"/>
    </row>
    <row r="78" spans="1:10">
      <c r="A78" s="32">
        <v>1901</v>
      </c>
      <c r="B78" s="4">
        <v>1</v>
      </c>
      <c r="C78" s="27" t="s">
        <v>169</v>
      </c>
      <c r="D78" s="27" t="s">
        <v>140</v>
      </c>
      <c r="E78" s="27" t="s">
        <v>52</v>
      </c>
      <c r="F78" s="33" t="s">
        <v>53</v>
      </c>
      <c r="G78" s="3"/>
      <c r="H78" s="3"/>
      <c r="I78" s="3"/>
      <c r="J78" s="3"/>
    </row>
    <row r="79" spans="1:10">
      <c r="A79" s="32">
        <v>1901</v>
      </c>
      <c r="B79" s="4">
        <v>1</v>
      </c>
      <c r="C79" s="27">
        <v>136</v>
      </c>
      <c r="D79" s="27" t="s">
        <v>167</v>
      </c>
      <c r="E79" s="27" t="s">
        <v>26</v>
      </c>
      <c r="F79" s="33">
        <v>371</v>
      </c>
      <c r="G79" s="3">
        <v>10</v>
      </c>
      <c r="H79" s="3"/>
      <c r="I79" s="3">
        <v>2</v>
      </c>
      <c r="J79" s="3"/>
    </row>
    <row r="80" spans="1:10">
      <c r="A80" s="32">
        <v>1901</v>
      </c>
      <c r="B80" s="4">
        <v>1</v>
      </c>
      <c r="C80" s="27">
        <v>136</v>
      </c>
      <c r="D80" s="27" t="s">
        <v>167</v>
      </c>
      <c r="E80" s="27" t="s">
        <v>16</v>
      </c>
      <c r="F80" s="33">
        <v>150</v>
      </c>
      <c r="G80" s="3"/>
      <c r="H80" s="3"/>
      <c r="I80" s="3"/>
      <c r="J80" s="3"/>
    </row>
    <row r="81" spans="1:10">
      <c r="A81" s="32">
        <v>1901</v>
      </c>
      <c r="B81" s="4">
        <v>1</v>
      </c>
      <c r="C81" s="27" t="s">
        <v>170</v>
      </c>
      <c r="D81" s="27" t="s">
        <v>140</v>
      </c>
      <c r="E81" s="27" t="s">
        <v>52</v>
      </c>
      <c r="F81" s="33" t="s">
        <v>53</v>
      </c>
      <c r="G81" s="3"/>
      <c r="H81" s="3"/>
      <c r="I81" s="3"/>
      <c r="J81" s="3"/>
    </row>
    <row r="82" spans="1:10">
      <c r="A82" s="32">
        <v>1901</v>
      </c>
      <c r="B82" s="4">
        <v>1</v>
      </c>
      <c r="C82" s="27" t="s">
        <v>171</v>
      </c>
      <c r="D82" s="27" t="s">
        <v>140</v>
      </c>
      <c r="E82" s="27" t="s">
        <v>52</v>
      </c>
      <c r="F82" s="33" t="s">
        <v>53</v>
      </c>
      <c r="G82" s="3"/>
      <c r="H82" s="3"/>
      <c r="I82" s="3"/>
      <c r="J82" s="3"/>
    </row>
    <row r="83" spans="1:10">
      <c r="B83" s="19"/>
      <c r="E83" s="29" t="s">
        <v>22</v>
      </c>
      <c r="F83" s="24">
        <f>SUM(F5:F82)</f>
        <v>12991</v>
      </c>
      <c r="G83" s="35">
        <f>SUM(G5:G82)</f>
        <v>155</v>
      </c>
      <c r="I83" s="35">
        <f>SUM(I5:I82)</f>
        <v>14</v>
      </c>
    </row>
    <row r="84" spans="1:10">
      <c r="B84" s="19"/>
    </row>
    <row r="86" spans="1:10">
      <c r="A86" s="36"/>
      <c r="B86" s="36"/>
      <c r="C86" s="36"/>
      <c r="D86" s="36"/>
      <c r="E86" s="36"/>
      <c r="F86" s="36"/>
    </row>
    <row r="87" spans="1:10">
      <c r="A87" s="36"/>
      <c r="B87" s="36"/>
      <c r="C87" s="36"/>
      <c r="D87" s="36"/>
      <c r="E87" s="36"/>
      <c r="F87" s="36"/>
    </row>
    <row r="88" spans="1:10">
      <c r="A88" s="36"/>
      <c r="B88" s="36"/>
      <c r="C88" s="36"/>
      <c r="D88" s="36"/>
      <c r="E88" s="36"/>
      <c r="F88" s="36"/>
    </row>
    <row r="89" spans="1:10">
      <c r="A89" s="36"/>
      <c r="B89" s="36"/>
      <c r="C89" s="36"/>
      <c r="D89" s="36"/>
      <c r="E89" s="36"/>
      <c r="F89" s="36"/>
    </row>
    <row r="90" spans="1:10">
      <c r="A90" s="36"/>
      <c r="B90" s="36"/>
      <c r="C90" s="36"/>
      <c r="D90" s="36"/>
      <c r="E90" s="36"/>
      <c r="F90" s="36"/>
    </row>
    <row r="91" spans="1:10">
      <c r="A91" s="36"/>
      <c r="B91" s="36"/>
      <c r="C91" s="36"/>
      <c r="D91" s="36"/>
      <c r="E91" s="36"/>
      <c r="F91" s="36"/>
    </row>
  </sheetData>
  <mergeCells count="3">
    <mergeCell ref="A1:J1"/>
    <mergeCell ref="A2:J2"/>
    <mergeCell ref="A3:J3"/>
  </mergeCells>
  <pageMargins left="0.7" right="0.7" top="0.75" bottom="0.75" header="0.3" footer="0.3"/>
  <pageSetup scale="5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8"/>
  <sheetViews>
    <sheetView workbookViewId="0">
      <selection activeCell="H4" sqref="H4:H7"/>
    </sheetView>
  </sheetViews>
  <sheetFormatPr defaultColWidth="9.140625" defaultRowHeight="15"/>
  <cols>
    <col min="1" max="2" width="9.28515625" customWidth="1"/>
    <col min="3" max="3" width="9.5703125" customWidth="1"/>
    <col min="4" max="4" width="13.85546875" customWidth="1"/>
    <col min="5" max="5" width="12.2851562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7" t="s">
        <v>172</v>
      </c>
      <c r="B4" s="8"/>
      <c r="C4" s="8"/>
      <c r="D4" s="8" t="s">
        <v>25</v>
      </c>
      <c r="E4" s="8" t="s">
        <v>26</v>
      </c>
      <c r="F4" s="10">
        <v>547</v>
      </c>
      <c r="G4" s="26" t="s">
        <v>13</v>
      </c>
      <c r="H4" s="2" t="s">
        <v>14</v>
      </c>
    </row>
    <row r="5" spans="1:8" ht="17.25" customHeight="1">
      <c r="A5" s="7" t="s">
        <v>172</v>
      </c>
      <c r="B5" s="8"/>
      <c r="C5" s="8"/>
      <c r="D5" s="8" t="s">
        <v>25</v>
      </c>
      <c r="E5" s="8" t="s">
        <v>16</v>
      </c>
      <c r="F5" s="10">
        <v>515</v>
      </c>
      <c r="G5" s="26" t="s">
        <v>13</v>
      </c>
      <c r="H5" s="2" t="s">
        <v>14</v>
      </c>
    </row>
    <row r="6" spans="1:8" ht="17.25" customHeight="1">
      <c r="A6" s="7" t="s">
        <v>172</v>
      </c>
      <c r="B6" s="8"/>
      <c r="C6" s="8"/>
      <c r="D6" s="8" t="s">
        <v>21</v>
      </c>
      <c r="E6" s="8" t="s">
        <v>16</v>
      </c>
      <c r="F6" s="10">
        <v>160</v>
      </c>
      <c r="G6" s="26" t="s">
        <v>13</v>
      </c>
      <c r="H6" s="2" t="s">
        <v>14</v>
      </c>
    </row>
    <row r="7" spans="1:8" ht="17.25" customHeight="1">
      <c r="A7" s="7" t="s">
        <v>172</v>
      </c>
      <c r="B7" s="8"/>
      <c r="C7" s="8"/>
      <c r="D7" s="8" t="s">
        <v>27</v>
      </c>
      <c r="E7" s="8" t="s">
        <v>16</v>
      </c>
      <c r="F7" s="10">
        <v>270</v>
      </c>
      <c r="G7" s="26" t="s">
        <v>13</v>
      </c>
      <c r="H7" s="2" t="s">
        <v>14</v>
      </c>
    </row>
    <row r="8" spans="1:8">
      <c r="E8" s="23" t="s">
        <v>22</v>
      </c>
      <c r="F8" s="25">
        <f>SUM(F4:F7)</f>
        <v>1492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"/>
  <sheetViews>
    <sheetView workbookViewId="0">
      <selection activeCell="H4" sqref="H4"/>
    </sheetView>
  </sheetViews>
  <sheetFormatPr defaultColWidth="9.140625" defaultRowHeight="15"/>
  <cols>
    <col min="1" max="2" width="9.28515625" customWidth="1"/>
    <col min="3" max="3" width="9.5703125" customWidth="1"/>
    <col min="4" max="4" width="12.85546875" customWidth="1"/>
    <col min="5" max="5" width="10.4257812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20">
        <v>3106</v>
      </c>
      <c r="B4" s="8"/>
      <c r="C4" s="8"/>
      <c r="D4" s="8" t="s">
        <v>21</v>
      </c>
      <c r="E4" s="8" t="s">
        <v>173</v>
      </c>
      <c r="F4" s="10">
        <v>960</v>
      </c>
      <c r="G4" s="26" t="s">
        <v>13</v>
      </c>
      <c r="H4" s="2" t="s">
        <v>14</v>
      </c>
    </row>
    <row r="5" spans="1:8">
      <c r="E5" s="23" t="s">
        <v>22</v>
      </c>
      <c r="F5" s="25">
        <f>SUM(F1:F4)</f>
        <v>960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9"/>
  <sheetViews>
    <sheetView workbookViewId="0">
      <selection activeCell="H4" sqref="H4:H8"/>
    </sheetView>
  </sheetViews>
  <sheetFormatPr defaultColWidth="9.140625" defaultRowHeight="15"/>
  <cols>
    <col min="1" max="2" width="9.28515625" customWidth="1"/>
    <col min="3" max="3" width="9.5703125" customWidth="1"/>
    <col min="4" max="4" width="13.28515625" customWidth="1"/>
    <col min="5" max="5" width="12.4257812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7" t="s">
        <v>174</v>
      </c>
      <c r="B4" s="8"/>
      <c r="C4" s="8"/>
      <c r="D4" s="8" t="s">
        <v>25</v>
      </c>
      <c r="E4" s="8" t="s">
        <v>26</v>
      </c>
      <c r="F4" s="13">
        <v>2069</v>
      </c>
      <c r="G4" s="26" t="s">
        <v>13</v>
      </c>
      <c r="H4" s="2" t="s">
        <v>14</v>
      </c>
    </row>
    <row r="5" spans="1:8" ht="17.25" customHeight="1">
      <c r="A5" s="7" t="s">
        <v>174</v>
      </c>
      <c r="B5" s="8"/>
      <c r="C5" s="8"/>
      <c r="D5" s="8" t="s">
        <v>25</v>
      </c>
      <c r="E5" s="8" t="s">
        <v>16</v>
      </c>
      <c r="F5" s="13">
        <v>60</v>
      </c>
      <c r="G5" s="26" t="s">
        <v>13</v>
      </c>
      <c r="H5" s="2" t="s">
        <v>14</v>
      </c>
    </row>
    <row r="6" spans="1:8" ht="17.25" customHeight="1">
      <c r="A6" s="7" t="s">
        <v>174</v>
      </c>
      <c r="B6" s="8"/>
      <c r="C6" s="8"/>
      <c r="D6" s="8" t="s">
        <v>25</v>
      </c>
      <c r="E6" s="8" t="s">
        <v>136</v>
      </c>
      <c r="F6" s="13">
        <v>509</v>
      </c>
      <c r="G6" s="26" t="s">
        <v>13</v>
      </c>
      <c r="H6" s="2" t="s">
        <v>14</v>
      </c>
    </row>
    <row r="7" spans="1:8" ht="17.25" customHeight="1">
      <c r="A7" s="7" t="s">
        <v>174</v>
      </c>
      <c r="B7" s="8"/>
      <c r="C7" s="8"/>
      <c r="D7" s="8" t="s">
        <v>27</v>
      </c>
      <c r="E7" s="8" t="s">
        <v>16</v>
      </c>
      <c r="F7" s="13">
        <v>127</v>
      </c>
      <c r="G7" s="26" t="s">
        <v>13</v>
      </c>
      <c r="H7" s="2" t="s">
        <v>14</v>
      </c>
    </row>
    <row r="8" spans="1:8" ht="17.25" customHeight="1">
      <c r="A8" s="7" t="s">
        <v>174</v>
      </c>
      <c r="B8" s="8"/>
      <c r="C8" s="8"/>
      <c r="D8" s="8" t="s">
        <v>66</v>
      </c>
      <c r="E8" s="8" t="s">
        <v>16</v>
      </c>
      <c r="F8" s="13">
        <v>494</v>
      </c>
      <c r="G8" s="26" t="s">
        <v>13</v>
      </c>
      <c r="H8" s="2" t="s">
        <v>14</v>
      </c>
    </row>
    <row r="9" spans="1:8">
      <c r="E9" s="23" t="s">
        <v>22</v>
      </c>
      <c r="F9" s="25">
        <f>SUM(F4:F8)</f>
        <v>3259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6"/>
  <sheetViews>
    <sheetView workbookViewId="0">
      <selection activeCell="H4" sqref="H4:H5"/>
    </sheetView>
  </sheetViews>
  <sheetFormatPr defaultColWidth="9.140625" defaultRowHeight="15"/>
  <cols>
    <col min="1" max="2" width="9.28515625" customWidth="1"/>
    <col min="3" max="3" width="9.5703125" customWidth="1"/>
    <col min="4" max="4" width="14.140625" customWidth="1"/>
    <col min="5" max="5" width="10.8554687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7" t="s">
        <v>175</v>
      </c>
      <c r="B4" s="8"/>
      <c r="C4" s="8"/>
      <c r="D4" s="8" t="s">
        <v>25</v>
      </c>
      <c r="E4" s="8" t="s">
        <v>16</v>
      </c>
      <c r="F4" s="13">
        <v>1000</v>
      </c>
      <c r="G4" s="26" t="s">
        <v>13</v>
      </c>
      <c r="H4" s="2" t="s">
        <v>14</v>
      </c>
    </row>
    <row r="5" spans="1:8" ht="17.25" customHeight="1">
      <c r="A5" s="7" t="s">
        <v>175</v>
      </c>
      <c r="B5" s="8"/>
      <c r="C5" s="8"/>
      <c r="D5" s="8" t="s">
        <v>21</v>
      </c>
      <c r="E5" s="8" t="s">
        <v>16</v>
      </c>
      <c r="F5" s="10">
        <v>25</v>
      </c>
      <c r="G5" s="26" t="s">
        <v>13</v>
      </c>
      <c r="H5" s="2" t="s">
        <v>14</v>
      </c>
    </row>
    <row r="6" spans="1:8">
      <c r="E6" s="23" t="s">
        <v>22</v>
      </c>
      <c r="F6" s="25">
        <f>SUM(F1:F5)</f>
        <v>1025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8"/>
  <sheetViews>
    <sheetView workbookViewId="0">
      <selection activeCell="H4" sqref="H4"/>
    </sheetView>
  </sheetViews>
  <sheetFormatPr defaultColWidth="9.140625" defaultRowHeight="15"/>
  <cols>
    <col min="1" max="2" width="9.28515625" customWidth="1"/>
    <col min="3" max="3" width="9.5703125" customWidth="1"/>
    <col min="4" max="4" width="14.7109375" customWidth="1"/>
    <col min="5" max="5" width="12.2851562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7" t="s">
        <v>176</v>
      </c>
      <c r="B4" s="8"/>
      <c r="C4" s="8"/>
      <c r="D4" s="8" t="s">
        <v>25</v>
      </c>
      <c r="E4" s="8" t="s">
        <v>26</v>
      </c>
      <c r="F4" s="13">
        <v>14480</v>
      </c>
      <c r="G4" s="26" t="s">
        <v>13</v>
      </c>
      <c r="H4" s="2" t="s">
        <v>14</v>
      </c>
    </row>
    <row r="5" spans="1:8" ht="17.25" customHeight="1">
      <c r="A5" s="7" t="s">
        <v>176</v>
      </c>
      <c r="B5" s="8"/>
      <c r="C5" s="8"/>
      <c r="D5" s="8" t="s">
        <v>25</v>
      </c>
      <c r="E5" s="8" t="s">
        <v>177</v>
      </c>
      <c r="F5" s="13">
        <v>2320</v>
      </c>
      <c r="G5" s="26" t="s">
        <v>13</v>
      </c>
      <c r="H5" s="2" t="s">
        <v>14</v>
      </c>
    </row>
    <row r="6" spans="1:8" ht="17.25" customHeight="1">
      <c r="A6" s="7" t="s">
        <v>176</v>
      </c>
      <c r="B6" s="8"/>
      <c r="C6" s="8"/>
      <c r="D6" s="8" t="s">
        <v>178</v>
      </c>
      <c r="E6" s="8" t="s">
        <v>16</v>
      </c>
      <c r="F6" s="10">
        <v>505</v>
      </c>
      <c r="G6" s="26" t="s">
        <v>13</v>
      </c>
      <c r="H6" s="2" t="s">
        <v>14</v>
      </c>
    </row>
    <row r="7" spans="1:8" ht="17.25" customHeight="1">
      <c r="A7" s="7" t="s">
        <v>176</v>
      </c>
      <c r="B7" s="8"/>
      <c r="C7" s="8"/>
      <c r="D7" s="8" t="s">
        <v>66</v>
      </c>
      <c r="E7" s="8" t="s">
        <v>16</v>
      </c>
      <c r="F7" s="10">
        <v>511</v>
      </c>
      <c r="G7" s="26" t="s">
        <v>13</v>
      </c>
      <c r="H7" s="2" t="s">
        <v>14</v>
      </c>
    </row>
    <row r="8" spans="1:8">
      <c r="E8" s="23" t="s">
        <v>22</v>
      </c>
      <c r="F8" s="25">
        <f>SUM(F4:F7)</f>
        <v>17816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>
      <selection activeCell="H5" sqref="H5:H6"/>
    </sheetView>
  </sheetViews>
  <sheetFormatPr defaultColWidth="9.140625" defaultRowHeight="15"/>
  <cols>
    <col min="1" max="2" width="9.28515625" customWidth="1"/>
    <col min="3" max="3" width="9.5703125" customWidth="1"/>
    <col min="4" max="4" width="14.42578125" customWidth="1"/>
    <col min="5" max="5" width="11.4257812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7" t="s">
        <v>179</v>
      </c>
      <c r="B4" s="8"/>
      <c r="C4" s="8"/>
      <c r="D4" s="8" t="s">
        <v>25</v>
      </c>
      <c r="E4" s="8" t="s">
        <v>26</v>
      </c>
      <c r="F4" s="13">
        <v>3759</v>
      </c>
      <c r="G4" s="26" t="s">
        <v>13</v>
      </c>
      <c r="H4" s="2" t="s">
        <v>14</v>
      </c>
    </row>
    <row r="5" spans="1:8" ht="17.25" customHeight="1">
      <c r="A5" s="7" t="s">
        <v>179</v>
      </c>
      <c r="B5" s="8"/>
      <c r="C5" s="8"/>
      <c r="D5" s="8" t="s">
        <v>25</v>
      </c>
      <c r="E5" s="8" t="s">
        <v>16</v>
      </c>
      <c r="F5" s="10">
        <v>486</v>
      </c>
      <c r="G5" s="26" t="s">
        <v>13</v>
      </c>
      <c r="H5" s="2" t="s">
        <v>14</v>
      </c>
    </row>
    <row r="6" spans="1:8" ht="17.25" customHeight="1">
      <c r="A6" s="7" t="s">
        <v>179</v>
      </c>
      <c r="B6" s="8"/>
      <c r="C6" s="8"/>
      <c r="D6" s="8" t="s">
        <v>180</v>
      </c>
      <c r="E6" s="8" t="s">
        <v>16</v>
      </c>
      <c r="F6" s="10">
        <v>593</v>
      </c>
      <c r="G6" s="26" t="s">
        <v>13</v>
      </c>
      <c r="H6" s="2" t="s">
        <v>14</v>
      </c>
    </row>
    <row r="7" spans="1:8">
      <c r="E7" s="23" t="s">
        <v>22</v>
      </c>
      <c r="F7" s="25">
        <f>SUM(F4:F6)</f>
        <v>4838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8"/>
  <sheetViews>
    <sheetView workbookViewId="0">
      <selection activeCell="H4" sqref="H4:H7"/>
    </sheetView>
  </sheetViews>
  <sheetFormatPr defaultColWidth="9.140625" defaultRowHeight="15"/>
  <cols>
    <col min="1" max="2" width="9.28515625" customWidth="1"/>
    <col min="3" max="3" width="9.5703125" customWidth="1"/>
    <col min="4" max="4" width="14.28515625" customWidth="1"/>
    <col min="5" max="5" width="11.2851562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7" t="s">
        <v>181</v>
      </c>
      <c r="B4" s="8"/>
      <c r="C4" s="8"/>
      <c r="D4" s="8" t="s">
        <v>25</v>
      </c>
      <c r="E4" s="8" t="s">
        <v>26</v>
      </c>
      <c r="F4" s="13">
        <v>9837</v>
      </c>
      <c r="G4" s="26" t="s">
        <v>13</v>
      </c>
      <c r="H4" s="2" t="s">
        <v>14</v>
      </c>
    </row>
    <row r="5" spans="1:8" ht="17.25" customHeight="1">
      <c r="A5" s="7" t="s">
        <v>181</v>
      </c>
      <c r="B5" s="8"/>
      <c r="C5" s="8"/>
      <c r="D5" s="8" t="s">
        <v>25</v>
      </c>
      <c r="E5" s="8" t="s">
        <v>16</v>
      </c>
      <c r="F5" s="10">
        <v>132</v>
      </c>
      <c r="G5" s="26" t="s">
        <v>13</v>
      </c>
      <c r="H5" s="2" t="s">
        <v>14</v>
      </c>
    </row>
    <row r="6" spans="1:8" ht="17.25" customHeight="1">
      <c r="A6" s="7" t="s">
        <v>181</v>
      </c>
      <c r="B6" s="8"/>
      <c r="C6" s="8"/>
      <c r="D6" s="8" t="s">
        <v>27</v>
      </c>
      <c r="E6" s="8" t="s">
        <v>16</v>
      </c>
      <c r="F6" s="10">
        <v>264</v>
      </c>
      <c r="G6" s="26" t="s">
        <v>13</v>
      </c>
      <c r="H6" s="2" t="s">
        <v>14</v>
      </c>
    </row>
    <row r="7" spans="1:8" ht="17.25" customHeight="1">
      <c r="A7" s="7" t="s">
        <v>181</v>
      </c>
      <c r="B7" s="8"/>
      <c r="C7" s="8"/>
      <c r="D7" s="8" t="s">
        <v>66</v>
      </c>
      <c r="E7" s="8" t="s">
        <v>16</v>
      </c>
      <c r="F7" s="10">
        <v>664</v>
      </c>
      <c r="G7" s="26" t="s">
        <v>13</v>
      </c>
      <c r="H7" s="2" t="s">
        <v>14</v>
      </c>
    </row>
    <row r="8" spans="1:8">
      <c r="E8" s="23" t="s">
        <v>22</v>
      </c>
      <c r="F8" s="25">
        <f>SUM(F4:F7)</f>
        <v>10897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9"/>
  <sheetViews>
    <sheetView workbookViewId="0">
      <selection activeCell="H4" sqref="H4:H6"/>
    </sheetView>
  </sheetViews>
  <sheetFormatPr defaultColWidth="9.140625" defaultRowHeight="15"/>
  <cols>
    <col min="1" max="2" width="9.28515625" customWidth="1"/>
    <col min="3" max="3" width="9.5703125" customWidth="1"/>
    <col min="4" max="4" width="15.140625" customWidth="1"/>
    <col min="5" max="5" width="11.85546875" customWidth="1"/>
    <col min="6" max="6" width="9.140625" customWidth="1"/>
    <col min="7" max="7" width="12.28515625" customWidth="1"/>
    <col min="8" max="8" width="11.7109375" customWidth="1"/>
  </cols>
  <sheetData>
    <row r="1" spans="1:9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9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9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9" ht="17.25" customHeight="1">
      <c r="A4" s="15" t="s">
        <v>182</v>
      </c>
      <c r="B4" s="15"/>
      <c r="C4" s="15"/>
      <c r="D4" s="16" t="s">
        <v>183</v>
      </c>
      <c r="E4" s="16" t="s">
        <v>16</v>
      </c>
      <c r="F4" s="14">
        <v>4007</v>
      </c>
      <c r="G4" s="26" t="s">
        <v>13</v>
      </c>
      <c r="H4" s="2" t="s">
        <v>14</v>
      </c>
    </row>
    <row r="5" spans="1:9" ht="17.25" customHeight="1">
      <c r="A5" s="15" t="s">
        <v>182</v>
      </c>
      <c r="B5" s="15"/>
      <c r="C5" s="15"/>
      <c r="D5" s="16" t="s">
        <v>183</v>
      </c>
      <c r="E5" s="16" t="s">
        <v>16</v>
      </c>
      <c r="F5" s="14">
        <v>2788</v>
      </c>
      <c r="G5" s="26" t="s">
        <v>13</v>
      </c>
      <c r="H5" s="2" t="s">
        <v>14</v>
      </c>
    </row>
    <row r="6" spans="1:9" ht="17.25" customHeight="1">
      <c r="A6" s="15" t="s">
        <v>182</v>
      </c>
      <c r="B6" s="15"/>
      <c r="C6" s="15"/>
      <c r="D6" s="16" t="s">
        <v>21</v>
      </c>
      <c r="E6" s="16" t="s">
        <v>16</v>
      </c>
      <c r="F6" s="14">
        <v>1962</v>
      </c>
      <c r="G6" s="26" t="s">
        <v>13</v>
      </c>
      <c r="H6" s="2" t="s">
        <v>14</v>
      </c>
    </row>
    <row r="7" spans="1:9">
      <c r="E7" s="23" t="s">
        <v>22</v>
      </c>
      <c r="F7" s="25">
        <f>SUM(F4:F6)</f>
        <v>8757</v>
      </c>
    </row>
    <row r="9" spans="1:9">
      <c r="A9" s="21" t="s">
        <v>184</v>
      </c>
      <c r="B9" s="21"/>
      <c r="C9" s="21"/>
      <c r="D9" s="21"/>
      <c r="E9" s="21"/>
      <c r="F9" s="21"/>
      <c r="G9" s="21"/>
      <c r="H9" s="21"/>
      <c r="I9" s="21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8"/>
  <sheetViews>
    <sheetView tabSelected="1" workbookViewId="0">
      <selection activeCell="H5" sqref="H5:H7"/>
    </sheetView>
  </sheetViews>
  <sheetFormatPr defaultColWidth="9.140625" defaultRowHeight="15"/>
  <cols>
    <col min="1" max="2" width="9.28515625" customWidth="1"/>
    <col min="3" max="3" width="9.5703125" customWidth="1"/>
    <col min="4" max="4" width="13.5703125" customWidth="1"/>
    <col min="5" max="5" width="12.42578125" customWidth="1"/>
    <col min="6" max="6" width="9.140625" customWidth="1"/>
    <col min="7" max="7" width="12.28515625" customWidth="1"/>
    <col min="8" max="8" width="11.7109375" customWidth="1"/>
  </cols>
  <sheetData>
    <row r="1" spans="1:8" ht="15" customHeight="1">
      <c r="A1" s="44" t="s">
        <v>0</v>
      </c>
      <c r="B1" s="44"/>
      <c r="C1" s="44"/>
      <c r="D1" s="44"/>
      <c r="E1" s="44"/>
      <c r="F1" s="44"/>
      <c r="G1" s="44"/>
      <c r="H1" s="45"/>
    </row>
    <row r="2" spans="1:8" ht="16.5" customHeight="1">
      <c r="A2" s="46" t="s">
        <v>1</v>
      </c>
      <c r="B2" s="46"/>
      <c r="C2" s="46"/>
      <c r="D2" s="46"/>
      <c r="E2" s="46"/>
      <c r="F2" s="46"/>
      <c r="G2" s="46"/>
      <c r="H2" s="47"/>
    </row>
    <row r="3" spans="1:8" ht="48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7.25" customHeight="1">
      <c r="A4" s="7" t="s">
        <v>185</v>
      </c>
      <c r="B4" s="8"/>
      <c r="C4" s="8"/>
      <c r="D4" s="8" t="s">
        <v>25</v>
      </c>
      <c r="E4" s="8" t="s">
        <v>16</v>
      </c>
      <c r="F4" s="13">
        <v>373</v>
      </c>
      <c r="G4" s="26" t="s">
        <v>13</v>
      </c>
      <c r="H4" s="2" t="s">
        <v>14</v>
      </c>
    </row>
    <row r="5" spans="1:8" ht="17.25" customHeight="1">
      <c r="A5" s="7" t="s">
        <v>185</v>
      </c>
      <c r="B5" s="8"/>
      <c r="C5" s="8"/>
      <c r="D5" s="8" t="s">
        <v>25</v>
      </c>
      <c r="E5" s="8" t="s">
        <v>26</v>
      </c>
      <c r="F5" s="13">
        <v>3871</v>
      </c>
      <c r="G5" s="26" t="s">
        <v>13</v>
      </c>
      <c r="H5" s="2" t="s">
        <v>14</v>
      </c>
    </row>
    <row r="6" spans="1:8" ht="17.25" customHeight="1">
      <c r="A6" s="7" t="s">
        <v>185</v>
      </c>
      <c r="B6" s="8"/>
      <c r="C6" s="8"/>
      <c r="D6" s="8" t="s">
        <v>27</v>
      </c>
      <c r="E6" s="8" t="s">
        <v>26</v>
      </c>
      <c r="F6" s="13">
        <v>458</v>
      </c>
      <c r="G6" s="26" t="s">
        <v>13</v>
      </c>
      <c r="H6" s="2" t="s">
        <v>14</v>
      </c>
    </row>
    <row r="7" spans="1:8" ht="17.25" customHeight="1">
      <c r="A7" s="7" t="s">
        <v>185</v>
      </c>
      <c r="B7" s="8"/>
      <c r="C7" s="8"/>
      <c r="D7" s="8" t="s">
        <v>21</v>
      </c>
      <c r="E7" s="8" t="s">
        <v>16</v>
      </c>
      <c r="F7" s="13">
        <v>586</v>
      </c>
      <c r="G7" s="26" t="s">
        <v>13</v>
      </c>
      <c r="H7" s="2" t="s">
        <v>14</v>
      </c>
    </row>
    <row r="8" spans="1:8">
      <c r="E8" s="23" t="s">
        <v>22</v>
      </c>
      <c r="F8" s="25">
        <f>SUM(F4:F7)</f>
        <v>5288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6" ma:contentTypeDescription="Create a new document." ma:contentTypeScope="" ma:versionID="0a373da26d21645226900e2d7ea562b3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859b85f2aa58925d0ae3520354540a66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E0C946-6BF2-4C60-804A-BFA55B154BA1}"/>
</file>

<file path=customXml/itemProps2.xml><?xml version="1.0" encoding="utf-8"?>
<ds:datastoreItem xmlns:ds="http://schemas.openxmlformats.org/officeDocument/2006/customXml" ds:itemID="{858D2BA9-F7F9-4897-BEA2-1F4E143603B1}"/>
</file>

<file path=customXml/itemProps3.xml><?xml version="1.0" encoding="utf-8"?>
<ds:datastoreItem xmlns:ds="http://schemas.openxmlformats.org/officeDocument/2006/customXml" ds:itemID="{8237FB0D-192C-4AF8-AA9B-209FBD3EF9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NMCI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Lacidonia, Roxanne L CIV NAVFAC, N40080</dc:creator>
  <cp:keywords/>
  <dc:description/>
  <cp:lastModifiedBy>Gilkes, Shonn M CIV USN NAVFAC WASHINGTON DC (USA)</cp:lastModifiedBy>
  <cp:revision/>
  <dcterms:created xsi:type="dcterms:W3CDTF">2017-04-14T18:23:25Z</dcterms:created>
  <dcterms:modified xsi:type="dcterms:W3CDTF">2025-12-29T18:36:18Z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</Properties>
</file>