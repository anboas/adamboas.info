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faa.gov\faafile\ATO\AWA\AJA\AJA-4\AJA-47 Shared\AJA-471 Shared\Sumner\26-R-00003 CSA Guards\04 SIR\RFIs\"/>
    </mc:Choice>
  </mc:AlternateContent>
  <xr:revisionPtr revIDLastSave="0" documentId="8_{15B23331-AEFC-4AAF-AABA-345A1131EEFC}" xr6:coauthVersionLast="47" xr6:coauthVersionMax="47" xr10:uidLastSave="{00000000-0000-0000-0000-000000000000}"/>
  <bookViews>
    <workbookView xWindow="-120" yWindow="-120" windowWidth="29040" windowHeight="15720" tabRatio="830" firstSheet="1" activeTab="1" xr2:uid="{00000000-000D-0000-FFFF-FFFF00000000}"/>
  </bookViews>
  <sheets>
    <sheet name="CLIN Pricing Information" sheetId="157" r:id="rId1"/>
    <sheet name="SIR Section B Input" sheetId="114" r:id="rId2"/>
    <sheet name="Summary Prices By Site" sheetId="117" r:id="rId3"/>
    <sheet name="SCA WD" sheetId="115" r:id="rId4"/>
    <sheet name="CBA WD " sheetId="116" r:id="rId5"/>
    <sheet name="C90 Rate Build Up" sheetId="124" r:id="rId6"/>
    <sheet name="D10 Rate Build Up" sheetId="126" r:id="rId7"/>
    <sheet name="DFW ATCT-E Rate Build Up" sheetId="128" r:id="rId8"/>
    <sheet name="DFW ATCT-W Rate Build Up" sheetId="130" r:id="rId9"/>
    <sheet name="DTW Rate Build Up" sheetId="132" r:id="rId10"/>
    <sheet name="I90 TRACON Rate Build Up" sheetId="134" r:id="rId11"/>
    <sheet name="IAH ATCT Rate Build Up" sheetId="136" r:id="rId12"/>
    <sheet name="MSP ATCT Rate Build Up" sheetId="138" r:id="rId13"/>
    <sheet name="ORD ATCT Rate Build Up" sheetId="140" r:id="rId14"/>
    <sheet name="ZAB ARTCC Rate Build Up" sheetId="142" r:id="rId15"/>
    <sheet name="ZAU Rate Build Up" sheetId="144" r:id="rId16"/>
    <sheet name="ZFW Rate Build Up" sheetId="146" r:id="rId17"/>
    <sheet name="ZHU Rate Build Up" sheetId="148" r:id="rId18"/>
    <sheet name="ZID Rate Build Up" sheetId="150" r:id="rId19"/>
    <sheet name="ZKC Rate Build Up" sheetId="152" r:id="rId20"/>
    <sheet name="ZMP Rate Build Up" sheetId="154" r:id="rId21"/>
    <sheet name="ZOB Rate Build Up" sheetId="156" r:id="rId22"/>
  </sheets>
  <definedNames>
    <definedName name="_BasePeriod">'SIR Section B Input'!$K$2</definedName>
    <definedName name="_OP1">'SIR Section B Input'!$K$3</definedName>
    <definedName name="_OP2">'SIR Section B Input'!$K$4</definedName>
    <definedName name="_OP3">'SIR Section B Input'!$K$5</definedName>
    <definedName name="_OP4">'SIR Section B Input'!$K$6</definedName>
    <definedName name="A">#REF!</definedName>
    <definedName name="abb">#REF!</definedName>
    <definedName name="accr">#REF!</definedName>
    <definedName name="acpu">#REF!</definedName>
    <definedName name="acss">#REF!</definedName>
    <definedName name="act">#REF!</definedName>
    <definedName name="acur">#REF!</definedName>
    <definedName name="adac">#REF!</definedName>
    <definedName name="adry">#REF!</definedName>
    <definedName name="afsn">#REF!</definedName>
    <definedName name="ah">#REF!</definedName>
    <definedName name="airc">#REF!</definedName>
    <definedName name="aiu">#REF!</definedName>
    <definedName name="apge">#REF!</definedName>
    <definedName name="aprpt">#REF!</definedName>
    <definedName name="aqs">#REF!</definedName>
    <definedName name="arv">#REF!</definedName>
    <definedName name="atos">#REF!</definedName>
    <definedName name="ats">#REF!</definedName>
    <definedName name="autdr">#REF!</definedName>
    <definedName name="avc">#REF!</definedName>
    <definedName name="avm">#REF!</definedName>
    <definedName name="Base">'SIR Section B Input'!#REF!</definedName>
    <definedName name="batch">#REF!</definedName>
    <definedName name="bbht">#REF!</definedName>
    <definedName name="bflgt">#REF!</definedName>
    <definedName name="bfnc">#REF!</definedName>
    <definedName name="bfp">#REF!</definedName>
    <definedName name="blr">#REF!</definedName>
    <definedName name="boocl">#REF!</definedName>
    <definedName name="bov">#REF!</definedName>
    <definedName name="brdg">#REF!</definedName>
    <definedName name="bs">#REF!</definedName>
    <definedName name="bsps">#REF!</definedName>
    <definedName name="btum">#REF!</definedName>
    <definedName name="butvl">#REF!</definedName>
    <definedName name="bv">#REF!</definedName>
    <definedName name="cath">#REF!</definedName>
    <definedName name="cbr">#REF!</definedName>
    <definedName name="chem">#REF!</definedName>
    <definedName name="chgdet">#REF!</definedName>
    <definedName name="chllr">#REF!</definedName>
    <definedName name="chlor">#REF!</definedName>
    <definedName name="chnhst">#REF!</definedName>
    <definedName name="closer">#REF!</definedName>
    <definedName name="comp">#REF!</definedName>
    <definedName name="compch">#REF!</definedName>
    <definedName name="condu">#REF!</definedName>
    <definedName name="cont">#REF!</definedName>
    <definedName name="contp">#REF!</definedName>
    <definedName name="contrly">#REF!</definedName>
    <definedName name="contv">#REF!</definedName>
    <definedName name="Conv.">#REF!</definedName>
    <definedName name="coolt">#REF!</definedName>
    <definedName name="crac">#REF!</definedName>
    <definedName name="crly">#REF!</definedName>
    <definedName name="cstr">#REF!</definedName>
    <definedName name="cu">#REF!</definedName>
    <definedName name="damfg">#REF!</definedName>
    <definedName name="dami">#REF!</definedName>
    <definedName name="damper">#REF!</definedName>
    <definedName name="dehum">#REF!</definedName>
    <definedName name="device">#REF!</definedName>
    <definedName name="diff">#REF!</definedName>
    <definedName name="difsen">#REF!</definedName>
    <definedName name="difsw">#REF!</definedName>
    <definedName name="dist">#REF!</definedName>
    <definedName name="domgen">#REF!</definedName>
    <definedName name="drnclos">#REF!</definedName>
    <definedName name="drnk">#REF!</definedName>
    <definedName name="dual">#REF!</definedName>
    <definedName name="ductsmk">#REF!</definedName>
    <definedName name="ducttmp">#REF!</definedName>
    <definedName name="edrsl">#REF!</definedName>
    <definedName name="edrsw">#REF!</definedName>
    <definedName name="ef">#REF!</definedName>
    <definedName name="egcon">#REF!</definedName>
    <definedName name="elevwa">#REF!</definedName>
    <definedName name="elmg">#REF!</definedName>
    <definedName name="emdis">#REF!</definedName>
    <definedName name="emltg">#REF!</definedName>
    <definedName name="emsht">#REF!</definedName>
    <definedName name="emtr">#REF!</definedName>
    <definedName name="eqbasn">#REF!</definedName>
    <definedName name="eqptmnt">#REF!</definedName>
    <definedName name="etherm">#REF!</definedName>
    <definedName name="evapc">#REF!</definedName>
    <definedName name="evapcl">#REF!</definedName>
    <definedName name="exptnk">#REF!</definedName>
    <definedName name="fa">#REF!</definedName>
    <definedName name="fga">#REF!</definedName>
    <definedName name="fgp">#REF!</definedName>
    <definedName name="fh">#REF!</definedName>
    <definedName name="filt">#REF!</definedName>
    <definedName name="fin">#REF!</definedName>
    <definedName name="firesys">#REF!</definedName>
    <definedName name="flowhyd">#REF!</definedName>
    <definedName name="flsen">#REF!</definedName>
    <definedName name="focs">#REF!</definedName>
    <definedName name="fohs">#REF!</definedName>
    <definedName name="fsd">#REF!</definedName>
    <definedName name="fsdp">#REF!</definedName>
    <definedName name="fssd">#REF!</definedName>
    <definedName name="fsswet">#REF!</definedName>
    <definedName name="fsswtp">#REF!</definedName>
    <definedName name="fueltnk">#REF!</definedName>
    <definedName name="furn">#REF!</definedName>
    <definedName name="gasm">#REF!</definedName>
    <definedName name="gasp">#REF!</definedName>
    <definedName name="gasr">#REF!</definedName>
    <definedName name="gd">#REF!</definedName>
    <definedName name="gem">#REF!</definedName>
    <definedName name="gen">#REF!</definedName>
    <definedName name="glyc">#REF!</definedName>
    <definedName name="gmv">#REF!</definedName>
    <definedName name="grd">#REF!</definedName>
    <definedName name="grdbnd">#REF!</definedName>
    <definedName name="grnd">#REF!</definedName>
    <definedName name="grv">#REF!</definedName>
    <definedName name="gs">#REF!</definedName>
    <definedName name="gv">#REF!</definedName>
    <definedName name="HEADER">#REF!</definedName>
    <definedName name="heate">#REF!</definedName>
    <definedName name="herbeqpt">#REF!</definedName>
    <definedName name="hgrdr">#REF!</definedName>
    <definedName name="hilo">#REF!</definedName>
    <definedName name="hitmp">#REF!</definedName>
    <definedName name="horn">#REF!</definedName>
    <definedName name="hosp">#REF!</definedName>
    <definedName name="hp">#REF!</definedName>
    <definedName name="hsl">#REF!</definedName>
    <definedName name="hthw">#REF!</definedName>
    <definedName name="humsen">#REF!</definedName>
    <definedName name="hv">#REF!</definedName>
    <definedName name="hx">#REF!</definedName>
    <definedName name="hydfl">#REF!</definedName>
    <definedName name="ieu">#REF!</definedName>
    <definedName name="ignit">#REF!</definedName>
    <definedName name="insptzz">#REF!</definedName>
    <definedName name="ip">#REF!</definedName>
    <definedName name="ld">#REF!</definedName>
    <definedName name="lead">#REF!</definedName>
    <definedName name="lift">#REF!</definedName>
    <definedName name="line6">#REF!</definedName>
    <definedName name="litng">#REF!</definedName>
    <definedName name="ltds">#REF!</definedName>
    <definedName name="ma">#REF!</definedName>
    <definedName name="mai">#REF!</definedName>
    <definedName name="mao">#REF!</definedName>
    <definedName name="mastot">#REF!</definedName>
    <definedName name="mbkr">#REF!</definedName>
    <definedName name="mdp">#REF!</definedName>
    <definedName name="me">#REF!</definedName>
    <definedName name="mfp">#REF!</definedName>
    <definedName name="mgt">#REF!</definedName>
    <definedName name="mhole">#REF!</definedName>
    <definedName name="mono">#REF!</definedName>
    <definedName name="motion">#REF!</definedName>
    <definedName name="motor">#REF!</definedName>
    <definedName name="ms">#REF!</definedName>
    <definedName name="msigns">#REF!</definedName>
    <definedName name="msys">#REF!</definedName>
    <definedName name="mthweg">#REF!</definedName>
    <definedName name="mts">#REF!</definedName>
    <definedName name="mtsw">#REF!</definedName>
    <definedName name="muau">#REF!</definedName>
    <definedName name="multi">#REF!</definedName>
    <definedName name="mwsv">#REF!</definedName>
    <definedName name="npvm">#REF!</definedName>
    <definedName name="oats">#REF!</definedName>
    <definedName name="ohd">#REF!</definedName>
    <definedName name="ohe">#REF!</definedName>
    <definedName name="oice">#REF!</definedName>
    <definedName name="omeg">#REF!</definedName>
    <definedName name="opht">#REF!</definedName>
    <definedName name="ox">#REF!</definedName>
    <definedName name="oxs">#REF!</definedName>
    <definedName name="pb">#REF!</definedName>
    <definedName name="pc">#REF!</definedName>
    <definedName name="pcs">#REF!</definedName>
    <definedName name="pdc">#REF!</definedName>
    <definedName name="pds">#REF!</definedName>
    <definedName name="pesd">#REF!</definedName>
    <definedName name="play">#REF!</definedName>
    <definedName name="pmp">#REF!</definedName>
    <definedName name="pneu">#REF!</definedName>
    <definedName name="potres">#REF!</definedName>
    <definedName name="presrv">#REF!</definedName>
    <definedName name="prv">#REF!</definedName>
    <definedName name="ps">#REF!</definedName>
    <definedName name="psc">#REF!</definedName>
    <definedName name="pwin">#REF!</definedName>
    <definedName name="Rate">#REF!</definedName>
    <definedName name="rcc">#REF!</definedName>
    <definedName name="read">#REF!</definedName>
    <definedName name="rec">#REF!</definedName>
    <definedName name="refc">#REF!</definedName>
    <definedName name="refe">#REF!</definedName>
    <definedName name="rel">#REF!</definedName>
    <definedName name="repmp">#REF!</definedName>
    <definedName name="rf">#REF!</definedName>
    <definedName name="rflg">#REF!</definedName>
    <definedName name="rh">#REF!</definedName>
    <definedName name="rli">#REF!</definedName>
    <definedName name="robi">#REF!</definedName>
    <definedName name="roc">#REF!</definedName>
    <definedName name="rose">#REF!</definedName>
    <definedName name="round">#REF!</definedName>
    <definedName name="ROV">#REF!</definedName>
    <definedName name="rpot">#REF!</definedName>
    <definedName name="rwc">#REF!</definedName>
    <definedName name="rzs">#REF!</definedName>
    <definedName name="rzsc">#REF!</definedName>
    <definedName name="safe">#REF!</definedName>
    <definedName name="sai">#REF!</definedName>
    <definedName name="sb">#REF!</definedName>
    <definedName name="sd">#REF!</definedName>
    <definedName name="sdd">#REF!</definedName>
    <definedName name="sdgd">#REF!</definedName>
    <definedName name="sdr">#REF!</definedName>
    <definedName name="sdstat">#REF!</definedName>
    <definedName name="secc">#REF!</definedName>
    <definedName name="sed">#REF!</definedName>
    <definedName name="seim">#REF!</definedName>
    <definedName name="sew">#REF!</definedName>
    <definedName name="sfd">#REF!</definedName>
    <definedName name="sfen">#REF!</definedName>
    <definedName name="sh">#REF!</definedName>
    <definedName name="shd">#REF!</definedName>
    <definedName name="shi">#REF!</definedName>
    <definedName name="signs">#REF!</definedName>
    <definedName name="sim">#REF!</definedName>
    <definedName name="smhd">#REF!</definedName>
    <definedName name="solar">#REF!</definedName>
    <definedName name="sp">#REF!</definedName>
    <definedName name="spes">#REF!</definedName>
    <definedName name="sps">#REF!</definedName>
    <definedName name="sr">#REF!</definedName>
    <definedName name="sssc">#REF!</definedName>
    <definedName name="start">#REF!</definedName>
    <definedName name="stcul">#REF!</definedName>
    <definedName name="steamv">#REF!</definedName>
    <definedName name="strlt">#REF!</definedName>
    <definedName name="sts">#REF!</definedName>
    <definedName name="supf">#REF!</definedName>
    <definedName name="sv">#REF!</definedName>
    <definedName name="swbd">#REF!</definedName>
    <definedName name="swgr">#REF!</definedName>
    <definedName name="swsta">#REF!</definedName>
    <definedName name="swv">#REF!</definedName>
    <definedName name="sysor">#REF!</definedName>
    <definedName name="therm">#REF!</definedName>
    <definedName name="trns">#REF!</definedName>
    <definedName name="trnsw">#REF!</definedName>
    <definedName name="ts">#REF!</definedName>
    <definedName name="tstat">#REF!</definedName>
    <definedName name="tsw">#REF!</definedName>
    <definedName name="turb">#REF!</definedName>
    <definedName name="ul">#REF!</definedName>
    <definedName name="unhtr">#REF!</definedName>
    <definedName name="va">#REF!</definedName>
    <definedName name="vac">#REF!</definedName>
    <definedName name="valmo">#REF!</definedName>
    <definedName name="vavc">#REF!</definedName>
    <definedName name="vavu">#REF!</definedName>
    <definedName name="vin">#REF!</definedName>
    <definedName name="vlvs">#REF!</definedName>
    <definedName name="vocc">#REF!</definedName>
    <definedName name="vpos">#REF!</definedName>
    <definedName name="vposf">#REF!</definedName>
    <definedName name="WAGES">#REF!</definedName>
    <definedName name="was">#REF!</definedName>
    <definedName name="wcv">#REF!</definedName>
    <definedName name="wfs">#REF!</definedName>
    <definedName name="wft">#REF!</definedName>
    <definedName name="wgv">#REF!</definedName>
    <definedName name="wh">#REF!</definedName>
    <definedName name="wic">#REF!</definedName>
    <definedName name="wif">#REF!</definedName>
    <definedName name="wint">#REF!</definedName>
    <definedName name="wmv">#REF!</definedName>
    <definedName name="wosy">#REF!</definedName>
    <definedName name="wpm">#REF!</definedName>
    <definedName name="wprv">#REF!</definedName>
    <definedName name="wsof">#REF!</definedName>
    <definedName name="wsvm">#REF!</definedName>
    <definedName name="YEAR">#REF!</definedName>
    <definedName name="zm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0" i="126" l="1"/>
  <c r="H340" i="128"/>
  <c r="H340" i="130"/>
  <c r="H340" i="132"/>
  <c r="H340" i="134"/>
  <c r="H340" i="136"/>
  <c r="H340" i="138"/>
  <c r="H340" i="140"/>
  <c r="H340" i="142"/>
  <c r="H340" i="144"/>
  <c r="H340" i="146"/>
  <c r="H340" i="148"/>
  <c r="H340" i="150"/>
  <c r="H340" i="152"/>
  <c r="H340" i="154"/>
  <c r="H340" i="156"/>
  <c r="H340" i="124"/>
  <c r="H272" i="126"/>
  <c r="H272" i="128"/>
  <c r="H272" i="130"/>
  <c r="H272" i="132"/>
  <c r="H272" i="134"/>
  <c r="H272" i="136"/>
  <c r="H272" i="138"/>
  <c r="H272" i="140"/>
  <c r="H272" i="142"/>
  <c r="H272" i="144"/>
  <c r="H272" i="146"/>
  <c r="H272" i="148"/>
  <c r="H272" i="150"/>
  <c r="H272" i="152"/>
  <c r="H272" i="154"/>
  <c r="H272" i="156"/>
  <c r="H272" i="124"/>
  <c r="H204" i="126"/>
  <c r="H204" i="128"/>
  <c r="H204" i="130"/>
  <c r="H204" i="132"/>
  <c r="H204" i="134"/>
  <c r="H204" i="136"/>
  <c r="H204" i="138"/>
  <c r="H204" i="140"/>
  <c r="H204" i="142"/>
  <c r="H204" i="144"/>
  <c r="H204" i="146"/>
  <c r="H204" i="148"/>
  <c r="H204" i="150"/>
  <c r="H204" i="152"/>
  <c r="H204" i="154"/>
  <c r="H204" i="156"/>
  <c r="H204" i="124"/>
  <c r="H136" i="126"/>
  <c r="H136" i="128"/>
  <c r="H136" i="130"/>
  <c r="H136" i="132"/>
  <c r="H136" i="134"/>
  <c r="H136" i="136"/>
  <c r="H136" i="138"/>
  <c r="H136" i="140"/>
  <c r="H136" i="142"/>
  <c r="H136" i="144"/>
  <c r="H136" i="146"/>
  <c r="H136" i="148"/>
  <c r="H136" i="150"/>
  <c r="H136" i="152"/>
  <c r="H136" i="154"/>
  <c r="H136" i="156"/>
  <c r="H136" i="124"/>
  <c r="H68" i="126"/>
  <c r="H68" i="128"/>
  <c r="H68" i="130"/>
  <c r="H68" i="132"/>
  <c r="H68" i="134"/>
  <c r="H68" i="136"/>
  <c r="H68" i="138"/>
  <c r="H68" i="140"/>
  <c r="H68" i="142"/>
  <c r="H68" i="144"/>
  <c r="H68" i="146"/>
  <c r="H68" i="148"/>
  <c r="H68" i="150"/>
  <c r="H68" i="152"/>
  <c r="H68" i="154"/>
  <c r="H68" i="156"/>
  <c r="H68" i="124"/>
  <c r="H147" i="114" l="1"/>
  <c r="G147" i="114" s="1"/>
  <c r="A4" i="128"/>
  <c r="A4" i="130"/>
  <c r="A4" i="132"/>
  <c r="A4" i="134"/>
  <c r="A4" i="136"/>
  <c r="A4" i="138"/>
  <c r="A4" i="140"/>
  <c r="A4" i="142"/>
  <c r="A4" i="144"/>
  <c r="A4" i="146"/>
  <c r="A4" i="148"/>
  <c r="A4" i="150"/>
  <c r="A4" i="152"/>
  <c r="A4" i="154"/>
  <c r="A4" i="156"/>
  <c r="A4" i="126"/>
  <c r="A4" i="124"/>
  <c r="A2" i="128" a="1"/>
  <c r="A2" i="128" s="1"/>
  <c r="A2" i="130" a="1"/>
  <c r="A2" i="130" s="1"/>
  <c r="A2" i="132" a="1"/>
  <c r="A2" i="132" s="1"/>
  <c r="A2" i="134" a="1"/>
  <c r="A2" i="134" s="1"/>
  <c r="A2" i="136" a="1"/>
  <c r="A2" i="136" s="1"/>
  <c r="A2" i="138" a="1"/>
  <c r="A2" i="138" s="1"/>
  <c r="A2" i="140" a="1"/>
  <c r="A2" i="140" s="1"/>
  <c r="A2" i="142" a="1"/>
  <c r="A2" i="142" s="1"/>
  <c r="A2" i="144" a="1"/>
  <c r="A2" i="144" s="1"/>
  <c r="A2" i="146" a="1"/>
  <c r="A2" i="146" s="1"/>
  <c r="A2" i="148" a="1"/>
  <c r="A2" i="148" s="1"/>
  <c r="A2" i="150" a="1"/>
  <c r="A2" i="150" s="1"/>
  <c r="A2" i="152" a="1"/>
  <c r="A2" i="152" s="1"/>
  <c r="A2" i="154" a="1"/>
  <c r="A2" i="154" s="1"/>
  <c r="A2" i="156" a="1"/>
  <c r="A2" i="156" s="1"/>
  <c r="A2" i="126" a="1"/>
  <c r="A2" i="126" s="1"/>
  <c r="A2" i="124" a="1"/>
  <c r="A2" i="124" s="1"/>
  <c r="H97" i="156"/>
  <c r="A70" i="124" l="1"/>
  <c r="G44" i="124"/>
  <c r="E30" i="124"/>
  <c r="I333" i="156"/>
  <c r="I329" i="156"/>
  <c r="G326" i="156"/>
  <c r="G325" i="156"/>
  <c r="G324" i="156"/>
  <c r="G323" i="156"/>
  <c r="G322" i="156"/>
  <c r="G321" i="156"/>
  <c r="G320" i="156"/>
  <c r="G319" i="156"/>
  <c r="G318" i="156"/>
  <c r="G317" i="156"/>
  <c r="G316" i="156"/>
  <c r="E307" i="156"/>
  <c r="E306" i="156"/>
  <c r="E305" i="156"/>
  <c r="E304" i="156"/>
  <c r="E303" i="156"/>
  <c r="E302" i="156"/>
  <c r="H301" i="156"/>
  <c r="A276" i="156"/>
  <c r="I265" i="156"/>
  <c r="I261" i="156"/>
  <c r="G258" i="156"/>
  <c r="G257" i="156"/>
  <c r="G256" i="156"/>
  <c r="G255" i="156"/>
  <c r="G254" i="156"/>
  <c r="G253" i="156"/>
  <c r="G252" i="156"/>
  <c r="G251" i="156"/>
  <c r="G250" i="156"/>
  <c r="G249" i="156"/>
  <c r="G248" i="156"/>
  <c r="E239" i="156"/>
  <c r="E238" i="156"/>
  <c r="E237" i="156"/>
  <c r="E236" i="156"/>
  <c r="E235" i="156"/>
  <c r="E234" i="156"/>
  <c r="H233" i="156"/>
  <c r="A208" i="156"/>
  <c r="I197" i="156"/>
  <c r="I193" i="156"/>
  <c r="G190" i="156"/>
  <c r="G189" i="156"/>
  <c r="G188" i="156"/>
  <c r="G187" i="156"/>
  <c r="G186" i="156"/>
  <c r="G185" i="156"/>
  <c r="G184" i="156"/>
  <c r="G183" i="156"/>
  <c r="G182" i="156"/>
  <c r="G181" i="156"/>
  <c r="G180" i="156"/>
  <c r="E171" i="156"/>
  <c r="E170" i="156"/>
  <c r="E169" i="156"/>
  <c r="E168" i="156"/>
  <c r="E167" i="156"/>
  <c r="E166" i="156"/>
  <c r="H165" i="156"/>
  <c r="A140" i="156"/>
  <c r="I129" i="156"/>
  <c r="I125" i="156"/>
  <c r="G122" i="156"/>
  <c r="G121" i="156"/>
  <c r="G120" i="156"/>
  <c r="G119" i="156"/>
  <c r="G118" i="156"/>
  <c r="G117" i="156"/>
  <c r="G116" i="156"/>
  <c r="G115" i="156"/>
  <c r="G114" i="156"/>
  <c r="G113" i="156"/>
  <c r="G112" i="156"/>
  <c r="E103" i="156"/>
  <c r="E102" i="156"/>
  <c r="E101" i="156"/>
  <c r="E100" i="156"/>
  <c r="E99" i="156"/>
  <c r="E98" i="156"/>
  <c r="A72" i="156"/>
  <c r="I61" i="156"/>
  <c r="I57" i="156"/>
  <c r="G54" i="156"/>
  <c r="G53" i="156"/>
  <c r="G52" i="156"/>
  <c r="G51" i="156"/>
  <c r="G50" i="156"/>
  <c r="G49" i="156"/>
  <c r="G48" i="156"/>
  <c r="G47" i="156"/>
  <c r="G46" i="156"/>
  <c r="G45" i="156"/>
  <c r="G44" i="156"/>
  <c r="H54" i="156" s="1"/>
  <c r="E35" i="156"/>
  <c r="E34" i="156"/>
  <c r="E33" i="156"/>
  <c r="E32" i="156"/>
  <c r="E31" i="156"/>
  <c r="E30" i="156"/>
  <c r="H29" i="156"/>
  <c r="A70" i="156"/>
  <c r="H15" i="156"/>
  <c r="H13" i="156"/>
  <c r="H6" i="156"/>
  <c r="I333" i="154"/>
  <c r="I329" i="154"/>
  <c r="G326" i="154"/>
  <c r="G325" i="154"/>
  <c r="G324" i="154"/>
  <c r="G323" i="154"/>
  <c r="G322" i="154"/>
  <c r="G321" i="154"/>
  <c r="G320" i="154"/>
  <c r="G319" i="154"/>
  <c r="G318" i="154"/>
  <c r="G317" i="154"/>
  <c r="G316" i="154"/>
  <c r="E307" i="154"/>
  <c r="E306" i="154"/>
  <c r="E305" i="154"/>
  <c r="E304" i="154"/>
  <c r="E303" i="154"/>
  <c r="E302" i="154"/>
  <c r="H301" i="154"/>
  <c r="A276" i="154"/>
  <c r="I265" i="154"/>
  <c r="I261" i="154"/>
  <c r="G258" i="154"/>
  <c r="G257" i="154"/>
  <c r="G256" i="154"/>
  <c r="G255" i="154"/>
  <c r="G254" i="154"/>
  <c r="G253" i="154"/>
  <c r="G252" i="154"/>
  <c r="G251" i="154"/>
  <c r="G250" i="154"/>
  <c r="G249" i="154"/>
  <c r="G248" i="154"/>
  <c r="E239" i="154"/>
  <c r="E238" i="154"/>
  <c r="E237" i="154"/>
  <c r="E236" i="154"/>
  <c r="E235" i="154"/>
  <c r="E234" i="154"/>
  <c r="H233" i="154"/>
  <c r="A208" i="154"/>
  <c r="I197" i="154"/>
  <c r="I193" i="154"/>
  <c r="G190" i="154"/>
  <c r="G189" i="154"/>
  <c r="G188" i="154"/>
  <c r="G187" i="154"/>
  <c r="G186" i="154"/>
  <c r="G185" i="154"/>
  <c r="G184" i="154"/>
  <c r="G183" i="154"/>
  <c r="G182" i="154"/>
  <c r="G181" i="154"/>
  <c r="G180" i="154"/>
  <c r="E171" i="154"/>
  <c r="E170" i="154"/>
  <c r="E169" i="154"/>
  <c r="E168" i="154"/>
  <c r="E167" i="154"/>
  <c r="E166" i="154"/>
  <c r="H165" i="154"/>
  <c r="A140" i="154"/>
  <c r="I129" i="154"/>
  <c r="I125" i="154"/>
  <c r="G122" i="154"/>
  <c r="G121" i="154"/>
  <c r="G120" i="154"/>
  <c r="G119" i="154"/>
  <c r="G118" i="154"/>
  <c r="G117" i="154"/>
  <c r="G116" i="154"/>
  <c r="G115" i="154"/>
  <c r="G114" i="154"/>
  <c r="G113" i="154"/>
  <c r="G112" i="154"/>
  <c r="E103" i="154"/>
  <c r="E102" i="154"/>
  <c r="E101" i="154"/>
  <c r="E100" i="154"/>
  <c r="E99" i="154"/>
  <c r="E98" i="154"/>
  <c r="H97" i="154"/>
  <c r="A72" i="154"/>
  <c r="I61" i="154"/>
  <c r="I57" i="154"/>
  <c r="G54" i="154"/>
  <c r="G53" i="154"/>
  <c r="G52" i="154"/>
  <c r="G51" i="154"/>
  <c r="G50" i="154"/>
  <c r="G49" i="154"/>
  <c r="G48" i="154"/>
  <c r="G47" i="154"/>
  <c r="G46" i="154"/>
  <c r="G45" i="154"/>
  <c r="H54" i="154" s="1"/>
  <c r="G44" i="154"/>
  <c r="E35" i="154"/>
  <c r="E34" i="154"/>
  <c r="E33" i="154"/>
  <c r="E32" i="154"/>
  <c r="E31" i="154"/>
  <c r="E30" i="154"/>
  <c r="H29" i="154"/>
  <c r="A274" i="154"/>
  <c r="I333" i="152"/>
  <c r="I329" i="152"/>
  <c r="G326" i="152"/>
  <c r="G325" i="152"/>
  <c r="G324" i="152"/>
  <c r="G323" i="152"/>
  <c r="G322" i="152"/>
  <c r="G321" i="152"/>
  <c r="G320" i="152"/>
  <c r="G319" i="152"/>
  <c r="G318" i="152"/>
  <c r="G317" i="152"/>
  <c r="G316" i="152"/>
  <c r="E307" i="152"/>
  <c r="E306" i="152"/>
  <c r="E305" i="152"/>
  <c r="E304" i="152"/>
  <c r="E303" i="152"/>
  <c r="E302" i="152"/>
  <c r="H301" i="152"/>
  <c r="A276" i="152"/>
  <c r="I265" i="152"/>
  <c r="I261" i="152"/>
  <c r="G258" i="152"/>
  <c r="G257" i="152"/>
  <c r="G256" i="152"/>
  <c r="G255" i="152"/>
  <c r="G254" i="152"/>
  <c r="G253" i="152"/>
  <c r="G252" i="152"/>
  <c r="G251" i="152"/>
  <c r="G250" i="152"/>
  <c r="G249" i="152"/>
  <c r="G248" i="152"/>
  <c r="E239" i="152"/>
  <c r="E238" i="152"/>
  <c r="E237" i="152"/>
  <c r="E236" i="152"/>
  <c r="E235" i="152"/>
  <c r="E234" i="152"/>
  <c r="H233" i="152"/>
  <c r="A208" i="152"/>
  <c r="A206" i="152"/>
  <c r="I197" i="152"/>
  <c r="I193" i="152"/>
  <c r="G190" i="152"/>
  <c r="G189" i="152"/>
  <c r="G188" i="152"/>
  <c r="G187" i="152"/>
  <c r="G186" i="152"/>
  <c r="G185" i="152"/>
  <c r="G184" i="152"/>
  <c r="G183" i="152"/>
  <c r="G182" i="152"/>
  <c r="G181" i="152"/>
  <c r="G180" i="152"/>
  <c r="E171" i="152"/>
  <c r="E170" i="152"/>
  <c r="E169" i="152"/>
  <c r="E168" i="152"/>
  <c r="E167" i="152"/>
  <c r="E166" i="152"/>
  <c r="H165" i="152"/>
  <c r="A140" i="152"/>
  <c r="I129" i="152"/>
  <c r="I125" i="152"/>
  <c r="G122" i="152"/>
  <c r="G121" i="152"/>
  <c r="G120" i="152"/>
  <c r="G119" i="152"/>
  <c r="G118" i="152"/>
  <c r="G117" i="152"/>
  <c r="G116" i="152"/>
  <c r="G115" i="152"/>
  <c r="G114" i="152"/>
  <c r="G113" i="152"/>
  <c r="G112" i="152"/>
  <c r="E103" i="152"/>
  <c r="E102" i="152"/>
  <c r="E101" i="152"/>
  <c r="E100" i="152"/>
  <c r="E99" i="152"/>
  <c r="E98" i="152"/>
  <c r="H97" i="152"/>
  <c r="A72" i="152"/>
  <c r="I61" i="152"/>
  <c r="I57" i="152"/>
  <c r="G54" i="152"/>
  <c r="G53" i="152"/>
  <c r="G52" i="152"/>
  <c r="G51" i="152"/>
  <c r="G50" i="152"/>
  <c r="G49" i="152"/>
  <c r="G48" i="152"/>
  <c r="G47" i="152"/>
  <c r="H54" i="152" s="1"/>
  <c r="G46" i="152"/>
  <c r="G45" i="152"/>
  <c r="G44" i="152"/>
  <c r="E35" i="152"/>
  <c r="E34" i="152"/>
  <c r="E33" i="152"/>
  <c r="E32" i="152"/>
  <c r="E31" i="152"/>
  <c r="E30" i="152"/>
  <c r="H29" i="152"/>
  <c r="A274" i="152"/>
  <c r="H78" i="152"/>
  <c r="H7" i="152"/>
  <c r="I333" i="150"/>
  <c r="I329" i="150"/>
  <c r="G326" i="150"/>
  <c r="G325" i="150"/>
  <c r="G324" i="150"/>
  <c r="G323" i="150"/>
  <c r="G322" i="150"/>
  <c r="G321" i="150"/>
  <c r="G320" i="150"/>
  <c r="G319" i="150"/>
  <c r="G318" i="150"/>
  <c r="G317" i="150"/>
  <c r="G316" i="150"/>
  <c r="E307" i="150"/>
  <c r="E306" i="150"/>
  <c r="E305" i="150"/>
  <c r="E304" i="150"/>
  <c r="E303" i="150"/>
  <c r="E302" i="150"/>
  <c r="H301" i="150"/>
  <c r="A276" i="150"/>
  <c r="I265" i="150"/>
  <c r="I261" i="150"/>
  <c r="G258" i="150"/>
  <c r="G257" i="150"/>
  <c r="G256" i="150"/>
  <c r="G255" i="150"/>
  <c r="G254" i="150"/>
  <c r="G253" i="150"/>
  <c r="G252" i="150"/>
  <c r="G251" i="150"/>
  <c r="G250" i="150"/>
  <c r="G249" i="150"/>
  <c r="G248" i="150"/>
  <c r="E239" i="150"/>
  <c r="E238" i="150"/>
  <c r="E237" i="150"/>
  <c r="E236" i="150"/>
  <c r="E235" i="150"/>
  <c r="E234" i="150"/>
  <c r="H233" i="150"/>
  <c r="A208" i="150"/>
  <c r="I197" i="150"/>
  <c r="I193" i="150"/>
  <c r="G190" i="150"/>
  <c r="G189" i="150"/>
  <c r="G188" i="150"/>
  <c r="G187" i="150"/>
  <c r="G186" i="150"/>
  <c r="G185" i="150"/>
  <c r="G184" i="150"/>
  <c r="G183" i="150"/>
  <c r="G182" i="150"/>
  <c r="G181" i="150"/>
  <c r="G180" i="150"/>
  <c r="E171" i="150"/>
  <c r="E170" i="150"/>
  <c r="E169" i="150"/>
  <c r="E168" i="150"/>
  <c r="E167" i="150"/>
  <c r="E166" i="150"/>
  <c r="H165" i="150"/>
  <c r="A140" i="150"/>
  <c r="I129" i="150"/>
  <c r="I125" i="150"/>
  <c r="G122" i="150"/>
  <c r="G121" i="150"/>
  <c r="G120" i="150"/>
  <c r="G119" i="150"/>
  <c r="G118" i="150"/>
  <c r="G117" i="150"/>
  <c r="G116" i="150"/>
  <c r="G115" i="150"/>
  <c r="G114" i="150"/>
  <c r="G113" i="150"/>
  <c r="G112" i="150"/>
  <c r="E103" i="150"/>
  <c r="E102" i="150"/>
  <c r="E101" i="150"/>
  <c r="E100" i="150"/>
  <c r="E99" i="150"/>
  <c r="E98" i="150"/>
  <c r="H97" i="150"/>
  <c r="A72" i="150"/>
  <c r="I61" i="150"/>
  <c r="I57" i="150"/>
  <c r="G54" i="150"/>
  <c r="G53" i="150"/>
  <c r="G52" i="150"/>
  <c r="G51" i="150"/>
  <c r="G50" i="150"/>
  <c r="G49" i="150"/>
  <c r="G48" i="150"/>
  <c r="G47" i="150"/>
  <c r="G46" i="150"/>
  <c r="G45" i="150"/>
  <c r="G44" i="150"/>
  <c r="H54" i="150" s="1"/>
  <c r="E35" i="150"/>
  <c r="E34" i="150"/>
  <c r="E33" i="150"/>
  <c r="E32" i="150"/>
  <c r="E31" i="150"/>
  <c r="E30" i="150"/>
  <c r="H29" i="150"/>
  <c r="A274" i="150"/>
  <c r="H11" i="150"/>
  <c r="I333" i="148"/>
  <c r="I329" i="148"/>
  <c r="G326" i="148"/>
  <c r="G325" i="148"/>
  <c r="G324" i="148"/>
  <c r="G323" i="148"/>
  <c r="G322" i="148"/>
  <c r="G321" i="148"/>
  <c r="G320" i="148"/>
  <c r="G319" i="148"/>
  <c r="G318" i="148"/>
  <c r="G317" i="148"/>
  <c r="G316" i="148"/>
  <c r="E307" i="148"/>
  <c r="E306" i="148"/>
  <c r="E305" i="148"/>
  <c r="E304" i="148"/>
  <c r="E303" i="148"/>
  <c r="E302" i="148"/>
  <c r="H301" i="148"/>
  <c r="A276" i="148"/>
  <c r="I265" i="148"/>
  <c r="I261" i="148"/>
  <c r="G258" i="148"/>
  <c r="G257" i="148"/>
  <c r="G256" i="148"/>
  <c r="G255" i="148"/>
  <c r="G254" i="148"/>
  <c r="G253" i="148"/>
  <c r="G252" i="148"/>
  <c r="G251" i="148"/>
  <c r="G250" i="148"/>
  <c r="G249" i="148"/>
  <c r="G248" i="148"/>
  <c r="E239" i="148"/>
  <c r="E238" i="148"/>
  <c r="E237" i="148"/>
  <c r="E236" i="148"/>
  <c r="E235" i="148"/>
  <c r="E234" i="148"/>
  <c r="H233" i="148"/>
  <c r="A208" i="148"/>
  <c r="I197" i="148"/>
  <c r="I193" i="148"/>
  <c r="G190" i="148"/>
  <c r="G189" i="148"/>
  <c r="G188" i="148"/>
  <c r="G187" i="148"/>
  <c r="G186" i="148"/>
  <c r="G185" i="148"/>
  <c r="G184" i="148"/>
  <c r="G183" i="148"/>
  <c r="G182" i="148"/>
  <c r="G181" i="148"/>
  <c r="G180" i="148"/>
  <c r="E171" i="148"/>
  <c r="E170" i="148"/>
  <c r="E169" i="148"/>
  <c r="E168" i="148"/>
  <c r="E167" i="148"/>
  <c r="E166" i="148"/>
  <c r="H165" i="148"/>
  <c r="A140" i="148"/>
  <c r="I129" i="148"/>
  <c r="I125" i="148"/>
  <c r="G122" i="148"/>
  <c r="G121" i="148"/>
  <c r="G120" i="148"/>
  <c r="G119" i="148"/>
  <c r="G118" i="148"/>
  <c r="G117" i="148"/>
  <c r="G116" i="148"/>
  <c r="G115" i="148"/>
  <c r="G114" i="148"/>
  <c r="G113" i="148"/>
  <c r="G112" i="148"/>
  <c r="E103" i="148"/>
  <c r="E102" i="148"/>
  <c r="E101" i="148"/>
  <c r="E100" i="148"/>
  <c r="E99" i="148"/>
  <c r="E98" i="148"/>
  <c r="H97" i="148"/>
  <c r="A72" i="148"/>
  <c r="I61" i="148"/>
  <c r="I57" i="148"/>
  <c r="G54" i="148"/>
  <c r="G53" i="148"/>
  <c r="G52" i="148"/>
  <c r="G51" i="148"/>
  <c r="G50" i="148"/>
  <c r="G49" i="148"/>
  <c r="H54" i="148" s="1"/>
  <c r="G48" i="148"/>
  <c r="G47" i="148"/>
  <c r="G46" i="148"/>
  <c r="G45" i="148"/>
  <c r="G44" i="148"/>
  <c r="E35" i="148"/>
  <c r="E34" i="148"/>
  <c r="E33" i="148"/>
  <c r="E32" i="148"/>
  <c r="E31" i="148"/>
  <c r="E30" i="148"/>
  <c r="H29" i="148"/>
  <c r="A274" i="148"/>
  <c r="H8" i="148"/>
  <c r="I333" i="146"/>
  <c r="I329" i="146"/>
  <c r="G326" i="146"/>
  <c r="G325" i="146"/>
  <c r="G324" i="146"/>
  <c r="G323" i="146"/>
  <c r="G322" i="146"/>
  <c r="G321" i="146"/>
  <c r="G320" i="146"/>
  <c r="G319" i="146"/>
  <c r="G318" i="146"/>
  <c r="G317" i="146"/>
  <c r="G316" i="146"/>
  <c r="E307" i="146"/>
  <c r="E306" i="146"/>
  <c r="E305" i="146"/>
  <c r="E304" i="146"/>
  <c r="E303" i="146"/>
  <c r="E302" i="146"/>
  <c r="H301" i="146"/>
  <c r="A276" i="146"/>
  <c r="I265" i="146"/>
  <c r="I261" i="146"/>
  <c r="G258" i="146"/>
  <c r="G257" i="146"/>
  <c r="G256" i="146"/>
  <c r="G255" i="146"/>
  <c r="G254" i="146"/>
  <c r="G253" i="146"/>
  <c r="G252" i="146"/>
  <c r="G251" i="146"/>
  <c r="G250" i="146"/>
  <c r="G249" i="146"/>
  <c r="G248" i="146"/>
  <c r="E239" i="146"/>
  <c r="E238" i="146"/>
  <c r="E237" i="146"/>
  <c r="E236" i="146"/>
  <c r="E235" i="146"/>
  <c r="E234" i="146"/>
  <c r="H233" i="146"/>
  <c r="A208" i="146"/>
  <c r="I197" i="146"/>
  <c r="I193" i="146"/>
  <c r="G190" i="146"/>
  <c r="G189" i="146"/>
  <c r="G188" i="146"/>
  <c r="G187" i="146"/>
  <c r="G186" i="146"/>
  <c r="G185" i="146"/>
  <c r="G184" i="146"/>
  <c r="G183" i="146"/>
  <c r="G182" i="146"/>
  <c r="G181" i="146"/>
  <c r="G180" i="146"/>
  <c r="E171" i="146"/>
  <c r="E170" i="146"/>
  <c r="E169" i="146"/>
  <c r="E168" i="146"/>
  <c r="E167" i="146"/>
  <c r="E166" i="146"/>
  <c r="H165" i="146"/>
  <c r="A140" i="146"/>
  <c r="I129" i="146"/>
  <c r="I125" i="146"/>
  <c r="G122" i="146"/>
  <c r="G121" i="146"/>
  <c r="G120" i="146"/>
  <c r="G119" i="146"/>
  <c r="G118" i="146"/>
  <c r="G117" i="146"/>
  <c r="G116" i="146"/>
  <c r="G115" i="146"/>
  <c r="G114" i="146"/>
  <c r="G113" i="146"/>
  <c r="G112" i="146"/>
  <c r="E103" i="146"/>
  <c r="E102" i="146"/>
  <c r="E101" i="146"/>
  <c r="E100" i="146"/>
  <c r="E99" i="146"/>
  <c r="E98" i="146"/>
  <c r="H97" i="146"/>
  <c r="A72" i="146"/>
  <c r="I61" i="146"/>
  <c r="I57" i="146"/>
  <c r="G54" i="146"/>
  <c r="G53" i="146"/>
  <c r="G52" i="146"/>
  <c r="G51" i="146"/>
  <c r="G50" i="146"/>
  <c r="G49" i="146"/>
  <c r="G48" i="146"/>
  <c r="G47" i="146"/>
  <c r="G46" i="146"/>
  <c r="G45" i="146"/>
  <c r="G44" i="146"/>
  <c r="E35" i="146"/>
  <c r="E34" i="146"/>
  <c r="E33" i="146"/>
  <c r="E32" i="146"/>
  <c r="E31" i="146"/>
  <c r="E30" i="146"/>
  <c r="H29" i="146"/>
  <c r="A206" i="146"/>
  <c r="I333" i="144"/>
  <c r="I329" i="144"/>
  <c r="G326" i="144"/>
  <c r="G325" i="144"/>
  <c r="G324" i="144"/>
  <c r="G323" i="144"/>
  <c r="G322" i="144"/>
  <c r="G321" i="144"/>
  <c r="G320" i="144"/>
  <c r="G319" i="144"/>
  <c r="G318" i="144"/>
  <c r="G317" i="144"/>
  <c r="G316" i="144"/>
  <c r="E307" i="144"/>
  <c r="E306" i="144"/>
  <c r="E305" i="144"/>
  <c r="E304" i="144"/>
  <c r="E303" i="144"/>
  <c r="E302" i="144"/>
  <c r="H301" i="144"/>
  <c r="A276" i="144"/>
  <c r="I265" i="144"/>
  <c r="I261" i="144"/>
  <c r="G258" i="144"/>
  <c r="G257" i="144"/>
  <c r="G256" i="144"/>
  <c r="G255" i="144"/>
  <c r="G254" i="144"/>
  <c r="G253" i="144"/>
  <c r="G252" i="144"/>
  <c r="G251" i="144"/>
  <c r="G250" i="144"/>
  <c r="G249" i="144"/>
  <c r="G248" i="144"/>
  <c r="E239" i="144"/>
  <c r="E238" i="144"/>
  <c r="E237" i="144"/>
  <c r="E236" i="144"/>
  <c r="E235" i="144"/>
  <c r="E234" i="144"/>
  <c r="H233" i="144"/>
  <c r="A208" i="144"/>
  <c r="I197" i="144"/>
  <c r="I193" i="144"/>
  <c r="G190" i="144"/>
  <c r="G189" i="144"/>
  <c r="G188" i="144"/>
  <c r="G187" i="144"/>
  <c r="G186" i="144"/>
  <c r="G185" i="144"/>
  <c r="G184" i="144"/>
  <c r="G183" i="144"/>
  <c r="G182" i="144"/>
  <c r="G181" i="144"/>
  <c r="G180" i="144"/>
  <c r="E171" i="144"/>
  <c r="E170" i="144"/>
  <c r="E169" i="144"/>
  <c r="E168" i="144"/>
  <c r="E167" i="144"/>
  <c r="E166" i="144"/>
  <c r="H165" i="144"/>
  <c r="A140" i="144"/>
  <c r="I129" i="144"/>
  <c r="I125" i="144"/>
  <c r="G122" i="144"/>
  <c r="G121" i="144"/>
  <c r="G120" i="144"/>
  <c r="G119" i="144"/>
  <c r="G118" i="144"/>
  <c r="G117" i="144"/>
  <c r="G116" i="144"/>
  <c r="G115" i="144"/>
  <c r="G114" i="144"/>
  <c r="G113" i="144"/>
  <c r="G112" i="144"/>
  <c r="E103" i="144"/>
  <c r="E102" i="144"/>
  <c r="E101" i="144"/>
  <c r="E100" i="144"/>
  <c r="E99" i="144"/>
  <c r="E98" i="144"/>
  <c r="H97" i="144"/>
  <c r="A72" i="144"/>
  <c r="I61" i="144"/>
  <c r="I57" i="144"/>
  <c r="G54" i="144"/>
  <c r="G53" i="144"/>
  <c r="G52" i="144"/>
  <c r="G51" i="144"/>
  <c r="G50" i="144"/>
  <c r="G49" i="144"/>
  <c r="G48" i="144"/>
  <c r="G47" i="144"/>
  <c r="G46" i="144"/>
  <c r="G45" i="144"/>
  <c r="G44" i="144"/>
  <c r="E35" i="144"/>
  <c r="E34" i="144"/>
  <c r="E33" i="144"/>
  <c r="E32" i="144"/>
  <c r="E31" i="144"/>
  <c r="E30" i="144"/>
  <c r="H29" i="144"/>
  <c r="A138" i="144"/>
  <c r="H8" i="144"/>
  <c r="I333" i="142"/>
  <c r="I329" i="142"/>
  <c r="G326" i="142"/>
  <c r="G325" i="142"/>
  <c r="G324" i="142"/>
  <c r="G323" i="142"/>
  <c r="G322" i="142"/>
  <c r="G321" i="142"/>
  <c r="G320" i="142"/>
  <c r="G319" i="142"/>
  <c r="G318" i="142"/>
  <c r="G317" i="142"/>
  <c r="G316" i="142"/>
  <c r="E307" i="142"/>
  <c r="E306" i="142"/>
  <c r="E305" i="142"/>
  <c r="E304" i="142"/>
  <c r="E303" i="142"/>
  <c r="E302" i="142"/>
  <c r="H301" i="142"/>
  <c r="A276" i="142"/>
  <c r="I265" i="142"/>
  <c r="I261" i="142"/>
  <c r="G258" i="142"/>
  <c r="G257" i="142"/>
  <c r="G256" i="142"/>
  <c r="G255" i="142"/>
  <c r="G254" i="142"/>
  <c r="G253" i="142"/>
  <c r="G252" i="142"/>
  <c r="G251" i="142"/>
  <c r="G250" i="142"/>
  <c r="G249" i="142"/>
  <c r="G248" i="142"/>
  <c r="E239" i="142"/>
  <c r="E238" i="142"/>
  <c r="E237" i="142"/>
  <c r="E236" i="142"/>
  <c r="E235" i="142"/>
  <c r="E234" i="142"/>
  <c r="H233" i="142"/>
  <c r="A208" i="142"/>
  <c r="I197" i="142"/>
  <c r="I193" i="142"/>
  <c r="G190" i="142"/>
  <c r="G189" i="142"/>
  <c r="G188" i="142"/>
  <c r="G187" i="142"/>
  <c r="G186" i="142"/>
  <c r="G185" i="142"/>
  <c r="G184" i="142"/>
  <c r="G183" i="142"/>
  <c r="G182" i="142"/>
  <c r="G181" i="142"/>
  <c r="G180" i="142"/>
  <c r="E171" i="142"/>
  <c r="E170" i="142"/>
  <c r="E169" i="142"/>
  <c r="E168" i="142"/>
  <c r="E167" i="142"/>
  <c r="E166" i="142"/>
  <c r="H165" i="142"/>
  <c r="A140" i="142"/>
  <c r="I129" i="142"/>
  <c r="I125" i="142"/>
  <c r="G122" i="142"/>
  <c r="G121" i="142"/>
  <c r="G120" i="142"/>
  <c r="G119" i="142"/>
  <c r="G118" i="142"/>
  <c r="G117" i="142"/>
  <c r="G116" i="142"/>
  <c r="G115" i="142"/>
  <c r="G114" i="142"/>
  <c r="G113" i="142"/>
  <c r="G112" i="142"/>
  <c r="E103" i="142"/>
  <c r="E102" i="142"/>
  <c r="E101" i="142"/>
  <c r="E100" i="142"/>
  <c r="E99" i="142"/>
  <c r="E98" i="142"/>
  <c r="H97" i="142"/>
  <c r="A72" i="142"/>
  <c r="I61" i="142"/>
  <c r="I57" i="142"/>
  <c r="G54" i="142"/>
  <c r="G53" i="142"/>
  <c r="G52" i="142"/>
  <c r="G51" i="142"/>
  <c r="G50" i="142"/>
  <c r="G49" i="142"/>
  <c r="G48" i="142"/>
  <c r="G47" i="142"/>
  <c r="G46" i="142"/>
  <c r="G45" i="142"/>
  <c r="H54" i="142" s="1"/>
  <c r="G44" i="142"/>
  <c r="E35" i="142"/>
  <c r="E34" i="142"/>
  <c r="E33" i="142"/>
  <c r="E32" i="142"/>
  <c r="E31" i="142"/>
  <c r="E30" i="142"/>
  <c r="H29" i="142"/>
  <c r="A138" i="142"/>
  <c r="H9" i="142"/>
  <c r="I333" i="140"/>
  <c r="I329" i="140"/>
  <c r="G326" i="140"/>
  <c r="G325" i="140"/>
  <c r="G324" i="140"/>
  <c r="G323" i="140"/>
  <c r="G322" i="140"/>
  <c r="G321" i="140"/>
  <c r="G320" i="140"/>
  <c r="G319" i="140"/>
  <c r="G318" i="140"/>
  <c r="G317" i="140"/>
  <c r="G316" i="140"/>
  <c r="E307" i="140"/>
  <c r="E306" i="140"/>
  <c r="E305" i="140"/>
  <c r="E304" i="140"/>
  <c r="E303" i="140"/>
  <c r="E302" i="140"/>
  <c r="H301" i="140"/>
  <c r="A276" i="140"/>
  <c r="I265" i="140"/>
  <c r="I261" i="140"/>
  <c r="G258" i="140"/>
  <c r="G257" i="140"/>
  <c r="G256" i="140"/>
  <c r="G255" i="140"/>
  <c r="G254" i="140"/>
  <c r="G253" i="140"/>
  <c r="G252" i="140"/>
  <c r="G251" i="140"/>
  <c r="G250" i="140"/>
  <c r="G249" i="140"/>
  <c r="G248" i="140"/>
  <c r="E239" i="140"/>
  <c r="E238" i="140"/>
  <c r="E237" i="140"/>
  <c r="E236" i="140"/>
  <c r="E235" i="140"/>
  <c r="E234" i="140"/>
  <c r="H233" i="140"/>
  <c r="A208" i="140"/>
  <c r="I197" i="140"/>
  <c r="I193" i="140"/>
  <c r="G190" i="140"/>
  <c r="G189" i="140"/>
  <c r="G188" i="140"/>
  <c r="G187" i="140"/>
  <c r="G186" i="140"/>
  <c r="G185" i="140"/>
  <c r="G184" i="140"/>
  <c r="G183" i="140"/>
  <c r="G182" i="140"/>
  <c r="G181" i="140"/>
  <c r="G180" i="140"/>
  <c r="E171" i="140"/>
  <c r="E170" i="140"/>
  <c r="E169" i="140"/>
  <c r="E168" i="140"/>
  <c r="E167" i="140"/>
  <c r="E166" i="140"/>
  <c r="H165" i="140"/>
  <c r="A140" i="140"/>
  <c r="I129" i="140"/>
  <c r="I125" i="140"/>
  <c r="G122" i="140"/>
  <c r="G121" i="140"/>
  <c r="G120" i="140"/>
  <c r="G119" i="140"/>
  <c r="G118" i="140"/>
  <c r="G117" i="140"/>
  <c r="G116" i="140"/>
  <c r="G115" i="140"/>
  <c r="G114" i="140"/>
  <c r="G113" i="140"/>
  <c r="G112" i="140"/>
  <c r="E103" i="140"/>
  <c r="E102" i="140"/>
  <c r="E101" i="140"/>
  <c r="E100" i="140"/>
  <c r="E99" i="140"/>
  <c r="E98" i="140"/>
  <c r="H97" i="140"/>
  <c r="A72" i="140"/>
  <c r="I61" i="140"/>
  <c r="I57" i="140"/>
  <c r="G54" i="140"/>
  <c r="G53" i="140"/>
  <c r="G52" i="140"/>
  <c r="G51" i="140"/>
  <c r="G50" i="140"/>
  <c r="G49" i="140"/>
  <c r="G48" i="140"/>
  <c r="G47" i="140"/>
  <c r="G46" i="140"/>
  <c r="G45" i="140"/>
  <c r="G44" i="140"/>
  <c r="E35" i="140"/>
  <c r="E34" i="140"/>
  <c r="E33" i="140"/>
  <c r="E32" i="140"/>
  <c r="E31" i="140"/>
  <c r="E30" i="140"/>
  <c r="H29" i="140"/>
  <c r="A70" i="140"/>
  <c r="H84" i="140"/>
  <c r="H80" i="140"/>
  <c r="I333" i="138"/>
  <c r="I329" i="138"/>
  <c r="G326" i="138"/>
  <c r="G325" i="138"/>
  <c r="G324" i="138"/>
  <c r="G323" i="138"/>
  <c r="G322" i="138"/>
  <c r="G321" i="138"/>
  <c r="G320" i="138"/>
  <c r="G319" i="138"/>
  <c r="G318" i="138"/>
  <c r="G317" i="138"/>
  <c r="G316" i="138"/>
  <c r="E307" i="138"/>
  <c r="E306" i="138"/>
  <c r="E305" i="138"/>
  <c r="E304" i="138"/>
  <c r="E303" i="138"/>
  <c r="E302" i="138"/>
  <c r="H301" i="138"/>
  <c r="A276" i="138"/>
  <c r="I265" i="138"/>
  <c r="I261" i="138"/>
  <c r="G258" i="138"/>
  <c r="G257" i="138"/>
  <c r="G256" i="138"/>
  <c r="G255" i="138"/>
  <c r="G254" i="138"/>
  <c r="G253" i="138"/>
  <c r="G252" i="138"/>
  <c r="G251" i="138"/>
  <c r="G250" i="138"/>
  <c r="G249" i="138"/>
  <c r="G248" i="138"/>
  <c r="E239" i="138"/>
  <c r="E238" i="138"/>
  <c r="E237" i="138"/>
  <c r="E236" i="138"/>
  <c r="E235" i="138"/>
  <c r="E234" i="138"/>
  <c r="H233" i="138"/>
  <c r="A208" i="138"/>
  <c r="I197" i="138"/>
  <c r="I193" i="138"/>
  <c r="G190" i="138"/>
  <c r="G189" i="138"/>
  <c r="G188" i="138"/>
  <c r="G187" i="138"/>
  <c r="G186" i="138"/>
  <c r="G185" i="138"/>
  <c r="G184" i="138"/>
  <c r="G183" i="138"/>
  <c r="G182" i="138"/>
  <c r="G181" i="138"/>
  <c r="G180" i="138"/>
  <c r="E171" i="138"/>
  <c r="E170" i="138"/>
  <c r="E169" i="138"/>
  <c r="E168" i="138"/>
  <c r="E167" i="138"/>
  <c r="E166" i="138"/>
  <c r="H165" i="138"/>
  <c r="A140" i="138"/>
  <c r="I129" i="138"/>
  <c r="I125" i="138"/>
  <c r="G122" i="138"/>
  <c r="G121" i="138"/>
  <c r="G120" i="138"/>
  <c r="G119" i="138"/>
  <c r="G118" i="138"/>
  <c r="G117" i="138"/>
  <c r="G116" i="138"/>
  <c r="G115" i="138"/>
  <c r="G114" i="138"/>
  <c r="G113" i="138"/>
  <c r="G112" i="138"/>
  <c r="E103" i="138"/>
  <c r="E102" i="138"/>
  <c r="E101" i="138"/>
  <c r="E100" i="138"/>
  <c r="E99" i="138"/>
  <c r="E98" i="138"/>
  <c r="H97" i="138"/>
  <c r="A72" i="138"/>
  <c r="I61" i="138"/>
  <c r="I57" i="138"/>
  <c r="G54" i="138"/>
  <c r="G53" i="138"/>
  <c r="G52" i="138"/>
  <c r="G51" i="138"/>
  <c r="G50" i="138"/>
  <c r="G49" i="138"/>
  <c r="G48" i="138"/>
  <c r="G47" i="138"/>
  <c r="G46" i="138"/>
  <c r="H54" i="138" s="1"/>
  <c r="G45" i="138"/>
  <c r="G44" i="138"/>
  <c r="E35" i="138"/>
  <c r="E34" i="138"/>
  <c r="E33" i="138"/>
  <c r="E32" i="138"/>
  <c r="E31" i="138"/>
  <c r="E30" i="138"/>
  <c r="H29" i="138"/>
  <c r="A70" i="138"/>
  <c r="I333" i="136"/>
  <c r="I329" i="136"/>
  <c r="G326" i="136"/>
  <c r="G325" i="136"/>
  <c r="G324" i="136"/>
  <c r="G323" i="136"/>
  <c r="G322" i="136"/>
  <c r="G321" i="136"/>
  <c r="G320" i="136"/>
  <c r="G319" i="136"/>
  <c r="G318" i="136"/>
  <c r="G317" i="136"/>
  <c r="G316" i="136"/>
  <c r="E307" i="136"/>
  <c r="E306" i="136"/>
  <c r="E305" i="136"/>
  <c r="E304" i="136"/>
  <c r="E303" i="136"/>
  <c r="E302" i="136"/>
  <c r="H301" i="136"/>
  <c r="A276" i="136"/>
  <c r="I265" i="136"/>
  <c r="I261" i="136"/>
  <c r="G258" i="136"/>
  <c r="G257" i="136"/>
  <c r="G256" i="136"/>
  <c r="G255" i="136"/>
  <c r="G254" i="136"/>
  <c r="G253" i="136"/>
  <c r="G252" i="136"/>
  <c r="G251" i="136"/>
  <c r="G250" i="136"/>
  <c r="G249" i="136"/>
  <c r="G248" i="136"/>
  <c r="E239" i="136"/>
  <c r="E238" i="136"/>
  <c r="E237" i="136"/>
  <c r="E236" i="136"/>
  <c r="E235" i="136"/>
  <c r="E234" i="136"/>
  <c r="H233" i="136"/>
  <c r="A208" i="136"/>
  <c r="I197" i="136"/>
  <c r="I193" i="136"/>
  <c r="G190" i="136"/>
  <c r="G189" i="136"/>
  <c r="G188" i="136"/>
  <c r="G187" i="136"/>
  <c r="G186" i="136"/>
  <c r="G185" i="136"/>
  <c r="G184" i="136"/>
  <c r="G183" i="136"/>
  <c r="G182" i="136"/>
  <c r="G181" i="136"/>
  <c r="G180" i="136"/>
  <c r="E171" i="136"/>
  <c r="E170" i="136"/>
  <c r="E169" i="136"/>
  <c r="E168" i="136"/>
  <c r="E167" i="136"/>
  <c r="E166" i="136"/>
  <c r="H165" i="136"/>
  <c r="A140" i="136"/>
  <c r="I129" i="136"/>
  <c r="I125" i="136"/>
  <c r="G122" i="136"/>
  <c r="G121" i="136"/>
  <c r="G120" i="136"/>
  <c r="G119" i="136"/>
  <c r="G118" i="136"/>
  <c r="G117" i="136"/>
  <c r="G116" i="136"/>
  <c r="G115" i="136"/>
  <c r="G114" i="136"/>
  <c r="G113" i="136"/>
  <c r="G112" i="136"/>
  <c r="E103" i="136"/>
  <c r="E102" i="136"/>
  <c r="E101" i="136"/>
  <c r="E100" i="136"/>
  <c r="E99" i="136"/>
  <c r="E98" i="136"/>
  <c r="H97" i="136"/>
  <c r="A72" i="136"/>
  <c r="I61" i="136"/>
  <c r="I57" i="136"/>
  <c r="G54" i="136"/>
  <c r="G53" i="136"/>
  <c r="G52" i="136"/>
  <c r="G51" i="136"/>
  <c r="G50" i="136"/>
  <c r="G49" i="136"/>
  <c r="G48" i="136"/>
  <c r="G47" i="136"/>
  <c r="G46" i="136"/>
  <c r="G45" i="136"/>
  <c r="G44" i="136"/>
  <c r="E35" i="136"/>
  <c r="E34" i="136"/>
  <c r="E33" i="136"/>
  <c r="E32" i="136"/>
  <c r="E31" i="136"/>
  <c r="E30" i="136"/>
  <c r="H29" i="136"/>
  <c r="A70" i="136"/>
  <c r="I333" i="134"/>
  <c r="I329" i="134"/>
  <c r="G326" i="134"/>
  <c r="G325" i="134"/>
  <c r="G324" i="134"/>
  <c r="G323" i="134"/>
  <c r="G322" i="134"/>
  <c r="G321" i="134"/>
  <c r="G320" i="134"/>
  <c r="G319" i="134"/>
  <c r="G318" i="134"/>
  <c r="G317" i="134"/>
  <c r="G316" i="134"/>
  <c r="E307" i="134"/>
  <c r="E306" i="134"/>
  <c r="E305" i="134"/>
  <c r="E304" i="134"/>
  <c r="E303" i="134"/>
  <c r="E302" i="134"/>
  <c r="H301" i="134"/>
  <c r="A276" i="134"/>
  <c r="I265" i="134"/>
  <c r="I261" i="134"/>
  <c r="G258" i="134"/>
  <c r="G257" i="134"/>
  <c r="G256" i="134"/>
  <c r="G255" i="134"/>
  <c r="G254" i="134"/>
  <c r="G253" i="134"/>
  <c r="G252" i="134"/>
  <c r="G251" i="134"/>
  <c r="G250" i="134"/>
  <c r="G249" i="134"/>
  <c r="G248" i="134"/>
  <c r="E239" i="134"/>
  <c r="E238" i="134"/>
  <c r="E237" i="134"/>
  <c r="E236" i="134"/>
  <c r="E235" i="134"/>
  <c r="E234" i="134"/>
  <c r="H233" i="134"/>
  <c r="A208" i="134"/>
  <c r="I197" i="134"/>
  <c r="I193" i="134"/>
  <c r="G190" i="134"/>
  <c r="G189" i="134"/>
  <c r="G188" i="134"/>
  <c r="G187" i="134"/>
  <c r="G186" i="134"/>
  <c r="G185" i="134"/>
  <c r="G184" i="134"/>
  <c r="G183" i="134"/>
  <c r="G182" i="134"/>
  <c r="G181" i="134"/>
  <c r="G180" i="134"/>
  <c r="E171" i="134"/>
  <c r="E170" i="134"/>
  <c r="E169" i="134"/>
  <c r="E168" i="134"/>
  <c r="E167" i="134"/>
  <c r="E166" i="134"/>
  <c r="H165" i="134"/>
  <c r="A140" i="134"/>
  <c r="I129" i="134"/>
  <c r="I125" i="134"/>
  <c r="G122" i="134"/>
  <c r="G121" i="134"/>
  <c r="G120" i="134"/>
  <c r="G119" i="134"/>
  <c r="G118" i="134"/>
  <c r="G117" i="134"/>
  <c r="G116" i="134"/>
  <c r="G115" i="134"/>
  <c r="G114" i="134"/>
  <c r="G113" i="134"/>
  <c r="G112" i="134"/>
  <c r="E103" i="134"/>
  <c r="E102" i="134"/>
  <c r="E101" i="134"/>
  <c r="E100" i="134"/>
  <c r="E99" i="134"/>
  <c r="E98" i="134"/>
  <c r="H97" i="134"/>
  <c r="A72" i="134"/>
  <c r="I61" i="134"/>
  <c r="I57" i="134"/>
  <c r="G54" i="134"/>
  <c r="G53" i="134"/>
  <c r="G52" i="134"/>
  <c r="G51" i="134"/>
  <c r="G50" i="134"/>
  <c r="G49" i="134"/>
  <c r="G48" i="134"/>
  <c r="G47" i="134"/>
  <c r="G46" i="134"/>
  <c r="G45" i="134"/>
  <c r="G44" i="134"/>
  <c r="E35" i="134"/>
  <c r="E34" i="134"/>
  <c r="E33" i="134"/>
  <c r="E32" i="134"/>
  <c r="E31" i="134"/>
  <c r="E30" i="134"/>
  <c r="H29" i="134"/>
  <c r="A138" i="134"/>
  <c r="I333" i="132"/>
  <c r="I329" i="132"/>
  <c r="G326" i="132"/>
  <c r="G325" i="132"/>
  <c r="G324" i="132"/>
  <c r="G323" i="132"/>
  <c r="G322" i="132"/>
  <c r="G321" i="132"/>
  <c r="G320" i="132"/>
  <c r="G319" i="132"/>
  <c r="G318" i="132"/>
  <c r="G317" i="132"/>
  <c r="G316" i="132"/>
  <c r="E307" i="132"/>
  <c r="E306" i="132"/>
  <c r="E305" i="132"/>
  <c r="E304" i="132"/>
  <c r="E303" i="132"/>
  <c r="E302" i="132"/>
  <c r="H301" i="132"/>
  <c r="A276" i="132"/>
  <c r="I265" i="132"/>
  <c r="I261" i="132"/>
  <c r="G258" i="132"/>
  <c r="G257" i="132"/>
  <c r="G256" i="132"/>
  <c r="G255" i="132"/>
  <c r="G254" i="132"/>
  <c r="G253" i="132"/>
  <c r="G252" i="132"/>
  <c r="G251" i="132"/>
  <c r="G250" i="132"/>
  <c r="G249" i="132"/>
  <c r="G248" i="132"/>
  <c r="E239" i="132"/>
  <c r="E238" i="132"/>
  <c r="E237" i="132"/>
  <c r="E236" i="132"/>
  <c r="E235" i="132"/>
  <c r="E234" i="132"/>
  <c r="H233" i="132"/>
  <c r="A208" i="132"/>
  <c r="I197" i="132"/>
  <c r="I193" i="132"/>
  <c r="G190" i="132"/>
  <c r="G189" i="132"/>
  <c r="G188" i="132"/>
  <c r="G187" i="132"/>
  <c r="G186" i="132"/>
  <c r="G185" i="132"/>
  <c r="G184" i="132"/>
  <c r="G183" i="132"/>
  <c r="G182" i="132"/>
  <c r="G181" i="132"/>
  <c r="G180" i="132"/>
  <c r="E171" i="132"/>
  <c r="E170" i="132"/>
  <c r="E169" i="132"/>
  <c r="E168" i="132"/>
  <c r="E167" i="132"/>
  <c r="E166" i="132"/>
  <c r="H165" i="132"/>
  <c r="A140" i="132"/>
  <c r="I129" i="132"/>
  <c r="I125" i="132"/>
  <c r="G122" i="132"/>
  <c r="G121" i="132"/>
  <c r="G120" i="132"/>
  <c r="G119" i="132"/>
  <c r="G118" i="132"/>
  <c r="G117" i="132"/>
  <c r="G116" i="132"/>
  <c r="G115" i="132"/>
  <c r="G114" i="132"/>
  <c r="G113" i="132"/>
  <c r="G112" i="132"/>
  <c r="E103" i="132"/>
  <c r="E102" i="132"/>
  <c r="E101" i="132"/>
  <c r="E100" i="132"/>
  <c r="E99" i="132"/>
  <c r="E98" i="132"/>
  <c r="H97" i="132"/>
  <c r="A72" i="132"/>
  <c r="I61" i="132"/>
  <c r="I57" i="132"/>
  <c r="G54" i="132"/>
  <c r="G53" i="132"/>
  <c r="G52" i="132"/>
  <c r="G51" i="132"/>
  <c r="G50" i="132"/>
  <c r="G49" i="132"/>
  <c r="G48" i="132"/>
  <c r="G47" i="132"/>
  <c r="G46" i="132"/>
  <c r="G45" i="132"/>
  <c r="G44" i="132"/>
  <c r="E35" i="132"/>
  <c r="E34" i="132"/>
  <c r="E33" i="132"/>
  <c r="E32" i="132"/>
  <c r="E31" i="132"/>
  <c r="E30" i="132"/>
  <c r="H29" i="132"/>
  <c r="H6" i="132"/>
  <c r="I333" i="130"/>
  <c r="I329" i="130"/>
  <c r="G326" i="130"/>
  <c r="G325" i="130"/>
  <c r="G324" i="130"/>
  <c r="G323" i="130"/>
  <c r="G322" i="130"/>
  <c r="G321" i="130"/>
  <c r="G320" i="130"/>
  <c r="G319" i="130"/>
  <c r="G318" i="130"/>
  <c r="G317" i="130"/>
  <c r="G316" i="130"/>
  <c r="E307" i="130"/>
  <c r="E306" i="130"/>
  <c r="E305" i="130"/>
  <c r="E304" i="130"/>
  <c r="E303" i="130"/>
  <c r="E302" i="130"/>
  <c r="H301" i="130"/>
  <c r="A276" i="130"/>
  <c r="I265" i="130"/>
  <c r="I261" i="130"/>
  <c r="G258" i="130"/>
  <c r="G257" i="130"/>
  <c r="G256" i="130"/>
  <c r="G255" i="130"/>
  <c r="G254" i="130"/>
  <c r="G253" i="130"/>
  <c r="G252" i="130"/>
  <c r="G251" i="130"/>
  <c r="G250" i="130"/>
  <c r="G249" i="130"/>
  <c r="G248" i="130"/>
  <c r="E239" i="130"/>
  <c r="E238" i="130"/>
  <c r="E237" i="130"/>
  <c r="E236" i="130"/>
  <c r="E235" i="130"/>
  <c r="E234" i="130"/>
  <c r="H233" i="130"/>
  <c r="A208" i="130"/>
  <c r="I197" i="130"/>
  <c r="I193" i="130"/>
  <c r="G190" i="130"/>
  <c r="G189" i="130"/>
  <c r="G188" i="130"/>
  <c r="G187" i="130"/>
  <c r="G186" i="130"/>
  <c r="G185" i="130"/>
  <c r="G184" i="130"/>
  <c r="G183" i="130"/>
  <c r="G182" i="130"/>
  <c r="G181" i="130"/>
  <c r="G180" i="130"/>
  <c r="E171" i="130"/>
  <c r="E170" i="130"/>
  <c r="E169" i="130"/>
  <c r="E168" i="130"/>
  <c r="E167" i="130"/>
  <c r="E166" i="130"/>
  <c r="H165" i="130"/>
  <c r="A140" i="130"/>
  <c r="I129" i="130"/>
  <c r="I125" i="130"/>
  <c r="G122" i="130"/>
  <c r="G121" i="130"/>
  <c r="G120" i="130"/>
  <c r="G119" i="130"/>
  <c r="G118" i="130"/>
  <c r="G117" i="130"/>
  <c r="G116" i="130"/>
  <c r="G115" i="130"/>
  <c r="G114" i="130"/>
  <c r="G113" i="130"/>
  <c r="G112" i="130"/>
  <c r="E103" i="130"/>
  <c r="E102" i="130"/>
  <c r="E101" i="130"/>
  <c r="E100" i="130"/>
  <c r="E99" i="130"/>
  <c r="E98" i="130"/>
  <c r="H97" i="130"/>
  <c r="A72" i="130"/>
  <c r="I61" i="130"/>
  <c r="I57" i="130"/>
  <c r="G54" i="130"/>
  <c r="G53" i="130"/>
  <c r="G52" i="130"/>
  <c r="G51" i="130"/>
  <c r="G50" i="130"/>
  <c r="G49" i="130"/>
  <c r="G48" i="130"/>
  <c r="G47" i="130"/>
  <c r="G46" i="130"/>
  <c r="G45" i="130"/>
  <c r="G44" i="130"/>
  <c r="E35" i="130"/>
  <c r="E34" i="130"/>
  <c r="E33" i="130"/>
  <c r="E32" i="130"/>
  <c r="E31" i="130"/>
  <c r="E30" i="130"/>
  <c r="H29" i="130"/>
  <c r="H9" i="130"/>
  <c r="I333" i="128"/>
  <c r="I329" i="128"/>
  <c r="G326" i="128"/>
  <c r="G325" i="128"/>
  <c r="G324" i="128"/>
  <c r="G323" i="128"/>
  <c r="G322" i="128"/>
  <c r="G321" i="128"/>
  <c r="G320" i="128"/>
  <c r="G319" i="128"/>
  <c r="G318" i="128"/>
  <c r="G317" i="128"/>
  <c r="G316" i="128"/>
  <c r="E307" i="128"/>
  <c r="E306" i="128"/>
  <c r="E305" i="128"/>
  <c r="E304" i="128"/>
  <c r="E303" i="128"/>
  <c r="E302" i="128"/>
  <c r="H301" i="128"/>
  <c r="A276" i="128"/>
  <c r="I265" i="128"/>
  <c r="I261" i="128"/>
  <c r="G258" i="128"/>
  <c r="G257" i="128"/>
  <c r="G256" i="128"/>
  <c r="G255" i="128"/>
  <c r="G254" i="128"/>
  <c r="G253" i="128"/>
  <c r="G252" i="128"/>
  <c r="G251" i="128"/>
  <c r="G250" i="128"/>
  <c r="G249" i="128"/>
  <c r="G248" i="128"/>
  <c r="E239" i="128"/>
  <c r="E238" i="128"/>
  <c r="E237" i="128"/>
  <c r="E236" i="128"/>
  <c r="E235" i="128"/>
  <c r="E234" i="128"/>
  <c r="H233" i="128"/>
  <c r="A208" i="128"/>
  <c r="I197" i="128"/>
  <c r="I193" i="128"/>
  <c r="G190" i="128"/>
  <c r="G189" i="128"/>
  <c r="G188" i="128"/>
  <c r="G187" i="128"/>
  <c r="G186" i="128"/>
  <c r="G185" i="128"/>
  <c r="G184" i="128"/>
  <c r="G183" i="128"/>
  <c r="G182" i="128"/>
  <c r="G181" i="128"/>
  <c r="G180" i="128"/>
  <c r="E171" i="128"/>
  <c r="E170" i="128"/>
  <c r="E169" i="128"/>
  <c r="E168" i="128"/>
  <c r="E167" i="128"/>
  <c r="E166" i="128"/>
  <c r="H165" i="128"/>
  <c r="A140" i="128"/>
  <c r="I129" i="128"/>
  <c r="I125" i="128"/>
  <c r="G122" i="128"/>
  <c r="G121" i="128"/>
  <c r="G120" i="128"/>
  <c r="G119" i="128"/>
  <c r="G118" i="128"/>
  <c r="G117" i="128"/>
  <c r="G116" i="128"/>
  <c r="G115" i="128"/>
  <c r="G114" i="128"/>
  <c r="G113" i="128"/>
  <c r="G112" i="128"/>
  <c r="E103" i="128"/>
  <c r="E102" i="128"/>
  <c r="E101" i="128"/>
  <c r="E100" i="128"/>
  <c r="E99" i="128"/>
  <c r="E98" i="128"/>
  <c r="H97" i="128"/>
  <c r="A72" i="128"/>
  <c r="I61" i="128"/>
  <c r="I57" i="128"/>
  <c r="G54" i="128"/>
  <c r="G53" i="128"/>
  <c r="G52" i="128"/>
  <c r="G51" i="128"/>
  <c r="G50" i="128"/>
  <c r="G49" i="128"/>
  <c r="G48" i="128"/>
  <c r="G47" i="128"/>
  <c r="G46" i="128"/>
  <c r="G45" i="128"/>
  <c r="G44" i="128"/>
  <c r="E35" i="128"/>
  <c r="E34" i="128"/>
  <c r="E33" i="128"/>
  <c r="E32" i="128"/>
  <c r="E31" i="128"/>
  <c r="E30" i="128"/>
  <c r="H29" i="128"/>
  <c r="A70" i="128"/>
  <c r="H85" i="128"/>
  <c r="H16" i="128"/>
  <c r="I333" i="126"/>
  <c r="I329" i="126"/>
  <c r="G326" i="126"/>
  <c r="G325" i="126"/>
  <c r="G324" i="126"/>
  <c r="G323" i="126"/>
  <c r="G322" i="126"/>
  <c r="G321" i="126"/>
  <c r="G320" i="126"/>
  <c r="G319" i="126"/>
  <c r="G318" i="126"/>
  <c r="G317" i="126"/>
  <c r="G316" i="126"/>
  <c r="E307" i="126"/>
  <c r="E306" i="126"/>
  <c r="E305" i="126"/>
  <c r="E304" i="126"/>
  <c r="E303" i="126"/>
  <c r="E302" i="126"/>
  <c r="H301" i="126"/>
  <c r="A276" i="126"/>
  <c r="I265" i="126"/>
  <c r="I261" i="126"/>
  <c r="G258" i="126"/>
  <c r="G257" i="126"/>
  <c r="G256" i="126"/>
  <c r="G255" i="126"/>
  <c r="G254" i="126"/>
  <c r="G253" i="126"/>
  <c r="G252" i="126"/>
  <c r="G251" i="126"/>
  <c r="G250" i="126"/>
  <c r="H258" i="126" s="1"/>
  <c r="G249" i="126"/>
  <c r="G248" i="126"/>
  <c r="E239" i="126"/>
  <c r="E238" i="126"/>
  <c r="E237" i="126"/>
  <c r="E236" i="126"/>
  <c r="E235" i="126"/>
  <c r="E234" i="126"/>
  <c r="H233" i="126"/>
  <c r="A208" i="126"/>
  <c r="I197" i="126"/>
  <c r="I193" i="126"/>
  <c r="G190" i="126"/>
  <c r="G189" i="126"/>
  <c r="G188" i="126"/>
  <c r="G187" i="126"/>
  <c r="G186" i="126"/>
  <c r="G185" i="126"/>
  <c r="G184" i="126"/>
  <c r="G183" i="126"/>
  <c r="G182" i="126"/>
  <c r="G181" i="126"/>
  <c r="G180" i="126"/>
  <c r="E171" i="126"/>
  <c r="E170" i="126"/>
  <c r="E169" i="126"/>
  <c r="E168" i="126"/>
  <c r="E167" i="126"/>
  <c r="E166" i="126"/>
  <c r="H165" i="126"/>
  <c r="A140" i="126"/>
  <c r="I129" i="126"/>
  <c r="I125" i="126"/>
  <c r="G122" i="126"/>
  <c r="G121" i="126"/>
  <c r="G120" i="126"/>
  <c r="G119" i="126"/>
  <c r="G118" i="126"/>
  <c r="G117" i="126"/>
  <c r="G116" i="126"/>
  <c r="G115" i="126"/>
  <c r="G114" i="126"/>
  <c r="G113" i="126"/>
  <c r="G112" i="126"/>
  <c r="E103" i="126"/>
  <c r="E102" i="126"/>
  <c r="E101" i="126"/>
  <c r="E100" i="126"/>
  <c r="E99" i="126"/>
  <c r="E98" i="126"/>
  <c r="H97" i="126"/>
  <c r="A72" i="126"/>
  <c r="I61" i="126"/>
  <c r="I57" i="126"/>
  <c r="G54" i="126"/>
  <c r="G53" i="126"/>
  <c r="G52" i="126"/>
  <c r="G51" i="126"/>
  <c r="G50" i="126"/>
  <c r="G49" i="126"/>
  <c r="G48" i="126"/>
  <c r="G47" i="126"/>
  <c r="G46" i="126"/>
  <c r="G45" i="126"/>
  <c r="G44" i="126"/>
  <c r="E35" i="126"/>
  <c r="E34" i="126"/>
  <c r="E33" i="126"/>
  <c r="E32" i="126"/>
  <c r="E31" i="126"/>
  <c r="E30" i="126"/>
  <c r="H29" i="126"/>
  <c r="A70" i="126"/>
  <c r="A276" i="124"/>
  <c r="A208" i="124"/>
  <c r="A140" i="124"/>
  <c r="A72" i="124"/>
  <c r="I333" i="124"/>
  <c r="I329" i="124"/>
  <c r="G326" i="124"/>
  <c r="G325" i="124"/>
  <c r="G324" i="124"/>
  <c r="G323" i="124"/>
  <c r="G322" i="124"/>
  <c r="G321" i="124"/>
  <c r="G320" i="124"/>
  <c r="G319" i="124"/>
  <c r="G318" i="124"/>
  <c r="G317" i="124"/>
  <c r="G316" i="124"/>
  <c r="E307" i="124"/>
  <c r="E306" i="124"/>
  <c r="E305" i="124"/>
  <c r="E304" i="124"/>
  <c r="E303" i="124"/>
  <c r="E302" i="124"/>
  <c r="H301" i="124"/>
  <c r="I265" i="124"/>
  <c r="I261" i="124"/>
  <c r="G258" i="124"/>
  <c r="G257" i="124"/>
  <c r="G256" i="124"/>
  <c r="G255" i="124"/>
  <c r="G254" i="124"/>
  <c r="G253" i="124"/>
  <c r="G252" i="124"/>
  <c r="G251" i="124"/>
  <c r="G250" i="124"/>
  <c r="G249" i="124"/>
  <c r="G248" i="124"/>
  <c r="E239" i="124"/>
  <c r="E238" i="124"/>
  <c r="E237" i="124"/>
  <c r="E236" i="124"/>
  <c r="E235" i="124"/>
  <c r="E234" i="124"/>
  <c r="H233" i="124"/>
  <c r="I197" i="124"/>
  <c r="I193" i="124"/>
  <c r="G190" i="124"/>
  <c r="G189" i="124"/>
  <c r="G188" i="124"/>
  <c r="G187" i="124"/>
  <c r="G186" i="124"/>
  <c r="G185" i="124"/>
  <c r="G184" i="124"/>
  <c r="G183" i="124"/>
  <c r="G182" i="124"/>
  <c r="G181" i="124"/>
  <c r="G180" i="124"/>
  <c r="E171" i="124"/>
  <c r="E170" i="124"/>
  <c r="E169" i="124"/>
  <c r="E168" i="124"/>
  <c r="E167" i="124"/>
  <c r="E166" i="124"/>
  <c r="H165" i="124"/>
  <c r="I129" i="124"/>
  <c r="I125" i="124"/>
  <c r="G122" i="124"/>
  <c r="G121" i="124"/>
  <c r="G120" i="124"/>
  <c r="G119" i="124"/>
  <c r="G118" i="124"/>
  <c r="G117" i="124"/>
  <c r="G116" i="124"/>
  <c r="G115" i="124"/>
  <c r="G114" i="124"/>
  <c r="G113" i="124"/>
  <c r="G112" i="124"/>
  <c r="E103" i="124"/>
  <c r="E102" i="124"/>
  <c r="E101" i="124"/>
  <c r="E100" i="124"/>
  <c r="E99" i="124"/>
  <c r="E98" i="124"/>
  <c r="H97" i="124"/>
  <c r="H85" i="146" l="1"/>
  <c r="H10" i="136"/>
  <c r="H84" i="128"/>
  <c r="H13" i="126"/>
  <c r="H17" i="150"/>
  <c r="H14" i="156"/>
  <c r="A70" i="146"/>
  <c r="H7" i="148"/>
  <c r="H13" i="132"/>
  <c r="A70" i="150"/>
  <c r="A138" i="150"/>
  <c r="H7" i="128"/>
  <c r="A138" i="152"/>
  <c r="H13" i="128"/>
  <c r="H8" i="132"/>
  <c r="H17" i="132"/>
  <c r="H11" i="138"/>
  <c r="H10" i="146"/>
  <c r="H15" i="132"/>
  <c r="H78" i="126"/>
  <c r="H15" i="138"/>
  <c r="H17" i="142"/>
  <c r="H14" i="148"/>
  <c r="H9" i="152"/>
  <c r="H10" i="144"/>
  <c r="H13" i="146"/>
  <c r="H78" i="156"/>
  <c r="H16" i="126"/>
  <c r="H14" i="138"/>
  <c r="H9" i="146"/>
  <c r="H7" i="146"/>
  <c r="H8" i="154"/>
  <c r="H77" i="128"/>
  <c r="H12" i="130"/>
  <c r="H14" i="130"/>
  <c r="H10" i="152"/>
  <c r="H14" i="154"/>
  <c r="H17" i="156"/>
  <c r="A274" i="134"/>
  <c r="H15" i="146"/>
  <c r="H10" i="156"/>
  <c r="H12" i="136"/>
  <c r="H9" i="150"/>
  <c r="H15" i="142"/>
  <c r="H12" i="148"/>
  <c r="H12" i="152"/>
  <c r="H8" i="136"/>
  <c r="H8" i="138"/>
  <c r="H80" i="128"/>
  <c r="H76" i="148"/>
  <c r="H11" i="130"/>
  <c r="H16" i="136"/>
  <c r="H85" i="142"/>
  <c r="H11" i="144"/>
  <c r="H11" i="146"/>
  <c r="H8" i="152"/>
  <c r="H9" i="156"/>
  <c r="H75" i="152"/>
  <c r="H9" i="148"/>
  <c r="H7" i="126"/>
  <c r="H10" i="128"/>
  <c r="H7" i="136"/>
  <c r="H8" i="140"/>
  <c r="H8" i="142"/>
  <c r="H143" i="144"/>
  <c r="H14" i="146"/>
  <c r="H13" i="148"/>
  <c r="A70" i="148"/>
  <c r="H16" i="150"/>
  <c r="A206" i="150"/>
  <c r="A70" i="152"/>
  <c r="H85" i="154"/>
  <c r="H14" i="142"/>
  <c r="A70" i="142"/>
  <c r="H9" i="144"/>
  <c r="H13" i="130"/>
  <c r="H17" i="138"/>
  <c r="H7" i="150"/>
  <c r="H326" i="136"/>
  <c r="H258" i="132"/>
  <c r="H258" i="142"/>
  <c r="H190" i="130"/>
  <c r="H122" i="148"/>
  <c r="E240" i="152"/>
  <c r="G240" i="152" s="1"/>
  <c r="E172" i="150"/>
  <c r="G172" i="150" s="1"/>
  <c r="H54" i="146"/>
  <c r="H122" i="150"/>
  <c r="H122" i="152"/>
  <c r="H122" i="146"/>
  <c r="H122" i="154"/>
  <c r="H122" i="156"/>
  <c r="H190" i="152"/>
  <c r="H190" i="148"/>
  <c r="H190" i="146"/>
  <c r="H190" i="150"/>
  <c r="H190" i="154"/>
  <c r="H326" i="146"/>
  <c r="H326" i="154"/>
  <c r="H326" i="150"/>
  <c r="H326" i="148"/>
  <c r="H258" i="146"/>
  <c r="H258" i="148"/>
  <c r="H258" i="154"/>
  <c r="H258" i="152"/>
  <c r="H258" i="150"/>
  <c r="H258" i="156"/>
  <c r="H143" i="146"/>
  <c r="H75" i="148"/>
  <c r="H77" i="150"/>
  <c r="H77" i="156"/>
  <c r="H75" i="154"/>
  <c r="H17" i="146"/>
  <c r="H85" i="148"/>
  <c r="H85" i="150"/>
  <c r="H16" i="146"/>
  <c r="H83" i="150"/>
  <c r="H219" i="156"/>
  <c r="H83" i="148"/>
  <c r="H15" i="152"/>
  <c r="H83" i="152"/>
  <c r="H83" i="146"/>
  <c r="H83" i="156"/>
  <c r="H15" i="150"/>
  <c r="H151" i="156"/>
  <c r="H82" i="156"/>
  <c r="H14" i="150"/>
  <c r="H14" i="152"/>
  <c r="H81" i="146"/>
  <c r="H149" i="154"/>
  <c r="H149" i="146"/>
  <c r="H13" i="150"/>
  <c r="H149" i="150"/>
  <c r="H13" i="152"/>
  <c r="H81" i="154"/>
  <c r="H80" i="150"/>
  <c r="H12" i="156"/>
  <c r="H148" i="152"/>
  <c r="H80" i="156"/>
  <c r="H284" i="154"/>
  <c r="H80" i="152"/>
  <c r="H80" i="148"/>
  <c r="H80" i="146"/>
  <c r="H148" i="150"/>
  <c r="H79" i="148"/>
  <c r="H79" i="150"/>
  <c r="H78" i="154"/>
  <c r="H10" i="150"/>
  <c r="H78" i="150"/>
  <c r="H77" i="154"/>
  <c r="H144" i="148"/>
  <c r="H76" i="150"/>
  <c r="H8" i="150"/>
  <c r="H76" i="152"/>
  <c r="H76" i="146"/>
  <c r="H76" i="156"/>
  <c r="H8" i="146"/>
  <c r="H75" i="150"/>
  <c r="H143" i="154"/>
  <c r="H143" i="148"/>
  <c r="H75" i="156"/>
  <c r="H143" i="150"/>
  <c r="H75" i="146"/>
  <c r="H142" i="150"/>
  <c r="H142" i="156"/>
  <c r="H142" i="146"/>
  <c r="H80" i="154"/>
  <c r="H17" i="154"/>
  <c r="H16" i="154"/>
  <c r="H16" i="152"/>
  <c r="H16" i="156"/>
  <c r="H13" i="154"/>
  <c r="H12" i="146"/>
  <c r="H12" i="150"/>
  <c r="H11" i="148"/>
  <c r="H11" i="154"/>
  <c r="H11" i="152"/>
  <c r="H7" i="156"/>
  <c r="H7" i="154"/>
  <c r="H54" i="144"/>
  <c r="H54" i="140"/>
  <c r="H122" i="144"/>
  <c r="H122" i="138"/>
  <c r="H122" i="140"/>
  <c r="H122" i="142"/>
  <c r="H190" i="140"/>
  <c r="H190" i="142"/>
  <c r="H190" i="144"/>
  <c r="H190" i="138"/>
  <c r="H258" i="140"/>
  <c r="H258" i="144"/>
  <c r="H258" i="138"/>
  <c r="H326" i="140"/>
  <c r="H326" i="138"/>
  <c r="H326" i="142"/>
  <c r="H326" i="144"/>
  <c r="E172" i="140"/>
  <c r="G172" i="140" s="1"/>
  <c r="H149" i="142"/>
  <c r="H75" i="140"/>
  <c r="H85" i="138"/>
  <c r="H17" i="144"/>
  <c r="H85" i="144"/>
  <c r="H85" i="140"/>
  <c r="H83" i="144"/>
  <c r="H15" i="140"/>
  <c r="H83" i="140"/>
  <c r="H15" i="144"/>
  <c r="H83" i="142"/>
  <c r="H83" i="138"/>
  <c r="H14" i="140"/>
  <c r="H14" i="144"/>
  <c r="H82" i="144"/>
  <c r="H81" i="140"/>
  <c r="H13" i="142"/>
  <c r="H81" i="142"/>
  <c r="H13" i="144"/>
  <c r="H80" i="138"/>
  <c r="H80" i="142"/>
  <c r="H11" i="142"/>
  <c r="H79" i="140"/>
  <c r="H79" i="138"/>
  <c r="H147" i="140"/>
  <c r="H147" i="138"/>
  <c r="H79" i="142"/>
  <c r="H10" i="138"/>
  <c r="H78" i="140"/>
  <c r="H214" i="140"/>
  <c r="H77" i="140"/>
  <c r="H9" i="138"/>
  <c r="H77" i="138"/>
  <c r="H76" i="142"/>
  <c r="H75" i="142"/>
  <c r="H75" i="138"/>
  <c r="H75" i="144"/>
  <c r="H143" i="142"/>
  <c r="H142" i="144"/>
  <c r="H81" i="138"/>
  <c r="H17" i="140"/>
  <c r="H16" i="138"/>
  <c r="H16" i="142"/>
  <c r="H13" i="138"/>
  <c r="H13" i="140"/>
  <c r="H11" i="140"/>
  <c r="H9" i="140"/>
  <c r="H7" i="140"/>
  <c r="H7" i="142"/>
  <c r="H7" i="144"/>
  <c r="H7" i="138"/>
  <c r="H6" i="144"/>
  <c r="E172" i="130"/>
  <c r="G172" i="130" s="1"/>
  <c r="H326" i="134"/>
  <c r="H326" i="132"/>
  <c r="H258" i="134"/>
  <c r="H258" i="136"/>
  <c r="H190" i="132"/>
  <c r="H190" i="134"/>
  <c r="H190" i="136"/>
  <c r="H122" i="134"/>
  <c r="H122" i="136"/>
  <c r="H54" i="136"/>
  <c r="H54" i="134"/>
  <c r="H54" i="130"/>
  <c r="H84" i="132"/>
  <c r="H76" i="132"/>
  <c r="H153" i="132"/>
  <c r="H221" i="132"/>
  <c r="H85" i="132"/>
  <c r="H85" i="134"/>
  <c r="H85" i="136"/>
  <c r="H152" i="130"/>
  <c r="H151" i="130"/>
  <c r="H219" i="130"/>
  <c r="H83" i="130"/>
  <c r="H83" i="134"/>
  <c r="H83" i="136"/>
  <c r="H14" i="134"/>
  <c r="H150" i="132"/>
  <c r="H14" i="136"/>
  <c r="H13" i="134"/>
  <c r="H13" i="136"/>
  <c r="H149" i="134"/>
  <c r="H81" i="134"/>
  <c r="H149" i="136"/>
  <c r="H148" i="136"/>
  <c r="H80" i="134"/>
  <c r="H80" i="136"/>
  <c r="H80" i="130"/>
  <c r="H12" i="132"/>
  <c r="H147" i="132"/>
  <c r="H79" i="134"/>
  <c r="H79" i="136"/>
  <c r="H79" i="130"/>
  <c r="H11" i="132"/>
  <c r="H78" i="136"/>
  <c r="H146" i="132"/>
  <c r="H10" i="134"/>
  <c r="H78" i="132"/>
  <c r="H78" i="134"/>
  <c r="H77" i="130"/>
  <c r="H9" i="132"/>
  <c r="H77" i="132"/>
  <c r="H76" i="136"/>
  <c r="H8" i="134"/>
  <c r="H8" i="130"/>
  <c r="H75" i="136"/>
  <c r="H75" i="134"/>
  <c r="H75" i="130"/>
  <c r="H7" i="132"/>
  <c r="H85" i="130"/>
  <c r="H81" i="130"/>
  <c r="H17" i="134"/>
  <c r="H16" i="134"/>
  <c r="H14" i="132"/>
  <c r="H11" i="134"/>
  <c r="H11" i="136"/>
  <c r="H7" i="130"/>
  <c r="H7" i="134"/>
  <c r="H77" i="126"/>
  <c r="H76" i="128"/>
  <c r="H153" i="128"/>
  <c r="E86" i="128"/>
  <c r="H88" i="128" s="1"/>
  <c r="H221" i="128"/>
  <c r="H15" i="126"/>
  <c r="H83" i="126"/>
  <c r="H14" i="126"/>
  <c r="H82" i="128"/>
  <c r="H81" i="128"/>
  <c r="H81" i="126"/>
  <c r="H80" i="126"/>
  <c r="H147" i="128"/>
  <c r="H11" i="126"/>
  <c r="H11" i="128"/>
  <c r="H79" i="128"/>
  <c r="H78" i="128"/>
  <c r="H9" i="126"/>
  <c r="H9" i="128"/>
  <c r="H76" i="126"/>
  <c r="H75" i="126"/>
  <c r="H142" i="128"/>
  <c r="H278" i="128"/>
  <c r="H17" i="126"/>
  <c r="H14" i="128"/>
  <c r="H12" i="126"/>
  <c r="H326" i="128"/>
  <c r="E308" i="126"/>
  <c r="G308" i="126" s="1"/>
  <c r="E240" i="126"/>
  <c r="G240" i="126" s="1"/>
  <c r="H190" i="126"/>
  <c r="H122" i="126"/>
  <c r="H54" i="126"/>
  <c r="H326" i="124"/>
  <c r="H258" i="124"/>
  <c r="H190" i="124"/>
  <c r="H122" i="124"/>
  <c r="A138" i="156"/>
  <c r="A274" i="156"/>
  <c r="A206" i="156"/>
  <c r="H74" i="156"/>
  <c r="E86" i="156"/>
  <c r="H88" i="156" s="1"/>
  <c r="H152" i="156"/>
  <c r="E172" i="156"/>
  <c r="G172" i="156" s="1"/>
  <c r="E154" i="156"/>
  <c r="H156" i="156" s="1"/>
  <c r="H143" i="156"/>
  <c r="H150" i="156"/>
  <c r="H11" i="156"/>
  <c r="E104" i="156"/>
  <c r="G104" i="156" s="1"/>
  <c r="H149" i="156"/>
  <c r="E36" i="156"/>
  <c r="G36" i="156" s="1"/>
  <c r="H79" i="156"/>
  <c r="E308" i="156"/>
  <c r="G308" i="156" s="1"/>
  <c r="E222" i="156"/>
  <c r="H224" i="156" s="1"/>
  <c r="E290" i="156"/>
  <c r="H292" i="156" s="1"/>
  <c r="H190" i="156"/>
  <c r="H144" i="156"/>
  <c r="H85" i="156"/>
  <c r="E240" i="156"/>
  <c r="G240" i="156" s="1"/>
  <c r="H326" i="156"/>
  <c r="H8" i="156"/>
  <c r="H84" i="156"/>
  <c r="H145" i="156"/>
  <c r="H81" i="156"/>
  <c r="E104" i="154"/>
  <c r="G104" i="154" s="1"/>
  <c r="H79" i="154"/>
  <c r="H220" i="154"/>
  <c r="H74" i="154"/>
  <c r="H147" i="154"/>
  <c r="H83" i="154"/>
  <c r="E36" i="154"/>
  <c r="G36" i="154" s="1"/>
  <c r="H151" i="154"/>
  <c r="E222" i="154"/>
  <c r="H224" i="154" s="1"/>
  <c r="H9" i="154"/>
  <c r="H15" i="154"/>
  <c r="H148" i="154"/>
  <c r="E290" i="154"/>
  <c r="H292" i="154" s="1"/>
  <c r="H145" i="154"/>
  <c r="H150" i="154"/>
  <c r="E240" i="154"/>
  <c r="G240" i="154" s="1"/>
  <c r="H12" i="154"/>
  <c r="H153" i="154"/>
  <c r="E172" i="154"/>
  <c r="G172" i="154" s="1"/>
  <c r="E308" i="154"/>
  <c r="G308" i="154" s="1"/>
  <c r="H144" i="154"/>
  <c r="H84" i="154"/>
  <c r="H152" i="154"/>
  <c r="A206" i="154"/>
  <c r="H76" i="154"/>
  <c r="A138" i="154"/>
  <c r="A70" i="154"/>
  <c r="E154" i="154"/>
  <c r="H156" i="154" s="1"/>
  <c r="H10" i="154"/>
  <c r="H82" i="154"/>
  <c r="H142" i="152"/>
  <c r="E154" i="152"/>
  <c r="H156" i="152" s="1"/>
  <c r="E222" i="152"/>
  <c r="H224" i="152" s="1"/>
  <c r="H152" i="152"/>
  <c r="H79" i="152"/>
  <c r="E290" i="152"/>
  <c r="H292" i="152" s="1"/>
  <c r="H145" i="152"/>
  <c r="H151" i="152"/>
  <c r="E172" i="152"/>
  <c r="G172" i="152" s="1"/>
  <c r="E36" i="152"/>
  <c r="G36" i="152" s="1"/>
  <c r="H6" i="152"/>
  <c r="H144" i="152"/>
  <c r="H150" i="152"/>
  <c r="H213" i="152"/>
  <c r="H219" i="152"/>
  <c r="H74" i="152"/>
  <c r="E86" i="152"/>
  <c r="H88" i="152" s="1"/>
  <c r="E308" i="152"/>
  <c r="G308" i="152" s="1"/>
  <c r="H326" i="152"/>
  <c r="H143" i="152"/>
  <c r="H149" i="152"/>
  <c r="H85" i="152"/>
  <c r="E104" i="152"/>
  <c r="G104" i="152" s="1"/>
  <c r="H216" i="152"/>
  <c r="H84" i="152"/>
  <c r="H17" i="152"/>
  <c r="H77" i="152"/>
  <c r="H81" i="152"/>
  <c r="H82" i="152"/>
  <c r="H216" i="150"/>
  <c r="E104" i="150"/>
  <c r="G104" i="150" s="1"/>
  <c r="H150" i="150"/>
  <c r="H6" i="150"/>
  <c r="E240" i="150"/>
  <c r="G240" i="150" s="1"/>
  <c r="H74" i="150"/>
  <c r="E86" i="150"/>
  <c r="H88" i="150" s="1"/>
  <c r="E308" i="150"/>
  <c r="G308" i="150" s="1"/>
  <c r="H152" i="150"/>
  <c r="E36" i="150"/>
  <c r="G36" i="150" s="1"/>
  <c r="H147" i="150"/>
  <c r="E154" i="150"/>
  <c r="H156" i="150" s="1"/>
  <c r="E222" i="150"/>
  <c r="H224" i="150" s="1"/>
  <c r="H281" i="150"/>
  <c r="E290" i="150"/>
  <c r="H292" i="150" s="1"/>
  <c r="H144" i="150"/>
  <c r="H84" i="150"/>
  <c r="H213" i="150"/>
  <c r="H145" i="150"/>
  <c r="H81" i="150"/>
  <c r="H82" i="150"/>
  <c r="A206" i="148"/>
  <c r="A138" i="148"/>
  <c r="H6" i="148"/>
  <c r="E240" i="148"/>
  <c r="G240" i="148" s="1"/>
  <c r="E308" i="148"/>
  <c r="G308" i="148" s="1"/>
  <c r="H74" i="148"/>
  <c r="E86" i="148"/>
  <c r="H88" i="148" s="1"/>
  <c r="H151" i="148"/>
  <c r="H216" i="148"/>
  <c r="E36" i="148"/>
  <c r="G36" i="148" s="1"/>
  <c r="H142" i="148"/>
  <c r="E154" i="148"/>
  <c r="H156" i="148" s="1"/>
  <c r="H145" i="148"/>
  <c r="H82" i="148"/>
  <c r="E222" i="148"/>
  <c r="H224" i="148" s="1"/>
  <c r="H147" i="148"/>
  <c r="H150" i="148"/>
  <c r="E172" i="148"/>
  <c r="G172" i="148" s="1"/>
  <c r="E290" i="148"/>
  <c r="H292" i="148" s="1"/>
  <c r="H81" i="148"/>
  <c r="H218" i="148"/>
  <c r="H152" i="148"/>
  <c r="H78" i="148"/>
  <c r="H149" i="148"/>
  <c r="H15" i="148"/>
  <c r="H148" i="148"/>
  <c r="H16" i="148"/>
  <c r="H84" i="148"/>
  <c r="E104" i="148"/>
  <c r="G104" i="148" s="1"/>
  <c r="H17" i="148"/>
  <c r="H77" i="148"/>
  <c r="H10" i="148"/>
  <c r="A138" i="146"/>
  <c r="A274" i="146"/>
  <c r="A274" i="144"/>
  <c r="A70" i="144"/>
  <c r="A206" i="144"/>
  <c r="H144" i="146"/>
  <c r="E240" i="146"/>
  <c r="G240" i="146" s="1"/>
  <c r="H147" i="146"/>
  <c r="H150" i="146"/>
  <c r="E308" i="146"/>
  <c r="G308" i="146" s="1"/>
  <c r="H6" i="146"/>
  <c r="E36" i="146"/>
  <c r="G36" i="146" s="1"/>
  <c r="H216" i="146"/>
  <c r="H151" i="146"/>
  <c r="H74" i="146"/>
  <c r="E86" i="146"/>
  <c r="H88" i="146" s="1"/>
  <c r="H78" i="146"/>
  <c r="H152" i="146"/>
  <c r="E172" i="146"/>
  <c r="G172" i="146" s="1"/>
  <c r="E104" i="146"/>
  <c r="G104" i="146" s="1"/>
  <c r="E154" i="146"/>
  <c r="H156" i="146" s="1"/>
  <c r="H145" i="146"/>
  <c r="E222" i="146"/>
  <c r="H224" i="146" s="1"/>
  <c r="H79" i="146"/>
  <c r="H148" i="146"/>
  <c r="H84" i="146"/>
  <c r="E290" i="146"/>
  <c r="H292" i="146" s="1"/>
  <c r="H77" i="146"/>
  <c r="H82" i="146"/>
  <c r="E290" i="144"/>
  <c r="H292" i="144" s="1"/>
  <c r="H144" i="144"/>
  <c r="E308" i="144"/>
  <c r="G308" i="144" s="1"/>
  <c r="E240" i="144"/>
  <c r="G240" i="144" s="1"/>
  <c r="H74" i="144"/>
  <c r="E86" i="144"/>
  <c r="H88" i="144" s="1"/>
  <c r="H150" i="144"/>
  <c r="E222" i="144"/>
  <c r="H224" i="144" s="1"/>
  <c r="E104" i="144"/>
  <c r="G104" i="144" s="1"/>
  <c r="H147" i="144"/>
  <c r="H77" i="144"/>
  <c r="H78" i="144"/>
  <c r="E36" i="144"/>
  <c r="G36" i="144" s="1"/>
  <c r="H80" i="144"/>
  <c r="E172" i="144"/>
  <c r="G172" i="144" s="1"/>
  <c r="E154" i="144"/>
  <c r="H156" i="144" s="1"/>
  <c r="H149" i="144"/>
  <c r="H152" i="144"/>
  <c r="H79" i="144"/>
  <c r="H12" i="144"/>
  <c r="H16" i="144"/>
  <c r="H76" i="144"/>
  <c r="H84" i="144"/>
  <c r="H81" i="144"/>
  <c r="A274" i="142"/>
  <c r="H74" i="142"/>
  <c r="E86" i="142"/>
  <c r="H88" i="142" s="1"/>
  <c r="H151" i="142"/>
  <c r="H142" i="142"/>
  <c r="E154" i="142"/>
  <c r="H156" i="142" s="1"/>
  <c r="E104" i="142"/>
  <c r="G104" i="142" s="1"/>
  <c r="E240" i="142"/>
  <c r="G240" i="142" s="1"/>
  <c r="E308" i="142"/>
  <c r="G308" i="142" s="1"/>
  <c r="E222" i="142"/>
  <c r="H224" i="142" s="1"/>
  <c r="H145" i="142"/>
  <c r="H216" i="142"/>
  <c r="E36" i="142"/>
  <c r="G36" i="142" s="1"/>
  <c r="E290" i="142"/>
  <c r="H292" i="142" s="1"/>
  <c r="H150" i="142"/>
  <c r="H147" i="142"/>
  <c r="H152" i="142"/>
  <c r="E172" i="142"/>
  <c r="G172" i="142" s="1"/>
  <c r="H144" i="142"/>
  <c r="H6" i="142"/>
  <c r="H78" i="142"/>
  <c r="H148" i="142"/>
  <c r="A206" i="142"/>
  <c r="H12" i="142"/>
  <c r="H84" i="142"/>
  <c r="H77" i="142"/>
  <c r="H10" i="142"/>
  <c r="H82" i="142"/>
  <c r="H150" i="140"/>
  <c r="E308" i="140"/>
  <c r="G308" i="140" s="1"/>
  <c r="E240" i="140"/>
  <c r="G240" i="140" s="1"/>
  <c r="H144" i="140"/>
  <c r="H143" i="140"/>
  <c r="H153" i="140"/>
  <c r="H74" i="140"/>
  <c r="E86" i="140"/>
  <c r="H88" i="140" s="1"/>
  <c r="H145" i="140"/>
  <c r="E36" i="140"/>
  <c r="G36" i="140" s="1"/>
  <c r="H12" i="140"/>
  <c r="H149" i="140"/>
  <c r="E222" i="140"/>
  <c r="H224" i="140" s="1"/>
  <c r="E290" i="140"/>
  <c r="H292" i="140" s="1"/>
  <c r="H151" i="140"/>
  <c r="A274" i="140"/>
  <c r="H152" i="140"/>
  <c r="A206" i="140"/>
  <c r="H16" i="140"/>
  <c r="H76" i="140"/>
  <c r="E104" i="140"/>
  <c r="G104" i="140" s="1"/>
  <c r="A138" i="140"/>
  <c r="E154" i="140"/>
  <c r="H156" i="140" s="1"/>
  <c r="H146" i="140"/>
  <c r="H10" i="140"/>
  <c r="H82" i="140"/>
  <c r="E290" i="138"/>
  <c r="H292" i="138" s="1"/>
  <c r="H144" i="138"/>
  <c r="E240" i="138"/>
  <c r="G240" i="138" s="1"/>
  <c r="H150" i="138"/>
  <c r="H221" i="138"/>
  <c r="E308" i="138"/>
  <c r="G308" i="138" s="1"/>
  <c r="H78" i="138"/>
  <c r="H84" i="138"/>
  <c r="H74" i="138"/>
  <c r="E86" i="138"/>
  <c r="H88" i="138" s="1"/>
  <c r="E104" i="138"/>
  <c r="G104" i="138" s="1"/>
  <c r="H6" i="138"/>
  <c r="H220" i="138"/>
  <c r="E36" i="138"/>
  <c r="G36" i="138" s="1"/>
  <c r="E154" i="138"/>
  <c r="H156" i="138" s="1"/>
  <c r="H145" i="138"/>
  <c r="H214" i="138"/>
  <c r="H149" i="138"/>
  <c r="E172" i="138"/>
  <c r="G172" i="138" s="1"/>
  <c r="E222" i="138"/>
  <c r="H224" i="138" s="1"/>
  <c r="H151" i="138"/>
  <c r="A274" i="138"/>
  <c r="H152" i="138"/>
  <c r="A206" i="138"/>
  <c r="H12" i="138"/>
  <c r="H76" i="138"/>
  <c r="A138" i="138"/>
  <c r="H153" i="138"/>
  <c r="H146" i="138"/>
  <c r="H82" i="138"/>
  <c r="A206" i="136"/>
  <c r="A138" i="136"/>
  <c r="A274" i="136"/>
  <c r="H145" i="136"/>
  <c r="E240" i="136"/>
  <c r="G240" i="136" s="1"/>
  <c r="H142" i="136"/>
  <c r="E154" i="136"/>
  <c r="H156" i="136" s="1"/>
  <c r="H151" i="136"/>
  <c r="E104" i="136"/>
  <c r="G104" i="136" s="1"/>
  <c r="E308" i="136"/>
  <c r="G308" i="136" s="1"/>
  <c r="E222" i="136"/>
  <c r="H224" i="136" s="1"/>
  <c r="E290" i="136"/>
  <c r="H292" i="136" s="1"/>
  <c r="H147" i="136"/>
  <c r="H144" i="136"/>
  <c r="E36" i="136"/>
  <c r="G36" i="136" s="1"/>
  <c r="H150" i="136"/>
  <c r="E172" i="136"/>
  <c r="G172" i="136" s="1"/>
  <c r="H6" i="136"/>
  <c r="H152" i="136"/>
  <c r="H74" i="136"/>
  <c r="E86" i="136"/>
  <c r="H88" i="136" s="1"/>
  <c r="H143" i="136"/>
  <c r="H84" i="136"/>
  <c r="H9" i="136"/>
  <c r="H17" i="136"/>
  <c r="H77" i="136"/>
  <c r="H81" i="136"/>
  <c r="H15" i="136"/>
  <c r="H82" i="136"/>
  <c r="A70" i="134"/>
  <c r="H145" i="134"/>
  <c r="H142" i="134"/>
  <c r="E154" i="134"/>
  <c r="H156" i="134" s="1"/>
  <c r="H216" i="134"/>
  <c r="H74" i="134"/>
  <c r="E86" i="134"/>
  <c r="H88" i="134" s="1"/>
  <c r="E222" i="134"/>
  <c r="H224" i="134" s="1"/>
  <c r="H150" i="134"/>
  <c r="E308" i="134"/>
  <c r="G308" i="134" s="1"/>
  <c r="E290" i="134"/>
  <c r="H292" i="134" s="1"/>
  <c r="H144" i="134"/>
  <c r="H147" i="134"/>
  <c r="E104" i="134"/>
  <c r="G104" i="134" s="1"/>
  <c r="E240" i="134"/>
  <c r="G240" i="134" s="1"/>
  <c r="H152" i="134"/>
  <c r="H143" i="134"/>
  <c r="E36" i="134"/>
  <c r="G36" i="134" s="1"/>
  <c r="H6" i="134"/>
  <c r="H151" i="134"/>
  <c r="H148" i="134"/>
  <c r="E172" i="134"/>
  <c r="G172" i="134" s="1"/>
  <c r="A206" i="134"/>
  <c r="H12" i="134"/>
  <c r="H76" i="134"/>
  <c r="H84" i="134"/>
  <c r="H15" i="134"/>
  <c r="H9" i="134"/>
  <c r="H77" i="134"/>
  <c r="H82" i="134"/>
  <c r="E222" i="132"/>
  <c r="H224" i="132" s="1"/>
  <c r="H74" i="132"/>
  <c r="E86" i="132"/>
  <c r="H88" i="132" s="1"/>
  <c r="H214" i="132"/>
  <c r="E240" i="132"/>
  <c r="G240" i="132" s="1"/>
  <c r="E308" i="132"/>
  <c r="G308" i="132" s="1"/>
  <c r="H80" i="132"/>
  <c r="A70" i="132"/>
  <c r="A138" i="132"/>
  <c r="A206" i="132"/>
  <c r="A274" i="132"/>
  <c r="E290" i="132"/>
  <c r="H292" i="132" s="1"/>
  <c r="H149" i="132"/>
  <c r="E154" i="132"/>
  <c r="H156" i="132" s="1"/>
  <c r="H81" i="132"/>
  <c r="E36" i="132"/>
  <c r="G36" i="132" s="1"/>
  <c r="H82" i="132"/>
  <c r="H122" i="132"/>
  <c r="H16" i="132"/>
  <c r="E104" i="132"/>
  <c r="G104" i="132" s="1"/>
  <c r="H83" i="132"/>
  <c r="H54" i="132"/>
  <c r="H215" i="132"/>
  <c r="H283" i="132"/>
  <c r="H10" i="132"/>
  <c r="E172" i="132"/>
  <c r="G172" i="132" s="1"/>
  <c r="H75" i="132"/>
  <c r="H145" i="132"/>
  <c r="H151" i="132"/>
  <c r="H152" i="132"/>
  <c r="H79" i="132"/>
  <c r="E154" i="130"/>
  <c r="H156" i="130" s="1"/>
  <c r="E308" i="130"/>
  <c r="G308" i="130" s="1"/>
  <c r="H210" i="130"/>
  <c r="E222" i="130"/>
  <c r="H224" i="130" s="1"/>
  <c r="A70" i="130"/>
  <c r="A138" i="130"/>
  <c r="H74" i="130"/>
  <c r="E86" i="130"/>
  <c r="H88" i="130" s="1"/>
  <c r="H10" i="130"/>
  <c r="H258" i="130"/>
  <c r="H16" i="130"/>
  <c r="H142" i="130"/>
  <c r="H84" i="130"/>
  <c r="H148" i="130"/>
  <c r="H78" i="130"/>
  <c r="H15" i="130"/>
  <c r="E36" i="130"/>
  <c r="G36" i="130" s="1"/>
  <c r="H149" i="130"/>
  <c r="H153" i="130"/>
  <c r="A206" i="130"/>
  <c r="A274" i="130"/>
  <c r="H326" i="130"/>
  <c r="E290" i="130"/>
  <c r="H292" i="130" s="1"/>
  <c r="H143" i="130"/>
  <c r="H147" i="130"/>
  <c r="H82" i="130"/>
  <c r="H216" i="130"/>
  <c r="H76" i="130"/>
  <c r="H122" i="130"/>
  <c r="H17" i="130"/>
  <c r="E240" i="130"/>
  <c r="G240" i="130" s="1"/>
  <c r="E104" i="130"/>
  <c r="G104" i="130" s="1"/>
  <c r="E104" i="128"/>
  <c r="G104" i="128" s="1"/>
  <c r="E308" i="128"/>
  <c r="G308" i="128" s="1"/>
  <c r="E154" i="128"/>
  <c r="H156" i="128" s="1"/>
  <c r="E222" i="128"/>
  <c r="H224" i="128" s="1"/>
  <c r="E36" i="128"/>
  <c r="G36" i="128" s="1"/>
  <c r="E290" i="128"/>
  <c r="H292" i="128" s="1"/>
  <c r="H6" i="128"/>
  <c r="H12" i="128"/>
  <c r="H17" i="128"/>
  <c r="H190" i="128"/>
  <c r="H210" i="128"/>
  <c r="H145" i="128"/>
  <c r="H122" i="128"/>
  <c r="H75" i="128"/>
  <c r="E172" i="128"/>
  <c r="G172" i="128" s="1"/>
  <c r="E240" i="128"/>
  <c r="G240" i="128" s="1"/>
  <c r="A206" i="128"/>
  <c r="A274" i="128"/>
  <c r="H74" i="128"/>
  <c r="H8" i="128"/>
  <c r="H214" i="128"/>
  <c r="H258" i="128"/>
  <c r="H83" i="128"/>
  <c r="A138" i="128"/>
  <c r="H146" i="128"/>
  <c r="H54" i="128"/>
  <c r="H144" i="128"/>
  <c r="H212" i="128"/>
  <c r="H15" i="128"/>
  <c r="A206" i="126"/>
  <c r="A138" i="126"/>
  <c r="A274" i="126"/>
  <c r="H85" i="126"/>
  <c r="E172" i="126"/>
  <c r="G172" i="126" s="1"/>
  <c r="H6" i="126"/>
  <c r="H213" i="126"/>
  <c r="E36" i="126"/>
  <c r="G36" i="126" s="1"/>
  <c r="H74" i="126"/>
  <c r="E86" i="126"/>
  <c r="H88" i="126" s="1"/>
  <c r="H143" i="126"/>
  <c r="H142" i="126"/>
  <c r="E154" i="126"/>
  <c r="H156" i="126" s="1"/>
  <c r="H152" i="126"/>
  <c r="H219" i="126"/>
  <c r="E222" i="126"/>
  <c r="H224" i="126" s="1"/>
  <c r="H151" i="126"/>
  <c r="E104" i="126"/>
  <c r="G104" i="126" s="1"/>
  <c r="H326" i="126"/>
  <c r="H144" i="126"/>
  <c r="E290" i="126"/>
  <c r="H292" i="126" s="1"/>
  <c r="H145" i="126"/>
  <c r="H150" i="126"/>
  <c r="H79" i="126"/>
  <c r="H8" i="126"/>
  <c r="H84" i="126"/>
  <c r="H10" i="126"/>
  <c r="H82" i="126"/>
  <c r="A274" i="124"/>
  <c r="A138" i="124"/>
  <c r="A206" i="124"/>
  <c r="E308" i="124"/>
  <c r="G308" i="124" s="1"/>
  <c r="E240" i="124"/>
  <c r="G240" i="124" s="1"/>
  <c r="E172" i="124"/>
  <c r="G172" i="124" s="1"/>
  <c r="E104" i="124"/>
  <c r="G104" i="124" s="1"/>
  <c r="I57" i="124"/>
  <c r="I61" i="124"/>
  <c r="E32" i="124"/>
  <c r="E31" i="124"/>
  <c r="E34" i="124"/>
  <c r="E33" i="124"/>
  <c r="E18" i="150" l="1"/>
  <c r="H20" i="150" s="1"/>
  <c r="E86" i="154"/>
  <c r="H88" i="154" s="1"/>
  <c r="E18" i="146"/>
  <c r="H20" i="146" s="1"/>
  <c r="H213" i="156"/>
  <c r="H151" i="150"/>
  <c r="H148" i="156"/>
  <c r="H216" i="154"/>
  <c r="H214" i="154"/>
  <c r="H18" i="150"/>
  <c r="I18" i="150" s="1"/>
  <c r="H146" i="154"/>
  <c r="H212" i="148"/>
  <c r="H18" i="146"/>
  <c r="H142" i="154"/>
  <c r="H18" i="156"/>
  <c r="H220" i="140"/>
  <c r="H281" i="144"/>
  <c r="H282" i="140"/>
  <c r="H145" i="144"/>
  <c r="H213" i="144"/>
  <c r="H151" i="144"/>
  <c r="H148" i="138"/>
  <c r="H148" i="144"/>
  <c r="H143" i="138"/>
  <c r="H142" i="138"/>
  <c r="H18" i="144"/>
  <c r="H216" i="136"/>
  <c r="H18" i="132"/>
  <c r="H145" i="130"/>
  <c r="H18" i="136"/>
  <c r="E18" i="136"/>
  <c r="H20" i="136" s="1"/>
  <c r="H149" i="126"/>
  <c r="H151" i="128"/>
  <c r="H148" i="126"/>
  <c r="E18" i="126"/>
  <c r="H20" i="126" s="1"/>
  <c r="H18" i="126"/>
  <c r="H211" i="156"/>
  <c r="H86" i="156"/>
  <c r="H217" i="156"/>
  <c r="E18" i="156"/>
  <c r="H20" i="156" s="1"/>
  <c r="H153" i="156"/>
  <c r="H287" i="156"/>
  <c r="H281" i="156"/>
  <c r="H146" i="156"/>
  <c r="H212" i="156"/>
  <c r="H220" i="156"/>
  <c r="H147" i="156"/>
  <c r="H218" i="156"/>
  <c r="H210" i="156"/>
  <c r="H211" i="154"/>
  <c r="H221" i="154"/>
  <c r="H219" i="154"/>
  <c r="H86" i="154"/>
  <c r="H6" i="154"/>
  <c r="H18" i="154" s="1"/>
  <c r="E18" i="154"/>
  <c r="H20" i="154" s="1"/>
  <c r="H217" i="154"/>
  <c r="H282" i="154"/>
  <c r="H218" i="154"/>
  <c r="H213" i="154"/>
  <c r="H212" i="154"/>
  <c r="H215" i="154"/>
  <c r="H288" i="154"/>
  <c r="H284" i="152"/>
  <c r="H146" i="152"/>
  <c r="H217" i="152"/>
  <c r="H287" i="152"/>
  <c r="H210" i="152"/>
  <c r="H218" i="152"/>
  <c r="H147" i="152"/>
  <c r="H211" i="152"/>
  <c r="H281" i="152"/>
  <c r="H212" i="152"/>
  <c r="H86" i="152"/>
  <c r="H220" i="152"/>
  <c r="E18" i="152"/>
  <c r="H20" i="152" s="1"/>
  <c r="H153" i="152"/>
  <c r="H18" i="152"/>
  <c r="H217" i="150"/>
  <c r="H220" i="150"/>
  <c r="H212" i="150"/>
  <c r="H218" i="150"/>
  <c r="H211" i="150"/>
  <c r="H215" i="150"/>
  <c r="H86" i="150"/>
  <c r="H153" i="150"/>
  <c r="H146" i="150"/>
  <c r="H210" i="150"/>
  <c r="H284" i="150"/>
  <c r="H210" i="148"/>
  <c r="H219" i="148"/>
  <c r="H18" i="148"/>
  <c r="H284" i="148"/>
  <c r="H86" i="148"/>
  <c r="H213" i="148"/>
  <c r="H153" i="148"/>
  <c r="H217" i="148"/>
  <c r="H215" i="148"/>
  <c r="E18" i="148"/>
  <c r="H20" i="148" s="1"/>
  <c r="H286" i="148"/>
  <c r="H211" i="148"/>
  <c r="H146" i="148"/>
  <c r="H220" i="148"/>
  <c r="H217" i="146"/>
  <c r="H284" i="146"/>
  <c r="H211" i="146"/>
  <c r="H213" i="146"/>
  <c r="H146" i="146"/>
  <c r="H86" i="146"/>
  <c r="H215" i="146"/>
  <c r="H153" i="146"/>
  <c r="H210" i="146"/>
  <c r="H219" i="146"/>
  <c r="H220" i="146"/>
  <c r="H218" i="146"/>
  <c r="H212" i="146"/>
  <c r="H211" i="144"/>
  <c r="E18" i="144"/>
  <c r="H20" i="144" s="1"/>
  <c r="H146" i="144"/>
  <c r="H86" i="144"/>
  <c r="H210" i="144"/>
  <c r="H215" i="144"/>
  <c r="H212" i="144"/>
  <c r="H153" i="144"/>
  <c r="H220" i="144"/>
  <c r="H217" i="144"/>
  <c r="H218" i="144"/>
  <c r="H210" i="142"/>
  <c r="H220" i="142"/>
  <c r="H215" i="142"/>
  <c r="E18" i="142"/>
  <c r="H20" i="142" s="1"/>
  <c r="H212" i="142"/>
  <c r="H153" i="142"/>
  <c r="H18" i="142"/>
  <c r="H284" i="142"/>
  <c r="H217" i="142"/>
  <c r="H213" i="142"/>
  <c r="H211" i="142"/>
  <c r="H146" i="142"/>
  <c r="H218" i="142"/>
  <c r="H219" i="142"/>
  <c r="H86" i="142"/>
  <c r="H215" i="140"/>
  <c r="H148" i="140"/>
  <c r="H221" i="140"/>
  <c r="H217" i="140"/>
  <c r="H86" i="140"/>
  <c r="H142" i="140"/>
  <c r="H211" i="140"/>
  <c r="H219" i="140"/>
  <c r="H6" i="140"/>
  <c r="H18" i="140" s="1"/>
  <c r="E18" i="140"/>
  <c r="H20" i="140" s="1"/>
  <c r="H218" i="140"/>
  <c r="H288" i="140"/>
  <c r="H213" i="140"/>
  <c r="H212" i="140"/>
  <c r="E18" i="138"/>
  <c r="H20" i="138" s="1"/>
  <c r="H86" i="138"/>
  <c r="H289" i="138"/>
  <c r="H217" i="138"/>
  <c r="H18" i="138"/>
  <c r="H219" i="138"/>
  <c r="H212" i="138"/>
  <c r="H218" i="138"/>
  <c r="H282" i="138"/>
  <c r="H288" i="138"/>
  <c r="H215" i="138"/>
  <c r="H213" i="138"/>
  <c r="H153" i="136"/>
  <c r="H215" i="136"/>
  <c r="H219" i="136"/>
  <c r="H213" i="136"/>
  <c r="H86" i="136"/>
  <c r="H284" i="136"/>
  <c r="H146" i="136"/>
  <c r="H218" i="136"/>
  <c r="H212" i="136"/>
  <c r="H217" i="136"/>
  <c r="H211" i="136"/>
  <c r="H210" i="136"/>
  <c r="H220" i="136"/>
  <c r="H210" i="134"/>
  <c r="H219" i="134"/>
  <c r="H220" i="134"/>
  <c r="E18" i="134"/>
  <c r="H20" i="134" s="1"/>
  <c r="H284" i="134"/>
  <c r="H153" i="134"/>
  <c r="H211" i="134"/>
  <c r="H18" i="134"/>
  <c r="H212" i="134"/>
  <c r="H86" i="134"/>
  <c r="H218" i="134"/>
  <c r="H213" i="134"/>
  <c r="H215" i="134"/>
  <c r="H146" i="134"/>
  <c r="H282" i="132"/>
  <c r="H213" i="132"/>
  <c r="H148" i="132"/>
  <c r="H144" i="132"/>
  <c r="H143" i="132"/>
  <c r="E18" i="132"/>
  <c r="H20" i="132" s="1"/>
  <c r="H219" i="132"/>
  <c r="H142" i="132"/>
  <c r="H289" i="132"/>
  <c r="H218" i="132"/>
  <c r="H86" i="132"/>
  <c r="H220" i="132"/>
  <c r="H217" i="132"/>
  <c r="H221" i="130"/>
  <c r="H6" i="130"/>
  <c r="H18" i="130" s="1"/>
  <c r="E18" i="130"/>
  <c r="H20" i="130" s="1"/>
  <c r="H220" i="130"/>
  <c r="H284" i="130"/>
  <c r="H211" i="130"/>
  <c r="H287" i="130"/>
  <c r="H215" i="130"/>
  <c r="H146" i="130"/>
  <c r="H278" i="130"/>
  <c r="H144" i="130"/>
  <c r="H150" i="130"/>
  <c r="H217" i="130"/>
  <c r="H86" i="130"/>
  <c r="H86" i="128"/>
  <c r="H150" i="128"/>
  <c r="H148" i="128"/>
  <c r="H143" i="128"/>
  <c r="H149" i="128"/>
  <c r="H152" i="128"/>
  <c r="E18" i="128"/>
  <c r="H20" i="128" s="1"/>
  <c r="H280" i="128"/>
  <c r="H282" i="128"/>
  <c r="H18" i="128"/>
  <c r="H215" i="128"/>
  <c r="H219" i="128"/>
  <c r="H213" i="128"/>
  <c r="H210" i="126"/>
  <c r="H147" i="126"/>
  <c r="H153" i="126"/>
  <c r="H218" i="126"/>
  <c r="H211" i="126"/>
  <c r="H281" i="126"/>
  <c r="H212" i="126"/>
  <c r="H287" i="126"/>
  <c r="H86" i="126"/>
  <c r="H146" i="126"/>
  <c r="H217" i="126"/>
  <c r="H220" i="126"/>
  <c r="E154" i="124"/>
  <c r="H156" i="124" s="1"/>
  <c r="E86" i="124"/>
  <c r="H88" i="124" s="1"/>
  <c r="E290" i="124"/>
  <c r="H292" i="124" s="1"/>
  <c r="E222" i="124"/>
  <c r="H224" i="124" s="1"/>
  <c r="G54" i="124"/>
  <c r="G53" i="124"/>
  <c r="G52" i="124"/>
  <c r="G51" i="124"/>
  <c r="G50" i="124"/>
  <c r="G49" i="124"/>
  <c r="G48" i="124"/>
  <c r="G47" i="124"/>
  <c r="G46" i="124"/>
  <c r="G45" i="124"/>
  <c r="H154" i="134" l="1"/>
  <c r="I18" i="146"/>
  <c r="H154" i="136"/>
  <c r="I154" i="136" s="1"/>
  <c r="H154" i="150"/>
  <c r="I154" i="150" s="1"/>
  <c r="H154" i="154"/>
  <c r="I154" i="154" s="1"/>
  <c r="H154" i="152"/>
  <c r="H157" i="152" s="1"/>
  <c r="H219" i="150"/>
  <c r="H21" i="150"/>
  <c r="G29" i="150" s="1"/>
  <c r="H216" i="156"/>
  <c r="H21" i="146"/>
  <c r="G28" i="146" s="1"/>
  <c r="H154" i="156"/>
  <c r="H157" i="156" s="1"/>
  <c r="H21" i="156"/>
  <c r="G29" i="156" s="1"/>
  <c r="H280" i="148"/>
  <c r="H210" i="154"/>
  <c r="H222" i="154" s="1"/>
  <c r="H225" i="154" s="1"/>
  <c r="H154" i="146"/>
  <c r="I154" i="146" s="1"/>
  <c r="H154" i="148"/>
  <c r="H157" i="148" s="1"/>
  <c r="H154" i="142"/>
  <c r="H157" i="142" s="1"/>
  <c r="H219" i="144"/>
  <c r="H216" i="138"/>
  <c r="H216" i="144"/>
  <c r="H21" i="144"/>
  <c r="G29" i="144" s="1"/>
  <c r="H154" i="138"/>
  <c r="H157" i="138" s="1"/>
  <c r="H211" i="138"/>
  <c r="H210" i="138"/>
  <c r="H154" i="140"/>
  <c r="H157" i="140" s="1"/>
  <c r="H154" i="144"/>
  <c r="I154" i="144" s="1"/>
  <c r="H285" i="134"/>
  <c r="H21" i="132"/>
  <c r="G27" i="132" s="1"/>
  <c r="H217" i="134"/>
  <c r="H213" i="130"/>
  <c r="H154" i="130"/>
  <c r="I154" i="130" s="1"/>
  <c r="H154" i="132"/>
  <c r="I154" i="132" s="1"/>
  <c r="I18" i="136"/>
  <c r="K18" i="136" s="1"/>
  <c r="H21" i="136"/>
  <c r="G27" i="136" s="1"/>
  <c r="I18" i="132"/>
  <c r="I29" i="132" s="1"/>
  <c r="H289" i="128"/>
  <c r="H287" i="128"/>
  <c r="H154" i="126"/>
  <c r="H157" i="126" s="1"/>
  <c r="H154" i="128"/>
  <c r="I154" i="128" s="1"/>
  <c r="H216" i="126"/>
  <c r="H21" i="126"/>
  <c r="G29" i="126" s="1"/>
  <c r="I18" i="126"/>
  <c r="K18" i="126" s="1"/>
  <c r="H288" i="156"/>
  <c r="H214" i="156"/>
  <c r="H215" i="156"/>
  <c r="H280" i="156"/>
  <c r="H278" i="156"/>
  <c r="I18" i="156"/>
  <c r="I86" i="156"/>
  <c r="H89" i="156"/>
  <c r="H286" i="156"/>
  <c r="H279" i="156"/>
  <c r="H285" i="156"/>
  <c r="H221" i="156"/>
  <c r="H289" i="154"/>
  <c r="H283" i="154"/>
  <c r="I18" i="154"/>
  <c r="H21" i="154"/>
  <c r="H281" i="154"/>
  <c r="I86" i="154"/>
  <c r="H89" i="154"/>
  <c r="H285" i="154"/>
  <c r="H286" i="154"/>
  <c r="H279" i="154"/>
  <c r="H280" i="154"/>
  <c r="H287" i="154"/>
  <c r="H288" i="152"/>
  <c r="H286" i="152"/>
  <c r="H221" i="152"/>
  <c r="I86" i="152"/>
  <c r="H89" i="152"/>
  <c r="H214" i="152"/>
  <c r="I18" i="152"/>
  <c r="H21" i="152"/>
  <c r="H280" i="152"/>
  <c r="H279" i="152"/>
  <c r="H215" i="152"/>
  <c r="H285" i="152"/>
  <c r="H278" i="152"/>
  <c r="H280" i="150"/>
  <c r="I29" i="150"/>
  <c r="K18" i="150"/>
  <c r="H214" i="150"/>
  <c r="H288" i="150"/>
  <c r="H286" i="150"/>
  <c r="H221" i="150"/>
  <c r="I86" i="150"/>
  <c r="H89" i="150"/>
  <c r="H279" i="150"/>
  <c r="H278" i="150"/>
  <c r="H283" i="150"/>
  <c r="H285" i="150"/>
  <c r="I18" i="148"/>
  <c r="H21" i="148"/>
  <c r="H288" i="148"/>
  <c r="H283" i="148"/>
  <c r="H221" i="148"/>
  <c r="H287" i="148"/>
  <c r="I86" i="148"/>
  <c r="H89" i="148"/>
  <c r="H214" i="148"/>
  <c r="H285" i="148"/>
  <c r="H279" i="148"/>
  <c r="H281" i="148"/>
  <c r="H278" i="148"/>
  <c r="H283" i="146"/>
  <c r="I86" i="146"/>
  <c r="H89" i="146"/>
  <c r="H221" i="146"/>
  <c r="H280" i="146"/>
  <c r="H287" i="146"/>
  <c r="H279" i="146"/>
  <c r="H288" i="146"/>
  <c r="H281" i="146"/>
  <c r="H286" i="146"/>
  <c r="H214" i="146"/>
  <c r="H285" i="146"/>
  <c r="H278" i="146"/>
  <c r="K18" i="146"/>
  <c r="I29" i="146"/>
  <c r="H286" i="144"/>
  <c r="H283" i="144"/>
  <c r="H214" i="144"/>
  <c r="H221" i="144"/>
  <c r="I86" i="144"/>
  <c r="H89" i="144"/>
  <c r="H279" i="144"/>
  <c r="H288" i="144"/>
  <c r="I18" i="144"/>
  <c r="H285" i="144"/>
  <c r="H280" i="144"/>
  <c r="H278" i="144"/>
  <c r="H286" i="142"/>
  <c r="H283" i="142"/>
  <c r="H221" i="142"/>
  <c r="H287" i="142"/>
  <c r="I18" i="142"/>
  <c r="H21" i="142"/>
  <c r="H281" i="142"/>
  <c r="H214" i="142"/>
  <c r="H280" i="142"/>
  <c r="H288" i="142"/>
  <c r="I86" i="142"/>
  <c r="H89" i="142"/>
  <c r="H279" i="142"/>
  <c r="H285" i="142"/>
  <c r="H278" i="142"/>
  <c r="H279" i="140"/>
  <c r="H285" i="140"/>
  <c r="H289" i="140"/>
  <c r="H281" i="140"/>
  <c r="H280" i="140"/>
  <c r="I18" i="140"/>
  <c r="H21" i="140"/>
  <c r="H286" i="140"/>
  <c r="H216" i="140"/>
  <c r="H283" i="140"/>
  <c r="H210" i="140"/>
  <c r="H287" i="140"/>
  <c r="I86" i="140"/>
  <c r="H89" i="140"/>
  <c r="I18" i="138"/>
  <c r="H21" i="138"/>
  <c r="H280" i="138"/>
  <c r="H283" i="138"/>
  <c r="H285" i="138"/>
  <c r="H281" i="138"/>
  <c r="I86" i="138"/>
  <c r="H89" i="138"/>
  <c r="H286" i="138"/>
  <c r="H287" i="138"/>
  <c r="H157" i="136"/>
  <c r="H278" i="136"/>
  <c r="H214" i="136"/>
  <c r="H288" i="136"/>
  <c r="H285" i="136"/>
  <c r="H281" i="136"/>
  <c r="H286" i="136"/>
  <c r="I86" i="136"/>
  <c r="H89" i="136"/>
  <c r="H280" i="136"/>
  <c r="H287" i="136"/>
  <c r="H279" i="136"/>
  <c r="H283" i="136"/>
  <c r="H221" i="136"/>
  <c r="H287" i="134"/>
  <c r="I86" i="134"/>
  <c r="H89" i="134"/>
  <c r="H221" i="134"/>
  <c r="I154" i="134"/>
  <c r="H157" i="134"/>
  <c r="H286" i="134"/>
  <c r="H214" i="134"/>
  <c r="H283" i="134"/>
  <c r="I18" i="134"/>
  <c r="H21" i="134"/>
  <c r="H281" i="134"/>
  <c r="H280" i="134"/>
  <c r="H279" i="134"/>
  <c r="H288" i="134"/>
  <c r="H278" i="134"/>
  <c r="H212" i="132"/>
  <c r="H216" i="132"/>
  <c r="H210" i="132"/>
  <c r="H285" i="132"/>
  <c r="H89" i="132"/>
  <c r="I86" i="132"/>
  <c r="H288" i="132"/>
  <c r="H287" i="132"/>
  <c r="H286" i="132"/>
  <c r="H281" i="132"/>
  <c r="H211" i="132"/>
  <c r="H283" i="130"/>
  <c r="H285" i="130"/>
  <c r="I18" i="130"/>
  <c r="H21" i="130"/>
  <c r="H218" i="130"/>
  <c r="H289" i="130"/>
  <c r="H212" i="130"/>
  <c r="H279" i="130"/>
  <c r="H214" i="130"/>
  <c r="I86" i="130"/>
  <c r="H89" i="130"/>
  <c r="H288" i="130"/>
  <c r="H216" i="128"/>
  <c r="H21" i="128"/>
  <c r="I18" i="128"/>
  <c r="H220" i="128"/>
  <c r="H281" i="128"/>
  <c r="H218" i="128"/>
  <c r="H217" i="128"/>
  <c r="H211" i="128"/>
  <c r="I86" i="128"/>
  <c r="H89" i="128"/>
  <c r="H283" i="128"/>
  <c r="H279" i="126"/>
  <c r="H285" i="126"/>
  <c r="H214" i="126"/>
  <c r="H280" i="126"/>
  <c r="H286" i="126"/>
  <c r="H288" i="126"/>
  <c r="I86" i="126"/>
  <c r="H89" i="126"/>
  <c r="H215" i="126"/>
  <c r="H278" i="126"/>
  <c r="G25" i="126"/>
  <c r="H221" i="126"/>
  <c r="H54" i="124"/>
  <c r="H7" i="124"/>
  <c r="H9" i="124"/>
  <c r="H10" i="124"/>
  <c r="H11" i="124"/>
  <c r="H14" i="124"/>
  <c r="H15" i="124"/>
  <c r="H16" i="124"/>
  <c r="H6" i="124"/>
  <c r="E35" i="124"/>
  <c r="H29" i="124"/>
  <c r="H222" i="136" l="1"/>
  <c r="H157" i="150"/>
  <c r="G25" i="146"/>
  <c r="I154" i="142"/>
  <c r="K154" i="142" s="1"/>
  <c r="G29" i="146"/>
  <c r="G28" i="132"/>
  <c r="G29" i="132"/>
  <c r="G26" i="150"/>
  <c r="I154" i="152"/>
  <c r="K154" i="152" s="1"/>
  <c r="H157" i="154"/>
  <c r="G164" i="154" s="1"/>
  <c r="H222" i="146"/>
  <c r="I222" i="146" s="1"/>
  <c r="H222" i="152"/>
  <c r="I222" i="152" s="1"/>
  <c r="G28" i="150"/>
  <c r="G27" i="150"/>
  <c r="G27" i="156"/>
  <c r="H287" i="150"/>
  <c r="G26" i="146"/>
  <c r="G28" i="156"/>
  <c r="I154" i="156"/>
  <c r="K154" i="156" s="1"/>
  <c r="G27" i="146"/>
  <c r="G26" i="156"/>
  <c r="G25" i="156"/>
  <c r="G25" i="150"/>
  <c r="H284" i="156"/>
  <c r="I154" i="148"/>
  <c r="I165" i="148" s="1"/>
  <c r="H278" i="154"/>
  <c r="H290" i="154" s="1"/>
  <c r="I222" i="154"/>
  <c r="I233" i="154" s="1"/>
  <c r="H222" i="148"/>
  <c r="I222" i="148" s="1"/>
  <c r="H222" i="156"/>
  <c r="I222" i="156" s="1"/>
  <c r="H222" i="150"/>
  <c r="I222" i="150" s="1"/>
  <c r="H157" i="146"/>
  <c r="G165" i="146" s="1"/>
  <c r="H222" i="138"/>
  <c r="H225" i="138" s="1"/>
  <c r="G231" i="138" s="1"/>
  <c r="H222" i="142"/>
  <c r="H287" i="144"/>
  <c r="G25" i="144"/>
  <c r="I154" i="138"/>
  <c r="K154" i="138" s="1"/>
  <c r="G26" i="144"/>
  <c r="G27" i="144"/>
  <c r="G28" i="144"/>
  <c r="H284" i="144"/>
  <c r="H157" i="144"/>
  <c r="G164" i="144" s="1"/>
  <c r="H284" i="138"/>
  <c r="I154" i="140"/>
  <c r="K154" i="140" s="1"/>
  <c r="H279" i="138"/>
  <c r="H278" i="138"/>
  <c r="H222" i="144"/>
  <c r="H225" i="144" s="1"/>
  <c r="G26" i="132"/>
  <c r="H222" i="134"/>
  <c r="H225" i="134" s="1"/>
  <c r="G25" i="132"/>
  <c r="H281" i="130"/>
  <c r="H222" i="130"/>
  <c r="H225" i="130" s="1"/>
  <c r="H157" i="132"/>
  <c r="G162" i="132" s="1"/>
  <c r="H157" i="130"/>
  <c r="G161" i="130" s="1"/>
  <c r="G28" i="136"/>
  <c r="G29" i="136"/>
  <c r="I29" i="136"/>
  <c r="G34" i="136" s="1"/>
  <c r="G25" i="136"/>
  <c r="G26" i="136"/>
  <c r="K18" i="132"/>
  <c r="I154" i="126"/>
  <c r="K154" i="126" s="1"/>
  <c r="H157" i="128"/>
  <c r="G165" i="128" s="1"/>
  <c r="G28" i="126"/>
  <c r="I29" i="126"/>
  <c r="G35" i="126" s="1"/>
  <c r="H284" i="126"/>
  <c r="H222" i="128"/>
  <c r="I222" i="128" s="1"/>
  <c r="H222" i="126"/>
  <c r="H225" i="126" s="1"/>
  <c r="G26" i="126"/>
  <c r="G27" i="126"/>
  <c r="H289" i="156"/>
  <c r="H282" i="156"/>
  <c r="G165" i="156"/>
  <c r="G164" i="156"/>
  <c r="G162" i="156"/>
  <c r="G163" i="156"/>
  <c r="G161" i="156"/>
  <c r="H283" i="156"/>
  <c r="G97" i="156"/>
  <c r="G96" i="156"/>
  <c r="G95" i="156"/>
  <c r="G93" i="156"/>
  <c r="G94" i="156"/>
  <c r="K86" i="156"/>
  <c r="I97" i="156"/>
  <c r="I29" i="156"/>
  <c r="K18" i="156"/>
  <c r="G28" i="154"/>
  <c r="G29" i="154"/>
  <c r="G27" i="154"/>
  <c r="G26" i="154"/>
  <c r="G25" i="154"/>
  <c r="K86" i="154"/>
  <c r="I97" i="154"/>
  <c r="G162" i="154"/>
  <c r="G161" i="154"/>
  <c r="K18" i="154"/>
  <c r="I29" i="154"/>
  <c r="G97" i="154"/>
  <c r="G96" i="154"/>
  <c r="G95" i="154"/>
  <c r="G94" i="154"/>
  <c r="G93" i="154"/>
  <c r="K154" i="154"/>
  <c r="I165" i="154"/>
  <c r="G233" i="154"/>
  <c r="G232" i="154"/>
  <c r="G231" i="154"/>
  <c r="G230" i="154"/>
  <c r="G229" i="154"/>
  <c r="G97" i="152"/>
  <c r="G93" i="152"/>
  <c r="G96" i="152"/>
  <c r="G95" i="152"/>
  <c r="G94" i="152"/>
  <c r="G165" i="152"/>
  <c r="G162" i="152"/>
  <c r="G164" i="152"/>
  <c r="G163" i="152"/>
  <c r="G161" i="152"/>
  <c r="H289" i="152"/>
  <c r="K86" i="152"/>
  <c r="I97" i="152"/>
  <c r="G29" i="152"/>
  <c r="G28" i="152"/>
  <c r="G27" i="152"/>
  <c r="G26" i="152"/>
  <c r="G25" i="152"/>
  <c r="K18" i="152"/>
  <c r="I29" i="152"/>
  <c r="H283" i="152"/>
  <c r="H282" i="152"/>
  <c r="H282" i="150"/>
  <c r="G97" i="150"/>
  <c r="G96" i="150"/>
  <c r="G95" i="150"/>
  <c r="G94" i="150"/>
  <c r="G93" i="150"/>
  <c r="G34" i="150"/>
  <c r="G30" i="150"/>
  <c r="G31" i="150"/>
  <c r="G33" i="150"/>
  <c r="G32" i="150"/>
  <c r="G35" i="150"/>
  <c r="H289" i="150"/>
  <c r="K86" i="150"/>
  <c r="I97" i="150"/>
  <c r="G165" i="150"/>
  <c r="G161" i="150"/>
  <c r="G164" i="150"/>
  <c r="G163" i="150"/>
  <c r="G162" i="150"/>
  <c r="K154" i="150"/>
  <c r="I165" i="150"/>
  <c r="G97" i="148"/>
  <c r="G96" i="148"/>
  <c r="G95" i="148"/>
  <c r="G94" i="148"/>
  <c r="G93" i="148"/>
  <c r="K86" i="148"/>
  <c r="I97" i="148"/>
  <c r="G29" i="148"/>
  <c r="G28" i="148"/>
  <c r="G27" i="148"/>
  <c r="G26" i="148"/>
  <c r="G25" i="148"/>
  <c r="K18" i="148"/>
  <c r="I29" i="148"/>
  <c r="H289" i="148"/>
  <c r="G165" i="148"/>
  <c r="G164" i="148"/>
  <c r="G163" i="148"/>
  <c r="G162" i="148"/>
  <c r="G161" i="148"/>
  <c r="H282" i="148"/>
  <c r="H289" i="146"/>
  <c r="H282" i="146"/>
  <c r="K86" i="146"/>
  <c r="I97" i="146"/>
  <c r="G97" i="146"/>
  <c r="G96" i="146"/>
  <c r="G95" i="146"/>
  <c r="G94" i="146"/>
  <c r="G93" i="146"/>
  <c r="G34" i="146"/>
  <c r="G30" i="146"/>
  <c r="G33" i="146"/>
  <c r="G32" i="146"/>
  <c r="G35" i="146"/>
  <c r="G31" i="146"/>
  <c r="K154" i="146"/>
  <c r="I165" i="146"/>
  <c r="G97" i="144"/>
  <c r="G96" i="144"/>
  <c r="G95" i="144"/>
  <c r="G94" i="144"/>
  <c r="G93" i="144"/>
  <c r="K86" i="144"/>
  <c r="I97" i="144"/>
  <c r="H289" i="144"/>
  <c r="I29" i="144"/>
  <c r="K18" i="144"/>
  <c r="H282" i="144"/>
  <c r="K154" i="144"/>
  <c r="I165" i="144"/>
  <c r="I29" i="142"/>
  <c r="K18" i="142"/>
  <c r="G97" i="142"/>
  <c r="G96" i="142"/>
  <c r="G95" i="142"/>
  <c r="G94" i="142"/>
  <c r="G93" i="142"/>
  <c r="G29" i="142"/>
  <c r="G28" i="142"/>
  <c r="G27" i="142"/>
  <c r="G26" i="142"/>
  <c r="G25" i="142"/>
  <c r="K86" i="142"/>
  <c r="I97" i="142"/>
  <c r="H282" i="142"/>
  <c r="G161" i="142"/>
  <c r="G165" i="142"/>
  <c r="G164" i="142"/>
  <c r="G163" i="142"/>
  <c r="G162" i="142"/>
  <c r="H225" i="142"/>
  <c r="I222" i="142"/>
  <c r="H289" i="142"/>
  <c r="K18" i="140"/>
  <c r="I29" i="140"/>
  <c r="H278" i="140"/>
  <c r="G165" i="140"/>
  <c r="G164" i="140"/>
  <c r="G163" i="140"/>
  <c r="G162" i="140"/>
  <c r="G161" i="140"/>
  <c r="G28" i="140"/>
  <c r="G29" i="140"/>
  <c r="G27" i="140"/>
  <c r="G26" i="140"/>
  <c r="G25" i="140"/>
  <c r="H284" i="140"/>
  <c r="G97" i="140"/>
  <c r="G96" i="140"/>
  <c r="G95" i="140"/>
  <c r="G94" i="140"/>
  <c r="G93" i="140"/>
  <c r="K86" i="140"/>
  <c r="I97" i="140"/>
  <c r="H222" i="140"/>
  <c r="G165" i="138"/>
  <c r="G164" i="138"/>
  <c r="G163" i="138"/>
  <c r="G162" i="138"/>
  <c r="G161" i="138"/>
  <c r="K86" i="138"/>
  <c r="I97" i="138"/>
  <c r="G97" i="138"/>
  <c r="G96" i="138"/>
  <c r="G95" i="138"/>
  <c r="G94" i="138"/>
  <c r="G93" i="138"/>
  <c r="K18" i="138"/>
  <c r="I29" i="138"/>
  <c r="G28" i="138"/>
  <c r="G29" i="138"/>
  <c r="G27" i="138"/>
  <c r="G26" i="138"/>
  <c r="G25" i="138"/>
  <c r="H225" i="136"/>
  <c r="I222" i="136"/>
  <c r="H282" i="136"/>
  <c r="G97" i="136"/>
  <c r="G96" i="136"/>
  <c r="G95" i="136"/>
  <c r="G94" i="136"/>
  <c r="G93" i="136"/>
  <c r="G165" i="136"/>
  <c r="G164" i="136"/>
  <c r="G163" i="136"/>
  <c r="G162" i="136"/>
  <c r="G161" i="136"/>
  <c r="H289" i="136"/>
  <c r="K86" i="136"/>
  <c r="I97" i="136"/>
  <c r="K154" i="136"/>
  <c r="I165" i="136"/>
  <c r="K18" i="134"/>
  <c r="I29" i="134"/>
  <c r="G29" i="134"/>
  <c r="G28" i="134"/>
  <c r="G27" i="134"/>
  <c r="G26" i="134"/>
  <c r="G25" i="134"/>
  <c r="K86" i="134"/>
  <c r="I97" i="134"/>
  <c r="H282" i="134"/>
  <c r="H289" i="134"/>
  <c r="G97" i="134"/>
  <c r="G96" i="134"/>
  <c r="G95" i="134"/>
  <c r="G94" i="134"/>
  <c r="G93" i="134"/>
  <c r="G161" i="134"/>
  <c r="G165" i="134"/>
  <c r="G164" i="134"/>
  <c r="G163" i="134"/>
  <c r="G162" i="134"/>
  <c r="K154" i="134"/>
  <c r="I165" i="134"/>
  <c r="H284" i="132"/>
  <c r="G32" i="132"/>
  <c r="G33" i="132"/>
  <c r="G34" i="132"/>
  <c r="G30" i="132"/>
  <c r="G31" i="132"/>
  <c r="G35" i="132"/>
  <c r="K86" i="132"/>
  <c r="I97" i="132"/>
  <c r="H278" i="132"/>
  <c r="I165" i="132"/>
  <c r="K154" i="132"/>
  <c r="H222" i="132"/>
  <c r="H280" i="132"/>
  <c r="H279" i="132"/>
  <c r="G96" i="132"/>
  <c r="G95" i="132"/>
  <c r="G94" i="132"/>
  <c r="G93" i="132"/>
  <c r="G97" i="132"/>
  <c r="H286" i="130"/>
  <c r="H280" i="130"/>
  <c r="H282" i="130"/>
  <c r="K154" i="130"/>
  <c r="I165" i="130"/>
  <c r="G29" i="130"/>
  <c r="G27" i="130"/>
  <c r="G26" i="130"/>
  <c r="G25" i="130"/>
  <c r="G28" i="130"/>
  <c r="K18" i="130"/>
  <c r="I29" i="130"/>
  <c r="G96" i="130"/>
  <c r="G95" i="130"/>
  <c r="G94" i="130"/>
  <c r="G97" i="130"/>
  <c r="G93" i="130"/>
  <c r="K86" i="130"/>
  <c r="I97" i="130"/>
  <c r="H279" i="128"/>
  <c r="K18" i="128"/>
  <c r="I29" i="128"/>
  <c r="H288" i="128"/>
  <c r="G29" i="128"/>
  <c r="G28" i="128"/>
  <c r="G27" i="128"/>
  <c r="G26" i="128"/>
  <c r="G25" i="128"/>
  <c r="H285" i="128"/>
  <c r="H286" i="128"/>
  <c r="H284" i="128"/>
  <c r="G93" i="128"/>
  <c r="G97" i="128"/>
  <c r="G96" i="128"/>
  <c r="G95" i="128"/>
  <c r="G94" i="128"/>
  <c r="K86" i="128"/>
  <c r="I97" i="128"/>
  <c r="K154" i="128"/>
  <c r="I165" i="128"/>
  <c r="H283" i="126"/>
  <c r="G163" i="126"/>
  <c r="G162" i="126"/>
  <c r="G165" i="126"/>
  <c r="G164" i="126"/>
  <c r="G161" i="126"/>
  <c r="G94" i="126"/>
  <c r="G97" i="126"/>
  <c r="G93" i="126"/>
  <c r="G96" i="126"/>
  <c r="G95" i="126"/>
  <c r="K86" i="126"/>
  <c r="I97" i="126"/>
  <c r="H282" i="126"/>
  <c r="H289" i="126"/>
  <c r="E36" i="124"/>
  <c r="H12" i="124"/>
  <c r="H8" i="124"/>
  <c r="H17" i="124"/>
  <c r="H13" i="124"/>
  <c r="E18" i="124"/>
  <c r="H83" i="124"/>
  <c r="H81" i="124"/>
  <c r="H79" i="124"/>
  <c r="H225" i="146" l="1"/>
  <c r="H225" i="152"/>
  <c r="I165" i="152"/>
  <c r="I165" i="142"/>
  <c r="G167" i="142" s="1"/>
  <c r="G34" i="126"/>
  <c r="G163" i="154"/>
  <c r="K154" i="148"/>
  <c r="G165" i="154"/>
  <c r="I222" i="138"/>
  <c r="I233" i="138" s="1"/>
  <c r="G236" i="138" s="1"/>
  <c r="G30" i="126"/>
  <c r="H36" i="126" s="1"/>
  <c r="I36" i="126" s="1"/>
  <c r="K36" i="126" s="1"/>
  <c r="I165" i="156"/>
  <c r="G166" i="156" s="1"/>
  <c r="H172" i="156" s="1"/>
  <c r="H290" i="148"/>
  <c r="H293" i="148" s="1"/>
  <c r="H290" i="150"/>
  <c r="H290" i="146"/>
  <c r="H293" i="146" s="1"/>
  <c r="H290" i="152"/>
  <c r="H293" i="152" s="1"/>
  <c r="K222" i="154"/>
  <c r="H225" i="148"/>
  <c r="G233" i="148" s="1"/>
  <c r="G161" i="146"/>
  <c r="G164" i="146"/>
  <c r="H225" i="156"/>
  <c r="G233" i="156" s="1"/>
  <c r="H225" i="150"/>
  <c r="G231" i="150" s="1"/>
  <c r="H290" i="156"/>
  <c r="H293" i="156" s="1"/>
  <c r="G162" i="146"/>
  <c r="G163" i="146"/>
  <c r="H36" i="146"/>
  <c r="H37" i="146" s="1"/>
  <c r="H36" i="150"/>
  <c r="H37" i="150" s="1"/>
  <c r="H290" i="142"/>
  <c r="H293" i="142" s="1"/>
  <c r="G233" i="138"/>
  <c r="I165" i="138"/>
  <c r="G168" i="138" s="1"/>
  <c r="G162" i="144"/>
  <c r="G161" i="144"/>
  <c r="G165" i="144"/>
  <c r="H290" i="138"/>
  <c r="I290" i="138" s="1"/>
  <c r="I301" i="138" s="1"/>
  <c r="G163" i="144"/>
  <c r="G230" i="138"/>
  <c r="G229" i="138"/>
  <c r="I165" i="140"/>
  <c r="G168" i="140" s="1"/>
  <c r="G232" i="138"/>
  <c r="I222" i="144"/>
  <c r="K222" i="144" s="1"/>
  <c r="H290" i="144"/>
  <c r="H293" i="144" s="1"/>
  <c r="G162" i="130"/>
  <c r="G165" i="130"/>
  <c r="G164" i="130"/>
  <c r="G163" i="130"/>
  <c r="I222" i="134"/>
  <c r="I233" i="134" s="1"/>
  <c r="G163" i="132"/>
  <c r="G164" i="132"/>
  <c r="G165" i="132"/>
  <c r="I222" i="130"/>
  <c r="I233" i="130" s="1"/>
  <c r="G161" i="132"/>
  <c r="H290" i="136"/>
  <c r="H293" i="136" s="1"/>
  <c r="H290" i="132"/>
  <c r="I290" i="132" s="1"/>
  <c r="H290" i="134"/>
  <c r="I290" i="134" s="1"/>
  <c r="H290" i="130"/>
  <c r="H293" i="130" s="1"/>
  <c r="G33" i="136"/>
  <c r="G35" i="136"/>
  <c r="G31" i="136"/>
  <c r="G32" i="136"/>
  <c r="G30" i="136"/>
  <c r="H36" i="132"/>
  <c r="H37" i="132" s="1"/>
  <c r="G161" i="128"/>
  <c r="G162" i="128"/>
  <c r="G163" i="128"/>
  <c r="G164" i="128"/>
  <c r="I165" i="126"/>
  <c r="G166" i="126" s="1"/>
  <c r="G33" i="126"/>
  <c r="G31" i="126"/>
  <c r="G32" i="126"/>
  <c r="H225" i="128"/>
  <c r="G232" i="128" s="1"/>
  <c r="I222" i="126"/>
  <c r="I233" i="126" s="1"/>
  <c r="H290" i="126"/>
  <c r="H293" i="126" s="1"/>
  <c r="G33" i="156"/>
  <c r="G34" i="156"/>
  <c r="G32" i="156"/>
  <c r="G35" i="156"/>
  <c r="G30" i="156"/>
  <c r="G31" i="156"/>
  <c r="K222" i="156"/>
  <c r="I233" i="156"/>
  <c r="G103" i="156"/>
  <c r="G98" i="156"/>
  <c r="H104" i="156" s="1"/>
  <c r="G102" i="156"/>
  <c r="G99" i="156"/>
  <c r="G101" i="156"/>
  <c r="G100" i="156"/>
  <c r="G235" i="154"/>
  <c r="G238" i="154"/>
  <c r="G234" i="154"/>
  <c r="G239" i="154"/>
  <c r="G237" i="154"/>
  <c r="G236" i="154"/>
  <c r="G101" i="154"/>
  <c r="G99" i="154"/>
  <c r="G103" i="154"/>
  <c r="G100" i="154"/>
  <c r="G98" i="154"/>
  <c r="H104" i="154" s="1"/>
  <c r="G102" i="154"/>
  <c r="G30" i="154"/>
  <c r="G33" i="154"/>
  <c r="G34" i="154"/>
  <c r="G35" i="154"/>
  <c r="G31" i="154"/>
  <c r="G32" i="154"/>
  <c r="H293" i="154"/>
  <c r="I290" i="154"/>
  <c r="G170" i="154"/>
  <c r="G167" i="154"/>
  <c r="G168" i="154"/>
  <c r="G171" i="154"/>
  <c r="G166" i="154"/>
  <c r="G169" i="154"/>
  <c r="G171" i="152"/>
  <c r="G170" i="152"/>
  <c r="G166" i="152"/>
  <c r="H172" i="152" s="1"/>
  <c r="G167" i="152"/>
  <c r="G169" i="152"/>
  <c r="G168" i="152"/>
  <c r="G102" i="152"/>
  <c r="G99" i="152"/>
  <c r="G98" i="152"/>
  <c r="H104" i="152" s="1"/>
  <c r="G101" i="152"/>
  <c r="G100" i="152"/>
  <c r="G103" i="152"/>
  <c r="G30" i="152"/>
  <c r="G33" i="152"/>
  <c r="G35" i="152"/>
  <c r="G34" i="152"/>
  <c r="G31" i="152"/>
  <c r="G32" i="152"/>
  <c r="K222" i="152"/>
  <c r="I233" i="152"/>
  <c r="G231" i="152"/>
  <c r="G233" i="152"/>
  <c r="G232" i="152"/>
  <c r="G230" i="152"/>
  <c r="G229" i="152"/>
  <c r="H293" i="150"/>
  <c r="I290" i="150"/>
  <c r="G168" i="150"/>
  <c r="G166" i="150"/>
  <c r="G170" i="150"/>
  <c r="G167" i="150"/>
  <c r="G169" i="150"/>
  <c r="G171" i="150"/>
  <c r="K222" i="150"/>
  <c r="I233" i="150"/>
  <c r="G102" i="150"/>
  <c r="G103" i="150"/>
  <c r="G101" i="150"/>
  <c r="G98" i="150"/>
  <c r="H104" i="150" s="1"/>
  <c r="G100" i="150"/>
  <c r="G99" i="150"/>
  <c r="G35" i="148"/>
  <c r="G33" i="148"/>
  <c r="G32" i="148"/>
  <c r="G30" i="148"/>
  <c r="G31" i="148"/>
  <c r="G34" i="148"/>
  <c r="G98" i="148"/>
  <c r="G103" i="148"/>
  <c r="G99" i="148"/>
  <c r="G102" i="148"/>
  <c r="G101" i="148"/>
  <c r="G100" i="148"/>
  <c r="G170" i="148"/>
  <c r="G168" i="148"/>
  <c r="G171" i="148"/>
  <c r="G167" i="148"/>
  <c r="G166" i="148"/>
  <c r="G169" i="148"/>
  <c r="K222" i="148"/>
  <c r="I233" i="148"/>
  <c r="G99" i="146"/>
  <c r="G103" i="146"/>
  <c r="G102" i="146"/>
  <c r="G100" i="146"/>
  <c r="G98" i="146"/>
  <c r="H104" i="146" s="1"/>
  <c r="G101" i="146"/>
  <c r="G171" i="146"/>
  <c r="G167" i="146"/>
  <c r="G166" i="146"/>
  <c r="G169" i="146"/>
  <c r="G168" i="146"/>
  <c r="G170" i="146"/>
  <c r="K222" i="146"/>
  <c r="I233" i="146"/>
  <c r="G233" i="146"/>
  <c r="G232" i="146"/>
  <c r="G231" i="146"/>
  <c r="G230" i="146"/>
  <c r="G229" i="146"/>
  <c r="G98" i="144"/>
  <c r="H104" i="144" s="1"/>
  <c r="G101" i="144"/>
  <c r="G100" i="144"/>
  <c r="G102" i="144"/>
  <c r="G103" i="144"/>
  <c r="G99" i="144"/>
  <c r="G171" i="144"/>
  <c r="G169" i="144"/>
  <c r="G168" i="144"/>
  <c r="G166" i="144"/>
  <c r="G167" i="144"/>
  <c r="G170" i="144"/>
  <c r="G33" i="144"/>
  <c r="G30" i="144"/>
  <c r="G31" i="144"/>
  <c r="G32" i="144"/>
  <c r="G35" i="144"/>
  <c r="G34" i="144"/>
  <c r="G233" i="144"/>
  <c r="G232" i="144"/>
  <c r="G231" i="144"/>
  <c r="G230" i="144"/>
  <c r="G229" i="144"/>
  <c r="G169" i="142"/>
  <c r="G171" i="142"/>
  <c r="G166" i="142"/>
  <c r="H172" i="142" s="1"/>
  <c r="G168" i="142"/>
  <c r="G170" i="142"/>
  <c r="G230" i="142"/>
  <c r="G229" i="142"/>
  <c r="G233" i="142"/>
  <c r="G232" i="142"/>
  <c r="G231" i="142"/>
  <c r="K222" i="142"/>
  <c r="I233" i="142"/>
  <c r="G100" i="142"/>
  <c r="G103" i="142"/>
  <c r="G102" i="142"/>
  <c r="G99" i="142"/>
  <c r="G101" i="142"/>
  <c r="G98" i="142"/>
  <c r="H104" i="142" s="1"/>
  <c r="G34" i="142"/>
  <c r="G35" i="142"/>
  <c r="G33" i="142"/>
  <c r="G32" i="142"/>
  <c r="G31" i="142"/>
  <c r="G30" i="142"/>
  <c r="H290" i="140"/>
  <c r="H225" i="140"/>
  <c r="I222" i="140"/>
  <c r="G99" i="140"/>
  <c r="G103" i="140"/>
  <c r="G102" i="140"/>
  <c r="G101" i="140"/>
  <c r="G100" i="140"/>
  <c r="G98" i="140"/>
  <c r="H104" i="140" s="1"/>
  <c r="G35" i="140"/>
  <c r="G30" i="140"/>
  <c r="G31" i="140"/>
  <c r="G32" i="140"/>
  <c r="G33" i="140"/>
  <c r="G34" i="140"/>
  <c r="G30" i="138"/>
  <c r="G35" i="138"/>
  <c r="G32" i="138"/>
  <c r="G31" i="138"/>
  <c r="G34" i="138"/>
  <c r="G33" i="138"/>
  <c r="G102" i="138"/>
  <c r="G99" i="138"/>
  <c r="G101" i="138"/>
  <c r="G103" i="138"/>
  <c r="G100" i="138"/>
  <c r="G98" i="138"/>
  <c r="H104" i="138" s="1"/>
  <c r="G170" i="136"/>
  <c r="G166" i="136"/>
  <c r="H172" i="136" s="1"/>
  <c r="G168" i="136"/>
  <c r="G167" i="136"/>
  <c r="G169" i="136"/>
  <c r="G171" i="136"/>
  <c r="G101" i="136"/>
  <c r="G100" i="136"/>
  <c r="G98" i="136"/>
  <c r="H104" i="136" s="1"/>
  <c r="G99" i="136"/>
  <c r="G103" i="136"/>
  <c r="G102" i="136"/>
  <c r="K222" i="136"/>
  <c r="I233" i="136"/>
  <c r="G229" i="136"/>
  <c r="G233" i="136"/>
  <c r="G232" i="136"/>
  <c r="G231" i="136"/>
  <c r="G230" i="136"/>
  <c r="G230" i="134"/>
  <c r="G229" i="134"/>
  <c r="G233" i="134"/>
  <c r="G232" i="134"/>
  <c r="G231" i="134"/>
  <c r="G98" i="134"/>
  <c r="H104" i="134" s="1"/>
  <c r="G102" i="134"/>
  <c r="G100" i="134"/>
  <c r="G103" i="134"/>
  <c r="G99" i="134"/>
  <c r="G101" i="134"/>
  <c r="G167" i="134"/>
  <c r="G171" i="134"/>
  <c r="G166" i="134"/>
  <c r="H172" i="134" s="1"/>
  <c r="G169" i="134"/>
  <c r="G170" i="134"/>
  <c r="G168" i="134"/>
  <c r="G30" i="134"/>
  <c r="G34" i="134"/>
  <c r="G32" i="134"/>
  <c r="G31" i="134"/>
  <c r="G33" i="134"/>
  <c r="G35" i="134"/>
  <c r="G168" i="132"/>
  <c r="G170" i="132"/>
  <c r="G167" i="132"/>
  <c r="G169" i="132"/>
  <c r="G171" i="132"/>
  <c r="G166" i="132"/>
  <c r="G100" i="132"/>
  <c r="G102" i="132"/>
  <c r="G101" i="132"/>
  <c r="G103" i="132"/>
  <c r="G98" i="132"/>
  <c r="H104" i="132" s="1"/>
  <c r="G99" i="132"/>
  <c r="H225" i="132"/>
  <c r="I222" i="132"/>
  <c r="G170" i="130"/>
  <c r="G166" i="130"/>
  <c r="G169" i="130"/>
  <c r="G167" i="130"/>
  <c r="G168" i="130"/>
  <c r="G171" i="130"/>
  <c r="G233" i="130"/>
  <c r="G232" i="130"/>
  <c r="G231" i="130"/>
  <c r="G230" i="130"/>
  <c r="G229" i="130"/>
  <c r="G32" i="130"/>
  <c r="G33" i="130"/>
  <c r="G30" i="130"/>
  <c r="G35" i="130"/>
  <c r="G34" i="130"/>
  <c r="G31" i="130"/>
  <c r="G99" i="130"/>
  <c r="G103" i="130"/>
  <c r="G101" i="130"/>
  <c r="G102" i="130"/>
  <c r="G98" i="130"/>
  <c r="G100" i="130"/>
  <c r="G168" i="128"/>
  <c r="G171" i="128"/>
  <c r="G169" i="128"/>
  <c r="G166" i="128"/>
  <c r="G170" i="128"/>
  <c r="G167" i="128"/>
  <c r="G35" i="128"/>
  <c r="G31" i="128"/>
  <c r="G32" i="128"/>
  <c r="G34" i="128"/>
  <c r="G30" i="128"/>
  <c r="G33" i="128"/>
  <c r="G103" i="128"/>
  <c r="G100" i="128"/>
  <c r="G99" i="128"/>
  <c r="G102" i="128"/>
  <c r="G101" i="128"/>
  <c r="G98" i="128"/>
  <c r="H290" i="128"/>
  <c r="K222" i="128"/>
  <c r="I233" i="128"/>
  <c r="G101" i="126"/>
  <c r="G103" i="126"/>
  <c r="G99" i="126"/>
  <c r="G102" i="126"/>
  <c r="G100" i="126"/>
  <c r="G98" i="126"/>
  <c r="G231" i="126"/>
  <c r="G233" i="126"/>
  <c r="G232" i="126"/>
  <c r="G230" i="126"/>
  <c r="G229" i="126"/>
  <c r="H148" i="124"/>
  <c r="H80" i="124"/>
  <c r="H142" i="124"/>
  <c r="H74" i="124"/>
  <c r="H144" i="124"/>
  <c r="H76" i="124"/>
  <c r="H82" i="124"/>
  <c r="H143" i="124"/>
  <c r="H75" i="124"/>
  <c r="H145" i="124"/>
  <c r="H77" i="124"/>
  <c r="H146" i="124"/>
  <c r="H78" i="124"/>
  <c r="H84" i="124"/>
  <c r="H153" i="124"/>
  <c r="H85" i="124"/>
  <c r="G36" i="124"/>
  <c r="H20" i="124"/>
  <c r="H18" i="124"/>
  <c r="H147" i="124"/>
  <c r="H151" i="124"/>
  <c r="H149" i="124"/>
  <c r="I290" i="148" l="1"/>
  <c r="G238" i="138"/>
  <c r="G235" i="138"/>
  <c r="G239" i="138"/>
  <c r="K222" i="138"/>
  <c r="G234" i="138"/>
  <c r="H240" i="138" s="1"/>
  <c r="H241" i="138" s="1"/>
  <c r="G237" i="138"/>
  <c r="G168" i="156"/>
  <c r="G171" i="156"/>
  <c r="G170" i="156"/>
  <c r="G169" i="156"/>
  <c r="G167" i="156"/>
  <c r="I290" i="152"/>
  <c r="K290" i="152" s="1"/>
  <c r="I290" i="146"/>
  <c r="K290" i="146" s="1"/>
  <c r="G229" i="148"/>
  <c r="G230" i="148"/>
  <c r="G231" i="148"/>
  <c r="G232" i="148"/>
  <c r="H240" i="154"/>
  <c r="I240" i="154" s="1"/>
  <c r="K240" i="154" s="1"/>
  <c r="G232" i="150"/>
  <c r="G233" i="150"/>
  <c r="H172" i="150"/>
  <c r="H173" i="150" s="1"/>
  <c r="G230" i="150"/>
  <c r="G229" i="150"/>
  <c r="G229" i="156"/>
  <c r="G230" i="156"/>
  <c r="H172" i="146"/>
  <c r="H173" i="146" s="1"/>
  <c r="H172" i="148"/>
  <c r="H173" i="148" s="1"/>
  <c r="G232" i="156"/>
  <c r="H172" i="154"/>
  <c r="H173" i="154" s="1"/>
  <c r="G231" i="156"/>
  <c r="H104" i="148"/>
  <c r="I104" i="148" s="1"/>
  <c r="K104" i="148" s="1"/>
  <c r="I290" i="156"/>
  <c r="K290" i="156" s="1"/>
  <c r="I36" i="146"/>
  <c r="K36" i="146" s="1"/>
  <c r="I36" i="150"/>
  <c r="K36" i="150" s="1"/>
  <c r="H36" i="148"/>
  <c r="I36" i="148" s="1"/>
  <c r="K36" i="148" s="1"/>
  <c r="H36" i="156"/>
  <c r="H37" i="156" s="1"/>
  <c r="H36" i="152"/>
  <c r="H37" i="152" s="1"/>
  <c r="H36" i="154"/>
  <c r="H37" i="154" s="1"/>
  <c r="G166" i="138"/>
  <c r="H172" i="138" s="1"/>
  <c r="I172" i="138" s="1"/>
  <c r="K172" i="138" s="1"/>
  <c r="G169" i="138"/>
  <c r="G170" i="138"/>
  <c r="G167" i="138"/>
  <c r="G171" i="138"/>
  <c r="I290" i="142"/>
  <c r="K290" i="142" s="1"/>
  <c r="G166" i="140"/>
  <c r="H172" i="140" s="1"/>
  <c r="I172" i="140" s="1"/>
  <c r="K172" i="140" s="1"/>
  <c r="G170" i="140"/>
  <c r="H293" i="138"/>
  <c r="G298" i="138" s="1"/>
  <c r="G169" i="140"/>
  <c r="G167" i="140"/>
  <c r="G171" i="140"/>
  <c r="H172" i="144"/>
  <c r="I172" i="144" s="1"/>
  <c r="K172" i="144" s="1"/>
  <c r="I290" i="144"/>
  <c r="I301" i="144" s="1"/>
  <c r="K290" i="138"/>
  <c r="I233" i="144"/>
  <c r="G235" i="144" s="1"/>
  <c r="H36" i="138"/>
  <c r="H37" i="138" s="1"/>
  <c r="H36" i="142"/>
  <c r="H37" i="142" s="1"/>
  <c r="H36" i="140"/>
  <c r="I36" i="140" s="1"/>
  <c r="K36" i="140" s="1"/>
  <c r="H293" i="132"/>
  <c r="G301" i="132" s="1"/>
  <c r="I290" i="130"/>
  <c r="K290" i="130" s="1"/>
  <c r="H172" i="130"/>
  <c r="I172" i="130" s="1"/>
  <c r="K172" i="130" s="1"/>
  <c r="K222" i="134"/>
  <c r="H172" i="132"/>
  <c r="I172" i="132" s="1"/>
  <c r="K172" i="132" s="1"/>
  <c r="K222" i="130"/>
  <c r="H293" i="134"/>
  <c r="G298" i="134" s="1"/>
  <c r="H104" i="130"/>
  <c r="I104" i="130" s="1"/>
  <c r="K104" i="130" s="1"/>
  <c r="I290" i="136"/>
  <c r="K290" i="136" s="1"/>
  <c r="H36" i="136"/>
  <c r="H37" i="136" s="1"/>
  <c r="H41" i="136" s="1"/>
  <c r="I41" i="136" s="1"/>
  <c r="I36" i="132"/>
  <c r="K36" i="132" s="1"/>
  <c r="H36" i="130"/>
  <c r="H37" i="130" s="1"/>
  <c r="H36" i="134"/>
  <c r="H37" i="134" s="1"/>
  <c r="G229" i="128"/>
  <c r="G167" i="126"/>
  <c r="G168" i="126"/>
  <c r="G170" i="126"/>
  <c r="G233" i="128"/>
  <c r="G169" i="126"/>
  <c r="H172" i="126" s="1"/>
  <c r="G171" i="126"/>
  <c r="G230" i="128"/>
  <c r="G231" i="128"/>
  <c r="K222" i="126"/>
  <c r="I290" i="126"/>
  <c r="K290" i="126" s="1"/>
  <c r="H172" i="128"/>
  <c r="I172" i="128" s="1"/>
  <c r="K172" i="128" s="1"/>
  <c r="H104" i="128"/>
  <c r="I104" i="128" s="1"/>
  <c r="K104" i="128" s="1"/>
  <c r="H104" i="126"/>
  <c r="H105" i="126" s="1"/>
  <c r="H37" i="126"/>
  <c r="H41" i="126" s="1"/>
  <c r="I41" i="126" s="1"/>
  <c r="K41" i="126" s="1"/>
  <c r="K54" i="126" s="1"/>
  <c r="H36" i="128"/>
  <c r="H37" i="128" s="1"/>
  <c r="H105" i="156"/>
  <c r="I104" i="156"/>
  <c r="K104" i="156" s="1"/>
  <c r="H173" i="156"/>
  <c r="I172" i="156"/>
  <c r="K172" i="156" s="1"/>
  <c r="G238" i="156"/>
  <c r="G234" i="156"/>
  <c r="G235" i="156"/>
  <c r="G239" i="156"/>
  <c r="G236" i="156"/>
  <c r="G237" i="156"/>
  <c r="G297" i="156"/>
  <c r="G300" i="156"/>
  <c r="G301" i="156"/>
  <c r="G299" i="156"/>
  <c r="G298" i="156"/>
  <c r="I104" i="154"/>
  <c r="K104" i="154" s="1"/>
  <c r="H105" i="154"/>
  <c r="G297" i="154"/>
  <c r="G299" i="154"/>
  <c r="G301" i="154"/>
  <c r="G300" i="154"/>
  <c r="G298" i="154"/>
  <c r="K290" i="154"/>
  <c r="I301" i="154"/>
  <c r="H105" i="152"/>
  <c r="I104" i="152"/>
  <c r="K104" i="152" s="1"/>
  <c r="H173" i="152"/>
  <c r="I172" i="152"/>
  <c r="K172" i="152" s="1"/>
  <c r="G297" i="152"/>
  <c r="G300" i="152"/>
  <c r="G301" i="152"/>
  <c r="G299" i="152"/>
  <c r="G298" i="152"/>
  <c r="G238" i="152"/>
  <c r="G234" i="152"/>
  <c r="G235" i="152"/>
  <c r="G237" i="152"/>
  <c r="G239" i="152"/>
  <c r="G236" i="152"/>
  <c r="H105" i="150"/>
  <c r="I104" i="150"/>
  <c r="K104" i="150" s="1"/>
  <c r="G238" i="150"/>
  <c r="G234" i="150"/>
  <c r="G239" i="150"/>
  <c r="G235" i="150"/>
  <c r="G237" i="150"/>
  <c r="G236" i="150"/>
  <c r="K290" i="150"/>
  <c r="I301" i="150"/>
  <c r="G297" i="150"/>
  <c r="G299" i="150"/>
  <c r="G298" i="150"/>
  <c r="G301" i="150"/>
  <c r="G300" i="150"/>
  <c r="H41" i="150"/>
  <c r="I41" i="150" s="1"/>
  <c r="G235" i="148"/>
  <c r="G234" i="148"/>
  <c r="G237" i="148"/>
  <c r="G238" i="148"/>
  <c r="G239" i="148"/>
  <c r="G236" i="148"/>
  <c r="K290" i="148"/>
  <c r="I301" i="148"/>
  <c r="G297" i="148"/>
  <c r="G301" i="148"/>
  <c r="G300" i="148"/>
  <c r="G299" i="148"/>
  <c r="G298" i="148"/>
  <c r="H105" i="146"/>
  <c r="I104" i="146"/>
  <c r="K104" i="146" s="1"/>
  <c r="G297" i="146"/>
  <c r="G301" i="146"/>
  <c r="G300" i="146"/>
  <c r="G299" i="146"/>
  <c r="G298" i="146"/>
  <c r="G239" i="146"/>
  <c r="G235" i="146"/>
  <c r="G238" i="146"/>
  <c r="G234" i="146"/>
  <c r="H240" i="146" s="1"/>
  <c r="G236" i="146"/>
  <c r="G237" i="146"/>
  <c r="I301" i="146"/>
  <c r="H41" i="146"/>
  <c r="I41" i="146" s="1"/>
  <c r="G297" i="144"/>
  <c r="G301" i="144"/>
  <c r="G300" i="144"/>
  <c r="G299" i="144"/>
  <c r="G298" i="144"/>
  <c r="H36" i="144"/>
  <c r="H105" i="144"/>
  <c r="I104" i="144"/>
  <c r="K104" i="144" s="1"/>
  <c r="H105" i="142"/>
  <c r="I104" i="142"/>
  <c r="K104" i="142" s="1"/>
  <c r="H173" i="142"/>
  <c r="I172" i="142"/>
  <c r="K172" i="142" s="1"/>
  <c r="G238" i="142"/>
  <c r="G234" i="142"/>
  <c r="H240" i="142" s="1"/>
  <c r="G236" i="142"/>
  <c r="G239" i="142"/>
  <c r="G235" i="142"/>
  <c r="G237" i="142"/>
  <c r="G297" i="142"/>
  <c r="G301" i="142"/>
  <c r="G299" i="142"/>
  <c r="G298" i="142"/>
  <c r="G300" i="142"/>
  <c r="I104" i="140"/>
  <c r="K104" i="140" s="1"/>
  <c r="H105" i="140"/>
  <c r="H293" i="140"/>
  <c r="I290" i="140"/>
  <c r="K222" i="140"/>
  <c r="I233" i="140"/>
  <c r="G233" i="140"/>
  <c r="G232" i="140"/>
  <c r="G231" i="140"/>
  <c r="G230" i="140"/>
  <c r="G229" i="140"/>
  <c r="I104" i="138"/>
  <c r="K104" i="138" s="1"/>
  <c r="H105" i="138"/>
  <c r="G303" i="138"/>
  <c r="G306" i="138"/>
  <c r="G304" i="138"/>
  <c r="G305" i="138"/>
  <c r="G307" i="138"/>
  <c r="G302" i="138"/>
  <c r="H173" i="136"/>
  <c r="I172" i="136"/>
  <c r="K172" i="136" s="1"/>
  <c r="H105" i="136"/>
  <c r="I104" i="136"/>
  <c r="K104" i="136" s="1"/>
  <c r="G297" i="136"/>
  <c r="G298" i="136"/>
  <c r="G299" i="136"/>
  <c r="G301" i="136"/>
  <c r="G300" i="136"/>
  <c r="G238" i="136"/>
  <c r="G237" i="136"/>
  <c r="G235" i="136"/>
  <c r="G239" i="136"/>
  <c r="G236" i="136"/>
  <c r="G234" i="136"/>
  <c r="H240" i="136" s="1"/>
  <c r="H105" i="134"/>
  <c r="I104" i="134"/>
  <c r="K104" i="134" s="1"/>
  <c r="H173" i="134"/>
  <c r="I172" i="134"/>
  <c r="K172" i="134" s="1"/>
  <c r="G239" i="134"/>
  <c r="G235" i="134"/>
  <c r="G238" i="134"/>
  <c r="G236" i="134"/>
  <c r="G234" i="134"/>
  <c r="H240" i="134" s="1"/>
  <c r="G237" i="134"/>
  <c r="K290" i="134"/>
  <c r="I301" i="134"/>
  <c r="I233" i="132"/>
  <c r="K222" i="132"/>
  <c r="I301" i="132"/>
  <c r="K290" i="132"/>
  <c r="G233" i="132"/>
  <c r="G232" i="132"/>
  <c r="G231" i="132"/>
  <c r="G230" i="132"/>
  <c r="G229" i="132"/>
  <c r="H105" i="132"/>
  <c r="I104" i="132"/>
  <c r="K104" i="132" s="1"/>
  <c r="H41" i="132"/>
  <c r="I41" i="132" s="1"/>
  <c r="G237" i="130"/>
  <c r="G235" i="130"/>
  <c r="G236" i="130"/>
  <c r="G238" i="130"/>
  <c r="G234" i="130"/>
  <c r="H240" i="130" s="1"/>
  <c r="G239" i="130"/>
  <c r="G297" i="130"/>
  <c r="G301" i="130"/>
  <c r="G298" i="130"/>
  <c r="G300" i="130"/>
  <c r="G299" i="130"/>
  <c r="G236" i="128"/>
  <c r="G239" i="128"/>
  <c r="G238" i="128"/>
  <c r="G234" i="128"/>
  <c r="G237" i="128"/>
  <c r="G235" i="128"/>
  <c r="H293" i="128"/>
  <c r="I290" i="128"/>
  <c r="G297" i="126"/>
  <c r="G301" i="126"/>
  <c r="G300" i="126"/>
  <c r="G299" i="126"/>
  <c r="G298" i="126"/>
  <c r="G235" i="126"/>
  <c r="G239" i="126"/>
  <c r="G236" i="126"/>
  <c r="G234" i="126"/>
  <c r="G238" i="126"/>
  <c r="G237" i="126"/>
  <c r="H211" i="124"/>
  <c r="H86" i="124"/>
  <c r="I86" i="124" s="1"/>
  <c r="H150" i="124"/>
  <c r="H152" i="124"/>
  <c r="I18" i="124"/>
  <c r="H21" i="124"/>
  <c r="H217" i="124"/>
  <c r="H219" i="124"/>
  <c r="H215" i="124"/>
  <c r="I301" i="130" l="1"/>
  <c r="K18" i="124"/>
  <c r="I29" i="124"/>
  <c r="G30" i="124" s="1"/>
  <c r="I301" i="142"/>
  <c r="G302" i="142" s="1"/>
  <c r="H308" i="142" s="1"/>
  <c r="I301" i="152"/>
  <c r="G306" i="152" s="1"/>
  <c r="H241" i="154"/>
  <c r="H259" i="154" s="1"/>
  <c r="H240" i="148"/>
  <c r="H241" i="148" s="1"/>
  <c r="I172" i="150"/>
  <c r="K172" i="150" s="1"/>
  <c r="I172" i="148"/>
  <c r="K172" i="148" s="1"/>
  <c r="I172" i="154"/>
  <c r="K172" i="154" s="1"/>
  <c r="H240" i="150"/>
  <c r="I240" i="150" s="1"/>
  <c r="K240" i="150" s="1"/>
  <c r="I172" i="146"/>
  <c r="K172" i="146" s="1"/>
  <c r="H105" i="148"/>
  <c r="H109" i="148" s="1"/>
  <c r="I109" i="148" s="1"/>
  <c r="K109" i="148" s="1"/>
  <c r="K122" i="148" s="1"/>
  <c r="H240" i="156"/>
  <c r="H241" i="156" s="1"/>
  <c r="I301" i="156"/>
  <c r="G304" i="156" s="1"/>
  <c r="H240" i="152"/>
  <c r="H241" i="152" s="1"/>
  <c r="I36" i="156"/>
  <c r="K36" i="156" s="1"/>
  <c r="H37" i="148"/>
  <c r="H41" i="148" s="1"/>
  <c r="I41" i="148" s="1"/>
  <c r="K41" i="148" s="1"/>
  <c r="K54" i="148" s="1"/>
  <c r="I36" i="152"/>
  <c r="K36" i="152" s="1"/>
  <c r="K41" i="146"/>
  <c r="K54" i="146" s="1"/>
  <c r="K57" i="146" s="1"/>
  <c r="K58" i="146" s="1"/>
  <c r="K41" i="150"/>
  <c r="K54" i="150" s="1"/>
  <c r="K57" i="150" s="1"/>
  <c r="K58" i="150" s="1"/>
  <c r="I36" i="154"/>
  <c r="K36" i="154" s="1"/>
  <c r="G299" i="138"/>
  <c r="G301" i="138"/>
  <c r="G300" i="138"/>
  <c r="H173" i="138"/>
  <c r="H177" i="138" s="1"/>
  <c r="I177" i="138" s="1"/>
  <c r="K177" i="138" s="1"/>
  <c r="H173" i="140"/>
  <c r="H177" i="140" s="1"/>
  <c r="I177" i="140" s="1"/>
  <c r="K177" i="140" s="1"/>
  <c r="K190" i="140" s="1"/>
  <c r="H173" i="144"/>
  <c r="H177" i="144" s="1"/>
  <c r="I177" i="144" s="1"/>
  <c r="K177" i="144" s="1"/>
  <c r="K190" i="144" s="1"/>
  <c r="G297" i="138"/>
  <c r="K290" i="144"/>
  <c r="I240" i="138"/>
  <c r="K240" i="138" s="1"/>
  <c r="G238" i="144"/>
  <c r="G239" i="144"/>
  <c r="G236" i="144"/>
  <c r="G234" i="144"/>
  <c r="H240" i="144" s="1"/>
  <c r="H241" i="144" s="1"/>
  <c r="G237" i="144"/>
  <c r="I36" i="142"/>
  <c r="K36" i="142" s="1"/>
  <c r="H37" i="140"/>
  <c r="H41" i="140" s="1"/>
  <c r="I41" i="140" s="1"/>
  <c r="K41" i="140" s="1"/>
  <c r="K54" i="140" s="1"/>
  <c r="I36" i="138"/>
  <c r="K36" i="138" s="1"/>
  <c r="H105" i="130"/>
  <c r="H109" i="130" s="1"/>
  <c r="I109" i="130" s="1"/>
  <c r="K109" i="130" s="1"/>
  <c r="K122" i="130" s="1"/>
  <c r="H173" i="130"/>
  <c r="H191" i="130" s="1"/>
  <c r="G298" i="132"/>
  <c r="G299" i="132"/>
  <c r="G300" i="132"/>
  <c r="G297" i="132"/>
  <c r="G300" i="134"/>
  <c r="G299" i="134"/>
  <c r="G297" i="134"/>
  <c r="H173" i="132"/>
  <c r="H177" i="132" s="1"/>
  <c r="I177" i="132" s="1"/>
  <c r="K177" i="132" s="1"/>
  <c r="K190" i="132" s="1"/>
  <c r="G301" i="134"/>
  <c r="I36" i="134"/>
  <c r="K36" i="134" s="1"/>
  <c r="I36" i="136"/>
  <c r="K36" i="136" s="1"/>
  <c r="K41" i="136" s="1"/>
  <c r="K54" i="136" s="1"/>
  <c r="K57" i="136" s="1"/>
  <c r="K58" i="136" s="1"/>
  <c r="I301" i="136"/>
  <c r="G302" i="136" s="1"/>
  <c r="I36" i="130"/>
  <c r="K36" i="130" s="1"/>
  <c r="K41" i="132"/>
  <c r="K54" i="132" s="1"/>
  <c r="K57" i="132" s="1"/>
  <c r="K58" i="132" s="1"/>
  <c r="I172" i="126"/>
  <c r="K172" i="126" s="1"/>
  <c r="H173" i="126"/>
  <c r="H177" i="126" s="1"/>
  <c r="I177" i="126" s="1"/>
  <c r="H173" i="128"/>
  <c r="H177" i="128" s="1"/>
  <c r="I177" i="128" s="1"/>
  <c r="K177" i="128" s="1"/>
  <c r="K190" i="128" s="1"/>
  <c r="I301" i="126"/>
  <c r="G303" i="126" s="1"/>
  <c r="H240" i="128"/>
  <c r="H241" i="128" s="1"/>
  <c r="H240" i="126"/>
  <c r="I240" i="126" s="1"/>
  <c r="K240" i="126" s="1"/>
  <c r="I104" i="126"/>
  <c r="K104" i="126" s="1"/>
  <c r="H105" i="128"/>
  <c r="H109" i="128" s="1"/>
  <c r="I109" i="128" s="1"/>
  <c r="K109" i="128" s="1"/>
  <c r="K122" i="128" s="1"/>
  <c r="I36" i="128"/>
  <c r="K36" i="128" s="1"/>
  <c r="H216" i="124"/>
  <c r="H214" i="124"/>
  <c r="K190" i="156"/>
  <c r="H177" i="156"/>
  <c r="I177" i="156" s="1"/>
  <c r="K177" i="156" s="1"/>
  <c r="H41" i="156"/>
  <c r="I41" i="156" s="1"/>
  <c r="H109" i="156"/>
  <c r="I109" i="156" s="1"/>
  <c r="K109" i="156" s="1"/>
  <c r="K122" i="156" s="1"/>
  <c r="H123" i="156"/>
  <c r="H41" i="154"/>
  <c r="I41" i="154" s="1"/>
  <c r="H109" i="154"/>
  <c r="I109" i="154" s="1"/>
  <c r="K109" i="154" s="1"/>
  <c r="K122" i="154" s="1"/>
  <c r="G307" i="154"/>
  <c r="G305" i="154"/>
  <c r="G304" i="154"/>
  <c r="G303" i="154"/>
  <c r="G306" i="154"/>
  <c r="G302" i="154"/>
  <c r="H308" i="154" s="1"/>
  <c r="K190" i="154"/>
  <c r="H177" i="154"/>
  <c r="I177" i="154" s="1"/>
  <c r="H41" i="152"/>
  <c r="I41" i="152" s="1"/>
  <c r="G305" i="152"/>
  <c r="H177" i="152"/>
  <c r="I177" i="152" s="1"/>
  <c r="K177" i="152" s="1"/>
  <c r="K190" i="152" s="1"/>
  <c r="H191" i="152"/>
  <c r="H109" i="152"/>
  <c r="I109" i="152" s="1"/>
  <c r="K109" i="152" s="1"/>
  <c r="K122" i="152" s="1"/>
  <c r="H123" i="152"/>
  <c r="G305" i="150"/>
  <c r="G307" i="150"/>
  <c r="G302" i="150"/>
  <c r="H308" i="150" s="1"/>
  <c r="G303" i="150"/>
  <c r="G304" i="150"/>
  <c r="G306" i="150"/>
  <c r="H109" i="150"/>
  <c r="I109" i="150" s="1"/>
  <c r="K109" i="150" s="1"/>
  <c r="K122" i="150" s="1"/>
  <c r="H123" i="150"/>
  <c r="H55" i="150"/>
  <c r="H177" i="150"/>
  <c r="I177" i="150" s="1"/>
  <c r="H191" i="150"/>
  <c r="H177" i="148"/>
  <c r="I177" i="148" s="1"/>
  <c r="H191" i="148"/>
  <c r="G303" i="148"/>
  <c r="G307" i="148"/>
  <c r="G302" i="148"/>
  <c r="H308" i="148" s="1"/>
  <c r="G304" i="148"/>
  <c r="G305" i="148"/>
  <c r="G306" i="148"/>
  <c r="K190" i="148"/>
  <c r="H241" i="146"/>
  <c r="I240" i="146"/>
  <c r="K240" i="146" s="1"/>
  <c r="H109" i="146"/>
  <c r="I109" i="146" s="1"/>
  <c r="K109" i="146" s="1"/>
  <c r="K122" i="146" s="1"/>
  <c r="H123" i="146"/>
  <c r="G305" i="146"/>
  <c r="G304" i="146"/>
  <c r="G307" i="146"/>
  <c r="G306" i="146"/>
  <c r="G302" i="146"/>
  <c r="H308" i="146" s="1"/>
  <c r="G303" i="146"/>
  <c r="H55" i="146"/>
  <c r="H177" i="146"/>
  <c r="I177" i="146" s="1"/>
  <c r="H191" i="146"/>
  <c r="H109" i="144"/>
  <c r="I109" i="144" s="1"/>
  <c r="K109" i="144" s="1"/>
  <c r="K122" i="144" s="1"/>
  <c r="H123" i="144"/>
  <c r="H37" i="144"/>
  <c r="I36" i="144"/>
  <c r="K36" i="144" s="1"/>
  <c r="G304" i="144"/>
  <c r="G305" i="144"/>
  <c r="G303" i="144"/>
  <c r="G302" i="144"/>
  <c r="G307" i="144"/>
  <c r="G306" i="144"/>
  <c r="H241" i="142"/>
  <c r="I240" i="142"/>
  <c r="K240" i="142" s="1"/>
  <c r="H109" i="142"/>
  <c r="I109" i="142" s="1"/>
  <c r="K109" i="142" s="1"/>
  <c r="H41" i="142"/>
  <c r="I41" i="142" s="1"/>
  <c r="G306" i="142"/>
  <c r="G305" i="142"/>
  <c r="G304" i="142"/>
  <c r="H177" i="142"/>
  <c r="I177" i="142" s="1"/>
  <c r="K177" i="142" s="1"/>
  <c r="K190" i="142" s="1"/>
  <c r="H191" i="142"/>
  <c r="K122" i="142"/>
  <c r="G235" i="140"/>
  <c r="G239" i="140"/>
  <c r="G236" i="140"/>
  <c r="G238" i="140"/>
  <c r="G234" i="140"/>
  <c r="G237" i="140"/>
  <c r="K290" i="140"/>
  <c r="I301" i="140"/>
  <c r="G297" i="140"/>
  <c r="G298" i="140"/>
  <c r="G301" i="140"/>
  <c r="G300" i="140"/>
  <c r="G299" i="140"/>
  <c r="H109" i="140"/>
  <c r="I109" i="140" s="1"/>
  <c r="K109" i="140" s="1"/>
  <c r="H123" i="140"/>
  <c r="K122" i="140"/>
  <c r="H41" i="138"/>
  <c r="I41" i="138" s="1"/>
  <c r="H109" i="138"/>
  <c r="I109" i="138" s="1"/>
  <c r="K109" i="138" s="1"/>
  <c r="H123" i="138"/>
  <c r="K122" i="138"/>
  <c r="K258" i="138"/>
  <c r="K190" i="138"/>
  <c r="H245" i="138"/>
  <c r="I245" i="138" s="1"/>
  <c r="H241" i="136"/>
  <c r="I240" i="136"/>
  <c r="K240" i="136" s="1"/>
  <c r="H109" i="136"/>
  <c r="I109" i="136" s="1"/>
  <c r="K109" i="136" s="1"/>
  <c r="K122" i="136" s="1"/>
  <c r="H123" i="136"/>
  <c r="H55" i="136"/>
  <c r="H177" i="136"/>
  <c r="I177" i="136" s="1"/>
  <c r="K177" i="136" s="1"/>
  <c r="K190" i="136" s="1"/>
  <c r="H191" i="136"/>
  <c r="H241" i="134"/>
  <c r="I240" i="134"/>
  <c r="K240" i="134" s="1"/>
  <c r="G307" i="134"/>
  <c r="G304" i="134"/>
  <c r="G306" i="134"/>
  <c r="G303" i="134"/>
  <c r="G302" i="134"/>
  <c r="G305" i="134"/>
  <c r="H41" i="134"/>
  <c r="I41" i="134" s="1"/>
  <c r="H177" i="134"/>
  <c r="I177" i="134" s="1"/>
  <c r="K177" i="134" s="1"/>
  <c r="K190" i="134" s="1"/>
  <c r="H109" i="134"/>
  <c r="I109" i="134" s="1"/>
  <c r="K109" i="134" s="1"/>
  <c r="K122" i="134" s="1"/>
  <c r="H109" i="132"/>
  <c r="I109" i="132" s="1"/>
  <c r="K109" i="132" s="1"/>
  <c r="K122" i="132" s="1"/>
  <c r="G305" i="132"/>
  <c r="G306" i="132"/>
  <c r="G302" i="132"/>
  <c r="G303" i="132"/>
  <c r="G304" i="132"/>
  <c r="G307" i="132"/>
  <c r="H55" i="132"/>
  <c r="G237" i="132"/>
  <c r="G239" i="132"/>
  <c r="G236" i="132"/>
  <c r="G238" i="132"/>
  <c r="G234" i="132"/>
  <c r="H240" i="132" s="1"/>
  <c r="G235" i="132"/>
  <c r="I240" i="130"/>
  <c r="K240" i="130" s="1"/>
  <c r="H241" i="130"/>
  <c r="H41" i="130"/>
  <c r="I41" i="130" s="1"/>
  <c r="G307" i="130"/>
  <c r="G304" i="130"/>
  <c r="G305" i="130"/>
  <c r="G303" i="130"/>
  <c r="G302" i="130"/>
  <c r="G306" i="130"/>
  <c r="K290" i="128"/>
  <c r="I301" i="128"/>
  <c r="G300" i="128"/>
  <c r="G299" i="128"/>
  <c r="G297" i="128"/>
  <c r="G298" i="128"/>
  <c r="G301" i="128"/>
  <c r="H41" i="128"/>
  <c r="I41" i="128" s="1"/>
  <c r="K57" i="126"/>
  <c r="K58" i="126" s="1"/>
  <c r="K68" i="126" s="1"/>
  <c r="H109" i="126"/>
  <c r="I109" i="126" s="1"/>
  <c r="H55" i="126"/>
  <c r="H280" i="124"/>
  <c r="H212" i="124"/>
  <c r="H213" i="124"/>
  <c r="H210" i="124"/>
  <c r="H282" i="124"/>
  <c r="H221" i="124"/>
  <c r="H154" i="124"/>
  <c r="I154" i="124" s="1"/>
  <c r="H89" i="124"/>
  <c r="G97" i="124" s="1"/>
  <c r="H218" i="124"/>
  <c r="H289" i="124"/>
  <c r="H279" i="124"/>
  <c r="H220" i="124"/>
  <c r="H281" i="124"/>
  <c r="K86" i="124"/>
  <c r="I97" i="124"/>
  <c r="H284" i="124"/>
  <c r="H278" i="124"/>
  <c r="G29" i="124"/>
  <c r="G27" i="124"/>
  <c r="G28" i="124"/>
  <c r="G26" i="124"/>
  <c r="G25" i="124"/>
  <c r="G31" i="124" l="1"/>
  <c r="K54" i="124"/>
  <c r="G307" i="142"/>
  <c r="G303" i="142"/>
  <c r="G302" i="126"/>
  <c r="H308" i="126" s="1"/>
  <c r="I308" i="126" s="1"/>
  <c r="K308" i="126" s="1"/>
  <c r="F13" i="114"/>
  <c r="G32" i="124"/>
  <c r="H36" i="124" s="1"/>
  <c r="I36" i="124" s="1"/>
  <c r="K36" i="124" s="1"/>
  <c r="G35" i="124"/>
  <c r="G33" i="124"/>
  <c r="G34" i="124"/>
  <c r="H308" i="138"/>
  <c r="I308" i="138" s="1"/>
  <c r="K308" i="138" s="1"/>
  <c r="G303" i="152"/>
  <c r="G302" i="152"/>
  <c r="H308" i="152" s="1"/>
  <c r="H309" i="152" s="1"/>
  <c r="G307" i="152"/>
  <c r="G304" i="152"/>
  <c r="H241" i="150"/>
  <c r="H245" i="150" s="1"/>
  <c r="I245" i="150" s="1"/>
  <c r="K245" i="150" s="1"/>
  <c r="K258" i="150" s="1"/>
  <c r="K177" i="146"/>
  <c r="K190" i="146" s="1"/>
  <c r="I240" i="148"/>
  <c r="K240" i="148" s="1"/>
  <c r="K177" i="150"/>
  <c r="K190" i="150" s="1"/>
  <c r="K193" i="150" s="1"/>
  <c r="K194" i="150" s="1"/>
  <c r="H245" i="154"/>
  <c r="I245" i="154" s="1"/>
  <c r="K245" i="154" s="1"/>
  <c r="K258" i="154" s="1"/>
  <c r="K261" i="154" s="1"/>
  <c r="K262" i="154" s="1"/>
  <c r="H123" i="148"/>
  <c r="H125" i="148" s="1"/>
  <c r="H128" i="148" s="1"/>
  <c r="K177" i="148"/>
  <c r="K177" i="154"/>
  <c r="G303" i="156"/>
  <c r="I240" i="156"/>
  <c r="K240" i="156" s="1"/>
  <c r="G305" i="156"/>
  <c r="G307" i="156"/>
  <c r="G306" i="156"/>
  <c r="K41" i="154"/>
  <c r="K54" i="154" s="1"/>
  <c r="K57" i="154" s="1"/>
  <c r="K58" i="154" s="1"/>
  <c r="G302" i="156"/>
  <c r="H308" i="156" s="1"/>
  <c r="I308" i="156" s="1"/>
  <c r="K308" i="156" s="1"/>
  <c r="I240" i="152"/>
  <c r="K240" i="152" s="1"/>
  <c r="K41" i="156"/>
  <c r="K54" i="156" s="1"/>
  <c r="K57" i="156" s="1"/>
  <c r="K58" i="156" s="1"/>
  <c r="K41" i="152"/>
  <c r="K54" i="152" s="1"/>
  <c r="K57" i="152" s="1"/>
  <c r="K58" i="152" s="1"/>
  <c r="H55" i="154"/>
  <c r="H57" i="154" s="1"/>
  <c r="H191" i="138"/>
  <c r="H193" i="138" s="1"/>
  <c r="H191" i="140"/>
  <c r="H193" i="140" s="1"/>
  <c r="H191" i="144"/>
  <c r="H193" i="144" s="1"/>
  <c r="H196" i="144" s="1"/>
  <c r="I240" i="144"/>
  <c r="K240" i="144" s="1"/>
  <c r="K245" i="138"/>
  <c r="H308" i="144"/>
  <c r="I308" i="144" s="1"/>
  <c r="K308" i="144" s="1"/>
  <c r="H240" i="140"/>
  <c r="I240" i="140" s="1"/>
  <c r="K240" i="140" s="1"/>
  <c r="K41" i="138"/>
  <c r="K54" i="138" s="1"/>
  <c r="K57" i="138" s="1"/>
  <c r="K58" i="138" s="1"/>
  <c r="K41" i="142"/>
  <c r="K54" i="142" s="1"/>
  <c r="K57" i="142" s="1"/>
  <c r="K58" i="142" s="1"/>
  <c r="H55" i="140"/>
  <c r="H57" i="140" s="1"/>
  <c r="H60" i="140" s="1"/>
  <c r="H123" i="130"/>
  <c r="H125" i="130" s="1"/>
  <c r="H128" i="130" s="1"/>
  <c r="H177" i="130"/>
  <c r="I177" i="130" s="1"/>
  <c r="K177" i="130" s="1"/>
  <c r="K190" i="130" s="1"/>
  <c r="H308" i="132"/>
  <c r="H309" i="132" s="1"/>
  <c r="H308" i="134"/>
  <c r="H309" i="134" s="1"/>
  <c r="K41" i="134"/>
  <c r="K54" i="134" s="1"/>
  <c r="K57" i="134" s="1"/>
  <c r="K58" i="134" s="1"/>
  <c r="G305" i="136"/>
  <c r="K41" i="130"/>
  <c r="K54" i="130" s="1"/>
  <c r="K57" i="130" s="1"/>
  <c r="K58" i="130" s="1"/>
  <c r="G306" i="136"/>
  <c r="G307" i="136"/>
  <c r="G303" i="136"/>
  <c r="G304" i="136"/>
  <c r="H308" i="136" s="1"/>
  <c r="H309" i="136" s="1"/>
  <c r="H308" i="130"/>
  <c r="I308" i="130" s="1"/>
  <c r="K308" i="130" s="1"/>
  <c r="G307" i="126"/>
  <c r="G305" i="126"/>
  <c r="G304" i="126"/>
  <c r="G306" i="126"/>
  <c r="K177" i="126"/>
  <c r="K190" i="126" s="1"/>
  <c r="K193" i="126" s="1"/>
  <c r="K194" i="126" s="1"/>
  <c r="H241" i="126"/>
  <c r="H245" i="126" s="1"/>
  <c r="I245" i="126" s="1"/>
  <c r="K245" i="126" s="1"/>
  <c r="K258" i="126" s="1"/>
  <c r="I240" i="128"/>
  <c r="K240" i="128" s="1"/>
  <c r="H191" i="126"/>
  <c r="H193" i="126" s="1"/>
  <c r="K109" i="126"/>
  <c r="K122" i="126" s="1"/>
  <c r="K125" i="126" s="1"/>
  <c r="K126" i="126" s="1"/>
  <c r="H123" i="126"/>
  <c r="K41" i="128"/>
  <c r="K54" i="128" s="1"/>
  <c r="K57" i="128" s="1"/>
  <c r="K58" i="128" s="1"/>
  <c r="H55" i="152"/>
  <c r="H57" i="152" s="1"/>
  <c r="H60" i="152" s="1"/>
  <c r="H61" i="152" s="1"/>
  <c r="H55" i="130"/>
  <c r="H57" i="130" s="1"/>
  <c r="H60" i="130" s="1"/>
  <c r="H55" i="128"/>
  <c r="H57" i="128" s="1"/>
  <c r="H55" i="138"/>
  <c r="H57" i="138" s="1"/>
  <c r="H55" i="148"/>
  <c r="H57" i="148" s="1"/>
  <c r="H60" i="148" s="1"/>
  <c r="H55" i="156"/>
  <c r="H57" i="156" s="1"/>
  <c r="H60" i="156" s="1"/>
  <c r="K125" i="156"/>
  <c r="K126" i="156" s="1"/>
  <c r="H125" i="156"/>
  <c r="K193" i="156"/>
  <c r="K194" i="156" s="1"/>
  <c r="H191" i="156"/>
  <c r="H245" i="156"/>
  <c r="I245" i="156" s="1"/>
  <c r="H309" i="154"/>
  <c r="I308" i="154"/>
  <c r="K308" i="154" s="1"/>
  <c r="K125" i="154"/>
  <c r="K126" i="154" s="1"/>
  <c r="K193" i="154"/>
  <c r="K194" i="154" s="1"/>
  <c r="H123" i="154"/>
  <c r="H265" i="154"/>
  <c r="H261" i="154"/>
  <c r="H264" i="154" s="1"/>
  <c r="H191" i="154"/>
  <c r="K126" i="152"/>
  <c r="K125" i="152"/>
  <c r="K193" i="152"/>
  <c r="K194" i="152" s="1"/>
  <c r="H125" i="152"/>
  <c r="H129" i="152" s="1"/>
  <c r="H193" i="152"/>
  <c r="H196" i="152" s="1"/>
  <c r="H197" i="152" s="1"/>
  <c r="H245" i="152"/>
  <c r="I245" i="152" s="1"/>
  <c r="K125" i="150"/>
  <c r="K126" i="150" s="1"/>
  <c r="H309" i="150"/>
  <c r="I308" i="150"/>
  <c r="K308" i="150" s="1"/>
  <c r="K61" i="150"/>
  <c r="K68" i="150" s="1"/>
  <c r="F115" i="114" s="1"/>
  <c r="H193" i="150"/>
  <c r="H196" i="150" s="1"/>
  <c r="H125" i="150"/>
  <c r="H128" i="150" s="1"/>
  <c r="H129" i="150" s="1"/>
  <c r="H57" i="150"/>
  <c r="H309" i="148"/>
  <c r="I308" i="148"/>
  <c r="K308" i="148" s="1"/>
  <c r="K57" i="148"/>
  <c r="K58" i="148" s="1"/>
  <c r="K125" i="148"/>
  <c r="K126" i="148" s="1"/>
  <c r="K193" i="148"/>
  <c r="K194" i="148" s="1"/>
  <c r="H193" i="148"/>
  <c r="H245" i="148"/>
  <c r="I245" i="148" s="1"/>
  <c r="H309" i="146"/>
  <c r="I308" i="146"/>
  <c r="K308" i="146" s="1"/>
  <c r="K125" i="146"/>
  <c r="K126" i="146" s="1"/>
  <c r="K193" i="146"/>
  <c r="K194" i="146" s="1"/>
  <c r="K61" i="146"/>
  <c r="K68" i="146" s="1"/>
  <c r="F96" i="114" s="1"/>
  <c r="H193" i="146"/>
  <c r="H57" i="146"/>
  <c r="H60" i="146" s="1"/>
  <c r="H61" i="146" s="1"/>
  <c r="H245" i="146"/>
  <c r="I245" i="146" s="1"/>
  <c r="K245" i="146" s="1"/>
  <c r="K258" i="146" s="1"/>
  <c r="H125" i="146"/>
  <c r="H128" i="146" s="1"/>
  <c r="K125" i="144"/>
  <c r="K126" i="144" s="1"/>
  <c r="K193" i="144"/>
  <c r="K194" i="144" s="1"/>
  <c r="H41" i="144"/>
  <c r="I41" i="144" s="1"/>
  <c r="K41" i="144" s="1"/>
  <c r="K54" i="144" s="1"/>
  <c r="H125" i="144"/>
  <c r="H128" i="144" s="1"/>
  <c r="H129" i="144" s="1"/>
  <c r="H245" i="144"/>
  <c r="I245" i="144" s="1"/>
  <c r="H309" i="142"/>
  <c r="I308" i="142"/>
  <c r="K308" i="142" s="1"/>
  <c r="K193" i="142"/>
  <c r="K194" i="142" s="1"/>
  <c r="H55" i="142"/>
  <c r="K125" i="142"/>
  <c r="K126" i="142" s="1"/>
  <c r="H123" i="142"/>
  <c r="H193" i="142"/>
  <c r="H196" i="142" s="1"/>
  <c r="H197" i="142" s="1"/>
  <c r="H245" i="142"/>
  <c r="I245" i="142" s="1"/>
  <c r="K245" i="142" s="1"/>
  <c r="K258" i="142" s="1"/>
  <c r="K57" i="140"/>
  <c r="K58" i="140" s="1"/>
  <c r="K193" i="140"/>
  <c r="K194" i="140" s="1"/>
  <c r="H125" i="140"/>
  <c r="H129" i="140" s="1"/>
  <c r="G304" i="140"/>
  <c r="G303" i="140"/>
  <c r="G302" i="140"/>
  <c r="H308" i="140" s="1"/>
  <c r="G307" i="140"/>
  <c r="G306" i="140"/>
  <c r="G305" i="140"/>
  <c r="K126" i="140"/>
  <c r="K125" i="140"/>
  <c r="K261" i="138"/>
  <c r="K262" i="138" s="1"/>
  <c r="K125" i="138"/>
  <c r="K126" i="138" s="1"/>
  <c r="H125" i="138"/>
  <c r="H128" i="138" s="1"/>
  <c r="K193" i="138"/>
  <c r="K194" i="138" s="1"/>
  <c r="H259" i="138"/>
  <c r="K193" i="136"/>
  <c r="K194" i="136" s="1"/>
  <c r="K125" i="136"/>
  <c r="K126" i="136" s="1"/>
  <c r="K61" i="136"/>
  <c r="K68" i="136" s="1"/>
  <c r="F56" i="114" s="1"/>
  <c r="H193" i="136"/>
  <c r="H196" i="136" s="1"/>
  <c r="H57" i="136"/>
  <c r="H60" i="136" s="1"/>
  <c r="H61" i="136" s="1"/>
  <c r="H125" i="136"/>
  <c r="H245" i="136"/>
  <c r="I245" i="136" s="1"/>
  <c r="K245" i="136" s="1"/>
  <c r="K258" i="136" s="1"/>
  <c r="K193" i="134"/>
  <c r="K194" i="134" s="1"/>
  <c r="K125" i="134"/>
  <c r="K126" i="134" s="1"/>
  <c r="H245" i="134"/>
  <c r="I245" i="134" s="1"/>
  <c r="K245" i="134" s="1"/>
  <c r="K258" i="134" s="1"/>
  <c r="H123" i="134"/>
  <c r="H191" i="134"/>
  <c r="H55" i="134"/>
  <c r="K193" i="132"/>
  <c r="K194" i="132" s="1"/>
  <c r="K125" i="132"/>
  <c r="K126" i="132" s="1"/>
  <c r="K61" i="132"/>
  <c r="K68" i="132" s="1"/>
  <c r="F37" i="114" s="1"/>
  <c r="I240" i="132"/>
  <c r="K240" i="132" s="1"/>
  <c r="H241" i="132"/>
  <c r="H57" i="132"/>
  <c r="H60" i="132" s="1"/>
  <c r="H123" i="132"/>
  <c r="H191" i="132"/>
  <c r="K125" i="130"/>
  <c r="K126" i="130" s="1"/>
  <c r="K193" i="130"/>
  <c r="K194" i="130" s="1"/>
  <c r="H193" i="130"/>
  <c r="H196" i="130" s="1"/>
  <c r="H197" i="130" s="1"/>
  <c r="H259" i="130"/>
  <c r="H245" i="130"/>
  <c r="I245" i="130" s="1"/>
  <c r="K245" i="130" s="1"/>
  <c r="K258" i="130" s="1"/>
  <c r="K193" i="128"/>
  <c r="K194" i="128" s="1"/>
  <c r="K125" i="128"/>
  <c r="K126" i="128" s="1"/>
  <c r="H123" i="128"/>
  <c r="G305" i="128"/>
  <c r="G303" i="128"/>
  <c r="G307" i="128"/>
  <c r="G302" i="128"/>
  <c r="G306" i="128"/>
  <c r="G304" i="128"/>
  <c r="H191" i="128"/>
  <c r="H245" i="128"/>
  <c r="I245" i="128" s="1"/>
  <c r="K61" i="126"/>
  <c r="H57" i="126"/>
  <c r="H60" i="126" s="1"/>
  <c r="H157" i="124"/>
  <c r="G163" i="124" s="1"/>
  <c r="G96" i="124"/>
  <c r="H222" i="124"/>
  <c r="I222" i="124" s="1"/>
  <c r="G95" i="124"/>
  <c r="G93" i="124"/>
  <c r="G94" i="124"/>
  <c r="H288" i="124"/>
  <c r="G100" i="124"/>
  <c r="G102" i="124"/>
  <c r="G98" i="124"/>
  <c r="G99" i="124"/>
  <c r="G103" i="124"/>
  <c r="G101" i="124"/>
  <c r="H286" i="124"/>
  <c r="H283" i="124"/>
  <c r="K154" i="124"/>
  <c r="I165" i="124"/>
  <c r="H285" i="124"/>
  <c r="H287" i="124"/>
  <c r="K58" i="124" l="1"/>
  <c r="K57" i="124"/>
  <c r="K245" i="144"/>
  <c r="K258" i="144" s="1"/>
  <c r="K261" i="144" s="1"/>
  <c r="K262" i="144" s="1"/>
  <c r="H309" i="138"/>
  <c r="H313" i="138" s="1"/>
  <c r="I313" i="138" s="1"/>
  <c r="K313" i="138" s="1"/>
  <c r="K326" i="138" s="1"/>
  <c r="K329" i="138" s="1"/>
  <c r="K330" i="138" s="1"/>
  <c r="K245" i="148"/>
  <c r="K258" i="148" s="1"/>
  <c r="K261" i="148" s="1"/>
  <c r="K262" i="148" s="1"/>
  <c r="K245" i="156"/>
  <c r="K258" i="156" s="1"/>
  <c r="K261" i="156" s="1"/>
  <c r="I308" i="152"/>
  <c r="K308" i="152" s="1"/>
  <c r="H309" i="156"/>
  <c r="H327" i="156" s="1"/>
  <c r="K245" i="152"/>
  <c r="K258" i="152" s="1"/>
  <c r="K261" i="152" s="1"/>
  <c r="K262" i="152" s="1"/>
  <c r="H128" i="152"/>
  <c r="H241" i="140"/>
  <c r="H259" i="140" s="1"/>
  <c r="H128" i="140"/>
  <c r="H309" i="144"/>
  <c r="H313" i="144" s="1"/>
  <c r="I313" i="144" s="1"/>
  <c r="K313" i="144" s="1"/>
  <c r="K326" i="144" s="1"/>
  <c r="H55" i="144"/>
  <c r="H57" i="144" s="1"/>
  <c r="H60" i="144" s="1"/>
  <c r="H61" i="144" s="1"/>
  <c r="H129" i="130"/>
  <c r="H132" i="130" s="1"/>
  <c r="H134" i="130" s="1"/>
  <c r="I308" i="132"/>
  <c r="K308" i="132" s="1"/>
  <c r="I308" i="134"/>
  <c r="K308" i="134" s="1"/>
  <c r="I308" i="136"/>
  <c r="K308" i="136" s="1"/>
  <c r="H309" i="130"/>
  <c r="H313" i="130" s="1"/>
  <c r="I313" i="130" s="1"/>
  <c r="K313" i="130" s="1"/>
  <c r="K326" i="130" s="1"/>
  <c r="H309" i="126"/>
  <c r="H313" i="126" s="1"/>
  <c r="I313" i="126" s="1"/>
  <c r="K313" i="126" s="1"/>
  <c r="K326" i="126" s="1"/>
  <c r="H308" i="128"/>
  <c r="I308" i="128" s="1"/>
  <c r="K308" i="128" s="1"/>
  <c r="K245" i="128"/>
  <c r="K258" i="128" s="1"/>
  <c r="K261" i="128" s="1"/>
  <c r="K262" i="128" s="1"/>
  <c r="H259" i="128"/>
  <c r="H261" i="128" s="1"/>
  <c r="H264" i="128" s="1"/>
  <c r="H265" i="128" s="1"/>
  <c r="H125" i="126"/>
  <c r="H128" i="126" s="1"/>
  <c r="H129" i="126" s="1"/>
  <c r="H132" i="126" s="1"/>
  <c r="H134" i="126" s="1"/>
  <c r="H61" i="126"/>
  <c r="H64" i="126" s="1"/>
  <c r="H66" i="126" s="1"/>
  <c r="G164" i="124"/>
  <c r="H60" i="138"/>
  <c r="H61" i="138" s="1"/>
  <c r="H64" i="138" s="1"/>
  <c r="H66" i="138" s="1"/>
  <c r="H61" i="140"/>
  <c r="H64" i="140" s="1"/>
  <c r="H61" i="130"/>
  <c r="H64" i="130" s="1"/>
  <c r="H66" i="130" s="1"/>
  <c r="K61" i="156"/>
  <c r="K68" i="156" s="1"/>
  <c r="F139" i="114" s="1"/>
  <c r="K197" i="156"/>
  <c r="K204" i="156"/>
  <c r="F449" i="114" s="1"/>
  <c r="K129" i="156"/>
  <c r="K136" i="156"/>
  <c r="F294" i="114" s="1"/>
  <c r="H61" i="156"/>
  <c r="H128" i="156"/>
  <c r="H129" i="156" s="1"/>
  <c r="H259" i="156"/>
  <c r="H193" i="156"/>
  <c r="K197" i="154"/>
  <c r="K204" i="154"/>
  <c r="F441" i="114" s="1"/>
  <c r="K61" i="154"/>
  <c r="K68" i="154" s="1"/>
  <c r="F131" i="114" s="1"/>
  <c r="K129" i="154"/>
  <c r="K136" i="154" s="1"/>
  <c r="F286" i="114" s="1"/>
  <c r="K265" i="154"/>
  <c r="K272" i="154"/>
  <c r="F596" i="114" s="1"/>
  <c r="H268" i="154"/>
  <c r="H270" i="154" s="1"/>
  <c r="H129" i="154"/>
  <c r="H125" i="154"/>
  <c r="H128" i="154" s="1"/>
  <c r="H60" i="154"/>
  <c r="H61" i="154" s="1"/>
  <c r="H193" i="154"/>
  <c r="H196" i="154" s="1"/>
  <c r="H313" i="154"/>
  <c r="I313" i="154" s="1"/>
  <c r="K313" i="154" s="1"/>
  <c r="K326" i="154" s="1"/>
  <c r="H202" i="152"/>
  <c r="H200" i="152"/>
  <c r="H132" i="152"/>
  <c r="H134" i="152" s="1"/>
  <c r="K61" i="152"/>
  <c r="K68" i="152" s="1"/>
  <c r="F123" i="114" s="1"/>
  <c r="K197" i="152"/>
  <c r="K204" i="152"/>
  <c r="F433" i="114" s="1"/>
  <c r="H64" i="152"/>
  <c r="H66" i="152" s="1"/>
  <c r="H327" i="152"/>
  <c r="H313" i="152"/>
  <c r="I313" i="152" s="1"/>
  <c r="H259" i="152"/>
  <c r="K129" i="152"/>
  <c r="K136" i="152"/>
  <c r="F278" i="114" s="1"/>
  <c r="K326" i="152"/>
  <c r="K261" i="150"/>
  <c r="K262" i="150" s="1"/>
  <c r="H134" i="150"/>
  <c r="H132" i="150"/>
  <c r="K197" i="150"/>
  <c r="K204" i="150"/>
  <c r="F425" i="114" s="1"/>
  <c r="K129" i="150"/>
  <c r="K136" i="150"/>
  <c r="F270" i="114" s="1"/>
  <c r="H197" i="150"/>
  <c r="H60" i="150"/>
  <c r="H61" i="150" s="1"/>
  <c r="H259" i="150"/>
  <c r="H313" i="150"/>
  <c r="I313" i="150" s="1"/>
  <c r="K313" i="150" s="1"/>
  <c r="K326" i="150" s="1"/>
  <c r="K197" i="148"/>
  <c r="K204" i="148"/>
  <c r="F414" i="114" s="1"/>
  <c r="K129" i="148"/>
  <c r="K136" i="148"/>
  <c r="K61" i="148"/>
  <c r="K68" i="148" s="1"/>
  <c r="F104" i="114" s="1"/>
  <c r="H129" i="148"/>
  <c r="H61" i="148"/>
  <c r="H196" i="148"/>
  <c r="H197" i="148" s="1"/>
  <c r="H259" i="148"/>
  <c r="H313" i="148"/>
  <c r="I313" i="148" s="1"/>
  <c r="K313" i="148" s="1"/>
  <c r="K326" i="148" s="1"/>
  <c r="K261" i="146"/>
  <c r="K262" i="146" s="1"/>
  <c r="K197" i="146"/>
  <c r="K204" i="146"/>
  <c r="F406" i="114" s="1"/>
  <c r="K129" i="146"/>
  <c r="K136" i="146"/>
  <c r="F251" i="114" s="1"/>
  <c r="H196" i="146"/>
  <c r="H197" i="146" s="1"/>
  <c r="H129" i="146"/>
  <c r="H64" i="146"/>
  <c r="H66" i="146" s="1"/>
  <c r="H259" i="146"/>
  <c r="H313" i="146"/>
  <c r="I313" i="146" s="1"/>
  <c r="K313" i="146" s="1"/>
  <c r="K326" i="146" s="1"/>
  <c r="H134" i="144"/>
  <c r="H132" i="144"/>
  <c r="K57" i="144"/>
  <c r="K58" i="144" s="1"/>
  <c r="K197" i="144"/>
  <c r="K204" i="144"/>
  <c r="F398" i="114" s="1"/>
  <c r="K129" i="144"/>
  <c r="K136" i="144"/>
  <c r="F243" i="114" s="1"/>
  <c r="H259" i="144"/>
  <c r="H197" i="144"/>
  <c r="K261" i="142"/>
  <c r="K262" i="142" s="1"/>
  <c r="H200" i="142"/>
  <c r="H202" i="142" s="1"/>
  <c r="K129" i="142"/>
  <c r="K136" i="142"/>
  <c r="F235" i="114" s="1"/>
  <c r="K197" i="142"/>
  <c r="K204" i="142"/>
  <c r="F390" i="114" s="1"/>
  <c r="K61" i="142"/>
  <c r="K68" i="142" s="1"/>
  <c r="F80" i="114" s="1"/>
  <c r="H125" i="142"/>
  <c r="H128" i="142" s="1"/>
  <c r="H129" i="142" s="1"/>
  <c r="H57" i="142"/>
  <c r="H259" i="142"/>
  <c r="H313" i="142"/>
  <c r="I313" i="142" s="1"/>
  <c r="K313" i="142" s="1"/>
  <c r="K326" i="142" s="1"/>
  <c r="H309" i="140"/>
  <c r="I308" i="140"/>
  <c r="K308" i="140" s="1"/>
  <c r="K197" i="140"/>
  <c r="K204" i="140"/>
  <c r="F382" i="114" s="1"/>
  <c r="H197" i="140"/>
  <c r="H132" i="140"/>
  <c r="H134" i="140" s="1"/>
  <c r="K61" i="140"/>
  <c r="K68" i="140" s="1"/>
  <c r="F72" i="114" s="1"/>
  <c r="H196" i="140"/>
  <c r="K129" i="140"/>
  <c r="K136" i="140"/>
  <c r="F227" i="114" s="1"/>
  <c r="K197" i="138"/>
  <c r="K204" i="138" s="1"/>
  <c r="F374" i="114" s="1"/>
  <c r="K129" i="138"/>
  <c r="K136" i="138"/>
  <c r="F219" i="114" s="1"/>
  <c r="K265" i="138"/>
  <c r="K272" i="138"/>
  <c r="F529" i="114" s="1"/>
  <c r="K61" i="138"/>
  <c r="K68" i="138" s="1"/>
  <c r="F64" i="114" s="1"/>
  <c r="H129" i="138"/>
  <c r="H327" i="138"/>
  <c r="H261" i="138"/>
  <c r="H264" i="138" s="1"/>
  <c r="H196" i="138"/>
  <c r="H197" i="138" s="1"/>
  <c r="K261" i="136"/>
  <c r="K262" i="136" s="1"/>
  <c r="H129" i="136"/>
  <c r="H64" i="136"/>
  <c r="H66" i="136" s="1"/>
  <c r="K129" i="136"/>
  <c r="K136" i="136" s="1"/>
  <c r="F211" i="114" s="1"/>
  <c r="K197" i="136"/>
  <c r="K204" i="136" s="1"/>
  <c r="F366" i="114" s="1"/>
  <c r="H259" i="136"/>
  <c r="H128" i="136"/>
  <c r="H197" i="136"/>
  <c r="H313" i="136"/>
  <c r="I313" i="136" s="1"/>
  <c r="K262" i="134"/>
  <c r="K261" i="134"/>
  <c r="K197" i="134"/>
  <c r="K204" i="134" s="1"/>
  <c r="F355" i="114" s="1"/>
  <c r="K61" i="134"/>
  <c r="K68" i="134" s="1"/>
  <c r="F45" i="114" s="1"/>
  <c r="K129" i="134"/>
  <c r="K136" i="134"/>
  <c r="F200" i="114" s="1"/>
  <c r="H327" i="134"/>
  <c r="H313" i="134"/>
  <c r="I313" i="134" s="1"/>
  <c r="H193" i="134"/>
  <c r="H259" i="134"/>
  <c r="H57" i="134"/>
  <c r="H125" i="134"/>
  <c r="K129" i="132"/>
  <c r="K136" i="132" s="1"/>
  <c r="F192" i="114" s="1"/>
  <c r="K204" i="132"/>
  <c r="F347" i="114" s="1"/>
  <c r="K197" i="132"/>
  <c r="H61" i="132"/>
  <c r="H245" i="132"/>
  <c r="I245" i="132" s="1"/>
  <c r="K245" i="132" s="1"/>
  <c r="K258" i="132" s="1"/>
  <c r="H193" i="132"/>
  <c r="H196" i="132" s="1"/>
  <c r="H313" i="132"/>
  <c r="I313" i="132" s="1"/>
  <c r="K313" i="132" s="1"/>
  <c r="K326" i="132" s="1"/>
  <c r="H125" i="132"/>
  <c r="H128" i="132" s="1"/>
  <c r="H129" i="132"/>
  <c r="K261" i="130"/>
  <c r="K262" i="130" s="1"/>
  <c r="K129" i="130"/>
  <c r="K136" i="130"/>
  <c r="F184" i="114" s="1"/>
  <c r="H202" i="130"/>
  <c r="H200" i="130"/>
  <c r="K197" i="130"/>
  <c r="K204" i="130"/>
  <c r="F339" i="114" s="1"/>
  <c r="K61" i="130"/>
  <c r="K68" i="130" s="1"/>
  <c r="F29" i="114" s="1"/>
  <c r="H265" i="130"/>
  <c r="H261" i="130"/>
  <c r="H264" i="130" s="1"/>
  <c r="K61" i="128"/>
  <c r="K68" i="128" s="1"/>
  <c r="F21" i="114" s="1"/>
  <c r="K129" i="128"/>
  <c r="K136" i="128" s="1"/>
  <c r="F176" i="114" s="1"/>
  <c r="H193" i="128"/>
  <c r="H196" i="128" s="1"/>
  <c r="H197" i="128" s="1"/>
  <c r="H60" i="128"/>
  <c r="H61" i="128" s="1"/>
  <c r="H125" i="128"/>
  <c r="H128" i="128" s="1"/>
  <c r="H129" i="128" s="1"/>
  <c r="K197" i="128"/>
  <c r="K204" i="128" s="1"/>
  <c r="F331" i="114" s="1"/>
  <c r="K197" i="126"/>
  <c r="K204" i="126" s="1"/>
  <c r="F323" i="114" s="1"/>
  <c r="K129" i="126"/>
  <c r="K136" i="126" s="1"/>
  <c r="F168" i="114" s="1"/>
  <c r="K261" i="126"/>
  <c r="K262" i="126" s="1"/>
  <c r="H196" i="126"/>
  <c r="H197" i="126" s="1"/>
  <c r="H259" i="126"/>
  <c r="G165" i="124"/>
  <c r="G161" i="124"/>
  <c r="G162" i="124"/>
  <c r="H225" i="124"/>
  <c r="G231" i="124" s="1"/>
  <c r="H290" i="124"/>
  <c r="H293" i="124" s="1"/>
  <c r="H104" i="124"/>
  <c r="I104" i="124" s="1"/>
  <c r="K104" i="124" s="1"/>
  <c r="K222" i="124"/>
  <c r="I233" i="124"/>
  <c r="G166" i="124"/>
  <c r="G171" i="124"/>
  <c r="G167" i="124"/>
  <c r="G170" i="124"/>
  <c r="G169" i="124"/>
  <c r="G168" i="124"/>
  <c r="H37" i="124"/>
  <c r="K68" i="124" l="1"/>
  <c r="K61" i="124"/>
  <c r="F14" i="114"/>
  <c r="H14" i="114" s="1"/>
  <c r="F12" i="114"/>
  <c r="F15" i="114"/>
  <c r="H313" i="156"/>
  <c r="I313" i="156" s="1"/>
  <c r="K313" i="156" s="1"/>
  <c r="K326" i="156" s="1"/>
  <c r="K329" i="156" s="1"/>
  <c r="K330" i="156" s="1"/>
  <c r="K313" i="152"/>
  <c r="K262" i="156"/>
  <c r="K272" i="156" s="1"/>
  <c r="F604" i="114" s="1"/>
  <c r="F259" i="114"/>
  <c r="H245" i="140"/>
  <c r="I245" i="140" s="1"/>
  <c r="K245" i="140" s="1"/>
  <c r="K258" i="140" s="1"/>
  <c r="K261" i="140" s="1"/>
  <c r="K262" i="140" s="1"/>
  <c r="K313" i="134"/>
  <c r="K326" i="134" s="1"/>
  <c r="K329" i="134" s="1"/>
  <c r="K330" i="134" s="1"/>
  <c r="K313" i="136"/>
  <c r="K326" i="136" s="1"/>
  <c r="K329" i="136" s="1"/>
  <c r="K330" i="136" s="1"/>
  <c r="H309" i="128"/>
  <c r="H313" i="128" s="1"/>
  <c r="I313" i="128" s="1"/>
  <c r="K313" i="128" s="1"/>
  <c r="K326" i="128" s="1"/>
  <c r="H66" i="140"/>
  <c r="H67" i="140" s="1"/>
  <c r="G70" i="114" s="1"/>
  <c r="H132" i="156"/>
  <c r="H134" i="156" s="1"/>
  <c r="H64" i="156"/>
  <c r="H66" i="156" s="1"/>
  <c r="H261" i="156"/>
  <c r="H264" i="156" s="1"/>
  <c r="H329" i="156"/>
  <c r="H332" i="156" s="1"/>
  <c r="H333" i="156"/>
  <c r="H196" i="156"/>
  <c r="H197" i="156" s="1"/>
  <c r="K330" i="154"/>
  <c r="K329" i="154"/>
  <c r="H64" i="154"/>
  <c r="H66" i="154" s="1"/>
  <c r="F597" i="114"/>
  <c r="H597" i="114" s="1"/>
  <c r="H271" i="154"/>
  <c r="G594" i="114" s="1"/>
  <c r="H197" i="154"/>
  <c r="H132" i="154"/>
  <c r="H134" i="154" s="1"/>
  <c r="H327" i="154"/>
  <c r="F279" i="114"/>
  <c r="H279" i="114" s="1"/>
  <c r="H135" i="152"/>
  <c r="G276" i="114" s="1"/>
  <c r="K265" i="152"/>
  <c r="K272" i="152"/>
  <c r="F588" i="114" s="1"/>
  <c r="H67" i="152"/>
  <c r="G121" i="114" s="1"/>
  <c r="K329" i="152"/>
  <c r="K330" i="152" s="1"/>
  <c r="H261" i="152"/>
  <c r="H264" i="152" s="1"/>
  <c r="H329" i="152"/>
  <c r="H203" i="152"/>
  <c r="G431" i="114" s="1"/>
  <c r="F434" i="114"/>
  <c r="H434" i="114" s="1"/>
  <c r="K329" i="150"/>
  <c r="K330" i="150"/>
  <c r="H64" i="150"/>
  <c r="H66" i="150" s="1"/>
  <c r="K265" i="150"/>
  <c r="K272" i="150"/>
  <c r="F580" i="114" s="1"/>
  <c r="H200" i="150"/>
  <c r="H202" i="150" s="1"/>
  <c r="H135" i="150"/>
  <c r="G268" i="114" s="1"/>
  <c r="F271" i="114"/>
  <c r="H271" i="114" s="1"/>
  <c r="H327" i="150"/>
  <c r="H261" i="150"/>
  <c r="K329" i="148"/>
  <c r="K330" i="148" s="1"/>
  <c r="H202" i="148"/>
  <c r="H200" i="148"/>
  <c r="K265" i="148"/>
  <c r="K272" i="148" s="1"/>
  <c r="F569" i="114" s="1"/>
  <c r="H327" i="148"/>
  <c r="H132" i="148"/>
  <c r="H134" i="148" s="1"/>
  <c r="H64" i="148"/>
  <c r="H66" i="148" s="1"/>
  <c r="H261" i="148"/>
  <c r="H264" i="148" s="1"/>
  <c r="H265" i="148" s="1"/>
  <c r="K330" i="146"/>
  <c r="K329" i="146"/>
  <c r="H200" i="146"/>
  <c r="H202" i="146" s="1"/>
  <c r="K265" i="146"/>
  <c r="K272" i="146"/>
  <c r="F561" i="114" s="1"/>
  <c r="H261" i="146"/>
  <c r="H327" i="146"/>
  <c r="H67" i="146"/>
  <c r="G94" i="114" s="1"/>
  <c r="H134" i="146"/>
  <c r="H132" i="146"/>
  <c r="H64" i="144"/>
  <c r="H66" i="144" s="1"/>
  <c r="K329" i="144"/>
  <c r="K330" i="144" s="1"/>
  <c r="K265" i="144"/>
  <c r="K272" i="144"/>
  <c r="F553" i="114" s="1"/>
  <c r="K61" i="144"/>
  <c r="K68" i="144" s="1"/>
  <c r="F88" i="114" s="1"/>
  <c r="H327" i="144"/>
  <c r="H200" i="144"/>
  <c r="H202" i="144" s="1"/>
  <c r="H261" i="144"/>
  <c r="H264" i="144" s="1"/>
  <c r="H265" i="144" s="1"/>
  <c r="F244" i="114"/>
  <c r="H244" i="114" s="1"/>
  <c r="H135" i="144"/>
  <c r="G241" i="114" s="1"/>
  <c r="H132" i="142"/>
  <c r="H134" i="142" s="1"/>
  <c r="H203" i="142"/>
  <c r="G388" i="114" s="1"/>
  <c r="F391" i="114"/>
  <c r="H391" i="114" s="1"/>
  <c r="K329" i="142"/>
  <c r="K330" i="142" s="1"/>
  <c r="K265" i="142"/>
  <c r="K272" i="142"/>
  <c r="F545" i="114" s="1"/>
  <c r="H327" i="142"/>
  <c r="H60" i="142"/>
  <c r="H61" i="142" s="1"/>
  <c r="H261" i="142"/>
  <c r="H135" i="140"/>
  <c r="G225" i="114" s="1"/>
  <c r="F228" i="114"/>
  <c r="H228" i="114" s="1"/>
  <c r="H200" i="140"/>
  <c r="H202" i="140" s="1"/>
  <c r="H261" i="140"/>
  <c r="H264" i="140" s="1"/>
  <c r="H265" i="140" s="1"/>
  <c r="H313" i="140"/>
  <c r="I313" i="140" s="1"/>
  <c r="K313" i="140" s="1"/>
  <c r="K326" i="140" s="1"/>
  <c r="K333" i="138"/>
  <c r="K340" i="138" s="1"/>
  <c r="F684" i="114" s="1"/>
  <c r="H200" i="138"/>
  <c r="H202" i="138" s="1"/>
  <c r="H265" i="138"/>
  <c r="H329" i="138"/>
  <c r="H332" i="138" s="1"/>
  <c r="H333" i="138" s="1"/>
  <c r="H132" i="138"/>
  <c r="H134" i="138" s="1"/>
  <c r="F65" i="114"/>
  <c r="H65" i="114" s="1"/>
  <c r="H67" i="138"/>
  <c r="G62" i="114" s="1"/>
  <c r="K265" i="136"/>
  <c r="K272" i="136" s="1"/>
  <c r="F521" i="114" s="1"/>
  <c r="H261" i="136"/>
  <c r="H264" i="136" s="1"/>
  <c r="H265" i="136" s="1"/>
  <c r="F57" i="114"/>
  <c r="H57" i="114" s="1"/>
  <c r="H67" i="136"/>
  <c r="G54" i="114" s="1"/>
  <c r="H327" i="136"/>
  <c r="H132" i="136"/>
  <c r="H134" i="136" s="1"/>
  <c r="H200" i="136"/>
  <c r="H202" i="136" s="1"/>
  <c r="H129" i="134"/>
  <c r="H329" i="134"/>
  <c r="H128" i="134"/>
  <c r="K265" i="134"/>
  <c r="K272" i="134" s="1"/>
  <c r="F510" i="114" s="1"/>
  <c r="H60" i="134"/>
  <c r="H61" i="134" s="1"/>
  <c r="H261" i="134"/>
  <c r="H264" i="134" s="1"/>
  <c r="H265" i="134" s="1"/>
  <c r="H196" i="134"/>
  <c r="H197" i="134" s="1"/>
  <c r="K329" i="132"/>
  <c r="K330" i="132" s="1"/>
  <c r="K261" i="132"/>
  <c r="K262" i="132" s="1"/>
  <c r="H197" i="132"/>
  <c r="H259" i="132"/>
  <c r="H132" i="132"/>
  <c r="H134" i="132" s="1"/>
  <c r="H327" i="132"/>
  <c r="H64" i="132"/>
  <c r="H66" i="132" s="1"/>
  <c r="F185" i="114"/>
  <c r="H185" i="114" s="1"/>
  <c r="H135" i="130"/>
  <c r="G182" i="114" s="1"/>
  <c r="K329" i="130"/>
  <c r="K330" i="130" s="1"/>
  <c r="F30" i="114"/>
  <c r="H30" i="114" s="1"/>
  <c r="H67" i="130"/>
  <c r="G27" i="114" s="1"/>
  <c r="K265" i="130"/>
  <c r="K272" i="130" s="1"/>
  <c r="F494" i="114" s="1"/>
  <c r="H268" i="130"/>
  <c r="H270" i="130" s="1"/>
  <c r="H203" i="130"/>
  <c r="G337" i="114" s="1"/>
  <c r="F340" i="114"/>
  <c r="H340" i="114" s="1"/>
  <c r="H327" i="130"/>
  <c r="H200" i="128"/>
  <c r="H202" i="128" s="1"/>
  <c r="K265" i="128"/>
  <c r="K272" i="128" s="1"/>
  <c r="F486" i="114" s="1"/>
  <c r="H268" i="128"/>
  <c r="H270" i="128" s="1"/>
  <c r="H132" i="128"/>
  <c r="H134" i="128" s="1"/>
  <c r="H64" i="128"/>
  <c r="H66" i="128" s="1"/>
  <c r="K329" i="126"/>
  <c r="K330" i="126" s="1"/>
  <c r="H200" i="126"/>
  <c r="H202" i="126" s="1"/>
  <c r="H135" i="126"/>
  <c r="G166" i="114" s="1"/>
  <c r="H67" i="126"/>
  <c r="G11" i="114" s="1"/>
  <c r="K265" i="126"/>
  <c r="K272" i="126" s="1"/>
  <c r="F478" i="114" s="1"/>
  <c r="H327" i="126"/>
  <c r="H261" i="126"/>
  <c r="H264" i="126" s="1"/>
  <c r="H265" i="126" s="1"/>
  <c r="H105" i="124"/>
  <c r="H109" i="124" s="1"/>
  <c r="I109" i="124" s="1"/>
  <c r="K109" i="124" s="1"/>
  <c r="K122" i="124" s="1"/>
  <c r="K125" i="124" s="1"/>
  <c r="K126" i="124" s="1"/>
  <c r="K129" i="124" s="1"/>
  <c r="K136" i="124" s="1"/>
  <c r="F160" i="114" s="1"/>
  <c r="G232" i="124"/>
  <c r="G229" i="124"/>
  <c r="G230" i="124"/>
  <c r="G233" i="124"/>
  <c r="I290" i="124"/>
  <c r="I301" i="124" s="1"/>
  <c r="H172" i="124"/>
  <c r="H173" i="124" s="1"/>
  <c r="G235" i="124"/>
  <c r="G237" i="124"/>
  <c r="G239" i="124"/>
  <c r="G236" i="124"/>
  <c r="G234" i="124"/>
  <c r="G238" i="124"/>
  <c r="G298" i="124"/>
  <c r="G301" i="124"/>
  <c r="G297" i="124"/>
  <c r="G300" i="124"/>
  <c r="G299" i="124"/>
  <c r="H41" i="124"/>
  <c r="F98" i="114" l="1"/>
  <c r="F97" i="114"/>
  <c r="H97" i="114" s="1"/>
  <c r="F125" i="114"/>
  <c r="F124" i="114"/>
  <c r="H124" i="114" s="1"/>
  <c r="F170" i="114"/>
  <c r="F171" i="114"/>
  <c r="F169" i="114"/>
  <c r="H169" i="114" s="1"/>
  <c r="K265" i="156"/>
  <c r="F595" i="114"/>
  <c r="F600" i="114"/>
  <c r="F599" i="114"/>
  <c r="F598" i="114"/>
  <c r="F435" i="114"/>
  <c r="F437" i="114"/>
  <c r="F436" i="114"/>
  <c r="F432" i="114"/>
  <c r="F281" i="114"/>
  <c r="F280" i="114"/>
  <c r="F282" i="114"/>
  <c r="F277" i="114"/>
  <c r="F274" i="114"/>
  <c r="F272" i="114"/>
  <c r="F269" i="114"/>
  <c r="F273" i="114"/>
  <c r="F389" i="114"/>
  <c r="F394" i="114"/>
  <c r="F393" i="114"/>
  <c r="F392" i="114"/>
  <c r="F247" i="114"/>
  <c r="F245" i="114"/>
  <c r="F242" i="114"/>
  <c r="F246" i="114"/>
  <c r="F230" i="114"/>
  <c r="F229" i="114"/>
  <c r="F231" i="114"/>
  <c r="F226" i="114"/>
  <c r="F343" i="114"/>
  <c r="F342" i="114"/>
  <c r="F341" i="114"/>
  <c r="F338" i="114"/>
  <c r="F188" i="114"/>
  <c r="F187" i="114"/>
  <c r="F183" i="114"/>
  <c r="F186" i="114"/>
  <c r="F172" i="114"/>
  <c r="F167" i="114"/>
  <c r="F17" i="114"/>
  <c r="F16" i="114"/>
  <c r="F60" i="114"/>
  <c r="F58" i="114"/>
  <c r="F59" i="114"/>
  <c r="F55" i="114"/>
  <c r="F100" i="114"/>
  <c r="F99" i="114"/>
  <c r="F95" i="114"/>
  <c r="F66" i="114"/>
  <c r="F63" i="114"/>
  <c r="F68" i="114"/>
  <c r="F67" i="114"/>
  <c r="F33" i="114"/>
  <c r="F32" i="114"/>
  <c r="F31" i="114"/>
  <c r="F28" i="114"/>
  <c r="F127" i="114"/>
  <c r="F126" i="114"/>
  <c r="F122" i="114"/>
  <c r="H200" i="156"/>
  <c r="H202" i="156" s="1"/>
  <c r="F295" i="114"/>
  <c r="H295" i="114" s="1"/>
  <c r="H135" i="156"/>
  <c r="G292" i="114" s="1"/>
  <c r="K333" i="156"/>
  <c r="K340" i="156" s="1"/>
  <c r="F759" i="114" s="1"/>
  <c r="H265" i="156"/>
  <c r="F140" i="114"/>
  <c r="H67" i="156"/>
  <c r="G137" i="114" s="1"/>
  <c r="H336" i="156"/>
  <c r="H338" i="156" s="1"/>
  <c r="F287" i="114"/>
  <c r="H287" i="114" s="1"/>
  <c r="H135" i="154"/>
  <c r="G284" i="114" s="1"/>
  <c r="H67" i="154"/>
  <c r="G129" i="114" s="1"/>
  <c r="H329" i="154"/>
  <c r="H332" i="154" s="1"/>
  <c r="H333" i="154" s="1"/>
  <c r="H200" i="154"/>
  <c r="H202" i="154" s="1"/>
  <c r="K333" i="154"/>
  <c r="K340" i="154" s="1"/>
  <c r="F751" i="114" s="1"/>
  <c r="K333" i="152"/>
  <c r="K340" i="152" s="1"/>
  <c r="F743" i="114" s="1"/>
  <c r="H265" i="152"/>
  <c r="H332" i="152"/>
  <c r="H333" i="152" s="1"/>
  <c r="H203" i="150"/>
  <c r="G423" i="114" s="1"/>
  <c r="F426" i="114"/>
  <c r="H426" i="114" s="1"/>
  <c r="H329" i="150"/>
  <c r="H332" i="150" s="1"/>
  <c r="H333" i="150" s="1"/>
  <c r="H67" i="150"/>
  <c r="G113" i="114" s="1"/>
  <c r="H264" i="150"/>
  <c r="H265" i="150" s="1"/>
  <c r="K333" i="150"/>
  <c r="K340" i="150" s="1"/>
  <c r="F735" i="114" s="1"/>
  <c r="K340" i="148"/>
  <c r="F724" i="114" s="1"/>
  <c r="K333" i="148"/>
  <c r="H270" i="148"/>
  <c r="H268" i="148"/>
  <c r="H135" i="148"/>
  <c r="G257" i="114" s="1"/>
  <c r="H203" i="148"/>
  <c r="G412" i="114" s="1"/>
  <c r="F415" i="114"/>
  <c r="H415" i="114" s="1"/>
  <c r="H67" i="148"/>
  <c r="G102" i="114" s="1"/>
  <c r="H329" i="148"/>
  <c r="H332" i="148" s="1"/>
  <c r="H333" i="148" s="1"/>
  <c r="H203" i="146"/>
  <c r="G404" i="114" s="1"/>
  <c r="F407" i="114"/>
  <c r="H407" i="114" s="1"/>
  <c r="F252" i="114"/>
  <c r="H252" i="114" s="1"/>
  <c r="H135" i="146"/>
  <c r="G249" i="114" s="1"/>
  <c r="H329" i="146"/>
  <c r="H332" i="146" s="1"/>
  <c r="H333" i="146" s="1"/>
  <c r="H264" i="146"/>
  <c r="H265" i="146" s="1"/>
  <c r="K340" i="146"/>
  <c r="F716" i="114" s="1"/>
  <c r="K333" i="146"/>
  <c r="H268" i="144"/>
  <c r="H270" i="144" s="1"/>
  <c r="H203" i="144"/>
  <c r="G396" i="114" s="1"/>
  <c r="F399" i="114"/>
  <c r="H399" i="114" s="1"/>
  <c r="K333" i="144"/>
  <c r="K340" i="144" s="1"/>
  <c r="F708" i="114" s="1"/>
  <c r="H67" i="144"/>
  <c r="G86" i="114" s="1"/>
  <c r="H329" i="144"/>
  <c r="H332" i="144" s="1"/>
  <c r="H333" i="144" s="1"/>
  <c r="H64" i="142"/>
  <c r="H66" i="142"/>
  <c r="K333" i="142"/>
  <c r="K340" i="142" s="1"/>
  <c r="F700" i="114" s="1"/>
  <c r="F236" i="114"/>
  <c r="H236" i="114" s="1"/>
  <c r="H135" i="142"/>
  <c r="G233" i="114" s="1"/>
  <c r="H329" i="142"/>
  <c r="H333" i="142" s="1"/>
  <c r="H264" i="142"/>
  <c r="H265" i="142" s="1"/>
  <c r="K330" i="140"/>
  <c r="K329" i="140"/>
  <c r="K265" i="140"/>
  <c r="K272" i="140"/>
  <c r="F537" i="114" s="1"/>
  <c r="H268" i="140"/>
  <c r="H270" i="140" s="1"/>
  <c r="H203" i="140"/>
  <c r="G380" i="114" s="1"/>
  <c r="F383" i="114"/>
  <c r="H383" i="114" s="1"/>
  <c r="H327" i="140"/>
  <c r="H135" i="138"/>
  <c r="G217" i="114" s="1"/>
  <c r="F220" i="114"/>
  <c r="H220" i="114" s="1"/>
  <c r="H336" i="138"/>
  <c r="H338" i="138" s="1"/>
  <c r="H203" i="138"/>
  <c r="G372" i="114" s="1"/>
  <c r="F375" i="114"/>
  <c r="H375" i="114" s="1"/>
  <c r="H268" i="138"/>
  <c r="H270" i="138" s="1"/>
  <c r="H203" i="136"/>
  <c r="G364" i="114" s="1"/>
  <c r="F367" i="114"/>
  <c r="H367" i="114" s="1"/>
  <c r="H135" i="136"/>
  <c r="G209" i="114" s="1"/>
  <c r="F212" i="114"/>
  <c r="H212" i="114" s="1"/>
  <c r="H268" i="136"/>
  <c r="H270" i="136" s="1"/>
  <c r="K340" i="136"/>
  <c r="F676" i="114" s="1"/>
  <c r="K333" i="136"/>
  <c r="H329" i="136"/>
  <c r="H332" i="136" s="1"/>
  <c r="H333" i="136" s="1"/>
  <c r="H200" i="134"/>
  <c r="H202" i="134" s="1"/>
  <c r="H268" i="134"/>
  <c r="H270" i="134" s="1"/>
  <c r="K333" i="134"/>
  <c r="K340" i="134" s="1"/>
  <c r="F665" i="114" s="1"/>
  <c r="H134" i="134"/>
  <c r="H132" i="134"/>
  <c r="H64" i="134"/>
  <c r="H66" i="134"/>
  <c r="H332" i="134"/>
  <c r="H333" i="134" s="1"/>
  <c r="F193" i="114"/>
  <c r="H193" i="114" s="1"/>
  <c r="H135" i="132"/>
  <c r="G190" i="114" s="1"/>
  <c r="K265" i="132"/>
  <c r="K272" i="132" s="1"/>
  <c r="F502" i="114" s="1"/>
  <c r="K333" i="132"/>
  <c r="K340" i="132"/>
  <c r="F657" i="114" s="1"/>
  <c r="H67" i="132"/>
  <c r="G35" i="114" s="1"/>
  <c r="H329" i="132"/>
  <c r="H261" i="132"/>
  <c r="H264" i="132" s="1"/>
  <c r="H265" i="132" s="1"/>
  <c r="H200" i="132"/>
  <c r="H202" i="132" s="1"/>
  <c r="F495" i="114"/>
  <c r="H495" i="114" s="1"/>
  <c r="H271" i="130"/>
  <c r="G492" i="114" s="1"/>
  <c r="K333" i="130"/>
  <c r="K340" i="130" s="1"/>
  <c r="F649" i="114" s="1"/>
  <c r="H329" i="130"/>
  <c r="H271" i="128"/>
  <c r="G484" i="114" s="1"/>
  <c r="F487" i="114"/>
  <c r="H487" i="114" s="1"/>
  <c r="F22" i="114"/>
  <c r="H22" i="114" s="1"/>
  <c r="H67" i="128"/>
  <c r="G19" i="114" s="1"/>
  <c r="K329" i="128"/>
  <c r="K330" i="128" s="1"/>
  <c r="H203" i="128"/>
  <c r="G329" i="114" s="1"/>
  <c r="F332" i="114"/>
  <c r="H332" i="114" s="1"/>
  <c r="H327" i="128"/>
  <c r="F177" i="114"/>
  <c r="H177" i="114" s="1"/>
  <c r="H135" i="128"/>
  <c r="G174" i="114" s="1"/>
  <c r="H268" i="126"/>
  <c r="H270" i="126" s="1"/>
  <c r="H203" i="126"/>
  <c r="G321" i="114" s="1"/>
  <c r="K333" i="126"/>
  <c r="K340" i="126" s="1"/>
  <c r="F633" i="114" s="1"/>
  <c r="H329" i="126"/>
  <c r="H332" i="126" s="1"/>
  <c r="H333" i="126" s="1"/>
  <c r="I172" i="124"/>
  <c r="K172" i="124" s="1"/>
  <c r="K290" i="124"/>
  <c r="H123" i="124"/>
  <c r="H125" i="124" s="1"/>
  <c r="H128" i="124" s="1"/>
  <c r="H129" i="124" s="1"/>
  <c r="H132" i="124" s="1"/>
  <c r="H134" i="124" s="1"/>
  <c r="H240" i="124"/>
  <c r="H241" i="124" s="1"/>
  <c r="G304" i="124"/>
  <c r="G307" i="124"/>
  <c r="G305" i="124"/>
  <c r="G306" i="124"/>
  <c r="G303" i="124"/>
  <c r="G302" i="124"/>
  <c r="H177" i="124"/>
  <c r="I177" i="124" s="1"/>
  <c r="I41" i="124"/>
  <c r="K41" i="124" s="1"/>
  <c r="H55" i="124"/>
  <c r="F133" i="114" l="1"/>
  <c r="F132" i="114"/>
  <c r="F76" i="114"/>
  <c r="F73" i="114"/>
  <c r="H73" i="114" s="1"/>
  <c r="F38" i="114"/>
  <c r="H38" i="114" s="1"/>
  <c r="H132" i="114"/>
  <c r="H140" i="114"/>
  <c r="F90" i="114"/>
  <c r="F89" i="114"/>
  <c r="H89" i="114" s="1"/>
  <c r="F106" i="114"/>
  <c r="F105" i="114"/>
  <c r="H105" i="114" s="1"/>
  <c r="F263" i="114"/>
  <c r="F262" i="114"/>
  <c r="F260" i="114"/>
  <c r="H260" i="114" s="1"/>
  <c r="F117" i="114"/>
  <c r="F116" i="114"/>
  <c r="H116" i="114" s="1"/>
  <c r="F324" i="114"/>
  <c r="H324" i="114" s="1"/>
  <c r="F325" i="114"/>
  <c r="F418" i="114"/>
  <c r="F417" i="114"/>
  <c r="F416" i="114"/>
  <c r="F413" i="114"/>
  <c r="F429" i="114"/>
  <c r="F428" i="114"/>
  <c r="F427" i="114"/>
  <c r="F424" i="114"/>
  <c r="F410" i="114"/>
  <c r="F405" i="114"/>
  <c r="F409" i="114"/>
  <c r="F408" i="114"/>
  <c r="F293" i="114"/>
  <c r="F297" i="114"/>
  <c r="F296" i="114"/>
  <c r="F298" i="114"/>
  <c r="F258" i="114"/>
  <c r="F261" i="114"/>
  <c r="F285" i="114"/>
  <c r="F288" i="114"/>
  <c r="F290" i="114"/>
  <c r="F289" i="114"/>
  <c r="F253" i="114"/>
  <c r="F250" i="114"/>
  <c r="F255" i="114"/>
  <c r="F254" i="114"/>
  <c r="H332" i="142"/>
  <c r="F381" i="114"/>
  <c r="F386" i="114"/>
  <c r="F385" i="114"/>
  <c r="F384" i="114"/>
  <c r="F376" i="114"/>
  <c r="F373" i="114"/>
  <c r="F378" i="114"/>
  <c r="F377" i="114"/>
  <c r="F402" i="114"/>
  <c r="F401" i="114"/>
  <c r="F400" i="114"/>
  <c r="F397" i="114"/>
  <c r="F223" i="114"/>
  <c r="F222" i="114"/>
  <c r="F221" i="114"/>
  <c r="F218" i="114"/>
  <c r="F234" i="114"/>
  <c r="F239" i="114"/>
  <c r="F238" i="114"/>
  <c r="F237" i="114"/>
  <c r="F75" i="114"/>
  <c r="F74" i="114"/>
  <c r="F71" i="114"/>
  <c r="F498" i="114"/>
  <c r="F497" i="114"/>
  <c r="F496" i="114"/>
  <c r="F493" i="114"/>
  <c r="F369" i="114"/>
  <c r="F368" i="114"/>
  <c r="F365" i="114"/>
  <c r="F370" i="114"/>
  <c r="F215" i="114"/>
  <c r="F214" i="114"/>
  <c r="F210" i="114"/>
  <c r="F213" i="114"/>
  <c r="F195" i="114"/>
  <c r="F191" i="114"/>
  <c r="F194" i="114"/>
  <c r="F196" i="114"/>
  <c r="F489" i="114"/>
  <c r="F488" i="114"/>
  <c r="F485" i="114"/>
  <c r="F490" i="114"/>
  <c r="F334" i="114"/>
  <c r="F330" i="114"/>
  <c r="F333" i="114"/>
  <c r="F335" i="114"/>
  <c r="F327" i="114"/>
  <c r="F326" i="114"/>
  <c r="F322" i="114"/>
  <c r="F179" i="114"/>
  <c r="F178" i="114"/>
  <c r="F175" i="114"/>
  <c r="F180" i="114"/>
  <c r="F108" i="114"/>
  <c r="F107" i="114"/>
  <c r="F103" i="114"/>
  <c r="F135" i="114"/>
  <c r="F134" i="114"/>
  <c r="F130" i="114"/>
  <c r="F138" i="114"/>
  <c r="F143" i="114"/>
  <c r="F141" i="114"/>
  <c r="F142" i="114"/>
  <c r="F91" i="114"/>
  <c r="F87" i="114"/>
  <c r="F92" i="114"/>
  <c r="F41" i="114"/>
  <c r="F40" i="114"/>
  <c r="F39" i="114"/>
  <c r="F36" i="114"/>
  <c r="F25" i="114"/>
  <c r="F24" i="114"/>
  <c r="F23" i="114"/>
  <c r="F20" i="114"/>
  <c r="F114" i="114"/>
  <c r="F119" i="114"/>
  <c r="F118" i="114"/>
  <c r="F760" i="114"/>
  <c r="H760" i="114" s="1"/>
  <c r="H339" i="156"/>
  <c r="G757" i="114" s="1"/>
  <c r="H203" i="156"/>
  <c r="G447" i="114" s="1"/>
  <c r="F450" i="114"/>
  <c r="H450" i="114" s="1"/>
  <c r="H268" i="156"/>
  <c r="H270" i="156" s="1"/>
  <c r="H203" i="154"/>
  <c r="G439" i="114" s="1"/>
  <c r="F442" i="114"/>
  <c r="H442" i="114" s="1"/>
  <c r="H336" i="154"/>
  <c r="H338" i="154" s="1"/>
  <c r="H336" i="152"/>
  <c r="H338" i="152" s="1"/>
  <c r="H268" i="152"/>
  <c r="H270" i="152" s="1"/>
  <c r="H268" i="150"/>
  <c r="H270" i="150" s="1"/>
  <c r="H336" i="150"/>
  <c r="H338" i="150" s="1"/>
  <c r="H338" i="148"/>
  <c r="H336" i="148"/>
  <c r="F570" i="114"/>
  <c r="H570" i="114" s="1"/>
  <c r="H271" i="148"/>
  <c r="G567" i="114" s="1"/>
  <c r="H268" i="146"/>
  <c r="H270" i="146" s="1"/>
  <c r="H336" i="146"/>
  <c r="H338" i="146" s="1"/>
  <c r="H336" i="144"/>
  <c r="H338" i="144" s="1"/>
  <c r="F554" i="114"/>
  <c r="H554" i="114" s="1"/>
  <c r="H271" i="144"/>
  <c r="G551" i="114" s="1"/>
  <c r="H336" i="142"/>
  <c r="H338" i="142" s="1"/>
  <c r="H268" i="142"/>
  <c r="H270" i="142" s="1"/>
  <c r="F81" i="114"/>
  <c r="H81" i="114" s="1"/>
  <c r="H67" i="142"/>
  <c r="G78" i="114" s="1"/>
  <c r="F538" i="114"/>
  <c r="H538" i="114" s="1"/>
  <c r="H271" i="140"/>
  <c r="G535" i="114" s="1"/>
  <c r="K333" i="140"/>
  <c r="K340" i="140" s="1"/>
  <c r="F692" i="114" s="1"/>
  <c r="H329" i="140"/>
  <c r="H332" i="140" s="1"/>
  <c r="H333" i="140" s="1"/>
  <c r="F530" i="114"/>
  <c r="H530" i="114" s="1"/>
  <c r="H271" i="138"/>
  <c r="G527" i="114" s="1"/>
  <c r="F685" i="114"/>
  <c r="H685" i="114" s="1"/>
  <c r="H339" i="138"/>
  <c r="G682" i="114" s="1"/>
  <c r="F522" i="114"/>
  <c r="H522" i="114" s="1"/>
  <c r="H271" i="136"/>
  <c r="G519" i="114" s="1"/>
  <c r="H336" i="136"/>
  <c r="H338" i="136" s="1"/>
  <c r="H336" i="134"/>
  <c r="H338" i="134" s="1"/>
  <c r="F511" i="114"/>
  <c r="H511" i="114" s="1"/>
  <c r="H271" i="134"/>
  <c r="G508" i="114" s="1"/>
  <c r="H203" i="134"/>
  <c r="G353" i="114" s="1"/>
  <c r="F356" i="114"/>
  <c r="H356" i="114" s="1"/>
  <c r="F201" i="114"/>
  <c r="H201" i="114" s="1"/>
  <c r="H135" i="134"/>
  <c r="G198" i="114" s="1"/>
  <c r="H67" i="134"/>
  <c r="G43" i="114" s="1"/>
  <c r="F46" i="114"/>
  <c r="H46" i="114" s="1"/>
  <c r="H268" i="132"/>
  <c r="H270" i="132" s="1"/>
  <c r="F348" i="114"/>
  <c r="H348" i="114" s="1"/>
  <c r="H203" i="132"/>
  <c r="G345" i="114" s="1"/>
  <c r="H332" i="132"/>
  <c r="H333" i="132" s="1"/>
  <c r="H332" i="130"/>
  <c r="H333" i="130" s="1"/>
  <c r="K333" i="128"/>
  <c r="K340" i="128" s="1"/>
  <c r="F641" i="114" s="1"/>
  <c r="H329" i="128"/>
  <c r="H332" i="128" s="1"/>
  <c r="H336" i="126"/>
  <c r="H338" i="126" s="1"/>
  <c r="H271" i="126"/>
  <c r="G476" i="114" s="1"/>
  <c r="K177" i="124"/>
  <c r="K190" i="124" s="1"/>
  <c r="K193" i="124" s="1"/>
  <c r="K194" i="124" s="1"/>
  <c r="K197" i="124" s="1"/>
  <c r="K204" i="124" s="1"/>
  <c r="F315" i="114" s="1"/>
  <c r="H308" i="124"/>
  <c r="H309" i="124" s="1"/>
  <c r="I240" i="124"/>
  <c r="K240" i="124" s="1"/>
  <c r="H191" i="124"/>
  <c r="H193" i="124" s="1"/>
  <c r="H196" i="124" s="1"/>
  <c r="H197" i="124" s="1"/>
  <c r="H200" i="124" s="1"/>
  <c r="H202" i="124" s="1"/>
  <c r="H135" i="124"/>
  <c r="G158" i="114" s="1"/>
  <c r="H245" i="124"/>
  <c r="I245" i="124" s="1"/>
  <c r="H57" i="124"/>
  <c r="H60" i="124" s="1"/>
  <c r="F162" i="114" l="1"/>
  <c r="F161" i="114"/>
  <c r="H161" i="114" s="1"/>
  <c r="F163" i="114"/>
  <c r="F164" i="114"/>
  <c r="F159" i="114"/>
  <c r="H305" i="114"/>
  <c r="F480" i="114"/>
  <c r="H480" i="114" s="1"/>
  <c r="F479" i="114"/>
  <c r="H479" i="114" s="1"/>
  <c r="F763" i="114"/>
  <c r="F762" i="114"/>
  <c r="F761" i="114"/>
  <c r="F758" i="114"/>
  <c r="F568" i="114"/>
  <c r="F571" i="114"/>
  <c r="F573" i="114"/>
  <c r="F572" i="114"/>
  <c r="F440" i="114"/>
  <c r="F445" i="114"/>
  <c r="F444" i="114"/>
  <c r="F443" i="114"/>
  <c r="F453" i="114"/>
  <c r="F451" i="114"/>
  <c r="F452" i="114"/>
  <c r="F448" i="114"/>
  <c r="F683" i="114"/>
  <c r="F686" i="114"/>
  <c r="F687" i="114"/>
  <c r="F688" i="114"/>
  <c r="F557" i="114"/>
  <c r="F556" i="114"/>
  <c r="F555" i="114"/>
  <c r="F552" i="114"/>
  <c r="F533" i="114"/>
  <c r="F532" i="114"/>
  <c r="F531" i="114"/>
  <c r="F528" i="114"/>
  <c r="F540" i="114"/>
  <c r="F539" i="114"/>
  <c r="F536" i="114"/>
  <c r="F541" i="114"/>
  <c r="F525" i="114"/>
  <c r="F524" i="114"/>
  <c r="F523" i="114"/>
  <c r="F520" i="114"/>
  <c r="F514" i="114"/>
  <c r="F513" i="114"/>
  <c r="F509" i="114"/>
  <c r="F512" i="114"/>
  <c r="F359" i="114"/>
  <c r="F358" i="114"/>
  <c r="F357" i="114"/>
  <c r="F354" i="114"/>
  <c r="F351" i="114"/>
  <c r="F350" i="114"/>
  <c r="F349" i="114"/>
  <c r="F346" i="114"/>
  <c r="F199" i="114"/>
  <c r="F204" i="114"/>
  <c r="F203" i="114"/>
  <c r="F202" i="114"/>
  <c r="F481" i="114"/>
  <c r="F477" i="114"/>
  <c r="F482" i="114"/>
  <c r="F84" i="114"/>
  <c r="F83" i="114"/>
  <c r="F82" i="114"/>
  <c r="F79" i="114"/>
  <c r="F44" i="114"/>
  <c r="F47" i="114"/>
  <c r="F48" i="114"/>
  <c r="F49" i="114"/>
  <c r="F605" i="114"/>
  <c r="H605" i="114" s="1"/>
  <c r="H271" i="156"/>
  <c r="G602" i="114" s="1"/>
  <c r="F752" i="114"/>
  <c r="H752" i="114" s="1"/>
  <c r="H339" i="154"/>
  <c r="G749" i="114" s="1"/>
  <c r="F589" i="114"/>
  <c r="H589" i="114" s="1"/>
  <c r="H271" i="152"/>
  <c r="G586" i="114" s="1"/>
  <c r="F744" i="114"/>
  <c r="H744" i="114" s="1"/>
  <c r="H339" i="152"/>
  <c r="G741" i="114" s="1"/>
  <c r="F736" i="114"/>
  <c r="H736" i="114" s="1"/>
  <c r="H339" i="150"/>
  <c r="G733" i="114" s="1"/>
  <c r="F581" i="114"/>
  <c r="H581" i="114" s="1"/>
  <c r="H271" i="150"/>
  <c r="G578" i="114" s="1"/>
  <c r="F725" i="114"/>
  <c r="H725" i="114" s="1"/>
  <c r="H339" i="148"/>
  <c r="G722" i="114" s="1"/>
  <c r="F717" i="114"/>
  <c r="H717" i="114" s="1"/>
  <c r="H339" i="146"/>
  <c r="G714" i="114" s="1"/>
  <c r="F562" i="114"/>
  <c r="H562" i="114" s="1"/>
  <c r="H271" i="146"/>
  <c r="G559" i="114" s="1"/>
  <c r="F709" i="114"/>
  <c r="H709" i="114" s="1"/>
  <c r="H339" i="144"/>
  <c r="G706" i="114" s="1"/>
  <c r="F546" i="114"/>
  <c r="H546" i="114" s="1"/>
  <c r="H271" i="142"/>
  <c r="G543" i="114" s="1"/>
  <c r="F701" i="114"/>
  <c r="H701" i="114" s="1"/>
  <c r="H339" i="142"/>
  <c r="G698" i="114" s="1"/>
  <c r="H336" i="140"/>
  <c r="H338" i="140" s="1"/>
  <c r="F677" i="114"/>
  <c r="H677" i="114" s="1"/>
  <c r="H339" i="136"/>
  <c r="G674" i="114" s="1"/>
  <c r="F666" i="114"/>
  <c r="H666" i="114" s="1"/>
  <c r="H339" i="134"/>
  <c r="G663" i="114" s="1"/>
  <c r="H336" i="132"/>
  <c r="H338" i="132" s="1"/>
  <c r="F503" i="114"/>
  <c r="H503" i="114" s="1"/>
  <c r="H271" i="132"/>
  <c r="G500" i="114" s="1"/>
  <c r="H336" i="130"/>
  <c r="H338" i="130" s="1"/>
  <c r="H333" i="128"/>
  <c r="H339" i="126"/>
  <c r="G631" i="114" s="1"/>
  <c r="K245" i="124"/>
  <c r="K258" i="124" s="1"/>
  <c r="K261" i="124" s="1"/>
  <c r="K262" i="124" s="1"/>
  <c r="K265" i="124" s="1"/>
  <c r="K272" i="124" s="1"/>
  <c r="F470" i="114" s="1"/>
  <c r="I308" i="124"/>
  <c r="K308" i="124" s="1"/>
  <c r="H259" i="124"/>
  <c r="H261" i="124" s="1"/>
  <c r="H264" i="124" s="1"/>
  <c r="H265" i="124" s="1"/>
  <c r="H268" i="124" s="1"/>
  <c r="H270" i="124" s="1"/>
  <c r="H203" i="124"/>
  <c r="G313" i="114" s="1"/>
  <c r="H313" i="124"/>
  <c r="I313" i="124" s="1"/>
  <c r="F5" i="114"/>
  <c r="F317" i="114" l="1"/>
  <c r="F316" i="114"/>
  <c r="H316" i="114" s="1"/>
  <c r="H460" i="114" s="1"/>
  <c r="F318" i="114"/>
  <c r="F319" i="114"/>
  <c r="F314" i="114"/>
  <c r="F634" i="114"/>
  <c r="H634" i="114" s="1"/>
  <c r="F635" i="114"/>
  <c r="H5" i="114"/>
  <c r="F728" i="114"/>
  <c r="F727" i="114"/>
  <c r="F726" i="114"/>
  <c r="F723" i="114"/>
  <c r="F719" i="114"/>
  <c r="F720" i="114"/>
  <c r="F718" i="114"/>
  <c r="F715" i="114"/>
  <c r="F750" i="114"/>
  <c r="F754" i="114"/>
  <c r="F753" i="114"/>
  <c r="F755" i="114"/>
  <c r="F739" i="114"/>
  <c r="F738" i="114"/>
  <c r="F737" i="114"/>
  <c r="F734" i="114"/>
  <c r="F747" i="114"/>
  <c r="F742" i="114"/>
  <c r="F746" i="114"/>
  <c r="F745" i="114"/>
  <c r="F565" i="114"/>
  <c r="F564" i="114"/>
  <c r="F563" i="114"/>
  <c r="F560" i="114"/>
  <c r="F587" i="114"/>
  <c r="F592" i="114"/>
  <c r="F591" i="114"/>
  <c r="F590" i="114"/>
  <c r="F603" i="114"/>
  <c r="F608" i="114"/>
  <c r="F607" i="114"/>
  <c r="F606" i="114"/>
  <c r="F584" i="114"/>
  <c r="F583" i="114"/>
  <c r="F582" i="114"/>
  <c r="F579" i="114"/>
  <c r="F712" i="114"/>
  <c r="F711" i="114"/>
  <c r="F710" i="114"/>
  <c r="F707" i="114"/>
  <c r="F704" i="114"/>
  <c r="F703" i="114"/>
  <c r="F702" i="114"/>
  <c r="F699" i="114"/>
  <c r="F549" i="114"/>
  <c r="F548" i="114"/>
  <c r="F547" i="114"/>
  <c r="F544" i="114"/>
  <c r="F668" i="114"/>
  <c r="F667" i="114"/>
  <c r="F664" i="114"/>
  <c r="F669" i="114"/>
  <c r="F679" i="114"/>
  <c r="F678" i="114"/>
  <c r="F675" i="114"/>
  <c r="F680" i="114"/>
  <c r="F506" i="114"/>
  <c r="F505" i="114"/>
  <c r="F504" i="114"/>
  <c r="F501" i="114"/>
  <c r="F632" i="114"/>
  <c r="F637" i="114"/>
  <c r="F636" i="114"/>
  <c r="F693" i="114"/>
  <c r="H693" i="114" s="1"/>
  <c r="H339" i="140"/>
  <c r="G690" i="114" s="1"/>
  <c r="F658" i="114"/>
  <c r="H658" i="114" s="1"/>
  <c r="H339" i="132"/>
  <c r="G655" i="114" s="1"/>
  <c r="F650" i="114"/>
  <c r="H650" i="114" s="1"/>
  <c r="H339" i="130"/>
  <c r="G647" i="114" s="1"/>
  <c r="H336" i="128"/>
  <c r="H338" i="128" s="1"/>
  <c r="H327" i="124"/>
  <c r="H329" i="124" s="1"/>
  <c r="H332" i="124" s="1"/>
  <c r="H333" i="124" s="1"/>
  <c r="H336" i="124" s="1"/>
  <c r="H338" i="124" s="1"/>
  <c r="K313" i="124"/>
  <c r="K326" i="124" s="1"/>
  <c r="K329" i="124" s="1"/>
  <c r="K330" i="124" s="1"/>
  <c r="K333" i="124" s="1"/>
  <c r="K340" i="124" s="1"/>
  <c r="F625" i="114" s="1"/>
  <c r="H271" i="124"/>
  <c r="G468" i="114" s="1"/>
  <c r="H61" i="124"/>
  <c r="F471" i="114" l="1"/>
  <c r="H471" i="114" s="1"/>
  <c r="H615" i="114" s="1"/>
  <c r="F474" i="114"/>
  <c r="F472" i="114"/>
  <c r="F473" i="114"/>
  <c r="H473" i="114" s="1"/>
  <c r="F469" i="114"/>
  <c r="H64" i="124"/>
  <c r="H66" i="124"/>
  <c r="F696" i="114"/>
  <c r="H696" i="114" s="1"/>
  <c r="F695" i="114"/>
  <c r="H695" i="114" s="1"/>
  <c r="F694" i="114"/>
  <c r="F691" i="114"/>
  <c r="F656" i="114"/>
  <c r="F661" i="114"/>
  <c r="H661" i="114" s="1"/>
  <c r="F660" i="114"/>
  <c r="H660" i="114" s="1"/>
  <c r="F659" i="114"/>
  <c r="F653" i="114"/>
  <c r="H653" i="114" s="1"/>
  <c r="F652" i="114"/>
  <c r="H652" i="114" s="1"/>
  <c r="F648" i="114"/>
  <c r="F651" i="114"/>
  <c r="H474" i="114"/>
  <c r="F642" i="114"/>
  <c r="H642" i="114" s="1"/>
  <c r="H339" i="128"/>
  <c r="G639" i="114" s="1"/>
  <c r="H339" i="124"/>
  <c r="G623" i="114" s="1"/>
  <c r="H762" i="114"/>
  <c r="H763" i="114"/>
  <c r="H754" i="114"/>
  <c r="H755" i="114"/>
  <c r="H746" i="114"/>
  <c r="H747" i="114"/>
  <c r="H738" i="114"/>
  <c r="H739" i="114"/>
  <c r="H727" i="114"/>
  <c r="H728" i="114"/>
  <c r="H719" i="114"/>
  <c r="H720" i="114"/>
  <c r="H711" i="114"/>
  <c r="H712" i="114"/>
  <c r="H703" i="114"/>
  <c r="H704" i="114"/>
  <c r="H687" i="114"/>
  <c r="H688" i="114"/>
  <c r="H679" i="114"/>
  <c r="H680" i="114"/>
  <c r="H668" i="114"/>
  <c r="H669" i="114"/>
  <c r="H636" i="114"/>
  <c r="H637" i="114"/>
  <c r="H607" i="114"/>
  <c r="H608" i="114"/>
  <c r="H599" i="114"/>
  <c r="H600" i="114"/>
  <c r="H591" i="114"/>
  <c r="H592" i="114"/>
  <c r="H583" i="114"/>
  <c r="H584" i="114"/>
  <c r="H572" i="114"/>
  <c r="H573" i="114"/>
  <c r="H564" i="114"/>
  <c r="H565" i="114"/>
  <c r="H556" i="114"/>
  <c r="H557" i="114"/>
  <c r="H548" i="114"/>
  <c r="H549" i="114"/>
  <c r="H540" i="114"/>
  <c r="H541" i="114"/>
  <c r="H532" i="114"/>
  <c r="H533" i="114"/>
  <c r="H524" i="114"/>
  <c r="H525" i="114"/>
  <c r="H513" i="114"/>
  <c r="H514" i="114"/>
  <c r="H505" i="114"/>
  <c r="H506" i="114"/>
  <c r="H497" i="114"/>
  <c r="H498" i="114"/>
  <c r="H489" i="114"/>
  <c r="H490" i="114"/>
  <c r="H481" i="114"/>
  <c r="H482" i="114"/>
  <c r="H452" i="114"/>
  <c r="H453" i="114"/>
  <c r="H444" i="114"/>
  <c r="H445" i="114"/>
  <c r="H436" i="114"/>
  <c r="H437" i="114"/>
  <c r="H428" i="114"/>
  <c r="H429" i="114"/>
  <c r="H417" i="114"/>
  <c r="H418" i="114"/>
  <c r="H409" i="114"/>
  <c r="H410" i="114"/>
  <c r="H401" i="114"/>
  <c r="H402" i="114"/>
  <c r="H393" i="114"/>
  <c r="H394" i="114"/>
  <c r="H385" i="114"/>
  <c r="H386" i="114"/>
  <c r="H377" i="114"/>
  <c r="H378" i="114"/>
  <c r="H369" i="114"/>
  <c r="H370" i="114"/>
  <c r="H358" i="114"/>
  <c r="H359" i="114"/>
  <c r="H350" i="114"/>
  <c r="H351" i="114"/>
  <c r="H342" i="114"/>
  <c r="H343" i="114"/>
  <c r="H334" i="114"/>
  <c r="H335" i="114"/>
  <c r="H326" i="114"/>
  <c r="H327" i="114"/>
  <c r="H318" i="114"/>
  <c r="H319" i="114"/>
  <c r="H297" i="114"/>
  <c r="H298" i="114"/>
  <c r="H289" i="114"/>
  <c r="H290" i="114"/>
  <c r="H281" i="114"/>
  <c r="H282" i="114"/>
  <c r="H273" i="114"/>
  <c r="H274" i="114"/>
  <c r="H262" i="114"/>
  <c r="H263" i="114"/>
  <c r="H254" i="114"/>
  <c r="H255" i="114"/>
  <c r="H246" i="114"/>
  <c r="H247" i="114"/>
  <c r="H238" i="114"/>
  <c r="H239" i="114"/>
  <c r="H230" i="114"/>
  <c r="H231" i="114"/>
  <c r="H222" i="114"/>
  <c r="H223" i="114"/>
  <c r="H214" i="114"/>
  <c r="H215" i="114"/>
  <c r="H203" i="114"/>
  <c r="H204" i="114"/>
  <c r="H195" i="114"/>
  <c r="H196" i="114"/>
  <c r="H187" i="114"/>
  <c r="H188" i="114"/>
  <c r="H179" i="114"/>
  <c r="H180" i="114"/>
  <c r="H171" i="114"/>
  <c r="H172" i="114"/>
  <c r="H163" i="114"/>
  <c r="H164" i="114"/>
  <c r="H142" i="114"/>
  <c r="H143" i="114"/>
  <c r="H134" i="114"/>
  <c r="H135" i="114"/>
  <c r="H126" i="114"/>
  <c r="H127" i="114"/>
  <c r="H118" i="114"/>
  <c r="H119" i="114"/>
  <c r="H107" i="114"/>
  <c r="H108" i="114"/>
  <c r="H99" i="114"/>
  <c r="H100" i="114"/>
  <c r="H91" i="114"/>
  <c r="H92" i="114"/>
  <c r="H83" i="114"/>
  <c r="H84" i="114"/>
  <c r="H75" i="114"/>
  <c r="H76" i="114"/>
  <c r="H67" i="114"/>
  <c r="H68" i="114"/>
  <c r="H59" i="114"/>
  <c r="H60" i="114"/>
  <c r="H48" i="114"/>
  <c r="H49" i="114"/>
  <c r="H40" i="114"/>
  <c r="H41" i="114"/>
  <c r="H32" i="114"/>
  <c r="H33" i="114"/>
  <c r="H24" i="114"/>
  <c r="H25" i="114"/>
  <c r="H17" i="114"/>
  <c r="H16" i="114"/>
  <c r="H67" i="124" l="1"/>
  <c r="G3" i="114" s="1"/>
  <c r="H3" i="114" s="1"/>
  <c r="F6" i="114"/>
  <c r="H6" i="114" s="1"/>
  <c r="H150" i="114" s="1"/>
  <c r="F4" i="114"/>
  <c r="H4" i="114" s="1"/>
  <c r="F7" i="114"/>
  <c r="H7" i="114" s="1"/>
  <c r="F9" i="114"/>
  <c r="H9" i="114" s="1"/>
  <c r="F8" i="114"/>
  <c r="H8" i="114" s="1"/>
  <c r="F626" i="114"/>
  <c r="H626" i="114" s="1"/>
  <c r="H770" i="114" s="1"/>
  <c r="F627" i="114"/>
  <c r="F628" i="114"/>
  <c r="H628" i="114" s="1"/>
  <c r="F629" i="114"/>
  <c r="H629" i="114" s="1"/>
  <c r="F624" i="114"/>
  <c r="F645" i="114"/>
  <c r="H645" i="114" s="1"/>
  <c r="F640" i="114"/>
  <c r="F644" i="114"/>
  <c r="H644" i="114" s="1"/>
  <c r="F643" i="114"/>
  <c r="H772" i="114" l="1"/>
  <c r="H773" i="114"/>
  <c r="H761" i="114"/>
  <c r="H759" i="114"/>
  <c r="H758" i="114"/>
  <c r="H757" i="114"/>
  <c r="H753" i="114"/>
  <c r="H751" i="114"/>
  <c r="H750" i="114"/>
  <c r="H749" i="114"/>
  <c r="H745" i="114"/>
  <c r="H743" i="114"/>
  <c r="H742" i="114"/>
  <c r="H741" i="114"/>
  <c r="H737" i="114"/>
  <c r="H735" i="114"/>
  <c r="H734" i="114"/>
  <c r="H733" i="114"/>
  <c r="H740" i="114" s="1"/>
  <c r="H726" i="114"/>
  <c r="H724" i="114"/>
  <c r="H723" i="114"/>
  <c r="H722" i="114"/>
  <c r="H718" i="114"/>
  <c r="H716" i="114"/>
  <c r="H715" i="114"/>
  <c r="H714" i="114"/>
  <c r="H710" i="114"/>
  <c r="H708" i="114"/>
  <c r="H707" i="114"/>
  <c r="H706" i="114"/>
  <c r="H702" i="114"/>
  <c r="H700" i="114"/>
  <c r="H699" i="114"/>
  <c r="H698" i="114"/>
  <c r="H694" i="114"/>
  <c r="H692" i="114"/>
  <c r="H691" i="114"/>
  <c r="H690" i="114"/>
  <c r="H686" i="114"/>
  <c r="H684" i="114"/>
  <c r="H683" i="114"/>
  <c r="H682" i="114"/>
  <c r="H678" i="114"/>
  <c r="H676" i="114"/>
  <c r="H675" i="114"/>
  <c r="H674" i="114"/>
  <c r="H667" i="114"/>
  <c r="H665" i="114"/>
  <c r="H664" i="114"/>
  <c r="H663" i="114"/>
  <c r="H659" i="114"/>
  <c r="H657" i="114"/>
  <c r="H656" i="114"/>
  <c r="H655" i="114"/>
  <c r="H651" i="114"/>
  <c r="H649" i="114"/>
  <c r="H648" i="114"/>
  <c r="H647" i="114"/>
  <c r="H643" i="114"/>
  <c r="H641" i="114"/>
  <c r="H640" i="114"/>
  <c r="H639" i="114"/>
  <c r="H635" i="114"/>
  <c r="H633" i="114"/>
  <c r="H632" i="114"/>
  <c r="H631" i="114"/>
  <c r="H627" i="114"/>
  <c r="H625" i="114"/>
  <c r="H624" i="114"/>
  <c r="H623" i="114"/>
  <c r="H606" i="114"/>
  <c r="H604" i="114"/>
  <c r="H603" i="114"/>
  <c r="H602" i="114"/>
  <c r="H598" i="114"/>
  <c r="H596" i="114"/>
  <c r="H595" i="114"/>
  <c r="H594" i="114"/>
  <c r="H590" i="114"/>
  <c r="H588" i="114"/>
  <c r="H587" i="114"/>
  <c r="H586" i="114"/>
  <c r="H582" i="114"/>
  <c r="H580" i="114"/>
  <c r="H579" i="114"/>
  <c r="H578" i="114"/>
  <c r="H571" i="114"/>
  <c r="H569" i="114"/>
  <c r="H568" i="114"/>
  <c r="H567" i="114"/>
  <c r="H574" i="114" s="1"/>
  <c r="H563" i="114"/>
  <c r="H561" i="114"/>
  <c r="H560" i="114"/>
  <c r="H559" i="114"/>
  <c r="H555" i="114"/>
  <c r="H553" i="114"/>
  <c r="H552" i="114"/>
  <c r="H551" i="114"/>
  <c r="H547" i="114"/>
  <c r="H545" i="114"/>
  <c r="H544" i="114"/>
  <c r="H543" i="114"/>
  <c r="H539" i="114"/>
  <c r="H537" i="114"/>
  <c r="H536" i="114"/>
  <c r="H535" i="114"/>
  <c r="H531" i="114"/>
  <c r="H529" i="114"/>
  <c r="H528" i="114"/>
  <c r="H527" i="114"/>
  <c r="H523" i="114"/>
  <c r="H521" i="114"/>
  <c r="H520" i="114"/>
  <c r="H519" i="114"/>
  <c r="H512" i="114"/>
  <c r="H510" i="114"/>
  <c r="H509" i="114"/>
  <c r="H508" i="114"/>
  <c r="H504" i="114"/>
  <c r="H502" i="114"/>
  <c r="H501" i="114"/>
  <c r="H500" i="114"/>
  <c r="H496" i="114"/>
  <c r="H494" i="114"/>
  <c r="H493" i="114"/>
  <c r="H492" i="114"/>
  <c r="H488" i="114"/>
  <c r="H486" i="114"/>
  <c r="H485" i="114"/>
  <c r="H484" i="114"/>
  <c r="H478" i="114"/>
  <c r="H477" i="114"/>
  <c r="H476" i="114"/>
  <c r="H472" i="114"/>
  <c r="H470" i="114"/>
  <c r="H469" i="114"/>
  <c r="H468" i="114"/>
  <c r="H451" i="114"/>
  <c r="H449" i="114"/>
  <c r="H448" i="114"/>
  <c r="H447" i="114"/>
  <c r="H443" i="114"/>
  <c r="H441" i="114"/>
  <c r="H440" i="114"/>
  <c r="H439" i="114"/>
  <c r="H435" i="114"/>
  <c r="H433" i="114"/>
  <c r="H432" i="114"/>
  <c r="H431" i="114"/>
  <c r="H427" i="114"/>
  <c r="H425" i="114"/>
  <c r="H424" i="114"/>
  <c r="H423" i="114"/>
  <c r="H416" i="114"/>
  <c r="H414" i="114"/>
  <c r="H413" i="114"/>
  <c r="H412" i="114"/>
  <c r="H408" i="114"/>
  <c r="H406" i="114"/>
  <c r="H405" i="114"/>
  <c r="H404" i="114"/>
  <c r="H400" i="114"/>
  <c r="H398" i="114"/>
  <c r="H397" i="114"/>
  <c r="H396" i="114"/>
  <c r="H392" i="114"/>
  <c r="H390" i="114"/>
  <c r="H389" i="114"/>
  <c r="H388" i="114"/>
  <c r="H384" i="114"/>
  <c r="H382" i="114"/>
  <c r="H381" i="114"/>
  <c r="H380" i="114"/>
  <c r="H376" i="114"/>
  <c r="H374" i="114"/>
  <c r="H373" i="114"/>
  <c r="H372" i="114"/>
  <c r="H368" i="114"/>
  <c r="H366" i="114"/>
  <c r="H365" i="114"/>
  <c r="H364" i="114"/>
  <c r="H357" i="114"/>
  <c r="H355" i="114"/>
  <c r="H354" i="114"/>
  <c r="H353" i="114"/>
  <c r="H349" i="114"/>
  <c r="H347" i="114"/>
  <c r="H346" i="114"/>
  <c r="H345" i="114"/>
  <c r="H341" i="114"/>
  <c r="H339" i="114"/>
  <c r="H338" i="114"/>
  <c r="H337" i="114"/>
  <c r="H333" i="114"/>
  <c r="H331" i="114"/>
  <c r="H330" i="114"/>
  <c r="H329" i="114"/>
  <c r="H325" i="114"/>
  <c r="H323" i="114"/>
  <c r="H322" i="114"/>
  <c r="H321" i="114"/>
  <c r="H317" i="114"/>
  <c r="H315" i="114"/>
  <c r="H314" i="114"/>
  <c r="H313" i="114"/>
  <c r="H296" i="114"/>
  <c r="H294" i="114"/>
  <c r="H293" i="114"/>
  <c r="H292" i="114"/>
  <c r="H288" i="114"/>
  <c r="H286" i="114"/>
  <c r="H285" i="114"/>
  <c r="H284" i="114"/>
  <c r="H291" i="114" s="1"/>
  <c r="H280" i="114"/>
  <c r="H278" i="114"/>
  <c r="H277" i="114"/>
  <c r="H276" i="114"/>
  <c r="H272" i="114"/>
  <c r="H270" i="114"/>
  <c r="H269" i="114"/>
  <c r="H268" i="114"/>
  <c r="H261" i="114"/>
  <c r="H259" i="114"/>
  <c r="H258" i="114"/>
  <c r="H257" i="114"/>
  <c r="H253" i="114"/>
  <c r="H251" i="114"/>
  <c r="H250" i="114"/>
  <c r="H249" i="114"/>
  <c r="H245" i="114"/>
  <c r="H243" i="114"/>
  <c r="H242" i="114"/>
  <c r="H241" i="114"/>
  <c r="H237" i="114"/>
  <c r="H235" i="114"/>
  <c r="H234" i="114"/>
  <c r="H233" i="114"/>
  <c r="H229" i="114"/>
  <c r="H227" i="114"/>
  <c r="H226" i="114"/>
  <c r="H225" i="114"/>
  <c r="H221" i="114"/>
  <c r="H219" i="114"/>
  <c r="H218" i="114"/>
  <c r="H217" i="114"/>
  <c r="H213" i="114"/>
  <c r="H211" i="114"/>
  <c r="H210" i="114"/>
  <c r="H209" i="114"/>
  <c r="H202" i="114"/>
  <c r="H200" i="114"/>
  <c r="H199" i="114"/>
  <c r="H198" i="114"/>
  <c r="H194" i="114"/>
  <c r="H192" i="114"/>
  <c r="H191" i="114"/>
  <c r="H190" i="114"/>
  <c r="H186" i="114"/>
  <c r="H184" i="114"/>
  <c r="H183" i="114"/>
  <c r="H182" i="114"/>
  <c r="H178" i="114"/>
  <c r="H176" i="114"/>
  <c r="H175" i="114"/>
  <c r="H174" i="114"/>
  <c r="H170" i="114"/>
  <c r="H168" i="114"/>
  <c r="H167" i="114"/>
  <c r="H166" i="114"/>
  <c r="H162" i="114"/>
  <c r="H160" i="114"/>
  <c r="H159" i="114"/>
  <c r="H158" i="114"/>
  <c r="H141" i="114"/>
  <c r="H139" i="114"/>
  <c r="H138" i="114"/>
  <c r="H137" i="114"/>
  <c r="H133" i="114"/>
  <c r="H131" i="114"/>
  <c r="H130" i="114"/>
  <c r="H129" i="114"/>
  <c r="H125" i="114"/>
  <c r="H123" i="114"/>
  <c r="H122" i="114"/>
  <c r="H121" i="114"/>
  <c r="H117" i="114"/>
  <c r="H115" i="114"/>
  <c r="H114" i="114"/>
  <c r="H113" i="114"/>
  <c r="H106" i="114"/>
  <c r="H104" i="114"/>
  <c r="H103" i="114"/>
  <c r="H102" i="114"/>
  <c r="H98" i="114"/>
  <c r="H96" i="114"/>
  <c r="H95" i="114"/>
  <c r="H94" i="114"/>
  <c r="H90" i="114"/>
  <c r="H88" i="114"/>
  <c r="H87" i="114"/>
  <c r="H86" i="114"/>
  <c r="H82" i="114"/>
  <c r="H80" i="114"/>
  <c r="H79" i="114"/>
  <c r="H78" i="114"/>
  <c r="H74" i="114"/>
  <c r="H72" i="114"/>
  <c r="H71" i="114"/>
  <c r="H70" i="114"/>
  <c r="H66" i="114"/>
  <c r="H64" i="114"/>
  <c r="H63" i="114"/>
  <c r="H62" i="114"/>
  <c r="H58" i="114"/>
  <c r="H56" i="114"/>
  <c r="H55" i="114"/>
  <c r="H54" i="114"/>
  <c r="H61" i="114" s="1"/>
  <c r="H47" i="114"/>
  <c r="H45" i="114"/>
  <c r="H44" i="114"/>
  <c r="H43" i="114"/>
  <c r="H50" i="114" s="1"/>
  <c r="H39" i="114"/>
  <c r="H37" i="114"/>
  <c r="H36" i="114"/>
  <c r="H35" i="114"/>
  <c r="H31" i="114"/>
  <c r="H29" i="114"/>
  <c r="H28" i="114"/>
  <c r="H27" i="114"/>
  <c r="H23" i="114"/>
  <c r="H21" i="114"/>
  <c r="H20" i="114"/>
  <c r="H19" i="114"/>
  <c r="H15" i="114"/>
  <c r="H13" i="114"/>
  <c r="H12" i="114"/>
  <c r="H11" i="114"/>
  <c r="H771" i="114" l="1"/>
  <c r="H612" i="114"/>
  <c r="G612" i="114" s="1"/>
  <c r="H616" i="114"/>
  <c r="H148" i="114"/>
  <c r="H154" i="114"/>
  <c r="H769" i="114"/>
  <c r="H149" i="114"/>
  <c r="H614" i="114"/>
  <c r="H782" i="114"/>
  <c r="H768" i="114"/>
  <c r="H767" i="114"/>
  <c r="H618" i="114"/>
  <c r="H617" i="114"/>
  <c r="H613" i="114"/>
  <c r="G767" i="114" l="1"/>
  <c r="H774" i="114"/>
  <c r="H463" i="114"/>
  <c r="H462" i="114"/>
  <c r="H461" i="114"/>
  <c r="H459" i="114"/>
  <c r="H458" i="114"/>
  <c r="H457" i="114"/>
  <c r="G457" i="114" l="1"/>
  <c r="H464" i="114"/>
  <c r="H308" i="114"/>
  <c r="H307" i="114"/>
  <c r="H306" i="114"/>
  <c r="H304" i="114"/>
  <c r="H303" i="114"/>
  <c r="H780" i="114" s="1"/>
  <c r="H302" i="114"/>
  <c r="H153" i="114"/>
  <c r="H152" i="114"/>
  <c r="H151" i="114"/>
  <c r="H764" i="114"/>
  <c r="P22" i="117" s="1"/>
  <c r="O22" i="117" s="1"/>
  <c r="H756" i="114"/>
  <c r="P21" i="117" s="1"/>
  <c r="O21" i="117" s="1"/>
  <c r="H748" i="114"/>
  <c r="P20" i="117" s="1"/>
  <c r="O20" i="117" s="1"/>
  <c r="P19" i="117"/>
  <c r="O19" i="117" s="1"/>
  <c r="H729" i="114"/>
  <c r="P18" i="117" s="1"/>
  <c r="O18" i="117" s="1"/>
  <c r="H721" i="114"/>
  <c r="P17" i="117" s="1"/>
  <c r="O17" i="117" s="1"/>
  <c r="H713" i="114"/>
  <c r="P16" i="117" s="1"/>
  <c r="O16" i="117" s="1"/>
  <c r="H705" i="114"/>
  <c r="P15" i="117" s="1"/>
  <c r="O15" i="117" s="1"/>
  <c r="H697" i="114"/>
  <c r="P14" i="117" s="1"/>
  <c r="O14" i="117" s="1"/>
  <c r="H689" i="114"/>
  <c r="P13" i="117" s="1"/>
  <c r="O13" i="117" s="1"/>
  <c r="H681" i="114"/>
  <c r="P12" i="117" s="1"/>
  <c r="O12" i="117" s="1"/>
  <c r="H670" i="114"/>
  <c r="P11" i="117" s="1"/>
  <c r="O11" i="117" s="1"/>
  <c r="H662" i="114"/>
  <c r="P9" i="117" s="1"/>
  <c r="O9" i="117" s="1"/>
  <c r="H654" i="114"/>
  <c r="P8" i="117" s="1"/>
  <c r="O8" i="117" s="1"/>
  <c r="H646" i="114"/>
  <c r="P7" i="117" s="1"/>
  <c r="O7" i="117" s="1"/>
  <c r="H638" i="114"/>
  <c r="P6" i="117" s="1"/>
  <c r="O6" i="117" s="1"/>
  <c r="H630" i="114"/>
  <c r="H609" i="114"/>
  <c r="N22" i="117" s="1"/>
  <c r="M22" i="117" s="1"/>
  <c r="H601" i="114"/>
  <c r="N21" i="117" s="1"/>
  <c r="M21" i="117" s="1"/>
  <c r="H593" i="114"/>
  <c r="N20" i="117" s="1"/>
  <c r="M20" i="117" s="1"/>
  <c r="H585" i="114"/>
  <c r="N19" i="117" s="1"/>
  <c r="M19" i="117" s="1"/>
  <c r="N18" i="117"/>
  <c r="M18" i="117" s="1"/>
  <c r="H566" i="114"/>
  <c r="N17" i="117" s="1"/>
  <c r="M17" i="117" s="1"/>
  <c r="H558" i="114"/>
  <c r="N16" i="117" s="1"/>
  <c r="M16" i="117" s="1"/>
  <c r="H550" i="114"/>
  <c r="N15" i="117" s="1"/>
  <c r="M15" i="117" s="1"/>
  <c r="H542" i="114"/>
  <c r="N14" i="117" s="1"/>
  <c r="M14" i="117" s="1"/>
  <c r="H534" i="114"/>
  <c r="N13" i="117" s="1"/>
  <c r="M13" i="117" s="1"/>
  <c r="H526" i="114"/>
  <c r="N12" i="117" s="1"/>
  <c r="M12" i="117" s="1"/>
  <c r="H515" i="114"/>
  <c r="N11" i="117" s="1"/>
  <c r="M11" i="117" s="1"/>
  <c r="H507" i="114"/>
  <c r="N9" i="117" s="1"/>
  <c r="M9" i="117" s="1"/>
  <c r="H499" i="114"/>
  <c r="N8" i="117" s="1"/>
  <c r="M8" i="117" s="1"/>
  <c r="H491" i="114"/>
  <c r="N7" i="117" s="1"/>
  <c r="M7" i="117" s="1"/>
  <c r="H483" i="114"/>
  <c r="N6" i="117" s="1"/>
  <c r="M6" i="117" s="1"/>
  <c r="H475" i="114"/>
  <c r="H454" i="114"/>
  <c r="L22" i="117" s="1"/>
  <c r="K22" i="117" s="1"/>
  <c r="H446" i="114"/>
  <c r="L21" i="117" s="1"/>
  <c r="K21" i="117" s="1"/>
  <c r="H438" i="114"/>
  <c r="L20" i="117" s="1"/>
  <c r="K20" i="117" s="1"/>
  <c r="H430" i="114"/>
  <c r="L19" i="117" s="1"/>
  <c r="K19" i="117" s="1"/>
  <c r="H419" i="114"/>
  <c r="L18" i="117" s="1"/>
  <c r="K18" i="117" s="1"/>
  <c r="H411" i="114"/>
  <c r="L17" i="117" s="1"/>
  <c r="K17" i="117" s="1"/>
  <c r="H403" i="114"/>
  <c r="L16" i="117" s="1"/>
  <c r="K16" i="117" s="1"/>
  <c r="H395" i="114"/>
  <c r="L15" i="117" s="1"/>
  <c r="K15" i="117" s="1"/>
  <c r="H387" i="114"/>
  <c r="L14" i="117" s="1"/>
  <c r="K14" i="117" s="1"/>
  <c r="H379" i="114"/>
  <c r="L13" i="117" s="1"/>
  <c r="K13" i="117" s="1"/>
  <c r="H371" i="114"/>
  <c r="L12" i="117" s="1"/>
  <c r="K12" i="117" s="1"/>
  <c r="H360" i="114"/>
  <c r="L11" i="117" s="1"/>
  <c r="K11" i="117" s="1"/>
  <c r="H352" i="114"/>
  <c r="L9" i="117" s="1"/>
  <c r="K9" i="117" s="1"/>
  <c r="H344" i="114"/>
  <c r="L8" i="117" s="1"/>
  <c r="K8" i="117" s="1"/>
  <c r="H336" i="114"/>
  <c r="L7" i="117" s="1"/>
  <c r="K7" i="117" s="1"/>
  <c r="H328" i="114"/>
  <c r="L6" i="117" s="1"/>
  <c r="K6" i="117" s="1"/>
  <c r="H320" i="114"/>
  <c r="H299" i="114"/>
  <c r="J22" i="117" s="1"/>
  <c r="I22" i="117" s="1"/>
  <c r="J21" i="117"/>
  <c r="I21" i="117" s="1"/>
  <c r="H283" i="114"/>
  <c r="J20" i="117" s="1"/>
  <c r="I20" i="117" s="1"/>
  <c r="H275" i="114"/>
  <c r="J19" i="117" s="1"/>
  <c r="I19" i="117" s="1"/>
  <c r="H264" i="114"/>
  <c r="J18" i="117" s="1"/>
  <c r="I18" i="117" s="1"/>
  <c r="H256" i="114"/>
  <c r="J17" i="117" s="1"/>
  <c r="I17" i="117" s="1"/>
  <c r="H248" i="114"/>
  <c r="J16" i="117" s="1"/>
  <c r="I16" i="117" s="1"/>
  <c r="H240" i="114"/>
  <c r="J15" i="117" s="1"/>
  <c r="I15" i="117" s="1"/>
  <c r="H232" i="114"/>
  <c r="J14" i="117" s="1"/>
  <c r="I14" i="117" s="1"/>
  <c r="H224" i="114"/>
  <c r="J13" i="117" s="1"/>
  <c r="I13" i="117" s="1"/>
  <c r="H216" i="114"/>
  <c r="J12" i="117" s="1"/>
  <c r="I12" i="117" s="1"/>
  <c r="H205" i="114"/>
  <c r="J11" i="117" s="1"/>
  <c r="I11" i="117" s="1"/>
  <c r="H197" i="114"/>
  <c r="J9" i="117" s="1"/>
  <c r="I9" i="117" s="1"/>
  <c r="H189" i="114"/>
  <c r="J8" i="117" s="1"/>
  <c r="I8" i="117" s="1"/>
  <c r="H181" i="114"/>
  <c r="J7" i="117" s="1"/>
  <c r="I7" i="117" s="1"/>
  <c r="H173" i="114"/>
  <c r="J6" i="117" s="1"/>
  <c r="I6" i="117" s="1"/>
  <c r="H144" i="114"/>
  <c r="H22" i="117" s="1"/>
  <c r="H136" i="114"/>
  <c r="H21" i="117" s="1"/>
  <c r="H128" i="114"/>
  <c r="H20" i="117" s="1"/>
  <c r="H120" i="114"/>
  <c r="H19" i="117" s="1"/>
  <c r="H109" i="114"/>
  <c r="H18" i="117" s="1"/>
  <c r="H101" i="114"/>
  <c r="H17" i="117" s="1"/>
  <c r="H93" i="114"/>
  <c r="H16" i="117" s="1"/>
  <c r="H85" i="114"/>
  <c r="H15" i="117" s="1"/>
  <c r="H77" i="114"/>
  <c r="H14" i="117" s="1"/>
  <c r="H69" i="114"/>
  <c r="H13" i="117" s="1"/>
  <c r="H12" i="117"/>
  <c r="H11" i="117"/>
  <c r="H42" i="114"/>
  <c r="H9" i="117" s="1"/>
  <c r="H34" i="114"/>
  <c r="H8" i="117" s="1"/>
  <c r="H26" i="114"/>
  <c r="H18" i="114"/>
  <c r="H6" i="117" s="1"/>
  <c r="H165" i="114"/>
  <c r="G302" i="114" l="1"/>
  <c r="H309" i="114"/>
  <c r="H779" i="114"/>
  <c r="H786" i="114" s="1"/>
  <c r="H781" i="114"/>
  <c r="P5" i="117"/>
  <c r="P23" i="117" s="1"/>
  <c r="O23" i="117" s="1"/>
  <c r="N5" i="117"/>
  <c r="N23" i="117" s="1"/>
  <c r="M23" i="117" s="1"/>
  <c r="L5" i="117"/>
  <c r="L23" i="117" s="1"/>
  <c r="K23" i="117" s="1"/>
  <c r="J5" i="117"/>
  <c r="I5" i="117" s="1"/>
  <c r="Q22" i="117"/>
  <c r="G22" i="117"/>
  <c r="G21" i="117"/>
  <c r="Q21" i="117"/>
  <c r="G20" i="117"/>
  <c r="Q20" i="117"/>
  <c r="G19" i="117"/>
  <c r="Q19" i="117"/>
  <c r="Q18" i="117"/>
  <c r="G18" i="117"/>
  <c r="Q17" i="117"/>
  <c r="G17" i="117"/>
  <c r="G16" i="117"/>
  <c r="Q16" i="117"/>
  <c r="G14" i="117"/>
  <c r="Q14" i="117"/>
  <c r="Q15" i="117"/>
  <c r="G15" i="117"/>
  <c r="G13" i="117"/>
  <c r="Q13" i="117"/>
  <c r="Q12" i="117"/>
  <c r="G12" i="117"/>
  <c r="G11" i="117"/>
  <c r="Q11" i="117"/>
  <c r="G9" i="117"/>
  <c r="Q9" i="117"/>
  <c r="Q8" i="117"/>
  <c r="G8" i="117"/>
  <c r="H7" i="117"/>
  <c r="G6" i="117"/>
  <c r="Q6" i="117"/>
  <c r="H10" i="114"/>
  <c r="H5" i="117" s="1"/>
  <c r="G5" i="117" s="1"/>
  <c r="O5" i="117" l="1"/>
  <c r="J23" i="117"/>
  <c r="I23" i="117" s="1"/>
  <c r="Q5" i="117"/>
  <c r="M5" i="117"/>
  <c r="K5" i="117"/>
  <c r="Q7" i="117"/>
  <c r="G7" i="117"/>
  <c r="H23" i="117" l="1"/>
  <c r="G23" i="117" s="1"/>
  <c r="Q23" i="117" l="1"/>
  <c r="Q24" i="117" s="1"/>
  <c r="H784" i="114"/>
  <c r="H783" i="114"/>
  <c r="H785" i="114" l="1"/>
  <c r="H619" i="11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<sst xmlns="http://schemas.openxmlformats.org/spreadsheetml/2006/main" count="8827" uniqueCount="846">
  <si>
    <t>CENTRAL SERVICES AREA</t>
  </si>
  <si>
    <t>B.1 GENERAL</t>
  </si>
  <si>
    <t>This is an Indefinite Delivery Indefinite Quantity contract with Firm Fixed Price (FFP) and Labor Hours (LH) line items. The contract consists of one Base Year and four (4) Option Years for a total of five (5) years if all options are exercised. All orders for services under this contract will be procured by Task Order (TO). The minimum guarantee order will be FFP Base Year Basic Services for 17 sites.</t>
  </si>
  <si>
    <t>Escalation of labor, Health and Welfare rates, and any other indirect costs/rates embedded in the fully burdened hourly rates is not permitted.</t>
  </si>
  <si>
    <t>B.2 PRICES</t>
  </si>
  <si>
    <t>Prices are established for each FAA facility as shown below.  Contract Line-Item Numbers (CLIN) are structured with five characters, “ABCDE” and defined as follows:</t>
  </si>
  <si>
    <t xml:space="preserve">A              =   Year of Contract (0xxxx=Base, 1xxxx=Option Year 1, etc.) </t>
  </si>
  <si>
    <t>BCD        =    FAA Facility (x001x=C90 TRACON, x002x=D10 TRACON, etc.)</t>
  </si>
  <si>
    <t>E              =    Service Type (xxxx1=Basic Service, xxxx2=Temporary Additional Services, etc.)</t>
  </si>
  <si>
    <t>NOTE: The price for each item is set forth below.  Items will only be purchased as authorized by a TO in accordance with (IAW) the Ordering clause (3.2.4-16).</t>
  </si>
  <si>
    <t>B.2.1 CLIN PRICING INFORMATION</t>
  </si>
  <si>
    <t>CLINs XXXX1 FFP per month - Basic Services</t>
  </si>
  <si>
    <t>Basic services are the permanent ongoing services specifically included, by location, in the task order(s) at time of issuance or added through modification up to any established quantity maximums identified in the contract. These services will be provided IAW Section C, Statement of Work (SOW). The Government will order these services using the Basic Services prices specified herein.</t>
  </si>
  <si>
    <t>CLINs XXXX2 LH - Temporary Additional Services (TAS)</t>
  </si>
  <si>
    <t>During the term of the contract, the Government may have requirements for temporary additional services (TAS) beyond the basic services requirements. These services will be provided IAW SOW C.4. TAS are short term, non-recurring needs for service. Examples where TAS may be ordered include, but are not limited to, the following: addition of posts to provide for increased security for seasonal fluctuations, special events, or high-profile visitors to the building or extension of CLINs XXXX3, Emergency Security Services.</t>
  </si>
  <si>
    <t>CLINs XXXX3 LH - Emergency Security Services (ESS)</t>
  </si>
  <si>
    <t xml:space="preserve">During the term of the contract, the Government may have requirements for emergency security services (ESS) beyond the Basic and/or TAS requirements. These services will be provided IAW the SOW. IAW SOW paragraph C.6.3 Emergency Security Services - Recall System, the Contractor must provide an employee recall system with the capability of contacting and recalling off duty personnel up to three (3) per shift.  Personnel must be on-site within two (2) hours of the Contractor’s receipt of the COR recall authorization.  ESS are generally short-term requirements in support of any unanticipated events such as natural disasters, civil disturbances, etc.   ESS may require small- or large-scale Contractor Security Officer (CSO) deployments, (in excess of the basic and TAS reserve guard force capacity) to support an emergency. The requirements under the ESS Contract Line-Item Numbers (CLINs) may be ordered for anywhere in the geographic area covered under this contract with little advance notice.   </t>
  </si>
  <si>
    <t>The hourly rate for emergency CSO services will be inclusive of Labor, General and Administrative and Overhead expenses and Profit. ESS will have a 50% pay rate premium added to the raw direct labor rate. There will be no “phase-in” period for these requirements. The contractor must have sufficient, fully qualified staff to meet all requirements ordered under the ESS CLIN at any time. (NOTE: It is possible that the government may order all estimated hours in a single emergency event. The contractor may use reserve forces to fulfill ESS requirements, however, the use of reserve forces to meet ESS requirements will not relieve the contractor of the requirement to maintain a sufficient reserve force to provide all services under the contract to include ongoing Basic Services and TAS requirements. The requirements ordered under the ESS CLIN(s) will be for no more than 120 days of service per ESS task order authorized at a given facility. Thereafter, provided the Government notifies the Contractor within 30 days before the expiration of the ESS task order, any continuing long-term requirements for those same post or locations will be incorporated through modifications to the TO initiating Basic Services for that facility.</t>
  </si>
  <si>
    <t>CLINs XXXX4 LH - Other Services (Time not Worked)</t>
  </si>
  <si>
    <t>IAW SOW C.12.6, the Contractor may be required to make written and oral statements to the FAA Office of Security and Hazardous Materials Safety (ASH), the Federal Bureau of Investigation (FBI), or other agencies due to the nature of a particular incident.</t>
  </si>
  <si>
    <t>CLINs XXXX5 LH - Training</t>
  </si>
  <si>
    <t>IAW SOW C.20, the CO or COR may request that the Contractor’s CSO staff participate in FAA sponsored training. This training is other than the training required elsewhere throughout C.14 etc.</t>
  </si>
  <si>
    <t>CLINs XXXX6 LH - Random Screening</t>
  </si>
  <si>
    <t>IAW SOW C.4.2.1, the Contractor may be required to conduct a period of random screenings at each facility, for four (4) hours once per week on an as needed basis. To facilitate this effort, an additional two (2) CSOs will be present at the facility during the screening activity.</t>
  </si>
  <si>
    <t>CLINs XXXX7 LH - Roving Patrol</t>
  </si>
  <si>
    <t xml:space="preserve">IAW SOW C.4.2.2, the Contractor may be required to conduct a period of roving patrols at select facilities, for eight (8) hours/day for five (5) days per week, Monday through Friday, on an as needed basis. To facilitate this effort, an additional one (1) CSO will be present at the facility. </t>
  </si>
  <si>
    <t>BASE PERIOD</t>
  </si>
  <si>
    <t>CLIN</t>
  </si>
  <si>
    <t>Description</t>
  </si>
  <si>
    <t>Loc ID / Fac Type</t>
  </si>
  <si>
    <t>Pricing</t>
  </si>
  <si>
    <t># Units                 FFP = Months 
LH = Hours</t>
  </si>
  <si>
    <t>LH Price</t>
  </si>
  <si>
    <t>Monthly Price</t>
  </si>
  <si>
    <t>Period Price</t>
  </si>
  <si>
    <t>9/30/2026-9/29/2027</t>
  </si>
  <si>
    <t>00011</t>
  </si>
  <si>
    <t>Basic Service</t>
  </si>
  <si>
    <t>C90 / TRACON (x001x)</t>
  </si>
  <si>
    <t>FFP</t>
  </si>
  <si>
    <t>N/A</t>
  </si>
  <si>
    <t>9/30/2027-9/29/2028</t>
  </si>
  <si>
    <t>00012</t>
  </si>
  <si>
    <t>Temporary Additional Service (TAS)</t>
  </si>
  <si>
    <t>LH</t>
  </si>
  <si>
    <t>9/30/2028-9/29/2029</t>
  </si>
  <si>
    <t>00013</t>
  </si>
  <si>
    <t>Emergency Security Service (ESS)</t>
  </si>
  <si>
    <t xml:space="preserve"> LH </t>
  </si>
  <si>
    <t>9/30/2029-9/29/2030</t>
  </si>
  <si>
    <t>00014</t>
  </si>
  <si>
    <t>Other Services (Time not Worked)</t>
  </si>
  <si>
    <t>9/30/2030-9/29/2031</t>
  </si>
  <si>
    <t>00015</t>
  </si>
  <si>
    <t>Training</t>
  </si>
  <si>
    <t>00016</t>
  </si>
  <si>
    <t>Random Screening</t>
  </si>
  <si>
    <t>00017</t>
  </si>
  <si>
    <t>Roving Patrol</t>
  </si>
  <si>
    <t>Total Period Price</t>
  </si>
  <si>
    <t>00021</t>
  </si>
  <si>
    <t>D10 / TRACON (x002x)</t>
  </si>
  <si>
    <t>00022</t>
  </si>
  <si>
    <t>00023</t>
  </si>
  <si>
    <t>00024</t>
  </si>
  <si>
    <t>00025</t>
  </si>
  <si>
    <t>00026</t>
  </si>
  <si>
    <t>00027</t>
  </si>
  <si>
    <t>00031</t>
  </si>
  <si>
    <t>DFW / ATCT-E (x003x)</t>
  </si>
  <si>
    <t>00032</t>
  </si>
  <si>
    <t>00033</t>
  </si>
  <si>
    <t>00034</t>
  </si>
  <si>
    <t>00035</t>
  </si>
  <si>
    <t>00036</t>
  </si>
  <si>
    <t>00037</t>
  </si>
  <si>
    <t>00041</t>
  </si>
  <si>
    <t>DFW / ATCT-W (x004x)</t>
  </si>
  <si>
    <t>00042</t>
  </si>
  <si>
    <t>00043</t>
  </si>
  <si>
    <t>00044</t>
  </si>
  <si>
    <t>00045</t>
  </si>
  <si>
    <t>00046</t>
  </si>
  <si>
    <t>00047</t>
  </si>
  <si>
    <t>00051</t>
  </si>
  <si>
    <t>DTW / ATCT (x005x)</t>
  </si>
  <si>
    <t>00052</t>
  </si>
  <si>
    <t>00053</t>
  </si>
  <si>
    <t>00054</t>
  </si>
  <si>
    <t>00055</t>
  </si>
  <si>
    <t>00056</t>
  </si>
  <si>
    <t>00057</t>
  </si>
  <si>
    <t>00061</t>
  </si>
  <si>
    <t>I90 / TRACON (x006x)</t>
  </si>
  <si>
    <t>00062</t>
  </si>
  <si>
    <t>00063</t>
  </si>
  <si>
    <t>00064</t>
  </si>
  <si>
    <t>00065</t>
  </si>
  <si>
    <t>00066</t>
  </si>
  <si>
    <t>00067</t>
  </si>
  <si>
    <t>00071</t>
  </si>
  <si>
    <t>IAH / ATCT (x007x)</t>
  </si>
  <si>
    <t>00072</t>
  </si>
  <si>
    <t>00073</t>
  </si>
  <si>
    <t>00074</t>
  </si>
  <si>
    <t>00075</t>
  </si>
  <si>
    <t>00076</t>
  </si>
  <si>
    <t>00077</t>
  </si>
  <si>
    <t>00081</t>
  </si>
  <si>
    <t>MSP / ATCT (x008x)</t>
  </si>
  <si>
    <t>00082</t>
  </si>
  <si>
    <t>00083</t>
  </si>
  <si>
    <t>00084</t>
  </si>
  <si>
    <t>00085</t>
  </si>
  <si>
    <t>00086</t>
  </si>
  <si>
    <t>00087</t>
  </si>
  <si>
    <t>00091</t>
  </si>
  <si>
    <t>ORD / ATCT (x009x)</t>
  </si>
  <si>
    <t>00092</t>
  </si>
  <si>
    <t>00093</t>
  </si>
  <si>
    <t>00094</t>
  </si>
  <si>
    <t>00095</t>
  </si>
  <si>
    <t>00096</t>
  </si>
  <si>
    <t>00097</t>
  </si>
  <si>
    <t>00101</t>
  </si>
  <si>
    <t>ZAB / ARTCC (x010x)</t>
  </si>
  <si>
    <t>00102</t>
  </si>
  <si>
    <t>00103</t>
  </si>
  <si>
    <t>00104</t>
  </si>
  <si>
    <t>00105</t>
  </si>
  <si>
    <t>00106</t>
  </si>
  <si>
    <t>00107</t>
  </si>
  <si>
    <t>00111</t>
  </si>
  <si>
    <t>ZAU / ARTCC (x011x)</t>
  </si>
  <si>
    <t>00112</t>
  </si>
  <si>
    <t>00113</t>
  </si>
  <si>
    <t>00114</t>
  </si>
  <si>
    <t>00115</t>
  </si>
  <si>
    <t>00116</t>
  </si>
  <si>
    <t>00117</t>
  </si>
  <si>
    <t>00121</t>
  </si>
  <si>
    <t>ZFW / ARTCC (x012x)</t>
  </si>
  <si>
    <t>00122</t>
  </si>
  <si>
    <t>00123</t>
  </si>
  <si>
    <t>00124</t>
  </si>
  <si>
    <t>00125</t>
  </si>
  <si>
    <t>00126</t>
  </si>
  <si>
    <t>00127</t>
  </si>
  <si>
    <t>00131</t>
  </si>
  <si>
    <t>ZHU / ARTCC (x013x)</t>
  </si>
  <si>
    <t>00132</t>
  </si>
  <si>
    <t>00133</t>
  </si>
  <si>
    <t>00134</t>
  </si>
  <si>
    <t>00135</t>
  </si>
  <si>
    <t>00136</t>
  </si>
  <si>
    <t>00137</t>
  </si>
  <si>
    <t>00141</t>
  </si>
  <si>
    <t>ZID / ARTCC (x014x)</t>
  </si>
  <si>
    <t>00142</t>
  </si>
  <si>
    <t>00143</t>
  </si>
  <si>
    <t>00144</t>
  </si>
  <si>
    <t>00145</t>
  </si>
  <si>
    <t>00146</t>
  </si>
  <si>
    <t>00147</t>
  </si>
  <si>
    <t>00151</t>
  </si>
  <si>
    <t>ZKC / ARTCC (x015x)</t>
  </si>
  <si>
    <t>00152</t>
  </si>
  <si>
    <t>00153</t>
  </si>
  <si>
    <t>00154</t>
  </si>
  <si>
    <t>00155</t>
  </si>
  <si>
    <t>00156</t>
  </si>
  <si>
    <t>00157</t>
  </si>
  <si>
    <t>00161</t>
  </si>
  <si>
    <t>ZMP/ ARTCC (x016x)</t>
  </si>
  <si>
    <t>00162</t>
  </si>
  <si>
    <t>00163</t>
  </si>
  <si>
    <t>00164</t>
  </si>
  <si>
    <t>00165</t>
  </si>
  <si>
    <t>00166</t>
  </si>
  <si>
    <t>00167</t>
  </si>
  <si>
    <t>00171</t>
  </si>
  <si>
    <t>ZOB / ARTCC (x017x)</t>
  </si>
  <si>
    <t>00172</t>
  </si>
  <si>
    <t>00173</t>
  </si>
  <si>
    <t>00174</t>
  </si>
  <si>
    <t>00175</t>
  </si>
  <si>
    <t>00176</t>
  </si>
  <si>
    <t>00177</t>
  </si>
  <si>
    <t>XXXX1</t>
  </si>
  <si>
    <t>Total Base Period CSA</t>
  </si>
  <si>
    <t>XXXX2</t>
  </si>
  <si>
    <t>XXXX3</t>
  </si>
  <si>
    <t>XXXX4</t>
  </si>
  <si>
    <t>XXXX5</t>
  </si>
  <si>
    <t>XXXX6</t>
  </si>
  <si>
    <t>XXXX7</t>
  </si>
  <si>
    <t>0XXXX</t>
  </si>
  <si>
    <t>OY1</t>
  </si>
  <si>
    <t>10011</t>
  </si>
  <si>
    <t>10012</t>
  </si>
  <si>
    <t>10013</t>
  </si>
  <si>
    <t>10014</t>
  </si>
  <si>
    <t>10015</t>
  </si>
  <si>
    <t>10016</t>
  </si>
  <si>
    <t>10017</t>
  </si>
  <si>
    <t>10021</t>
  </si>
  <si>
    <t>10022</t>
  </si>
  <si>
    <t>10023</t>
  </si>
  <si>
    <t>10024</t>
  </si>
  <si>
    <t>10025</t>
  </si>
  <si>
    <t>10026</t>
  </si>
  <si>
    <t>10027</t>
  </si>
  <si>
    <t>10031</t>
  </si>
  <si>
    <t>10032</t>
  </si>
  <si>
    <t>10033</t>
  </si>
  <si>
    <t>10034</t>
  </si>
  <si>
    <t>10035</t>
  </si>
  <si>
    <t>10036</t>
  </si>
  <si>
    <t>10037</t>
  </si>
  <si>
    <t>10041</t>
  </si>
  <si>
    <t>10042</t>
  </si>
  <si>
    <t>10043</t>
  </si>
  <si>
    <t>10044</t>
  </si>
  <si>
    <t>10045</t>
  </si>
  <si>
    <t>10046</t>
  </si>
  <si>
    <t>10047</t>
  </si>
  <si>
    <t>10051</t>
  </si>
  <si>
    <t>10052</t>
  </si>
  <si>
    <t>10053</t>
  </si>
  <si>
    <t>10054</t>
  </si>
  <si>
    <t>10055</t>
  </si>
  <si>
    <t>10056</t>
  </si>
  <si>
    <t>10057</t>
  </si>
  <si>
    <t>10061</t>
  </si>
  <si>
    <t>10062</t>
  </si>
  <si>
    <t>10063</t>
  </si>
  <si>
    <t>10064</t>
  </si>
  <si>
    <t>10065</t>
  </si>
  <si>
    <t>10066</t>
  </si>
  <si>
    <t>10067</t>
  </si>
  <si>
    <t>10071</t>
  </si>
  <si>
    <t>10072</t>
  </si>
  <si>
    <t>10073</t>
  </si>
  <si>
    <t>10074</t>
  </si>
  <si>
    <t>10075</t>
  </si>
  <si>
    <t>10076</t>
  </si>
  <si>
    <t>10077</t>
  </si>
  <si>
    <t>10081</t>
  </si>
  <si>
    <t>10082</t>
  </si>
  <si>
    <t>10083</t>
  </si>
  <si>
    <t>10084</t>
  </si>
  <si>
    <t>10085</t>
  </si>
  <si>
    <t>10086</t>
  </si>
  <si>
    <t>10087</t>
  </si>
  <si>
    <t>10091</t>
  </si>
  <si>
    <t>10092</t>
  </si>
  <si>
    <t>10093</t>
  </si>
  <si>
    <t>10094</t>
  </si>
  <si>
    <t>10095</t>
  </si>
  <si>
    <t>10096</t>
  </si>
  <si>
    <t>10097</t>
  </si>
  <si>
    <t>10101</t>
  </si>
  <si>
    <t>10102</t>
  </si>
  <si>
    <t>10103</t>
  </si>
  <si>
    <t>10104</t>
  </si>
  <si>
    <t>10105</t>
  </si>
  <si>
    <t>10106</t>
  </si>
  <si>
    <t>10107</t>
  </si>
  <si>
    <t>10111</t>
  </si>
  <si>
    <t>10112</t>
  </si>
  <si>
    <t>10113</t>
  </si>
  <si>
    <t>10114</t>
  </si>
  <si>
    <t>10115</t>
  </si>
  <si>
    <t>10116</t>
  </si>
  <si>
    <t>10117</t>
  </si>
  <si>
    <t>10121</t>
  </si>
  <si>
    <t>10122</t>
  </si>
  <si>
    <t>10123</t>
  </si>
  <si>
    <t>10124</t>
  </si>
  <si>
    <t>10125</t>
  </si>
  <si>
    <t>10126</t>
  </si>
  <si>
    <t>10127</t>
  </si>
  <si>
    <t>10131</t>
  </si>
  <si>
    <t>10132</t>
  </si>
  <si>
    <t>10133</t>
  </si>
  <si>
    <t>10134</t>
  </si>
  <si>
    <t>10135</t>
  </si>
  <si>
    <t>10136</t>
  </si>
  <si>
    <t>10137</t>
  </si>
  <si>
    <t>10141</t>
  </si>
  <si>
    <t>10142</t>
  </si>
  <si>
    <t>10143</t>
  </si>
  <si>
    <t>10144</t>
  </si>
  <si>
    <t>10145</t>
  </si>
  <si>
    <t>10146</t>
  </si>
  <si>
    <t>10147</t>
  </si>
  <si>
    <t>10151</t>
  </si>
  <si>
    <t>10152</t>
  </si>
  <si>
    <t>10153</t>
  </si>
  <si>
    <t>10154</t>
  </si>
  <si>
    <t>10155</t>
  </si>
  <si>
    <t>10156</t>
  </si>
  <si>
    <t>10157</t>
  </si>
  <si>
    <t>10161</t>
  </si>
  <si>
    <t>10162</t>
  </si>
  <si>
    <t>10163</t>
  </si>
  <si>
    <t>10164</t>
  </si>
  <si>
    <t>10165</t>
  </si>
  <si>
    <t>10166</t>
  </si>
  <si>
    <t>10167</t>
  </si>
  <si>
    <t>10171</t>
  </si>
  <si>
    <t>10172</t>
  </si>
  <si>
    <t>10173</t>
  </si>
  <si>
    <t>10174</t>
  </si>
  <si>
    <t>10175</t>
  </si>
  <si>
    <t>10176</t>
  </si>
  <si>
    <t>10177</t>
  </si>
  <si>
    <t>1XXX1</t>
  </si>
  <si>
    <t>Total First Option Year</t>
  </si>
  <si>
    <t>1XXX2</t>
  </si>
  <si>
    <t>1XXX3</t>
  </si>
  <si>
    <t>1XXX4</t>
  </si>
  <si>
    <t>1XXX5</t>
  </si>
  <si>
    <t>1XXX6</t>
  </si>
  <si>
    <t>1XXX7</t>
  </si>
  <si>
    <t>1XXXX</t>
  </si>
  <si>
    <t>OY2</t>
  </si>
  <si>
    <t>20011</t>
  </si>
  <si>
    <t>20012</t>
  </si>
  <si>
    <t>20013</t>
  </si>
  <si>
    <t>20014</t>
  </si>
  <si>
    <t>20015</t>
  </si>
  <si>
    <t>20016</t>
  </si>
  <si>
    <t>20071</t>
  </si>
  <si>
    <t>20021</t>
  </si>
  <si>
    <t>20022</t>
  </si>
  <si>
    <t>20023</t>
  </si>
  <si>
    <t>20024</t>
  </si>
  <si>
    <t>20025</t>
  </si>
  <si>
    <t>20026</t>
  </si>
  <si>
    <t>20027</t>
  </si>
  <si>
    <t>20031</t>
  </si>
  <si>
    <t>20032</t>
  </si>
  <si>
    <t>20033</t>
  </si>
  <si>
    <t>20034</t>
  </si>
  <si>
    <t>20035</t>
  </si>
  <si>
    <t>20036</t>
  </si>
  <si>
    <t>20037</t>
  </si>
  <si>
    <t>20041</t>
  </si>
  <si>
    <t>20042</t>
  </si>
  <si>
    <t>20043</t>
  </si>
  <si>
    <t>20044</t>
  </si>
  <si>
    <t>20045</t>
  </si>
  <si>
    <t>20046</t>
  </si>
  <si>
    <t>20047</t>
  </si>
  <si>
    <t>20051</t>
  </si>
  <si>
    <t>20052</t>
  </si>
  <si>
    <t>20053</t>
  </si>
  <si>
    <t>20054</t>
  </si>
  <si>
    <t>20055</t>
  </si>
  <si>
    <t>20056</t>
  </si>
  <si>
    <t>20057</t>
  </si>
  <si>
    <t>20061</t>
  </si>
  <si>
    <t>20062</t>
  </si>
  <si>
    <t>20063</t>
  </si>
  <si>
    <t>20064</t>
  </si>
  <si>
    <t>20065</t>
  </si>
  <si>
    <t>20066</t>
  </si>
  <si>
    <t>20067</t>
  </si>
  <si>
    <t>20072</t>
  </si>
  <si>
    <t>20073</t>
  </si>
  <si>
    <t>20074</t>
  </si>
  <si>
    <t>20075</t>
  </si>
  <si>
    <t>20076</t>
  </si>
  <si>
    <t>20077</t>
  </si>
  <si>
    <t>20081</t>
  </si>
  <si>
    <t>20082</t>
  </si>
  <si>
    <t>20083</t>
  </si>
  <si>
    <t>20084</t>
  </si>
  <si>
    <t>20085</t>
  </si>
  <si>
    <t>20086</t>
  </si>
  <si>
    <t>20087</t>
  </si>
  <si>
    <t>20091</t>
  </si>
  <si>
    <t>20092</t>
  </si>
  <si>
    <t>20093</t>
  </si>
  <si>
    <t>20094</t>
  </si>
  <si>
    <t>20095</t>
  </si>
  <si>
    <t>20096</t>
  </si>
  <si>
    <t>20097</t>
  </si>
  <si>
    <t>20101</t>
  </si>
  <si>
    <t>20102</t>
  </si>
  <si>
    <t>20103</t>
  </si>
  <si>
    <t>20104</t>
  </si>
  <si>
    <t>20105</t>
  </si>
  <si>
    <t>20106</t>
  </si>
  <si>
    <t>20107</t>
  </si>
  <si>
    <t>20111</t>
  </si>
  <si>
    <t>20112</t>
  </si>
  <si>
    <t>20113</t>
  </si>
  <si>
    <t>20114</t>
  </si>
  <si>
    <t>20115</t>
  </si>
  <si>
    <t>20116</t>
  </si>
  <si>
    <t>20117</t>
  </si>
  <si>
    <t>20121</t>
  </si>
  <si>
    <t>20122</t>
  </si>
  <si>
    <t>20123</t>
  </si>
  <si>
    <t>20124</t>
  </si>
  <si>
    <t>20125</t>
  </si>
  <si>
    <t>20126</t>
  </si>
  <si>
    <t>20127</t>
  </si>
  <si>
    <t>20131</t>
  </si>
  <si>
    <t>20132</t>
  </si>
  <si>
    <t>20133</t>
  </si>
  <si>
    <t>20134</t>
  </si>
  <si>
    <t>20135</t>
  </si>
  <si>
    <t>20136</t>
  </si>
  <si>
    <t>20137</t>
  </si>
  <si>
    <t>20141</t>
  </si>
  <si>
    <t>20142</t>
  </si>
  <si>
    <t>20143</t>
  </si>
  <si>
    <t>20144</t>
  </si>
  <si>
    <t>20145</t>
  </si>
  <si>
    <t>20146</t>
  </si>
  <si>
    <t>20147</t>
  </si>
  <si>
    <t>20151</t>
  </si>
  <si>
    <t>20152</t>
  </si>
  <si>
    <t>20153</t>
  </si>
  <si>
    <t>20154</t>
  </si>
  <si>
    <t>20155</t>
  </si>
  <si>
    <t>20156</t>
  </si>
  <si>
    <t>20157</t>
  </si>
  <si>
    <t>20161</t>
  </si>
  <si>
    <t>20162</t>
  </si>
  <si>
    <t>20163</t>
  </si>
  <si>
    <t>20164</t>
  </si>
  <si>
    <t>20165</t>
  </si>
  <si>
    <t>20166</t>
  </si>
  <si>
    <t>20167</t>
  </si>
  <si>
    <t>20171</t>
  </si>
  <si>
    <t>20172</t>
  </si>
  <si>
    <t>20173</t>
  </si>
  <si>
    <t>20174</t>
  </si>
  <si>
    <t>20175</t>
  </si>
  <si>
    <t>20176</t>
  </si>
  <si>
    <t>20177</t>
  </si>
  <si>
    <t>2XXX1</t>
  </si>
  <si>
    <t>2XXX2</t>
  </si>
  <si>
    <t>2XXX3</t>
  </si>
  <si>
    <t>2XXX4</t>
  </si>
  <si>
    <t>2XXX5</t>
  </si>
  <si>
    <t>2XXX6</t>
  </si>
  <si>
    <t>2XXX7</t>
  </si>
  <si>
    <t>2XXXX</t>
  </si>
  <si>
    <t>OY3</t>
  </si>
  <si>
    <t>30011</t>
  </si>
  <si>
    <t>30012</t>
  </si>
  <si>
    <t>30013</t>
  </si>
  <si>
    <t>30014</t>
  </si>
  <si>
    <t>30015</t>
  </si>
  <si>
    <t>30016</t>
  </si>
  <si>
    <t>30017</t>
  </si>
  <si>
    <t>30021</t>
  </si>
  <si>
    <t>30022</t>
  </si>
  <si>
    <t>30023</t>
  </si>
  <si>
    <t>30024</t>
  </si>
  <si>
    <t>30025</t>
  </si>
  <si>
    <t>30026</t>
  </si>
  <si>
    <t>30027</t>
  </si>
  <si>
    <t>30031</t>
  </si>
  <si>
    <t>30032</t>
  </si>
  <si>
    <t>30033</t>
  </si>
  <si>
    <t>30034</t>
  </si>
  <si>
    <t>30035</t>
  </si>
  <si>
    <t>30036</t>
  </si>
  <si>
    <t>30037</t>
  </si>
  <si>
    <t>30041</t>
  </si>
  <si>
    <t>30042</t>
  </si>
  <si>
    <t>30043</t>
  </si>
  <si>
    <t>30044</t>
  </si>
  <si>
    <t>30045</t>
  </si>
  <si>
    <t>30046</t>
  </si>
  <si>
    <t>30047</t>
  </si>
  <si>
    <t>30071</t>
  </si>
  <si>
    <t>30072</t>
  </si>
  <si>
    <t>30073</t>
  </si>
  <si>
    <t>30074</t>
  </si>
  <si>
    <t>30075</t>
  </si>
  <si>
    <t>30076</t>
  </si>
  <si>
    <t>30077</t>
  </si>
  <si>
    <t>30081</t>
  </si>
  <si>
    <t>30082</t>
  </si>
  <si>
    <t>30083</t>
  </si>
  <si>
    <t>30084</t>
  </si>
  <si>
    <t>30085</t>
  </si>
  <si>
    <t>30086</t>
  </si>
  <si>
    <t>30087</t>
  </si>
  <si>
    <t>30091</t>
  </si>
  <si>
    <t>30092</t>
  </si>
  <si>
    <t>30093</t>
  </si>
  <si>
    <t>30094</t>
  </si>
  <si>
    <t>30095</t>
  </si>
  <si>
    <t>30096</t>
  </si>
  <si>
    <t>30097</t>
  </si>
  <si>
    <t>30101</t>
  </si>
  <si>
    <t>30102</t>
  </si>
  <si>
    <t>30103</t>
  </si>
  <si>
    <t>30104</t>
  </si>
  <si>
    <t>30105</t>
  </si>
  <si>
    <t>30106</t>
  </si>
  <si>
    <t>30107</t>
  </si>
  <si>
    <t>30111</t>
  </si>
  <si>
    <t>30112</t>
  </si>
  <si>
    <t>30113</t>
  </si>
  <si>
    <t>30114</t>
  </si>
  <si>
    <t>30115</t>
  </si>
  <si>
    <t>30116</t>
  </si>
  <si>
    <t>30117</t>
  </si>
  <si>
    <t>30121</t>
  </si>
  <si>
    <t>30122</t>
  </si>
  <si>
    <t>30123</t>
  </si>
  <si>
    <t>30124</t>
  </si>
  <si>
    <t>30125</t>
  </si>
  <si>
    <t>30126</t>
  </si>
  <si>
    <t>30127</t>
  </si>
  <si>
    <t>30131</t>
  </si>
  <si>
    <t>30132</t>
  </si>
  <si>
    <t>30133</t>
  </si>
  <si>
    <t>30134</t>
  </si>
  <si>
    <t>30135</t>
  </si>
  <si>
    <t>30136</t>
  </si>
  <si>
    <t>30137</t>
  </si>
  <si>
    <t>30141</t>
  </si>
  <si>
    <t>30142</t>
  </si>
  <si>
    <t>30143</t>
  </si>
  <si>
    <t>30144</t>
  </si>
  <si>
    <t>30145</t>
  </si>
  <si>
    <t>30146</t>
  </si>
  <si>
    <t>30147</t>
  </si>
  <si>
    <t>30151</t>
  </si>
  <si>
    <t>30152</t>
  </si>
  <si>
    <t>30153</t>
  </si>
  <si>
    <t>30154</t>
  </si>
  <si>
    <t>30155</t>
  </si>
  <si>
    <t>30156</t>
  </si>
  <si>
    <t>30157</t>
  </si>
  <si>
    <t>30161</t>
  </si>
  <si>
    <t>30162</t>
  </si>
  <si>
    <t>30163</t>
  </si>
  <si>
    <t>30164</t>
  </si>
  <si>
    <t>30165</t>
  </si>
  <si>
    <t>30166</t>
  </si>
  <si>
    <t>30167</t>
  </si>
  <si>
    <t>30171</t>
  </si>
  <si>
    <t>30172</t>
  </si>
  <si>
    <t>30173</t>
  </si>
  <si>
    <t>30174</t>
  </si>
  <si>
    <t>30175</t>
  </si>
  <si>
    <t>30176</t>
  </si>
  <si>
    <t>30177</t>
  </si>
  <si>
    <t>3XXX1</t>
  </si>
  <si>
    <t>3XXX2</t>
  </si>
  <si>
    <t>3XXX3</t>
  </si>
  <si>
    <t>3XXX4</t>
  </si>
  <si>
    <t>3XXX5</t>
  </si>
  <si>
    <t>3XXX6</t>
  </si>
  <si>
    <t>3XXX7</t>
  </si>
  <si>
    <t>3XXXX</t>
  </si>
  <si>
    <t>OY4</t>
  </si>
  <si>
    <t>40011</t>
  </si>
  <si>
    <t>40012</t>
  </si>
  <si>
    <t>40013</t>
  </si>
  <si>
    <t>40014</t>
  </si>
  <si>
    <t>40015</t>
  </si>
  <si>
    <t>40016</t>
  </si>
  <si>
    <t>40017</t>
  </si>
  <si>
    <t>40021</t>
  </si>
  <si>
    <t>40022</t>
  </si>
  <si>
    <t>40023</t>
  </si>
  <si>
    <t>40024</t>
  </si>
  <si>
    <t>40025</t>
  </si>
  <si>
    <t>40026</t>
  </si>
  <si>
    <t>40027</t>
  </si>
  <si>
    <t>40031</t>
  </si>
  <si>
    <t>40032</t>
  </si>
  <si>
    <t>40033</t>
  </si>
  <si>
    <t>40034</t>
  </si>
  <si>
    <t>40035</t>
  </si>
  <si>
    <t>40036</t>
  </si>
  <si>
    <t>40037</t>
  </si>
  <si>
    <t>40041</t>
  </si>
  <si>
    <t>40042</t>
  </si>
  <si>
    <t>40043</t>
  </si>
  <si>
    <t>40044</t>
  </si>
  <si>
    <t>40045</t>
  </si>
  <si>
    <t>40046</t>
  </si>
  <si>
    <t>40047</t>
  </si>
  <si>
    <t>40061</t>
  </si>
  <si>
    <t>40062</t>
  </si>
  <si>
    <t>40063</t>
  </si>
  <si>
    <t>40064</t>
  </si>
  <si>
    <t>40065</t>
  </si>
  <si>
    <t>40066</t>
  </si>
  <si>
    <t>40067</t>
  </si>
  <si>
    <t>40071</t>
  </si>
  <si>
    <t>40072</t>
  </si>
  <si>
    <t>40073</t>
  </si>
  <si>
    <t>40074</t>
  </si>
  <si>
    <t>40075</t>
  </si>
  <si>
    <t>40076</t>
  </si>
  <si>
    <t>40077</t>
  </si>
  <si>
    <t>40081</t>
  </si>
  <si>
    <t>40082</t>
  </si>
  <si>
    <t>40083</t>
  </si>
  <si>
    <t>40084</t>
  </si>
  <si>
    <t>40085</t>
  </si>
  <si>
    <t>40086</t>
  </si>
  <si>
    <t>40087</t>
  </si>
  <si>
    <t>40091</t>
  </si>
  <si>
    <t>40092</t>
  </si>
  <si>
    <t>40093</t>
  </si>
  <si>
    <t>40094</t>
  </si>
  <si>
    <t>40095</t>
  </si>
  <si>
    <t>40096</t>
  </si>
  <si>
    <t>40097</t>
  </si>
  <si>
    <t>40101</t>
  </si>
  <si>
    <t>40102</t>
  </si>
  <si>
    <t>40103</t>
  </si>
  <si>
    <t>40104</t>
  </si>
  <si>
    <t>40105</t>
  </si>
  <si>
    <t>40106</t>
  </si>
  <si>
    <t>40107</t>
  </si>
  <si>
    <t>40111</t>
  </si>
  <si>
    <t>40112</t>
  </si>
  <si>
    <t>40113</t>
  </si>
  <si>
    <t>40114</t>
  </si>
  <si>
    <t>40115</t>
  </si>
  <si>
    <t>40116</t>
  </si>
  <si>
    <t>40117</t>
  </si>
  <si>
    <t>40121</t>
  </si>
  <si>
    <t>40122</t>
  </si>
  <si>
    <t>40123</t>
  </si>
  <si>
    <t>40124</t>
  </si>
  <si>
    <t>40125</t>
  </si>
  <si>
    <t>40126</t>
  </si>
  <si>
    <t>40127</t>
  </si>
  <si>
    <t>40131</t>
  </si>
  <si>
    <t>40132</t>
  </si>
  <si>
    <t>40133</t>
  </si>
  <si>
    <t>40134</t>
  </si>
  <si>
    <t>40135</t>
  </si>
  <si>
    <t>40136</t>
  </si>
  <si>
    <t>40137</t>
  </si>
  <si>
    <t>40141</t>
  </si>
  <si>
    <t>40142</t>
  </si>
  <si>
    <t>40143</t>
  </si>
  <si>
    <t>40144</t>
  </si>
  <si>
    <t>40145</t>
  </si>
  <si>
    <t>40146</t>
  </si>
  <si>
    <t>40147</t>
  </si>
  <si>
    <t>40151</t>
  </si>
  <si>
    <t>40152</t>
  </si>
  <si>
    <t>40153</t>
  </si>
  <si>
    <t>40154</t>
  </si>
  <si>
    <t>40155</t>
  </si>
  <si>
    <t>40156</t>
  </si>
  <si>
    <t>40157</t>
  </si>
  <si>
    <t>40161</t>
  </si>
  <si>
    <t>40162</t>
  </si>
  <si>
    <t>40163</t>
  </si>
  <si>
    <t>40164</t>
  </si>
  <si>
    <t>40165</t>
  </si>
  <si>
    <t>40166</t>
  </si>
  <si>
    <t>40167</t>
  </si>
  <si>
    <t>40171</t>
  </si>
  <si>
    <t>40172</t>
  </si>
  <si>
    <t>40173</t>
  </si>
  <si>
    <t>40174</t>
  </si>
  <si>
    <t>40175</t>
  </si>
  <si>
    <t>40176</t>
  </si>
  <si>
    <t>40177</t>
  </si>
  <si>
    <t>4XXX1</t>
  </si>
  <si>
    <t>Total Fourth Option Year</t>
  </si>
  <si>
    <t>4XXX2</t>
  </si>
  <si>
    <t>4XXX3</t>
  </si>
  <si>
    <t>4XXX4</t>
  </si>
  <si>
    <t>4XXX5</t>
  </si>
  <si>
    <t>4XXX6</t>
  </si>
  <si>
    <t>4XXX7</t>
  </si>
  <si>
    <t>4XXXX</t>
  </si>
  <si>
    <t>ALL CONTRACT PERIODS</t>
  </si>
  <si>
    <t xml:space="preserve"> </t>
  </si>
  <si>
    <t>Total Contract Price</t>
  </si>
  <si>
    <t>Total CSA All Contract Periods</t>
  </si>
  <si>
    <t>Facility</t>
  </si>
  <si>
    <t>Base Period
06/30/2022 - 09/29/2023</t>
  </si>
  <si>
    <t>Total Site Price</t>
  </si>
  <si>
    <t>Service Area</t>
  </si>
  <si>
    <t>Region</t>
  </si>
  <si>
    <t>Location ID (LID)</t>
  </si>
  <si>
    <t>Facility Type (FAC)</t>
  </si>
  <si>
    <t>City</t>
  </si>
  <si>
    <t>State</t>
  </si>
  <si>
    <t>Western Service Area</t>
  </si>
  <si>
    <t>WSA</t>
  </si>
  <si>
    <t>AAL</t>
  </si>
  <si>
    <t>Anchorage</t>
  </si>
  <si>
    <t>AK</t>
  </si>
  <si>
    <t>Reserved</t>
  </si>
  <si>
    <t>CSA</t>
  </si>
  <si>
    <t>AGL</t>
  </si>
  <si>
    <t>C90</t>
  </si>
  <si>
    <t>TRACON</t>
  </si>
  <si>
    <t>Elgin</t>
  </si>
  <si>
    <t>IL</t>
  </si>
  <si>
    <t>ASW</t>
  </si>
  <si>
    <t>D10</t>
  </si>
  <si>
    <t>Dallas/Fort Worth</t>
  </si>
  <si>
    <t>TX</t>
  </si>
  <si>
    <t>DFW</t>
  </si>
  <si>
    <t>ATCT-E</t>
  </si>
  <si>
    <t>ATCT-W</t>
  </si>
  <si>
    <t>DTW</t>
  </si>
  <si>
    <t>ATCT</t>
  </si>
  <si>
    <t>Detroit</t>
  </si>
  <si>
    <t>MI</t>
  </si>
  <si>
    <t>OAK</t>
  </si>
  <si>
    <t>Oakland</t>
  </si>
  <si>
    <t>CA</t>
  </si>
  <si>
    <t>I90</t>
  </si>
  <si>
    <t>Houston</t>
  </si>
  <si>
    <t>IAH</t>
  </si>
  <si>
    <t>MSP</t>
  </si>
  <si>
    <t>Minneapolis</t>
  </si>
  <si>
    <t>MN</t>
  </si>
  <si>
    <t>ORD</t>
  </si>
  <si>
    <t>Chicago</t>
  </si>
  <si>
    <t>ZAB</t>
  </si>
  <si>
    <t>ARTCC</t>
  </si>
  <si>
    <t>Albuquerque</t>
  </si>
  <si>
    <t>NM</t>
  </si>
  <si>
    <t>ZAU</t>
  </si>
  <si>
    <t>Aurora</t>
  </si>
  <si>
    <t>ZFW</t>
  </si>
  <si>
    <t>Fort Worth</t>
  </si>
  <si>
    <t>ZHU</t>
  </si>
  <si>
    <t>ZID</t>
  </si>
  <si>
    <t>Indianapolis</t>
  </si>
  <si>
    <t>IN</t>
  </si>
  <si>
    <t>ACE</t>
  </si>
  <si>
    <t>ZKC</t>
  </si>
  <si>
    <t>Olathe</t>
  </si>
  <si>
    <t>KS</t>
  </si>
  <si>
    <t>ZMP</t>
  </si>
  <si>
    <t>Farmington</t>
  </si>
  <si>
    <t>ZOB</t>
  </si>
  <si>
    <t>Oberlin</t>
  </si>
  <si>
    <t>OH</t>
  </si>
  <si>
    <t xml:space="preserve">Central Service Area Totals:   </t>
  </si>
  <si>
    <t xml:space="preserve">Total CSA Contract Price:   </t>
  </si>
  <si>
    <r>
      <t xml:space="preserve"> </t>
    </r>
    <r>
      <rPr>
        <b/>
        <i/>
        <sz val="12"/>
        <color indexed="8"/>
        <rFont val="Times New Roman"/>
        <family val="1"/>
      </rPr>
      <t>Verification of Wage Determination (WD) Minimums:</t>
    </r>
    <r>
      <rPr>
        <b/>
        <sz val="12"/>
        <color indexed="8"/>
        <rFont val="Times New Roman"/>
        <family val="1"/>
      </rPr>
      <t xml:space="preserve"> </t>
    </r>
  </si>
  <si>
    <t>Offeror Name:</t>
  </si>
  <si>
    <t>Proposal Title and Date:</t>
  </si>
  <si>
    <t>Proposal Number:</t>
  </si>
  <si>
    <r>
      <t>Proposed Labor Category</t>
    </r>
    <r>
      <rPr>
        <b/>
        <sz val="12"/>
        <color indexed="8"/>
        <rFont val="Times New Roman"/>
        <family val="1"/>
      </rPr>
      <t>:</t>
    </r>
  </si>
  <si>
    <r>
      <rPr>
        <b/>
        <u/>
        <sz val="12"/>
        <rFont val="Times New Roman"/>
        <family val="1"/>
      </rPr>
      <t>Occupational Code</t>
    </r>
    <r>
      <rPr>
        <b/>
        <sz val="12"/>
        <rFont val="Times New Roman"/>
        <family val="1"/>
      </rPr>
      <t xml:space="preserve"> </t>
    </r>
  </si>
  <si>
    <t>SCA WD Number</t>
  </si>
  <si>
    <t>Location</t>
  </si>
  <si>
    <r>
      <t>Direct Labor Rates</t>
    </r>
    <r>
      <rPr>
        <b/>
        <sz val="12"/>
        <rFont val="Times New Roman"/>
        <family val="1"/>
      </rPr>
      <t xml:space="preserve">: </t>
    </r>
    <r>
      <rPr>
        <b/>
        <vertAlign val="superscript"/>
        <sz val="12"/>
        <rFont val="Times New Roman"/>
        <family val="1"/>
      </rPr>
      <t>1</t>
    </r>
  </si>
  <si>
    <r>
      <rPr>
        <b/>
        <u/>
        <sz val="12"/>
        <rFont val="Times New Roman"/>
        <family val="1"/>
      </rPr>
      <t>Health &amp; Welfare (H&amp;W) Rate</t>
    </r>
    <r>
      <rPr>
        <b/>
        <sz val="12"/>
        <rFont val="Times New Roman"/>
        <family val="1"/>
      </rPr>
      <t xml:space="preserve"> </t>
    </r>
    <r>
      <rPr>
        <b/>
        <vertAlign val="superscript"/>
        <sz val="12"/>
        <rFont val="Times New Roman"/>
        <family val="1"/>
      </rPr>
      <t xml:space="preserve">2
</t>
    </r>
    <r>
      <rPr>
        <b/>
        <sz val="12"/>
        <rFont val="Times New Roman"/>
        <family val="1"/>
      </rPr>
      <t>(in dollars per hour worked)</t>
    </r>
  </si>
  <si>
    <t>Base</t>
  </si>
  <si>
    <t>Option 1</t>
  </si>
  <si>
    <t>Option 2</t>
  </si>
  <si>
    <t>Option 3</t>
  </si>
  <si>
    <t>Option 4</t>
  </si>
  <si>
    <t>Guard II</t>
  </si>
  <si>
    <t>INSTRUCTIONS:</t>
  </si>
  <si>
    <r>
      <t xml:space="preserve">  </t>
    </r>
    <r>
      <rPr>
        <b/>
        <sz val="12"/>
        <color indexed="8"/>
        <rFont val="Times New Roman"/>
        <family val="1"/>
      </rPr>
      <t>(1)</t>
    </r>
    <r>
      <rPr>
        <sz val="12"/>
        <color indexed="8"/>
        <rFont val="Times New Roman"/>
        <family val="1"/>
      </rPr>
      <t xml:space="preserve">  Identify the direct, unburdened labor rate for each labor category for each period of contract performance.</t>
    </r>
  </si>
  <si>
    <r>
      <rPr>
        <b/>
        <sz val="12"/>
        <color indexed="8"/>
        <rFont val="Times New Roman"/>
        <family val="1"/>
      </rPr>
      <t xml:space="preserve"> </t>
    </r>
    <r>
      <rPr>
        <b/>
        <i/>
        <sz val="12"/>
        <color indexed="8"/>
        <rFont val="Times New Roman"/>
        <family val="1"/>
      </rPr>
      <t>Verification of Collective Bargaining Agreement (CBA) Minimums:</t>
    </r>
    <r>
      <rPr>
        <b/>
        <sz val="12"/>
        <color indexed="8"/>
        <rFont val="Times New Roman"/>
        <family val="1"/>
      </rPr>
      <t xml:space="preserve"> </t>
    </r>
    <r>
      <rPr>
        <b/>
        <vertAlign val="superscript"/>
        <sz val="12"/>
        <color indexed="8"/>
        <rFont val="Times New Roman"/>
        <family val="1"/>
      </rPr>
      <t>1</t>
    </r>
  </si>
  <si>
    <r>
      <t>Proposed Labor Category</t>
    </r>
    <r>
      <rPr>
        <b/>
        <sz val="12"/>
        <color indexed="8"/>
        <rFont val="Times New Roman"/>
        <family val="1"/>
      </rPr>
      <t xml:space="preserve">: </t>
    </r>
  </si>
  <si>
    <r>
      <rPr>
        <b/>
        <u/>
        <sz val="12"/>
        <rFont val="Times New Roman"/>
        <family val="1"/>
      </rPr>
      <t>CBA Labor Category/Identifier</t>
    </r>
    <r>
      <rPr>
        <b/>
        <sz val="12"/>
        <rFont val="Times New Roman"/>
        <family val="1"/>
      </rPr>
      <t xml:space="preserve"> </t>
    </r>
    <r>
      <rPr>
        <b/>
        <vertAlign val="superscript"/>
        <sz val="12"/>
        <rFont val="Times New Roman"/>
        <family val="1"/>
      </rPr>
      <t>1</t>
    </r>
  </si>
  <si>
    <r>
      <rPr>
        <b/>
        <u/>
        <sz val="12"/>
        <rFont val="Times New Roman"/>
        <family val="1"/>
      </rPr>
      <t>Direct Labor Rates</t>
    </r>
    <r>
      <rPr>
        <b/>
        <sz val="12"/>
        <rFont val="Times New Roman"/>
        <family val="1"/>
      </rPr>
      <t xml:space="preserve">: </t>
    </r>
    <r>
      <rPr>
        <b/>
        <vertAlign val="superscript"/>
        <sz val="12"/>
        <rFont val="Times New Roman"/>
        <family val="1"/>
      </rPr>
      <t>2</t>
    </r>
  </si>
  <si>
    <r>
      <rPr>
        <b/>
        <u/>
        <sz val="12"/>
        <rFont val="Times New Roman"/>
        <family val="1"/>
      </rPr>
      <t>Health &amp; Welfare (H&amp;W) Rate</t>
    </r>
    <r>
      <rPr>
        <b/>
        <sz val="12"/>
        <rFont val="Times New Roman"/>
        <family val="1"/>
      </rPr>
      <t xml:space="preserve"> </t>
    </r>
    <r>
      <rPr>
        <b/>
        <vertAlign val="superscript"/>
        <sz val="12"/>
        <rFont val="Times New Roman"/>
        <family val="1"/>
      </rPr>
      <t xml:space="preserve">3
</t>
    </r>
    <r>
      <rPr>
        <b/>
        <sz val="12"/>
        <rFont val="Times New Roman"/>
        <family val="1"/>
      </rPr>
      <t>(in dollars per hour worked)</t>
    </r>
  </si>
  <si>
    <t xml:space="preserve">CBA </t>
  </si>
  <si>
    <r>
      <t xml:space="preserve"> </t>
    </r>
    <r>
      <rPr>
        <b/>
        <sz val="12"/>
        <color indexed="8"/>
        <rFont val="Times New Roman"/>
        <family val="1"/>
      </rPr>
      <t xml:space="preserve"> (1)</t>
    </r>
    <r>
      <rPr>
        <sz val="12"/>
        <color indexed="8"/>
        <rFont val="Times New Roman"/>
        <family val="1"/>
      </rPr>
      <t xml:space="preserve">  Correlate each proposed labor category / position to its respective position / identifier in the CBA.</t>
    </r>
  </si>
  <si>
    <r>
      <t xml:space="preserve">  </t>
    </r>
    <r>
      <rPr>
        <b/>
        <sz val="12"/>
        <color indexed="8"/>
        <rFont val="Times New Roman"/>
        <family val="1"/>
      </rPr>
      <t>(2)</t>
    </r>
    <r>
      <rPr>
        <sz val="12"/>
        <color indexed="8"/>
        <rFont val="Times New Roman"/>
        <family val="1"/>
      </rPr>
      <t xml:space="preserve">  Identify the direct, unburdened labor rate for each labor category for each period of contract performance.</t>
    </r>
  </si>
  <si>
    <t>ESS</t>
  </si>
  <si>
    <t>CBA</t>
  </si>
  <si>
    <t>DIRECT LABOR (DL):</t>
  </si>
  <si>
    <t>HOURS</t>
  </si>
  <si>
    <t>Rate</t>
  </si>
  <si>
    <t>TOTAL</t>
  </si>
  <si>
    <t>Captain</t>
  </si>
  <si>
    <t xml:space="preserve">Total </t>
  </si>
  <si>
    <t>Health and Welfare</t>
  </si>
  <si>
    <t>EMPLOYEE BENEFIT:</t>
  </si>
  <si>
    <t>FRINGE RATE</t>
  </si>
  <si>
    <t xml:space="preserve">Social Security </t>
  </si>
  <si>
    <t>Medicare</t>
  </si>
  <si>
    <t xml:space="preserve">SUTA </t>
  </si>
  <si>
    <t xml:space="preserve">FUTA </t>
  </si>
  <si>
    <t>Sum of Payroll Taxes</t>
  </si>
  <si>
    <t>W/ Payroll Taxes</t>
  </si>
  <si>
    <t>Workman's Comp /General Liability Insurance</t>
  </si>
  <si>
    <t>Sick Leave (Full Time)</t>
  </si>
  <si>
    <t>Sick Leave (Part Time)</t>
  </si>
  <si>
    <t>Holiday (Based on 11 Days)</t>
  </si>
  <si>
    <t>Vacation (Based on 10 Days)</t>
  </si>
  <si>
    <t>Vacation (Based on 17.5 Days)</t>
  </si>
  <si>
    <t>Vacation (Based on 22.5 Days)</t>
  </si>
  <si>
    <t>Health and Welfare for Sick/Holiday/Vacation Hours</t>
  </si>
  <si>
    <t xml:space="preserve">OVERHEAD  EXPENSE </t>
  </si>
  <si>
    <t>OTHER DIRECT COSTS (ODC):</t>
  </si>
  <si>
    <t>Uniforms @</t>
  </si>
  <si>
    <t>Boot Allowance</t>
  </si>
  <si>
    <t>Ammo</t>
  </si>
  <si>
    <t>Duty Gear</t>
  </si>
  <si>
    <t>Weapons</t>
  </si>
  <si>
    <t>Medical /Drug Screening / Physicals</t>
  </si>
  <si>
    <t>Professional Licenses</t>
  </si>
  <si>
    <t>Training - Nonrecurring</t>
  </si>
  <si>
    <t>Training - Recurring Annual</t>
  </si>
  <si>
    <t>Shooting Range Qualification / Requal</t>
  </si>
  <si>
    <t>Travel</t>
  </si>
  <si>
    <t>SUBTOTAL</t>
  </si>
  <si>
    <t>G&amp;A EXPENSE</t>
  </si>
  <si>
    <t>SUBTOTAL G&amp;A/WC/DL</t>
  </si>
  <si>
    <t>PROFIT</t>
  </si>
  <si>
    <t>SUBTOTAL COST AND PROFIT</t>
  </si>
  <si>
    <t>STATE TAXES</t>
  </si>
  <si>
    <t>ANNUAL TOTAL</t>
  </si>
  <si>
    <t>MONTHLY RATE</t>
  </si>
  <si>
    <t>TAS/OTHER SERVICES/TRAINING/RANDOM SCREENING/ROVING PATROL</t>
  </si>
  <si>
    <t>HOURLY PRICE</t>
  </si>
  <si>
    <t>Base Period</t>
  </si>
  <si>
    <t xml:space="preserve"> Base Period</t>
  </si>
  <si>
    <t>Option Period 1</t>
  </si>
  <si>
    <t>Option Period 2</t>
  </si>
  <si>
    <t>Option Period 3</t>
  </si>
  <si>
    <t>OptionPeriod 4</t>
  </si>
  <si>
    <t>OPTION PERIOD 1</t>
  </si>
  <si>
    <t>OPTION PERIOD 2</t>
  </si>
  <si>
    <t>OPTION PERIOD 3</t>
  </si>
  <si>
    <t>OPTION PERIOD 4</t>
  </si>
  <si>
    <t>Option Period 4</t>
  </si>
  <si>
    <r>
      <rPr>
        <b/>
        <sz val="12"/>
        <color indexed="8"/>
        <rFont val="Times New Roman"/>
        <family val="1"/>
      </rPr>
      <t xml:space="preserve">  (2)</t>
    </r>
    <r>
      <rPr>
        <sz val="12"/>
        <color indexed="8"/>
        <rFont val="Times New Roman"/>
        <family val="1"/>
      </rPr>
      <t xml:space="preserve">  Each offeror shall identify its rate of contribution to Health &amp; Welfare (H&amp;W) for each labor category, expressed as dollars per hour. </t>
    </r>
  </si>
  <si>
    <r>
      <rPr>
        <b/>
        <sz val="12"/>
        <color indexed="8"/>
        <rFont val="Times New Roman"/>
        <family val="1"/>
      </rPr>
      <t xml:space="preserve">  (3)</t>
    </r>
    <r>
      <rPr>
        <sz val="12"/>
        <color indexed="8"/>
        <rFont val="Times New Roman"/>
        <family val="1"/>
      </rPr>
      <t xml:space="preserve">  Each offeror shall identify its rate of contribution to Health &amp; Welfare (H&amp;W) for each labor category, expressed as dolars per hour.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</si>
</sst>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41" formatCode="_(* #,##0_);_(* \(#,##0\);_(* &quot;-&quot;_);_(@_)"/>
    <numFmt numFmtId="44" formatCode="_(&quot;$&quot;* #,##0.00_);_(&quot;$&quot;* \(#,##0.00\);_(&quot;$&quot;* &quot;-&quot;??_);_(@_)"/>
    <numFmt numFmtId="43" formatCode="_(* #,##0.00_);_(* \(#,##0.00\);_(* &quot;-&quot;??_);_(@_)"/>
    <numFmt numFmtId="164" formatCode="00000"/>
    <numFmt numFmtId="165" formatCode="_(&quot;$&quot;* #,##0_);_(&quot;$&quot;* \(#,##0\);_(&quot;$&quot;* &quot;-&quot;??_);_(@_)"/>
    <numFmt numFmtId="166" formatCode="&quot;$&quot;#,##0.00"/>
    <numFmt numFmtId="167" formatCode="0.0%"/>
    <numFmt numFmtId="168" formatCode="_(* #,##0_);_(* \(#,##0\);_(* &quot;-&quot;??_);_(@_)"/>
    <numFmt numFmtId="169" formatCode="0.0"/>
    <numFmt numFmtId="170" formatCode="0.00000"/>
  </numFmts>
  <fonts count="34"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8"/>
      <name val="Arial"/>
      <family val="2"/>
    </font>
    <font>
      <sz val="11"/>
      <color theme="1"/>
      <name val="Arial"/>
      <family val="2"/>
    </font>
    <font>
      <sz val="11"/>
      <name val="Arial"/>
      <family val="2"/>
    </font>
    <font>
      <b/>
      <sz val="11"/>
      <color theme="1"/>
      <name val="Arial"/>
      <family val="2"/>
    </font>
    <font>
      <b/>
      <sz val="11"/>
      <name val="Arial"/>
      <family val="2"/>
    </font>
    <font>
      <u val="singleAccounting"/>
      <sz val="11"/>
      <name val="Arial"/>
      <family val="2"/>
    </font>
    <font>
      <u val="singleAccounting"/>
      <sz val="11"/>
      <color theme="1"/>
      <name val="Arial"/>
      <family val="2"/>
    </font>
    <font>
      <b/>
      <u val="singleAccounting"/>
      <sz val="11"/>
      <color theme="1"/>
      <name val="Arial"/>
      <family val="2"/>
    </font>
    <font>
      <sz val="11"/>
      <color indexed="8"/>
      <name val="Arial"/>
      <family val="2"/>
    </font>
    <font>
      <sz val="12"/>
      <name val="Times New Roman"/>
      <family val="1"/>
    </font>
    <font>
      <b/>
      <sz val="12"/>
      <name val="Times New Roman"/>
      <family val="1"/>
    </font>
    <font>
      <sz val="12"/>
      <color theme="1"/>
      <name val="Times New Roman"/>
      <family val="1"/>
    </font>
    <font>
      <b/>
      <vertAlign val="superscript"/>
      <sz val="12"/>
      <name val="Times New Roman"/>
      <family val="1"/>
    </font>
    <font>
      <b/>
      <sz val="12"/>
      <color theme="1"/>
      <name val="Times New Roman"/>
      <family val="1"/>
    </font>
    <font>
      <b/>
      <i/>
      <sz val="12"/>
      <color indexed="8"/>
      <name val="Times New Roman"/>
      <family val="1"/>
    </font>
    <font>
      <b/>
      <sz val="12"/>
      <color indexed="8"/>
      <name val="Times New Roman"/>
      <family val="1"/>
    </font>
    <font>
      <b/>
      <i/>
      <u/>
      <sz val="12"/>
      <name val="Times New Roman"/>
      <family val="1"/>
    </font>
    <font>
      <b/>
      <u/>
      <sz val="12"/>
      <color theme="1"/>
      <name val="Times New Roman"/>
      <family val="1"/>
    </font>
    <font>
      <b/>
      <u/>
      <sz val="12"/>
      <name val="Times New Roman"/>
      <family val="1"/>
    </font>
    <font>
      <b/>
      <i/>
      <u/>
      <sz val="12"/>
      <color theme="1"/>
      <name val="Times New Roman"/>
      <family val="1"/>
    </font>
    <font>
      <sz val="12"/>
      <color indexed="8"/>
      <name val="Times New Roman"/>
      <family val="1"/>
    </font>
    <font>
      <b/>
      <vertAlign val="superscript"/>
      <sz val="12"/>
      <color indexed="8"/>
      <name val="Times New Roman"/>
      <family val="1"/>
    </font>
    <font>
      <b/>
      <i/>
      <sz val="12"/>
      <name val="Times New Roman"/>
      <family val="1"/>
    </font>
    <font>
      <u/>
      <sz val="12"/>
      <color theme="1"/>
      <name val="Times New Roman"/>
      <family val="1"/>
    </font>
    <font>
      <sz val="12"/>
      <color rgb="FFFF0000"/>
      <name val="Times New Roman"/>
      <family val="1"/>
    </font>
    <font>
      <b/>
      <sz val="12"/>
      <color theme="0"/>
      <name val="Times New Roman"/>
      <family val="1"/>
    </font>
    <font>
      <sz val="12"/>
      <color theme="0"/>
      <name val="Times New Roman"/>
      <family val="1"/>
    </font>
    <font>
      <sz val="11"/>
      <color rgb="FF141414"/>
      <name val="Consolas"/>
      <family val="3"/>
    </font>
    <font>
      <b/>
      <sz val="11"/>
      <color rgb="FF141414"/>
      <name val="Arial"/>
      <family val="2"/>
    </font>
  </fonts>
  <fills count="12">
    <fill>
      <patternFill patternType="none"/>
    </fill>
    <fill>
      <patternFill patternType="gray125"/>
    </fill>
    <fill>
      <patternFill patternType="solid">
        <fgColor indexed="22"/>
        <bgColor indexed="64"/>
      </patternFill>
    </fill>
    <fill>
      <patternFill patternType="solid">
        <fgColor indexed="55"/>
        <bgColor indexed="64"/>
      </patternFill>
    </fill>
    <fill>
      <patternFill patternType="solid">
        <fgColor rgb="FF002060"/>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theme="1"/>
        <bgColor indexed="64"/>
      </patternFill>
    </fill>
    <fill>
      <patternFill patternType="solid">
        <fgColor theme="3" tint="0.59999389629810485"/>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ck">
        <color indexed="64"/>
      </bottom>
      <diagonal/>
    </border>
    <border>
      <left style="medium">
        <color indexed="64"/>
      </left>
      <right style="thin">
        <color indexed="64"/>
      </right>
      <top/>
      <bottom style="thick">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thick">
        <color indexed="64"/>
      </bottom>
      <diagonal/>
    </border>
    <border>
      <left style="medium">
        <color indexed="64"/>
      </left>
      <right style="thin">
        <color indexed="64"/>
      </right>
      <top/>
      <bottom style="thin">
        <color indexed="64"/>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thin">
        <color indexed="64"/>
      </left>
      <right style="medium">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s>
  <cellStyleXfs count="16">
    <xf numFmtId="0" fontId="0" fillId="0" borderId="0"/>
    <xf numFmtId="0" fontId="3" fillId="0" borderId="0"/>
    <xf numFmtId="44" fontId="3" fillId="0" borderId="0" applyFont="0" applyFill="0" applyBorder="0" applyAlignment="0" applyProtection="0"/>
    <xf numFmtId="44"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43" fontId="2"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43" fontId="3" fillId="0" borderId="0" applyFont="0" applyFill="0" applyBorder="0" applyAlignment="0" applyProtection="0"/>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352">
    <xf numFmtId="0" fontId="0" fillId="0" borderId="0" xfId="0"/>
    <xf numFmtId="0" fontId="1" fillId="0" borderId="0" xfId="9"/>
    <xf numFmtId="0" fontId="7" fillId="10" borderId="0" xfId="1" applyFont="1" applyFill="1"/>
    <xf numFmtId="0" fontId="3" fillId="10" borderId="0" xfId="9" applyFont="1" applyFill="1"/>
    <xf numFmtId="0" fontId="7" fillId="0" borderId="0" xfId="1" applyFont="1"/>
    <xf numFmtId="0" fontId="8" fillId="0" borderId="0" xfId="1" applyFont="1" applyAlignment="1">
      <alignment horizontal="left"/>
    </xf>
    <xf numFmtId="0" fontId="8" fillId="0" borderId="0" xfId="1" applyFont="1" applyAlignment="1">
      <alignment horizontal="center"/>
    </xf>
    <xf numFmtId="44" fontId="9" fillId="0" borderId="53" xfId="11" applyFont="1" applyBorder="1" applyAlignment="1">
      <alignment horizontal="center"/>
    </xf>
    <xf numFmtId="0" fontId="9" fillId="0" borderId="0" xfId="1" applyFont="1"/>
    <xf numFmtId="0" fontId="9" fillId="0" borderId="0" xfId="1" applyFont="1" applyAlignment="1">
      <alignment horizontal="center"/>
    </xf>
    <xf numFmtId="43" fontId="7" fillId="0" borderId="0" xfId="12" applyFont="1"/>
    <xf numFmtId="44" fontId="7" fillId="0" borderId="0" xfId="11" applyFont="1"/>
    <xf numFmtId="14" fontId="9" fillId="0" borderId="0" xfId="1" applyNumberFormat="1" applyFont="1"/>
    <xf numFmtId="0" fontId="8" fillId="0" borderId="0" xfId="1" applyFont="1"/>
    <xf numFmtId="43" fontId="8" fillId="0" borderId="0" xfId="12" applyFont="1" applyAlignment="1">
      <alignment horizontal="center"/>
    </xf>
    <xf numFmtId="0" fontId="6" fillId="10" borderId="0" xfId="1" applyFont="1" applyFill="1"/>
    <xf numFmtId="43" fontId="10" fillId="0" borderId="0" xfId="12" applyFont="1"/>
    <xf numFmtId="168" fontId="9" fillId="0" borderId="0" xfId="12" applyNumberFormat="1" applyFont="1" applyFill="1"/>
    <xf numFmtId="43" fontId="9" fillId="0" borderId="0" xfId="12" applyFont="1" applyFill="1"/>
    <xf numFmtId="44" fontId="8" fillId="0" borderId="0" xfId="3" applyFont="1" applyFill="1"/>
    <xf numFmtId="44" fontId="7" fillId="0" borderId="0" xfId="1" applyNumberFormat="1" applyFont="1"/>
    <xf numFmtId="44" fontId="9" fillId="0" borderId="0" xfId="11" applyFont="1"/>
    <xf numFmtId="43" fontId="7" fillId="0" borderId="0" xfId="12" applyFont="1" applyFill="1"/>
    <xf numFmtId="2" fontId="9" fillId="0" borderId="0" xfId="1" applyNumberFormat="1" applyFont="1"/>
    <xf numFmtId="43" fontId="11" fillId="0" borderId="0" xfId="12" applyFont="1" applyFill="1"/>
    <xf numFmtId="43" fontId="7" fillId="0" borderId="0" xfId="1" applyNumberFormat="1" applyFont="1"/>
    <xf numFmtId="43" fontId="8" fillId="0" borderId="0" xfId="12" applyFont="1" applyFill="1"/>
    <xf numFmtId="10" fontId="7" fillId="0" borderId="0" xfId="1" applyNumberFormat="1" applyFont="1"/>
    <xf numFmtId="44" fontId="7" fillId="10" borderId="0" xfId="1" applyNumberFormat="1" applyFont="1" applyFill="1"/>
    <xf numFmtId="0" fontId="7" fillId="0" borderId="53" xfId="1" applyFont="1" applyBorder="1"/>
    <xf numFmtId="8" fontId="7" fillId="0" borderId="0" xfId="1" applyNumberFormat="1" applyFont="1"/>
    <xf numFmtId="43" fontId="7" fillId="10" borderId="0" xfId="1" applyNumberFormat="1" applyFont="1" applyFill="1"/>
    <xf numFmtId="0" fontId="7" fillId="0" borderId="0" xfId="13" applyFont="1"/>
    <xf numFmtId="168" fontId="7" fillId="0" borderId="0" xfId="10" applyNumberFormat="1" applyFont="1" applyFill="1"/>
    <xf numFmtId="169" fontId="7" fillId="0" borderId="0" xfId="1" applyNumberFormat="1" applyFont="1"/>
    <xf numFmtId="168" fontId="7" fillId="0" borderId="0" xfId="1" applyNumberFormat="1" applyFont="1"/>
    <xf numFmtId="0" fontId="7" fillId="10" borderId="0" xfId="1" applyFont="1" applyFill="1" applyAlignment="1">
      <alignment horizontal="center"/>
    </xf>
    <xf numFmtId="43" fontId="9" fillId="0" borderId="53" xfId="1" applyNumberFormat="1" applyFont="1" applyBorder="1"/>
    <xf numFmtId="44" fontId="7" fillId="10" borderId="0" xfId="1" applyNumberFormat="1" applyFont="1" applyFill="1" applyAlignment="1">
      <alignment horizontal="center"/>
    </xf>
    <xf numFmtId="170" fontId="7" fillId="0" borderId="0" xfId="1" applyNumberFormat="1" applyFont="1"/>
    <xf numFmtId="43" fontId="7" fillId="0" borderId="0" xfId="12" applyFont="1" applyBorder="1"/>
    <xf numFmtId="44" fontId="8" fillId="0" borderId="0" xfId="1" applyNumberFormat="1" applyFont="1"/>
    <xf numFmtId="170" fontId="9" fillId="0" borderId="0" xfId="1" applyNumberFormat="1" applyFont="1"/>
    <xf numFmtId="43" fontId="9" fillId="0" borderId="0" xfId="12" applyFont="1" applyBorder="1"/>
    <xf numFmtId="44" fontId="9" fillId="0" borderId="0" xfId="1" applyNumberFormat="1" applyFont="1"/>
    <xf numFmtId="43" fontId="8" fillId="0" borderId="0" xfId="12" applyFont="1"/>
    <xf numFmtId="10" fontId="7" fillId="10" borderId="0" xfId="1" applyNumberFormat="1" applyFont="1" applyFill="1"/>
    <xf numFmtId="44" fontId="12" fillId="0" borderId="0" xfId="1" applyNumberFormat="1" applyFont="1"/>
    <xf numFmtId="167" fontId="7" fillId="0" borderId="0" xfId="1" applyNumberFormat="1" applyFont="1"/>
    <xf numFmtId="44" fontId="7" fillId="0" borderId="53" xfId="11" applyFont="1" applyBorder="1"/>
    <xf numFmtId="0" fontId="7" fillId="0" borderId="0" xfId="1" applyFont="1" applyAlignment="1">
      <alignment horizontal="center"/>
    </xf>
    <xf numFmtId="43" fontId="12" fillId="0" borderId="0" xfId="12" applyFont="1"/>
    <xf numFmtId="44" fontId="8" fillId="0" borderId="0" xfId="3" applyFont="1"/>
    <xf numFmtId="10" fontId="8" fillId="0" borderId="0" xfId="1" applyNumberFormat="1" applyFont="1"/>
    <xf numFmtId="167" fontId="7" fillId="10" borderId="0" xfId="1" applyNumberFormat="1" applyFont="1" applyFill="1"/>
    <xf numFmtId="44" fontId="8" fillId="0" borderId="21" xfId="3" applyFont="1" applyBorder="1"/>
    <xf numFmtId="43" fontId="7" fillId="0" borderId="0" xfId="12" applyFont="1" applyFill="1" applyBorder="1"/>
    <xf numFmtId="44" fontId="6" fillId="0" borderId="0" xfId="1" applyNumberFormat="1" applyFont="1"/>
    <xf numFmtId="168" fontId="7" fillId="11" borderId="0" xfId="12" applyNumberFormat="1" applyFont="1" applyFill="1"/>
    <xf numFmtId="43" fontId="4" fillId="11" borderId="0" xfId="10" applyFont="1" applyFill="1" applyBorder="1"/>
    <xf numFmtId="10" fontId="7" fillId="11" borderId="0" xfId="1" applyNumberFormat="1" applyFont="1" applyFill="1"/>
    <xf numFmtId="0" fontId="7" fillId="11" borderId="0" xfId="13" applyFont="1" applyFill="1"/>
    <xf numFmtId="1" fontId="7" fillId="11" borderId="0" xfId="13" applyNumberFormat="1" applyFont="1" applyFill="1"/>
    <xf numFmtId="169" fontId="7" fillId="11" borderId="0" xfId="1" applyNumberFormat="1" applyFont="1" applyFill="1"/>
    <xf numFmtId="0" fontId="7" fillId="11" borderId="0" xfId="1" applyFont="1" applyFill="1"/>
    <xf numFmtId="9" fontId="7" fillId="11" borderId="0" xfId="1" applyNumberFormat="1" applyFont="1" applyFill="1"/>
    <xf numFmtId="2" fontId="9" fillId="11" borderId="0" xfId="1" applyNumberFormat="1" applyFont="1" applyFill="1"/>
    <xf numFmtId="2" fontId="7" fillId="11" borderId="0" xfId="1" applyNumberFormat="1" applyFont="1" applyFill="1"/>
    <xf numFmtId="167" fontId="7" fillId="11" borderId="0" xfId="1" applyNumberFormat="1" applyFont="1" applyFill="1"/>
    <xf numFmtId="9" fontId="6" fillId="11" borderId="0" xfId="15" applyFont="1" applyFill="1"/>
    <xf numFmtId="9" fontId="13" fillId="11" borderId="0" xfId="15" applyFont="1" applyFill="1"/>
    <xf numFmtId="167" fontId="6" fillId="11" borderId="0" xfId="1" applyNumberFormat="1" applyFont="1" applyFill="1"/>
    <xf numFmtId="167" fontId="13" fillId="11" borderId="0" xfId="1" applyNumberFormat="1" applyFont="1" applyFill="1"/>
    <xf numFmtId="166" fontId="7" fillId="11" borderId="0" xfId="1" applyNumberFormat="1" applyFont="1" applyFill="1"/>
    <xf numFmtId="0" fontId="14" fillId="0" borderId="0" xfId="0" applyFont="1" applyAlignment="1">
      <alignment vertical="top" wrapText="1"/>
    </xf>
    <xf numFmtId="0" fontId="15" fillId="0" borderId="0" xfId="0" applyFont="1" applyAlignment="1">
      <alignment vertical="top" wrapText="1"/>
    </xf>
    <xf numFmtId="0" fontId="14" fillId="0" borderId="0" xfId="0" applyFont="1" applyAlignment="1">
      <alignment vertical="top"/>
    </xf>
    <xf numFmtId="0" fontId="7" fillId="0" borderId="0" xfId="11" applyNumberFormat="1" applyFont="1"/>
    <xf numFmtId="0" fontId="8" fillId="0" borderId="0" xfId="3" applyNumberFormat="1" applyFont="1"/>
    <xf numFmtId="164" fontId="15" fillId="0" borderId="0" xfId="1" applyNumberFormat="1" applyFont="1"/>
    <xf numFmtId="1" fontId="14" fillId="0" borderId="0" xfId="1" applyNumberFormat="1" applyFont="1" applyAlignment="1">
      <alignment horizontal="center"/>
    </xf>
    <xf numFmtId="0" fontId="14" fillId="0" borderId="0" xfId="1" applyFont="1" applyAlignment="1">
      <alignment vertical="top" wrapText="1"/>
    </xf>
    <xf numFmtId="0" fontId="14" fillId="0" borderId="0" xfId="1" applyFont="1"/>
    <xf numFmtId="44" fontId="14" fillId="0" borderId="0" xfId="3" applyFont="1" applyAlignment="1" applyProtection="1">
      <alignment horizontal="right"/>
    </xf>
    <xf numFmtId="164" fontId="15" fillId="0" borderId="16" xfId="1" applyNumberFormat="1" applyFont="1" applyBorder="1" applyAlignment="1">
      <alignment horizontal="center" wrapText="1"/>
    </xf>
    <xf numFmtId="1" fontId="15" fillId="0" borderId="21" xfId="1" applyNumberFormat="1" applyFont="1" applyBorder="1" applyAlignment="1">
      <alignment horizontal="center" wrapText="1"/>
    </xf>
    <xf numFmtId="0" fontId="15" fillId="0" borderId="16" xfId="1" applyFont="1" applyBorder="1" applyAlignment="1">
      <alignment horizontal="center" wrapText="1"/>
    </xf>
    <xf numFmtId="0" fontId="15" fillId="0" borderId="7" xfId="1" applyFont="1" applyBorder="1" applyAlignment="1">
      <alignment horizontal="center" wrapText="1"/>
    </xf>
    <xf numFmtId="0" fontId="15" fillId="0" borderId="21" xfId="4" applyFont="1" applyBorder="1" applyAlignment="1">
      <alignment horizontal="center" wrapText="1"/>
    </xf>
    <xf numFmtId="44" fontId="15" fillId="0" borderId="6" xfId="3" applyFont="1" applyFill="1" applyBorder="1" applyAlignment="1" applyProtection="1">
      <alignment horizontal="right" wrapText="1"/>
    </xf>
    <xf numFmtId="164" fontId="14" fillId="0" borderId="13" xfId="1" quotePrefix="1" applyNumberFormat="1" applyFont="1" applyBorder="1" applyAlignment="1">
      <alignment horizontal="right"/>
    </xf>
    <xf numFmtId="1" fontId="14" fillId="0" borderId="9" xfId="4" applyNumberFormat="1" applyFont="1" applyBorder="1" applyAlignment="1">
      <alignment horizontal="left"/>
    </xf>
    <xf numFmtId="44" fontId="14" fillId="0" borderId="9" xfId="4" applyNumberFormat="1" applyFont="1" applyBorder="1" applyAlignment="1">
      <alignment horizontal="center"/>
    </xf>
    <xf numFmtId="0" fontId="14" fillId="0" borderId="9" xfId="4" applyFont="1" applyBorder="1" applyAlignment="1">
      <alignment horizontal="center"/>
    </xf>
    <xf numFmtId="44" fontId="14" fillId="2" borderId="9" xfId="4" applyNumberFormat="1" applyFont="1" applyFill="1" applyBorder="1" applyAlignment="1">
      <alignment horizontal="center"/>
    </xf>
    <xf numFmtId="44" fontId="14" fillId="9" borderId="9" xfId="5" applyFont="1" applyFill="1" applyBorder="1" applyProtection="1">
      <protection locked="0"/>
    </xf>
    <xf numFmtId="0" fontId="14" fillId="0" borderId="9" xfId="5" applyNumberFormat="1" applyFont="1" applyFill="1" applyBorder="1" applyProtection="1"/>
    <xf numFmtId="1" fontId="14" fillId="0" borderId="1" xfId="4" applyNumberFormat="1" applyFont="1" applyBorder="1" applyAlignment="1">
      <alignment horizontal="left"/>
    </xf>
    <xf numFmtId="44" fontId="14" fillId="0" borderId="1" xfId="4" applyNumberFormat="1" applyFont="1" applyBorder="1" applyAlignment="1">
      <alignment horizontal="center"/>
    </xf>
    <xf numFmtId="0" fontId="14" fillId="0" borderId="1" xfId="4" applyFont="1" applyBorder="1" applyAlignment="1">
      <alignment horizontal="center"/>
    </xf>
    <xf numFmtId="44" fontId="14" fillId="9" borderId="1" xfId="5" applyFont="1" applyFill="1" applyBorder="1" applyProtection="1">
      <protection locked="0"/>
    </xf>
    <xf numFmtId="44" fontId="14" fillId="2" borderId="1" xfId="4" applyNumberFormat="1" applyFont="1" applyFill="1" applyBorder="1" applyAlignment="1">
      <alignment horizontal="center"/>
    </xf>
    <xf numFmtId="0" fontId="14" fillId="0" borderId="1" xfId="5" applyNumberFormat="1" applyFont="1" applyFill="1" applyBorder="1" applyProtection="1"/>
    <xf numFmtId="44" fontId="14" fillId="2" borderId="1" xfId="4" applyNumberFormat="1" applyFont="1" applyFill="1" applyBorder="1" applyAlignment="1" applyProtection="1">
      <alignment horizontal="center"/>
      <protection locked="0"/>
    </xf>
    <xf numFmtId="44" fontId="14" fillId="0" borderId="1" xfId="5" applyFont="1" applyFill="1" applyBorder="1" applyProtection="1"/>
    <xf numFmtId="1" fontId="14" fillId="0" borderId="31" xfId="4" applyNumberFormat="1" applyFont="1" applyBorder="1" applyAlignment="1">
      <alignment horizontal="left"/>
    </xf>
    <xf numFmtId="0" fontId="16" fillId="3" borderId="24" xfId="1" applyFont="1" applyFill="1" applyBorder="1"/>
    <xf numFmtId="1" fontId="14" fillId="2" borderId="22" xfId="1" applyNumberFormat="1" applyFont="1" applyFill="1" applyBorder="1" applyAlignment="1">
      <alignment horizontal="left"/>
    </xf>
    <xf numFmtId="44" fontId="15" fillId="2" borderId="3" xfId="4" applyNumberFormat="1" applyFont="1" applyFill="1" applyBorder="1" applyAlignment="1">
      <alignment horizontal="right"/>
    </xf>
    <xf numFmtId="44" fontId="15" fillId="2" borderId="3" xfId="4" applyNumberFormat="1" applyFont="1" applyFill="1" applyBorder="1" applyAlignment="1">
      <alignment horizontal="center"/>
    </xf>
    <xf numFmtId="44" fontId="14" fillId="0" borderId="11" xfId="3" applyFont="1" applyFill="1" applyBorder="1" applyAlignment="1" applyProtection="1">
      <alignment horizontal="right"/>
    </xf>
    <xf numFmtId="1" fontId="14" fillId="0" borderId="61" xfId="4" applyNumberFormat="1" applyFont="1" applyBorder="1" applyAlignment="1">
      <alignment horizontal="left"/>
    </xf>
    <xf numFmtId="1" fontId="14" fillId="2" borderId="63" xfId="1" applyNumberFormat="1" applyFont="1" applyFill="1" applyBorder="1" applyAlignment="1">
      <alignment horizontal="left"/>
    </xf>
    <xf numFmtId="1" fontId="14" fillId="2" borderId="24" xfId="1" applyNumberFormat="1" applyFont="1" applyFill="1" applyBorder="1" applyAlignment="1">
      <alignment horizontal="left"/>
    </xf>
    <xf numFmtId="164" fontId="14" fillId="0" borderId="13" xfId="1" applyNumberFormat="1" applyFont="1" applyBorder="1" applyAlignment="1">
      <alignment horizontal="right"/>
    </xf>
    <xf numFmtId="164" fontId="14" fillId="0" borderId="13" xfId="1" quotePrefix="1" applyNumberFormat="1" applyFont="1" applyBorder="1"/>
    <xf numFmtId="0" fontId="16" fillId="3" borderId="22" xfId="1" applyFont="1" applyFill="1" applyBorder="1"/>
    <xf numFmtId="164" fontId="14" fillId="0" borderId="64" xfId="1" quotePrefix="1" applyNumberFormat="1" applyFont="1" applyBorder="1" applyAlignment="1">
      <alignment horizontal="right"/>
    </xf>
    <xf numFmtId="44" fontId="14" fillId="0" borderId="9" xfId="5" applyFont="1" applyFill="1" applyBorder="1" applyProtection="1"/>
    <xf numFmtId="0" fontId="15" fillId="0" borderId="0" xfId="0" applyFont="1"/>
    <xf numFmtId="0" fontId="14" fillId="0" borderId="0" xfId="0" applyFont="1"/>
    <xf numFmtId="0" fontId="15" fillId="0" borderId="13" xfId="0" applyFont="1" applyBorder="1" applyAlignment="1">
      <alignment horizontal="center"/>
    </xf>
    <xf numFmtId="0" fontId="15" fillId="0" borderId="1" xfId="0" applyFont="1" applyBorder="1" applyAlignment="1">
      <alignment horizontal="center"/>
    </xf>
    <xf numFmtId="0" fontId="15" fillId="0" borderId="5" xfId="0" applyFont="1" applyBorder="1" applyAlignment="1">
      <alignment horizontal="center"/>
    </xf>
    <xf numFmtId="44" fontId="14" fillId="2" borderId="13" xfId="0" applyNumberFormat="1" applyFont="1" applyFill="1" applyBorder="1"/>
    <xf numFmtId="44" fontId="14" fillId="2" borderId="5" xfId="0" applyNumberFormat="1" applyFont="1" applyFill="1" applyBorder="1"/>
    <xf numFmtId="44" fontId="14" fillId="2" borderId="15" xfId="0" applyNumberFormat="1" applyFont="1" applyFill="1" applyBorder="1"/>
    <xf numFmtId="0" fontId="14" fillId="0" borderId="13" xfId="0" applyFont="1" applyBorder="1" applyAlignment="1">
      <alignment horizontal="center" vertical="top"/>
    </xf>
    <xf numFmtId="0" fontId="14" fillId="0" borderId="1" xfId="0" applyFont="1" applyBorder="1" applyAlignment="1">
      <alignment horizontal="center" vertical="top"/>
    </xf>
    <xf numFmtId="44" fontId="14" fillId="0" borderId="1" xfId="0" applyNumberFormat="1" applyFont="1" applyBorder="1" applyAlignment="1">
      <alignment horizontal="center" vertical="top"/>
    </xf>
    <xf numFmtId="44" fontId="14" fillId="0" borderId="5" xfId="0" applyNumberFormat="1" applyFont="1" applyBorder="1" applyAlignment="1">
      <alignment horizontal="center" vertical="top"/>
    </xf>
    <xf numFmtId="44" fontId="14" fillId="0" borderId="13" xfId="2" applyFont="1" applyBorder="1" applyAlignment="1">
      <alignment horizontal="center"/>
    </xf>
    <xf numFmtId="44" fontId="14" fillId="0" borderId="5" xfId="2" applyFont="1" applyBorder="1" applyAlignment="1">
      <alignment horizontal="center"/>
    </xf>
    <xf numFmtId="44" fontId="14" fillId="0" borderId="5" xfId="2" applyFont="1" applyBorder="1"/>
    <xf numFmtId="0" fontId="14" fillId="5" borderId="1" xfId="0" applyFont="1" applyFill="1" applyBorder="1" applyAlignment="1">
      <alignment horizontal="center" vertical="top"/>
    </xf>
    <xf numFmtId="44" fontId="14" fillId="5" borderId="1" xfId="0" applyNumberFormat="1" applyFont="1" applyFill="1" applyBorder="1" applyAlignment="1">
      <alignment horizontal="center" vertical="top"/>
    </xf>
    <xf numFmtId="44" fontId="14" fillId="5" borderId="5" xfId="0" applyNumberFormat="1" applyFont="1" applyFill="1" applyBorder="1" applyAlignment="1">
      <alignment horizontal="center" vertical="top"/>
    </xf>
    <xf numFmtId="44" fontId="14" fillId="0" borderId="61" xfId="0" applyNumberFormat="1" applyFont="1" applyBorder="1" applyAlignment="1">
      <alignment horizontal="center" vertical="top"/>
    </xf>
    <xf numFmtId="44" fontId="14" fillId="0" borderId="11" xfId="2" applyFont="1" applyBorder="1"/>
    <xf numFmtId="0" fontId="14" fillId="0" borderId="0" xfId="0" applyFont="1" applyAlignment="1">
      <alignment horizontal="center"/>
    </xf>
    <xf numFmtId="0" fontId="15" fillId="0" borderId="0" xfId="0" applyFont="1" applyAlignment="1">
      <alignment horizontal="right"/>
    </xf>
    <xf numFmtId="44" fontId="14" fillId="0" borderId="0" xfId="0" applyNumberFormat="1" applyFont="1"/>
    <xf numFmtId="44" fontId="15" fillId="0" borderId="62" xfId="0" applyNumberFormat="1" applyFont="1" applyBorder="1" applyAlignment="1">
      <alignment horizontal="right"/>
    </xf>
    <xf numFmtId="44" fontId="14" fillId="0" borderId="6" xfId="0" applyNumberFormat="1" applyFont="1" applyBorder="1"/>
    <xf numFmtId="0" fontId="15" fillId="0" borderId="0" xfId="0" applyFont="1" applyAlignment="1">
      <alignment horizontal="center"/>
    </xf>
    <xf numFmtId="0" fontId="16" fillId="0" borderId="0" xfId="0" applyFont="1" applyProtection="1">
      <protection locked="0"/>
    </xf>
    <xf numFmtId="0" fontId="16" fillId="0" borderId="0" xfId="0" applyFont="1" applyAlignment="1" applyProtection="1">
      <alignment vertical="center"/>
      <protection locked="0"/>
    </xf>
    <xf numFmtId="0" fontId="16" fillId="0" borderId="1" xfId="0" applyFont="1" applyBorder="1" applyAlignment="1" applyProtection="1">
      <alignment horizontal="center" vertical="center"/>
      <protection locked="0"/>
    </xf>
    <xf numFmtId="0" fontId="21" fillId="0" borderId="9" xfId="1" applyFont="1" applyBorder="1" applyAlignment="1" applyProtection="1">
      <alignment horizontal="left" vertical="center"/>
      <protection locked="0"/>
    </xf>
    <xf numFmtId="0" fontId="16" fillId="0" borderId="9" xfId="0" applyFont="1" applyBorder="1" applyAlignment="1" applyProtection="1">
      <alignment horizontal="center" vertical="center"/>
      <protection locked="0"/>
    </xf>
    <xf numFmtId="0" fontId="21" fillId="0" borderId="0" xfId="1" applyFont="1" applyAlignment="1" applyProtection="1">
      <alignment vertical="center"/>
      <protection locked="0"/>
    </xf>
    <xf numFmtId="0" fontId="23" fillId="7" borderId="14" xfId="1" applyFont="1" applyFill="1" applyBorder="1" applyAlignment="1">
      <alignment horizontal="center" vertical="center" wrapText="1"/>
    </xf>
    <xf numFmtId="0" fontId="23" fillId="7" borderId="3" xfId="1" applyFont="1" applyFill="1" applyBorder="1" applyAlignment="1">
      <alignment horizontal="center" vertical="center" wrapText="1"/>
    </xf>
    <xf numFmtId="0" fontId="23" fillId="7" borderId="11" xfId="1" applyFont="1" applyFill="1" applyBorder="1" applyAlignment="1">
      <alignment horizontal="center" vertical="center" wrapText="1"/>
    </xf>
    <xf numFmtId="0" fontId="24" fillId="0" borderId="0" xfId="0" applyFont="1" applyAlignment="1" applyProtection="1">
      <alignment horizontal="left" vertical="center"/>
      <protection locked="0"/>
    </xf>
    <xf numFmtId="0" fontId="14" fillId="0" borderId="0" xfId="1" applyFont="1" applyAlignment="1" applyProtection="1">
      <alignment horizontal="center" vertical="center" wrapText="1"/>
      <protection locked="0"/>
    </xf>
    <xf numFmtId="14" fontId="15" fillId="0" borderId="0" xfId="1" applyNumberFormat="1" applyFont="1" applyAlignment="1" applyProtection="1">
      <alignment horizontal="center" vertical="center" wrapText="1"/>
      <protection locked="0"/>
    </xf>
    <xf numFmtId="0" fontId="16" fillId="5" borderId="19" xfId="0" applyFont="1" applyFill="1" applyBorder="1" applyAlignment="1">
      <alignment horizontal="left" vertical="center"/>
    </xf>
    <xf numFmtId="1" fontId="16" fillId="0" borderId="37" xfId="0" applyNumberFormat="1" applyFont="1" applyBorder="1" applyAlignment="1" applyProtection="1">
      <alignment horizontal="center" vertical="center"/>
      <protection locked="0"/>
    </xf>
    <xf numFmtId="1" fontId="16" fillId="0" borderId="35" xfId="0" applyNumberFormat="1" applyFont="1" applyBorder="1" applyAlignment="1" applyProtection="1">
      <alignment horizontal="center" vertical="center"/>
      <protection locked="0"/>
    </xf>
    <xf numFmtId="1" fontId="16" fillId="0" borderId="19" xfId="0" applyNumberFormat="1" applyFont="1" applyBorder="1" applyAlignment="1" applyProtection="1">
      <alignment horizontal="center" vertical="center"/>
      <protection locked="0"/>
    </xf>
    <xf numFmtId="166" fontId="14" fillId="0" borderId="19" xfId="7" applyNumberFormat="1" applyFont="1" applyFill="1" applyBorder="1" applyAlignment="1" applyProtection="1">
      <alignment horizontal="center" vertical="center"/>
      <protection locked="0"/>
    </xf>
    <xf numFmtId="166" fontId="14" fillId="0" borderId="38" xfId="7" applyNumberFormat="1" applyFont="1" applyFill="1" applyBorder="1" applyAlignment="1" applyProtection="1">
      <alignment horizontal="center" vertical="center"/>
      <protection locked="0"/>
    </xf>
    <xf numFmtId="166" fontId="14" fillId="0" borderId="2" xfId="7" applyNumberFormat="1" applyFont="1" applyFill="1" applyBorder="1" applyAlignment="1" applyProtection="1">
      <alignment horizontal="center" vertical="center"/>
      <protection locked="0"/>
    </xf>
    <xf numFmtId="166" fontId="14" fillId="0" borderId="39" xfId="7" applyNumberFormat="1" applyFont="1" applyFill="1" applyBorder="1" applyAlignment="1" applyProtection="1">
      <alignment horizontal="center" vertical="center"/>
      <protection locked="0"/>
    </xf>
    <xf numFmtId="2" fontId="14" fillId="0" borderId="37" xfId="7" applyNumberFormat="1" applyFont="1" applyFill="1" applyBorder="1" applyAlignment="1" applyProtection="1">
      <alignment horizontal="center" vertical="center"/>
      <protection locked="0"/>
    </xf>
    <xf numFmtId="0" fontId="16" fillId="5" borderId="15" xfId="0" applyFont="1" applyFill="1" applyBorder="1" applyAlignment="1">
      <alignment horizontal="left" vertical="center"/>
    </xf>
    <xf numFmtId="1" fontId="16" fillId="0" borderId="40" xfId="0" applyNumberFormat="1" applyFont="1" applyBorder="1" applyAlignment="1" applyProtection="1">
      <alignment horizontal="center" vertical="center"/>
      <protection locked="0"/>
    </xf>
    <xf numFmtId="1" fontId="16" fillId="0" borderId="33" xfId="0" applyNumberFormat="1" applyFont="1" applyBorder="1" applyAlignment="1" applyProtection="1">
      <alignment horizontal="center" vertical="center"/>
      <protection locked="0"/>
    </xf>
    <xf numFmtId="1" fontId="16" fillId="0" borderId="15" xfId="0" applyNumberFormat="1" applyFont="1" applyBorder="1" applyAlignment="1" applyProtection="1">
      <alignment horizontal="center" vertical="center"/>
      <protection locked="0"/>
    </xf>
    <xf numFmtId="166" fontId="14" fillId="0" borderId="15" xfId="7" applyNumberFormat="1" applyFont="1" applyFill="1" applyBorder="1" applyAlignment="1" applyProtection="1">
      <alignment horizontal="center" vertical="center"/>
      <protection locked="0"/>
    </xf>
    <xf numFmtId="166" fontId="14" fillId="0" borderId="41" xfId="7" applyNumberFormat="1" applyFont="1" applyFill="1" applyBorder="1" applyAlignment="1" applyProtection="1">
      <alignment horizontal="center" vertical="center"/>
      <protection locked="0"/>
    </xf>
    <xf numFmtId="166" fontId="14" fillId="0" borderId="1" xfId="7" applyNumberFormat="1" applyFont="1" applyFill="1" applyBorder="1" applyAlignment="1" applyProtection="1">
      <alignment horizontal="center" vertical="center"/>
      <protection locked="0"/>
    </xf>
    <xf numFmtId="166" fontId="14" fillId="0" borderId="5" xfId="7" applyNumberFormat="1" applyFont="1" applyFill="1" applyBorder="1" applyAlignment="1" applyProtection="1">
      <alignment horizontal="center" vertical="center"/>
      <protection locked="0"/>
    </xf>
    <xf numFmtId="2" fontId="14" fillId="0" borderId="40" xfId="7" applyNumberFormat="1" applyFont="1" applyFill="1" applyBorder="1" applyAlignment="1" applyProtection="1">
      <alignment horizontal="center" vertical="center"/>
      <protection locked="0"/>
    </xf>
    <xf numFmtId="0" fontId="16" fillId="5" borderId="22" xfId="0" applyFont="1" applyFill="1" applyBorder="1" applyAlignment="1">
      <alignment horizontal="left" vertical="center"/>
    </xf>
    <xf numFmtId="1" fontId="16" fillId="0" borderId="42" xfId="0" applyNumberFormat="1" applyFont="1" applyBorder="1" applyAlignment="1" applyProtection="1">
      <alignment horizontal="center" vertical="center"/>
      <protection locked="0"/>
    </xf>
    <xf numFmtId="1" fontId="16" fillId="0" borderId="43" xfId="0" applyNumberFormat="1" applyFont="1" applyBorder="1" applyAlignment="1" applyProtection="1">
      <alignment horizontal="center" vertical="center"/>
      <protection locked="0"/>
    </xf>
    <xf numFmtId="1" fontId="16" fillId="0" borderId="22" xfId="0" applyNumberFormat="1" applyFont="1" applyBorder="1" applyAlignment="1" applyProtection="1">
      <alignment horizontal="center" vertical="center"/>
      <protection locked="0"/>
    </xf>
    <xf numFmtId="166" fontId="14" fillId="0" borderId="22" xfId="7" applyNumberFormat="1" applyFont="1" applyFill="1" applyBorder="1" applyAlignment="1" applyProtection="1">
      <alignment horizontal="center" vertical="center"/>
      <protection locked="0"/>
    </xf>
    <xf numFmtId="166" fontId="14" fillId="0" borderId="44" xfId="7" applyNumberFormat="1" applyFont="1" applyFill="1" applyBorder="1" applyAlignment="1" applyProtection="1">
      <alignment horizontal="center" vertical="center"/>
      <protection locked="0"/>
    </xf>
    <xf numFmtId="166" fontId="14" fillId="0" borderId="3" xfId="7" applyNumberFormat="1" applyFont="1" applyFill="1" applyBorder="1" applyAlignment="1" applyProtection="1">
      <alignment horizontal="center" vertical="center"/>
      <protection locked="0"/>
    </xf>
    <xf numFmtId="166" fontId="14" fillId="0" borderId="11" xfId="7" applyNumberFormat="1" applyFont="1" applyFill="1" applyBorder="1" applyAlignment="1" applyProtection="1">
      <alignment horizontal="center" vertical="center"/>
      <protection locked="0"/>
    </xf>
    <xf numFmtId="2" fontId="14" fillId="0" borderId="42" xfId="7" applyNumberFormat="1" applyFont="1" applyFill="1" applyBorder="1" applyAlignment="1" applyProtection="1">
      <alignment horizontal="center" vertical="center"/>
      <protection locked="0"/>
    </xf>
    <xf numFmtId="0" fontId="16" fillId="0" borderId="0" xfId="0" applyFont="1" applyAlignment="1" applyProtection="1">
      <alignment horizontal="left" vertical="center"/>
      <protection locked="0"/>
    </xf>
    <xf numFmtId="0" fontId="16" fillId="0" borderId="0" xfId="0" applyFont="1" applyAlignment="1" applyProtection="1">
      <alignment horizontal="center" vertical="center"/>
      <protection locked="0"/>
    </xf>
    <xf numFmtId="166" fontId="14" fillId="0" borderId="0" xfId="7" applyNumberFormat="1" applyFont="1" applyFill="1" applyBorder="1" applyAlignment="1" applyProtection="1">
      <alignment horizontal="center" vertical="center"/>
      <protection locked="0"/>
    </xf>
    <xf numFmtId="0" fontId="16" fillId="5" borderId="0" xfId="0" applyFont="1" applyFill="1" applyAlignment="1" applyProtection="1">
      <alignment vertical="center"/>
      <protection locked="0"/>
    </xf>
    <xf numFmtId="0" fontId="28" fillId="0" borderId="1" xfId="0" applyFont="1" applyBorder="1" applyAlignment="1" applyProtection="1">
      <alignment horizontal="center" vertical="center"/>
      <protection locked="0"/>
    </xf>
    <xf numFmtId="0" fontId="21" fillId="0" borderId="0" xfId="1" applyFont="1" applyAlignment="1" applyProtection="1">
      <alignment horizontal="left" vertical="center"/>
      <protection locked="0"/>
    </xf>
    <xf numFmtId="0" fontId="15" fillId="6" borderId="45" xfId="1" applyFont="1" applyFill="1" applyBorder="1" applyAlignment="1">
      <alignment horizontal="center" vertical="center" wrapText="1"/>
    </xf>
    <xf numFmtId="0" fontId="15" fillId="7" borderId="21" xfId="1" applyFont="1" applyFill="1" applyBorder="1" applyAlignment="1">
      <alignment horizontal="center" vertical="center" wrapText="1"/>
    </xf>
    <xf numFmtId="0" fontId="15" fillId="7" borderId="55" xfId="1" applyFont="1" applyFill="1" applyBorder="1" applyAlignment="1">
      <alignment horizontal="center" vertical="center" wrapText="1"/>
    </xf>
    <xf numFmtId="0" fontId="15" fillId="7" borderId="56" xfId="1" applyFont="1" applyFill="1" applyBorder="1" applyAlignment="1">
      <alignment horizontal="center" vertical="center" wrapText="1"/>
    </xf>
    <xf numFmtId="0" fontId="15" fillId="7" borderId="57" xfId="1" applyFont="1" applyFill="1" applyBorder="1" applyAlignment="1">
      <alignment horizontal="center" vertical="center" wrapText="1"/>
    </xf>
    <xf numFmtId="0" fontId="16" fillId="0" borderId="37" xfId="0" applyFont="1" applyBorder="1" applyAlignment="1" applyProtection="1">
      <alignment horizontal="center" vertical="center"/>
      <protection locked="0"/>
    </xf>
    <xf numFmtId="0" fontId="16" fillId="0" borderId="19" xfId="0" applyFont="1" applyBorder="1" applyAlignment="1" applyProtection="1">
      <alignment horizontal="center" vertical="center"/>
      <protection locked="0"/>
    </xf>
    <xf numFmtId="0" fontId="16" fillId="0" borderId="36" xfId="0" applyFont="1" applyBorder="1" applyAlignment="1" applyProtection="1">
      <alignment horizontal="center" vertical="center"/>
      <protection locked="0"/>
    </xf>
    <xf numFmtId="166" fontId="14" fillId="0" borderId="17" xfId="7" applyNumberFormat="1" applyFont="1" applyFill="1" applyBorder="1" applyAlignment="1" applyProtection="1">
      <alignment horizontal="center" vertical="center"/>
      <protection locked="0"/>
    </xf>
    <xf numFmtId="0" fontId="16" fillId="0" borderId="40" xfId="0" applyFont="1" applyBorder="1" applyAlignment="1" applyProtection="1">
      <alignment horizontal="center" vertical="center"/>
      <protection locked="0"/>
    </xf>
    <xf numFmtId="0" fontId="16" fillId="0" borderId="15" xfId="0" applyFont="1" applyBorder="1" applyAlignment="1" applyProtection="1">
      <alignment horizontal="center" vertical="center"/>
      <protection locked="0"/>
    </xf>
    <xf numFmtId="0" fontId="16" fillId="0" borderId="31" xfId="0" applyFont="1" applyBorder="1" applyAlignment="1" applyProtection="1">
      <alignment horizontal="center" vertical="center"/>
      <protection locked="0"/>
    </xf>
    <xf numFmtId="166" fontId="14" fillId="0" borderId="13" xfId="7" applyNumberFormat="1" applyFont="1" applyFill="1" applyBorder="1" applyAlignment="1" applyProtection="1">
      <alignment horizontal="center" vertical="center"/>
      <protection locked="0"/>
    </xf>
    <xf numFmtId="2" fontId="14" fillId="0" borderId="58" xfId="7" applyNumberFormat="1" applyFont="1" applyFill="1" applyBorder="1" applyAlignment="1" applyProtection="1">
      <alignment horizontal="center" vertical="center"/>
      <protection locked="0"/>
    </xf>
    <xf numFmtId="0" fontId="16" fillId="0" borderId="42" xfId="0" applyFont="1" applyBorder="1" applyAlignment="1" applyProtection="1">
      <alignment horizontal="center" vertical="center"/>
      <protection locked="0"/>
    </xf>
    <xf numFmtId="0" fontId="16" fillId="0" borderId="22" xfId="0" applyFont="1" applyBorder="1" applyAlignment="1" applyProtection="1">
      <alignment horizontal="center" vertical="center"/>
      <protection locked="0"/>
    </xf>
    <xf numFmtId="0" fontId="16" fillId="0" borderId="59" xfId="0" applyFont="1" applyBorder="1" applyAlignment="1" applyProtection="1">
      <alignment horizontal="center" vertical="center"/>
      <protection locked="0"/>
    </xf>
    <xf numFmtId="166" fontId="14" fillId="0" borderId="14" xfId="7" applyNumberFormat="1" applyFont="1" applyFill="1" applyBorder="1" applyAlignment="1" applyProtection="1">
      <alignment horizontal="center" vertical="center"/>
      <protection locked="0"/>
    </xf>
    <xf numFmtId="166" fontId="14" fillId="0" borderId="60" xfId="7" applyNumberFormat="1" applyFont="1" applyFill="1" applyBorder="1" applyAlignment="1" applyProtection="1">
      <alignment horizontal="center" vertical="center"/>
      <protection locked="0"/>
    </xf>
    <xf numFmtId="0" fontId="22" fillId="5" borderId="45" xfId="0" applyFont="1" applyFill="1" applyBorder="1" applyAlignment="1">
      <alignment horizontal="center" vertical="center"/>
    </xf>
    <xf numFmtId="0" fontId="14" fillId="0" borderId="0" xfId="0" applyFont="1" applyProtection="1">
      <protection locked="0"/>
    </xf>
    <xf numFmtId="0" fontId="29" fillId="0" borderId="0" xfId="1" applyFont="1"/>
    <xf numFmtId="44" fontId="14" fillId="0" borderId="0" xfId="1" applyNumberFormat="1" applyFont="1"/>
    <xf numFmtId="1" fontId="14" fillId="0" borderId="0" xfId="1" applyNumberFormat="1" applyFont="1" applyAlignment="1">
      <alignment horizontal="left"/>
    </xf>
    <xf numFmtId="44" fontId="15" fillId="0" borderId="0" xfId="1" applyNumberFormat="1" applyFont="1" applyAlignment="1">
      <alignment horizontal="right"/>
    </xf>
    <xf numFmtId="44" fontId="14" fillId="0" borderId="0" xfId="3" applyFont="1" applyFill="1" applyBorder="1" applyAlignment="1" applyProtection="1">
      <alignment horizontal="right"/>
    </xf>
    <xf numFmtId="1" fontId="14" fillId="0" borderId="15" xfId="1" applyNumberFormat="1" applyFont="1" applyBorder="1" applyAlignment="1">
      <alignment horizontal="left"/>
    </xf>
    <xf numFmtId="0" fontId="14" fillId="0" borderId="0" xfId="1" applyFont="1" applyAlignment="1">
      <alignment horizontal="center" vertical="top" wrapText="1"/>
    </xf>
    <xf numFmtId="44" fontId="14" fillId="2" borderId="9" xfId="4" applyNumberFormat="1" applyFont="1" applyFill="1" applyBorder="1" applyAlignment="1" applyProtection="1">
      <alignment horizontal="center"/>
      <protection locked="0"/>
    </xf>
    <xf numFmtId="0" fontId="14" fillId="0" borderId="0" xfId="1" applyFont="1" applyAlignment="1">
      <alignment horizontal="right"/>
    </xf>
    <xf numFmtId="164" fontId="15" fillId="0" borderId="16" xfId="6" applyNumberFormat="1" applyFont="1" applyBorder="1" applyAlignment="1">
      <alignment horizontal="center" wrapText="1"/>
    </xf>
    <xf numFmtId="1" fontId="15" fillId="0" borderId="7" xfId="6" applyNumberFormat="1" applyFont="1" applyBorder="1" applyAlignment="1">
      <alignment horizontal="center" wrapText="1"/>
    </xf>
    <xf numFmtId="0" fontId="15" fillId="0" borderId="7" xfId="6" applyFont="1" applyBorder="1" applyAlignment="1">
      <alignment horizontal="center" wrapText="1"/>
    </xf>
    <xf numFmtId="165" fontId="15" fillId="0" borderId="6" xfId="6" applyNumberFormat="1" applyFont="1" applyBorder="1" applyAlignment="1">
      <alignment horizontal="right" wrapText="1"/>
    </xf>
    <xf numFmtId="164" fontId="30" fillId="4" borderId="1" xfId="1" applyNumberFormat="1" applyFont="1" applyFill="1" applyBorder="1" applyAlignment="1">
      <alignment horizontal="right"/>
    </xf>
    <xf numFmtId="1" fontId="30" fillId="4" borderId="15" xfId="1" applyNumberFormat="1" applyFont="1" applyFill="1" applyBorder="1" applyAlignment="1">
      <alignment horizontal="left"/>
    </xf>
    <xf numFmtId="44" fontId="30" fillId="4" borderId="1" xfId="4" applyNumberFormat="1" applyFont="1" applyFill="1" applyBorder="1" applyAlignment="1">
      <alignment horizontal="center"/>
    </xf>
    <xf numFmtId="41" fontId="30" fillId="4" borderId="1" xfId="1" applyNumberFormat="1" applyFont="1" applyFill="1" applyBorder="1" applyAlignment="1">
      <alignment horizontal="center"/>
    </xf>
    <xf numFmtId="44" fontId="30" fillId="4" borderId="9" xfId="3" applyFont="1" applyFill="1" applyBorder="1" applyAlignment="1" applyProtection="1">
      <alignment horizontal="right"/>
    </xf>
    <xf numFmtId="0" fontId="30" fillId="4" borderId="1" xfId="4" applyFont="1" applyFill="1" applyBorder="1" applyAlignment="1">
      <alignment horizontal="center"/>
    </xf>
    <xf numFmtId="0" fontId="30" fillId="4" borderId="9" xfId="4" applyFont="1" applyFill="1" applyBorder="1" applyAlignment="1">
      <alignment horizontal="center"/>
    </xf>
    <xf numFmtId="41" fontId="30" fillId="4" borderId="9" xfId="1" applyNumberFormat="1" applyFont="1" applyFill="1" applyBorder="1" applyAlignment="1">
      <alignment horizontal="center"/>
    </xf>
    <xf numFmtId="0" fontId="30" fillId="4" borderId="22" xfId="1" applyFont="1" applyFill="1" applyBorder="1" applyAlignment="1">
      <alignment horizontal="right"/>
    </xf>
    <xf numFmtId="1" fontId="30" fillId="4" borderId="22" xfId="1" applyNumberFormat="1" applyFont="1" applyFill="1" applyBorder="1" applyAlignment="1">
      <alignment horizontal="left"/>
    </xf>
    <xf numFmtId="44" fontId="30" fillId="4" borderId="3" xfId="1" applyNumberFormat="1" applyFont="1" applyFill="1" applyBorder="1" applyAlignment="1">
      <alignment horizontal="right"/>
    </xf>
    <xf numFmtId="44" fontId="30" fillId="4" borderId="44" xfId="1" applyNumberFormat="1" applyFont="1" applyFill="1" applyBorder="1" applyAlignment="1">
      <alignment horizontal="right"/>
    </xf>
    <xf numFmtId="44" fontId="30" fillId="4" borderId="11" xfId="3" applyFont="1" applyFill="1" applyBorder="1" applyAlignment="1" applyProtection="1">
      <alignment horizontal="right"/>
    </xf>
    <xf numFmtId="0" fontId="30" fillId="0" borderId="0" xfId="1" applyFont="1"/>
    <xf numFmtId="1" fontId="30" fillId="0" borderId="0" xfId="1" applyNumberFormat="1" applyFont="1" applyAlignment="1">
      <alignment horizontal="left"/>
    </xf>
    <xf numFmtId="0" fontId="30" fillId="0" borderId="0" xfId="1" applyFont="1" applyAlignment="1">
      <alignment horizontal="center" vertical="top" wrapText="1"/>
    </xf>
    <xf numFmtId="44" fontId="30" fillId="0" borderId="0" xfId="1" applyNumberFormat="1" applyFont="1" applyAlignment="1">
      <alignment horizontal="right"/>
    </xf>
    <xf numFmtId="44" fontId="30" fillId="0" borderId="0" xfId="3" applyFont="1" applyFill="1" applyBorder="1" applyAlignment="1" applyProtection="1">
      <alignment horizontal="right"/>
    </xf>
    <xf numFmtId="0" fontId="15" fillId="0" borderId="0" xfId="1" applyFont="1" applyAlignment="1">
      <alignment horizontal="left"/>
    </xf>
    <xf numFmtId="0" fontId="15" fillId="0" borderId="0" xfId="1" applyFont="1" applyAlignment="1">
      <alignment horizontal="center"/>
    </xf>
    <xf numFmtId="44" fontId="31" fillId="0" borderId="0" xfId="3" applyFont="1" applyAlignment="1" applyProtection="1">
      <alignment horizontal="right"/>
    </xf>
    <xf numFmtId="1" fontId="14" fillId="0" borderId="32" xfId="1" applyNumberFormat="1" applyFont="1" applyBorder="1" applyAlignment="1">
      <alignment horizontal="left"/>
    </xf>
    <xf numFmtId="164" fontId="30" fillId="4" borderId="17" xfId="1" quotePrefix="1" applyNumberFormat="1" applyFont="1" applyFill="1" applyBorder="1" applyAlignment="1">
      <alignment horizontal="right"/>
    </xf>
    <xf numFmtId="1" fontId="30" fillId="4" borderId="19" xfId="1" applyNumberFormat="1" applyFont="1" applyFill="1" applyBorder="1" applyAlignment="1">
      <alignment horizontal="left"/>
    </xf>
    <xf numFmtId="44" fontId="30" fillId="4" borderId="2" xfId="4" applyNumberFormat="1" applyFont="1" applyFill="1" applyBorder="1" applyAlignment="1">
      <alignment horizontal="center"/>
    </xf>
    <xf numFmtId="44" fontId="30" fillId="4" borderId="2" xfId="3" applyFont="1" applyFill="1" applyBorder="1" applyAlignment="1" applyProtection="1">
      <alignment horizontal="right"/>
    </xf>
    <xf numFmtId="44" fontId="30" fillId="4" borderId="2" xfId="4" applyNumberFormat="1" applyFont="1" applyFill="1" applyBorder="1" applyAlignment="1">
      <alignment horizontal="right"/>
    </xf>
    <xf numFmtId="164" fontId="30" fillId="4" borderId="13" xfId="1" quotePrefix="1" applyNumberFormat="1" applyFont="1" applyFill="1" applyBorder="1" applyAlignment="1">
      <alignment horizontal="right"/>
    </xf>
    <xf numFmtId="44" fontId="30" fillId="4" borderId="3" xfId="4" applyNumberFormat="1" applyFont="1" applyFill="1" applyBorder="1" applyAlignment="1">
      <alignment horizontal="right"/>
    </xf>
    <xf numFmtId="44" fontId="30" fillId="4" borderId="7" xfId="4" applyNumberFormat="1" applyFont="1" applyFill="1" applyBorder="1" applyAlignment="1">
      <alignment horizontal="right"/>
    </xf>
    <xf numFmtId="41" fontId="30" fillId="4" borderId="1" xfId="4" applyNumberFormat="1" applyFont="1" applyFill="1" applyBorder="1" applyAlignment="1">
      <alignment horizontal="center"/>
    </xf>
    <xf numFmtId="44" fontId="30" fillId="4" borderId="1" xfId="5" applyFont="1" applyFill="1" applyBorder="1" applyAlignment="1" applyProtection="1">
      <alignment horizontal="center"/>
    </xf>
    <xf numFmtId="44" fontId="30" fillId="0" borderId="0" xfId="4" applyNumberFormat="1" applyFont="1" applyAlignment="1">
      <alignment horizontal="right"/>
    </xf>
    <xf numFmtId="44" fontId="31" fillId="0" borderId="0" xfId="3" applyFont="1" applyFill="1" applyAlignment="1" applyProtection="1">
      <alignment horizontal="right"/>
    </xf>
    <xf numFmtId="1" fontId="14" fillId="2" borderId="23" xfId="1" applyNumberFormat="1" applyFont="1" applyFill="1" applyBorder="1" applyAlignment="1">
      <alignment horizontal="left"/>
    </xf>
    <xf numFmtId="44" fontId="15" fillId="2" borderId="8" xfId="4" applyNumberFormat="1" applyFont="1" applyFill="1" applyBorder="1" applyAlignment="1">
      <alignment horizontal="right"/>
    </xf>
    <xf numFmtId="165" fontId="15" fillId="0" borderId="4" xfId="6" applyNumberFormat="1" applyFont="1" applyBorder="1" applyAlignment="1">
      <alignment horizontal="right" wrapText="1"/>
    </xf>
    <xf numFmtId="41" fontId="30" fillId="4" borderId="2" xfId="4" applyNumberFormat="1" applyFont="1" applyFill="1" applyBorder="1" applyAlignment="1">
      <alignment horizontal="center"/>
    </xf>
    <xf numFmtId="164" fontId="15" fillId="0" borderId="65" xfId="1" applyNumberFormat="1" applyFont="1" applyBorder="1" applyAlignment="1">
      <alignment horizontal="center" wrapText="1"/>
    </xf>
    <xf numFmtId="1" fontId="15" fillId="0" borderId="66" xfId="1" applyNumberFormat="1" applyFont="1" applyBorder="1" applyAlignment="1">
      <alignment horizontal="center"/>
    </xf>
    <xf numFmtId="0" fontId="15" fillId="0" borderId="67" xfId="1" applyFont="1" applyBorder="1" applyAlignment="1">
      <alignment horizontal="center" wrapText="1"/>
    </xf>
    <xf numFmtId="0" fontId="15" fillId="0" borderId="21" xfId="1" applyFont="1" applyBorder="1" applyAlignment="1">
      <alignment horizontal="center"/>
    </xf>
    <xf numFmtId="0" fontId="15" fillId="0" borderId="21" xfId="1" applyFont="1" applyBorder="1" applyAlignment="1">
      <alignment horizontal="center" wrapText="1"/>
    </xf>
    <xf numFmtId="0" fontId="15" fillId="0" borderId="68" xfId="1" applyFont="1" applyBorder="1" applyAlignment="1">
      <alignment horizontal="center" wrapText="1"/>
    </xf>
    <xf numFmtId="44" fontId="15" fillId="0" borderId="69" xfId="3" applyFont="1" applyBorder="1" applyAlignment="1" applyProtection="1">
      <alignment horizontal="right" wrapText="1"/>
    </xf>
    <xf numFmtId="44" fontId="14" fillId="0" borderId="12" xfId="3" applyFont="1" applyFill="1" applyBorder="1" applyAlignment="1" applyProtection="1">
      <alignment horizontal="right"/>
    </xf>
    <xf numFmtId="44" fontId="14" fillId="0" borderId="5" xfId="3" applyFont="1" applyFill="1" applyBorder="1" applyAlignment="1" applyProtection="1">
      <alignment horizontal="right"/>
    </xf>
    <xf numFmtId="44" fontId="14" fillId="2" borderId="30" xfId="1" applyNumberFormat="1" applyFont="1" applyFill="1" applyBorder="1" applyAlignment="1">
      <alignment horizontal="center"/>
    </xf>
    <xf numFmtId="44" fontId="14" fillId="2" borderId="28" xfId="1" applyNumberFormat="1" applyFont="1" applyFill="1" applyBorder="1" applyAlignment="1">
      <alignment horizontal="center"/>
    </xf>
    <xf numFmtId="44" fontId="14" fillId="2" borderId="27" xfId="1" applyNumberFormat="1" applyFont="1" applyFill="1" applyBorder="1" applyAlignment="1">
      <alignment horizontal="center"/>
    </xf>
    <xf numFmtId="44" fontId="14" fillId="0" borderId="29" xfId="3" applyFont="1" applyFill="1" applyBorder="1" applyAlignment="1" applyProtection="1">
      <alignment horizontal="right"/>
    </xf>
    <xf numFmtId="164" fontId="14" fillId="0" borderId="0" xfId="1" applyNumberFormat="1" applyFont="1"/>
    <xf numFmtId="0" fontId="21" fillId="0" borderId="1" xfId="1" applyFont="1" applyBorder="1" applyAlignment="1" applyProtection="1">
      <alignment horizontal="left" vertical="center"/>
      <protection locked="0"/>
    </xf>
    <xf numFmtId="0" fontId="32" fillId="0" borderId="0" xfId="0" applyFont="1"/>
    <xf numFmtId="0" fontId="33" fillId="0" borderId="0" xfId="0" applyFont="1"/>
    <xf numFmtId="0" fontId="14" fillId="0" borderId="10" xfId="1" applyFont="1" applyBorder="1" applyAlignment="1">
      <alignment horizontal="center" vertical="top" wrapText="1"/>
    </xf>
    <xf numFmtId="0" fontId="14" fillId="0" borderId="18" xfId="1" applyFont="1" applyBorder="1" applyAlignment="1">
      <alignment horizontal="center" vertical="top" wrapText="1"/>
    </xf>
    <xf numFmtId="0" fontId="30" fillId="4" borderId="10" xfId="1" applyFont="1" applyFill="1" applyBorder="1" applyAlignment="1">
      <alignment horizontal="center" vertical="top" wrapText="1"/>
    </xf>
    <xf numFmtId="0" fontId="30" fillId="4" borderId="18" xfId="1" applyFont="1" applyFill="1" applyBorder="1" applyAlignment="1">
      <alignment horizontal="center" vertical="top" wrapText="1"/>
    </xf>
    <xf numFmtId="0" fontId="14" fillId="0" borderId="25" xfId="1" applyFont="1" applyBorder="1" applyAlignment="1">
      <alignment horizontal="center" vertical="top" wrapText="1"/>
    </xf>
    <xf numFmtId="0" fontId="15" fillId="0" borderId="10" xfId="1" applyFont="1" applyBorder="1" applyAlignment="1">
      <alignment horizontal="center" vertical="center" wrapText="1"/>
    </xf>
    <xf numFmtId="0" fontId="15" fillId="0" borderId="25" xfId="1" applyFont="1" applyBorder="1" applyAlignment="1">
      <alignment horizontal="center" vertical="center" wrapText="1"/>
    </xf>
    <xf numFmtId="0" fontId="30" fillId="4" borderId="20" xfId="1" applyFont="1" applyFill="1" applyBorder="1" applyAlignment="1">
      <alignment horizontal="center" vertical="top" wrapText="1"/>
    </xf>
    <xf numFmtId="0" fontId="15" fillId="0" borderId="19" xfId="0" applyFont="1" applyBorder="1" applyAlignment="1">
      <alignment horizontal="center" wrapText="1"/>
    </xf>
    <xf numFmtId="0" fontId="15" fillId="0" borderId="15" xfId="0" applyFont="1" applyBorder="1" applyAlignment="1">
      <alignment horizontal="center" wrapText="1"/>
    </xf>
    <xf numFmtId="0" fontId="15" fillId="2" borderId="33" xfId="0" applyFont="1" applyFill="1" applyBorder="1" applyAlignment="1">
      <alignment horizontal="center" vertical="top"/>
    </xf>
    <xf numFmtId="0" fontId="15" fillId="2" borderId="31" xfId="0" applyFont="1" applyFill="1" applyBorder="1" applyAlignment="1">
      <alignment horizontal="center" vertical="top"/>
    </xf>
    <xf numFmtId="0" fontId="15" fillId="2" borderId="40" xfId="0" applyFont="1" applyFill="1" applyBorder="1" applyAlignment="1">
      <alignment horizontal="center" vertical="top"/>
    </xf>
    <xf numFmtId="0" fontId="15" fillId="0" borderId="14" xfId="0" applyFont="1" applyBorder="1" applyAlignment="1">
      <alignment horizontal="right" vertical="top"/>
    </xf>
    <xf numFmtId="0" fontId="15" fillId="0" borderId="3" xfId="0" applyFont="1" applyBorder="1" applyAlignment="1">
      <alignment horizontal="right" vertical="top"/>
    </xf>
    <xf numFmtId="0" fontId="15" fillId="0" borderId="60" xfId="0" applyFont="1" applyBorder="1" applyAlignment="1">
      <alignment horizontal="right" vertical="top"/>
    </xf>
    <xf numFmtId="44" fontId="15" fillId="0" borderId="16" xfId="0" applyNumberFormat="1" applyFont="1" applyBorder="1" applyAlignment="1">
      <alignment horizontal="right"/>
    </xf>
    <xf numFmtId="44" fontId="15" fillId="0" borderId="7" xfId="0" applyNumberFormat="1" applyFont="1" applyBorder="1" applyAlignment="1">
      <alignment horizontal="right"/>
    </xf>
    <xf numFmtId="0" fontId="15" fillId="0" borderId="17" xfId="0" applyFont="1" applyBorder="1" applyAlignment="1">
      <alignment horizontal="center"/>
    </xf>
    <xf numFmtId="0" fontId="15" fillId="0" borderId="2" xfId="0" applyFont="1" applyBorder="1" applyAlignment="1">
      <alignment horizontal="center"/>
    </xf>
    <xf numFmtId="0" fontId="15" fillId="0" borderId="39" xfId="0" applyFont="1" applyBorder="1" applyAlignment="1">
      <alignment horizontal="center"/>
    </xf>
    <xf numFmtId="0" fontId="15" fillId="0" borderId="17" xfId="0" applyFont="1" applyBorder="1" applyAlignment="1">
      <alignment horizontal="center" wrapText="1"/>
    </xf>
    <xf numFmtId="0" fontId="22" fillId="5" borderId="45" xfId="0" applyFont="1" applyFill="1" applyBorder="1" applyAlignment="1">
      <alignment horizontal="left" vertical="center"/>
    </xf>
    <xf numFmtId="0" fontId="22" fillId="5" borderId="46" xfId="0" applyFont="1" applyFill="1" applyBorder="1" applyAlignment="1">
      <alignment horizontal="left" vertical="center"/>
    </xf>
    <xf numFmtId="0" fontId="22" fillId="5" borderId="47" xfId="0" applyFont="1" applyFill="1" applyBorder="1" applyAlignment="1">
      <alignment horizontal="left" vertical="center"/>
    </xf>
    <xf numFmtId="0" fontId="16" fillId="5" borderId="48" xfId="0" applyFont="1" applyFill="1" applyBorder="1" applyAlignment="1">
      <alignment horizontal="left" vertical="center" wrapText="1"/>
    </xf>
    <xf numFmtId="0" fontId="16" fillId="5" borderId="0" xfId="0" applyFont="1" applyFill="1" applyAlignment="1">
      <alignment horizontal="left" vertical="center" wrapText="1"/>
    </xf>
    <xf numFmtId="0" fontId="16" fillId="5" borderId="49" xfId="0" applyFont="1" applyFill="1" applyBorder="1" applyAlignment="1">
      <alignment horizontal="left" vertical="center" wrapText="1"/>
    </xf>
    <xf numFmtId="0" fontId="25" fillId="5" borderId="48" xfId="0" applyFont="1" applyFill="1" applyBorder="1" applyAlignment="1">
      <alignment horizontal="left" vertical="center" wrapText="1"/>
    </xf>
    <xf numFmtId="0" fontId="16" fillId="5" borderId="50" xfId="0" applyFont="1" applyFill="1" applyBorder="1" applyAlignment="1">
      <alignment horizontal="left" vertical="center" wrapText="1"/>
    </xf>
    <xf numFmtId="0" fontId="16" fillId="5" borderId="51" xfId="0" applyFont="1" applyFill="1" applyBorder="1" applyAlignment="1">
      <alignment horizontal="left" vertical="center" wrapText="1"/>
    </xf>
    <xf numFmtId="0" fontId="16" fillId="5" borderId="52" xfId="0" applyFont="1" applyFill="1" applyBorder="1" applyAlignment="1">
      <alignment horizontal="left" vertical="center" wrapText="1"/>
    </xf>
    <xf numFmtId="0" fontId="16" fillId="0" borderId="0" xfId="0" applyFont="1" applyAlignment="1">
      <alignment horizontal="left" vertical="center" wrapText="1"/>
    </xf>
    <xf numFmtId="0" fontId="18" fillId="5" borderId="0" xfId="0" applyFont="1" applyFill="1" applyAlignment="1">
      <alignment horizontal="center" vertical="center"/>
    </xf>
    <xf numFmtId="0" fontId="21" fillId="0" borderId="1" xfId="1" applyFont="1" applyBorder="1" applyAlignment="1" applyProtection="1">
      <alignment horizontal="left" vertical="center"/>
      <protection locked="0"/>
    </xf>
    <xf numFmtId="0" fontId="22" fillId="5" borderId="34" xfId="0" applyFont="1" applyFill="1" applyBorder="1" applyAlignment="1">
      <alignment horizontal="left" vertical="center" wrapText="1"/>
    </xf>
    <xf numFmtId="0" fontId="22" fillId="5" borderId="26" xfId="0" applyFont="1" applyFill="1" applyBorder="1" applyAlignment="1">
      <alignment horizontal="left" vertical="center" wrapText="1"/>
    </xf>
    <xf numFmtId="0" fontId="15" fillId="6" borderId="34" xfId="1" applyFont="1" applyFill="1" applyBorder="1" applyAlignment="1">
      <alignment horizontal="center" vertical="center" wrapText="1"/>
    </xf>
    <xf numFmtId="0" fontId="15" fillId="6" borderId="26" xfId="1" applyFont="1" applyFill="1" applyBorder="1" applyAlignment="1">
      <alignment horizontal="center" vertical="center" wrapText="1"/>
    </xf>
    <xf numFmtId="0" fontId="23" fillId="7" borderId="35" xfId="1" applyFont="1" applyFill="1" applyBorder="1" applyAlignment="1">
      <alignment horizontal="center" vertical="center" wrapText="1"/>
    </xf>
    <xf numFmtId="0" fontId="23" fillId="7" borderId="36" xfId="1" applyFont="1" applyFill="1" applyBorder="1" applyAlignment="1">
      <alignment horizontal="center" vertical="center" wrapText="1"/>
    </xf>
    <xf numFmtId="0" fontId="23" fillId="7" borderId="37" xfId="1" applyFont="1" applyFill="1" applyBorder="1" applyAlignment="1">
      <alignment horizontal="center" vertical="center" wrapText="1"/>
    </xf>
    <xf numFmtId="14" fontId="15" fillId="8" borderId="34" xfId="1" applyNumberFormat="1" applyFont="1" applyFill="1" applyBorder="1" applyAlignment="1">
      <alignment horizontal="center" vertical="center" wrapText="1"/>
    </xf>
    <xf numFmtId="14" fontId="15" fillId="8" borderId="26" xfId="1" applyNumberFormat="1" applyFont="1" applyFill="1" applyBorder="1" applyAlignment="1">
      <alignment horizontal="center" vertical="center" wrapText="1"/>
    </xf>
    <xf numFmtId="0" fontId="27" fillId="0" borderId="53" xfId="1" applyFont="1" applyBorder="1" applyAlignment="1" applyProtection="1">
      <alignment horizontal="left" vertical="center"/>
      <protection locked="0"/>
    </xf>
    <xf numFmtId="0" fontId="21" fillId="0" borderId="53" xfId="1" applyFont="1" applyBorder="1" applyAlignment="1" applyProtection="1">
      <alignment horizontal="left" vertical="center"/>
      <protection locked="0"/>
    </xf>
    <xf numFmtId="0" fontId="22" fillId="5" borderId="34" xfId="0" applyFont="1" applyFill="1" applyBorder="1" applyAlignment="1">
      <alignment horizontal="center" vertical="center"/>
    </xf>
    <xf numFmtId="0" fontId="22" fillId="5" borderId="54" xfId="0" applyFont="1" applyFill="1" applyBorder="1" applyAlignment="1">
      <alignment horizontal="center" vertical="center"/>
    </xf>
    <xf numFmtId="0" fontId="22" fillId="5" borderId="26" xfId="0" applyFont="1" applyFill="1" applyBorder="1" applyAlignment="1">
      <alignment horizontal="center" vertical="center"/>
    </xf>
    <xf numFmtId="0" fontId="15" fillId="6" borderId="54" xfId="1" applyFont="1" applyFill="1" applyBorder="1" applyAlignment="1">
      <alignment horizontal="center" vertical="center" wrapText="1"/>
    </xf>
    <xf numFmtId="0" fontId="15" fillId="7" borderId="45" xfId="1" applyFont="1" applyFill="1" applyBorder="1" applyAlignment="1">
      <alignment horizontal="center" vertical="center" wrapText="1"/>
    </xf>
    <xf numFmtId="0" fontId="15" fillId="7" borderId="46" xfId="1" applyFont="1" applyFill="1" applyBorder="1" applyAlignment="1">
      <alignment horizontal="center" vertical="center" wrapText="1"/>
    </xf>
    <xf numFmtId="0" fontId="15" fillId="7" borderId="47" xfId="1" applyFont="1" applyFill="1" applyBorder="1" applyAlignment="1">
      <alignment horizontal="center" vertical="center" wrapText="1"/>
    </xf>
    <xf numFmtId="0" fontId="15" fillId="7" borderId="50" xfId="1" applyFont="1" applyFill="1" applyBorder="1" applyAlignment="1">
      <alignment horizontal="center" vertical="center" wrapText="1"/>
    </xf>
    <xf numFmtId="0" fontId="15" fillId="7" borderId="51" xfId="1" applyFont="1" applyFill="1" applyBorder="1" applyAlignment="1">
      <alignment horizontal="center" vertical="center" wrapText="1"/>
    </xf>
    <xf numFmtId="0" fontId="15" fillId="7" borderId="52" xfId="1" applyFont="1" applyFill="1" applyBorder="1" applyAlignment="1">
      <alignment horizontal="center" vertical="center" wrapText="1"/>
    </xf>
    <xf numFmtId="0" fontId="16" fillId="0" borderId="0" xfId="0" applyFont="1" applyAlignment="1">
      <alignment horizontal="left" vertical="center"/>
    </xf>
    <xf numFmtId="14" fontId="15" fillId="8" borderId="54" xfId="1" applyNumberFormat="1" applyFont="1" applyFill="1" applyBorder="1" applyAlignment="1">
      <alignment horizontal="center" vertical="center" wrapText="1"/>
    </xf>
    <xf numFmtId="0" fontId="22" fillId="5" borderId="46" xfId="0" applyFont="1" applyFill="1" applyBorder="1" applyAlignment="1">
      <alignment horizontal="center" vertical="center"/>
    </xf>
    <xf numFmtId="0" fontId="22" fillId="5" borderId="47" xfId="0" applyFont="1" applyFill="1" applyBorder="1" applyAlignment="1">
      <alignment horizontal="center" vertical="center"/>
    </xf>
    <xf numFmtId="0" fontId="16" fillId="5" borderId="48" xfId="0" applyFont="1" applyFill="1" applyBorder="1" applyAlignment="1">
      <alignment vertical="center" wrapText="1"/>
    </xf>
    <xf numFmtId="0" fontId="16" fillId="5" borderId="0" xfId="0" applyFont="1" applyFill="1" applyAlignment="1">
      <alignment vertical="center" wrapText="1"/>
    </xf>
    <xf numFmtId="0" fontId="16" fillId="5" borderId="49" xfId="0" applyFont="1" applyFill="1" applyBorder="1" applyAlignment="1">
      <alignment vertical="center" wrapText="1"/>
    </xf>
    <xf numFmtId="0" fontId="16" fillId="5" borderId="48" xfId="0" applyFont="1" applyFill="1" applyBorder="1" applyAlignment="1">
      <alignment vertical="center"/>
    </xf>
    <xf numFmtId="0" fontId="16" fillId="5" borderId="0" xfId="0" applyFont="1" applyFill="1" applyAlignment="1">
      <alignment vertical="center"/>
    </xf>
    <xf numFmtId="0" fontId="16" fillId="5" borderId="49" xfId="0" applyFont="1" applyFill="1" applyBorder="1" applyAlignment="1">
      <alignment vertical="center"/>
    </xf>
    <xf numFmtId="0" fontId="25" fillId="5" borderId="48" xfId="0" applyFont="1" applyFill="1" applyBorder="1" applyAlignment="1">
      <alignment vertical="center" wrapText="1"/>
    </xf>
    <xf numFmtId="0" fontId="16" fillId="5" borderId="50" xfId="0" applyFont="1" applyFill="1" applyBorder="1" applyAlignment="1">
      <alignment vertical="center" wrapText="1"/>
    </xf>
    <xf numFmtId="0" fontId="16" fillId="5" borderId="51" xfId="0" applyFont="1" applyFill="1" applyBorder="1" applyAlignment="1">
      <alignment vertical="center" wrapText="1"/>
    </xf>
    <xf numFmtId="0" fontId="16" fillId="5" borderId="52" xfId="0" applyFont="1" applyFill="1" applyBorder="1" applyAlignment="1">
      <alignment vertical="center" wrapText="1"/>
    </xf>
    <xf numFmtId="0" fontId="9" fillId="0" borderId="35" xfId="9" applyFont="1" applyBorder="1" applyAlignment="1">
      <alignment horizontal="left" wrapText="1"/>
    </xf>
    <xf numFmtId="0" fontId="9" fillId="0" borderId="37" xfId="9" applyFont="1" applyBorder="1" applyAlignment="1">
      <alignment horizontal="left" wrapText="1"/>
    </xf>
    <xf numFmtId="0" fontId="8" fillId="0" borderId="0" xfId="1" applyFont="1" applyAlignment="1">
      <alignment horizontal="right"/>
    </xf>
  </cellXfs>
  <cellStyles count="16">
    <cellStyle name="Comma 2" xfId="10" xr:uid="{3E27847B-5123-4608-912A-5325BFB35CC6}"/>
    <cellStyle name="Comma 2 2" xfId="12" xr:uid="{0C2F47CB-B294-42DF-BC83-249CA98CBC2F}"/>
    <cellStyle name="Comma 4" xfId="8" xr:uid="{00000000-0005-0000-0000-000000000000}"/>
    <cellStyle name="Currency 2" xfId="3" xr:uid="{00000000-0005-0000-0000-000002000000}"/>
    <cellStyle name="Currency 3" xfId="11" xr:uid="{D7A80B38-182C-410C-865A-7ACF9E0C7FBF}"/>
    <cellStyle name="Currency 4" xfId="2" xr:uid="{00000000-0005-0000-0000-000003000000}"/>
    <cellStyle name="Currency 5" xfId="5" xr:uid="{00000000-0005-0000-0000-000004000000}"/>
    <cellStyle name="Normal" xfId="0" builtinId="0"/>
    <cellStyle name="Normal 2" xfId="1" xr:uid="{00000000-0005-0000-0000-000006000000}"/>
    <cellStyle name="Normal 2 2" xfId="13" xr:uid="{33F668AB-FA41-4175-8DB4-456F7857B5BC}"/>
    <cellStyle name="Normal 3" xfId="9" xr:uid="{6E63B615-5F8E-48A9-AFC3-2EA91A7F4DA4}"/>
    <cellStyle name="Normal 4" xfId="4" xr:uid="{00000000-0005-0000-0000-000007000000}"/>
    <cellStyle name="Normal 4 2" xfId="6" xr:uid="{00000000-0005-0000-0000-000008000000}"/>
    <cellStyle name="Percent 2" xfId="14" xr:uid="{19B0A48E-53F4-4D6A-99A4-78944BB155D7}"/>
    <cellStyle name="Percent 2 2" xfId="15" xr:uid="{4E91841B-F14D-4135-B185-BF389F829DEC}"/>
    <cellStyle name="Percent 3" xfId="7" xr:uid="{00000000-0005-0000-0000-000009000000}"/>
  </cellStyles>
  <dxfs count="0"/>
  <tableStyles count="0" defaultTableStyle="TableStyleMedium9" defaultPivotStyle="PivotStyleLight16"/>
  <colors>
    <mruColors>
      <color rgb="FFFFC000"/>
      <color rgb="FF0C2E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5629C-DAC9-4E6B-9BAD-37CCDB203783}">
  <dimension ref="A1:A41"/>
  <sheetViews>
    <sheetView topLeftCell="A15" workbookViewId="0">
      <selection activeCell="A17" sqref="A17"/>
    </sheetView>
  </sheetViews>
  <sheetFormatPr defaultRowHeight="15.75" x14ac:dyDescent="0.2"/>
  <cols>
    <col min="1" max="1" width="181.42578125" style="76" customWidth="1"/>
  </cols>
  <sheetData>
    <row r="1" spans="1:1" x14ac:dyDescent="0.2">
      <c r="A1" s="75" t="s">
        <v>0</v>
      </c>
    </row>
    <row r="2" spans="1:1" x14ac:dyDescent="0.2">
      <c r="A2" s="74"/>
    </row>
    <row r="3" spans="1:1" x14ac:dyDescent="0.2">
      <c r="A3" s="75" t="s">
        <v>1</v>
      </c>
    </row>
    <row r="4" spans="1:1" x14ac:dyDescent="0.2">
      <c r="A4" s="74"/>
    </row>
    <row r="5" spans="1:1" ht="31.5" x14ac:dyDescent="0.2">
      <c r="A5" s="74" t="s">
        <v>2</v>
      </c>
    </row>
    <row r="6" spans="1:1" x14ac:dyDescent="0.2">
      <c r="A6" s="74"/>
    </row>
    <row r="7" spans="1:1" x14ac:dyDescent="0.2">
      <c r="A7" s="74" t="s">
        <v>3</v>
      </c>
    </row>
    <row r="8" spans="1:1" x14ac:dyDescent="0.2">
      <c r="A8" s="74"/>
    </row>
    <row r="9" spans="1:1" x14ac:dyDescent="0.2">
      <c r="A9" s="75" t="s">
        <v>4</v>
      </c>
    </row>
    <row r="10" spans="1:1" x14ac:dyDescent="0.2">
      <c r="A10" s="74"/>
    </row>
    <row r="11" spans="1:1" x14ac:dyDescent="0.2">
      <c r="A11" s="74" t="s">
        <v>5</v>
      </c>
    </row>
    <row r="12" spans="1:1" x14ac:dyDescent="0.2">
      <c r="A12" s="74"/>
    </row>
    <row r="13" spans="1:1" x14ac:dyDescent="0.2">
      <c r="A13" s="74" t="s">
        <v>6</v>
      </c>
    </row>
    <row r="14" spans="1:1" x14ac:dyDescent="0.2">
      <c r="A14" s="74" t="s">
        <v>7</v>
      </c>
    </row>
    <row r="15" spans="1:1" x14ac:dyDescent="0.2">
      <c r="A15" s="74" t="s">
        <v>8</v>
      </c>
    </row>
    <row r="16" spans="1:1" x14ac:dyDescent="0.2">
      <c r="A16" s="74"/>
    </row>
    <row r="17" spans="1:1" x14ac:dyDescent="0.2">
      <c r="A17" s="74" t="s">
        <v>9</v>
      </c>
    </row>
    <row r="18" spans="1:1" x14ac:dyDescent="0.2">
      <c r="A18" s="74"/>
    </row>
    <row r="19" spans="1:1" x14ac:dyDescent="0.2">
      <c r="A19" s="75" t="s">
        <v>10</v>
      </c>
    </row>
    <row r="20" spans="1:1" x14ac:dyDescent="0.2">
      <c r="A20" s="74"/>
    </row>
    <row r="21" spans="1:1" x14ac:dyDescent="0.2">
      <c r="A21" s="75" t="s">
        <v>11</v>
      </c>
    </row>
    <row r="22" spans="1:1" ht="31.5" x14ac:dyDescent="0.2">
      <c r="A22" s="74" t="s">
        <v>12</v>
      </c>
    </row>
    <row r="23" spans="1:1" x14ac:dyDescent="0.2">
      <c r="A23" s="74"/>
    </row>
    <row r="24" spans="1:1" x14ac:dyDescent="0.2">
      <c r="A24" s="75" t="s">
        <v>13</v>
      </c>
    </row>
    <row r="25" spans="1:1" ht="47.25" x14ac:dyDescent="0.2">
      <c r="A25" s="74" t="s">
        <v>14</v>
      </c>
    </row>
    <row r="26" spans="1:1" x14ac:dyDescent="0.2">
      <c r="A26" s="74"/>
    </row>
    <row r="27" spans="1:1" x14ac:dyDescent="0.2">
      <c r="A27" s="75" t="s">
        <v>15</v>
      </c>
    </row>
    <row r="28" spans="1:1" ht="94.5" x14ac:dyDescent="0.2">
      <c r="A28" s="74" t="s">
        <v>16</v>
      </c>
    </row>
    <row r="29" spans="1:1" ht="110.25" x14ac:dyDescent="0.2">
      <c r="A29" s="74" t="s">
        <v>17</v>
      </c>
    </row>
    <row r="30" spans="1:1" x14ac:dyDescent="0.2">
      <c r="A30" s="74"/>
    </row>
    <row r="31" spans="1:1" x14ac:dyDescent="0.2">
      <c r="A31" s="75" t="s">
        <v>18</v>
      </c>
    </row>
    <row r="32" spans="1:1" ht="31.5" x14ac:dyDescent="0.2">
      <c r="A32" s="74" t="s">
        <v>19</v>
      </c>
    </row>
    <row r="33" spans="1:1" x14ac:dyDescent="0.2">
      <c r="A33" s="74"/>
    </row>
    <row r="34" spans="1:1" x14ac:dyDescent="0.2">
      <c r="A34" s="75" t="s">
        <v>20</v>
      </c>
    </row>
    <row r="35" spans="1:1" x14ac:dyDescent="0.2">
      <c r="A35" s="74" t="s">
        <v>21</v>
      </c>
    </row>
    <row r="36" spans="1:1" x14ac:dyDescent="0.2">
      <c r="A36" s="74"/>
    </row>
    <row r="37" spans="1:1" x14ac:dyDescent="0.2">
      <c r="A37" s="75" t="s">
        <v>22</v>
      </c>
    </row>
    <row r="38" spans="1:1" ht="31.5" x14ac:dyDescent="0.2">
      <c r="A38" s="74" t="s">
        <v>23</v>
      </c>
    </row>
    <row r="39" spans="1:1" x14ac:dyDescent="0.2">
      <c r="A39" s="74"/>
    </row>
    <row r="40" spans="1:1" x14ac:dyDescent="0.2">
      <c r="A40" s="75" t="s">
        <v>24</v>
      </c>
    </row>
    <row r="41" spans="1:1" ht="31.5" x14ac:dyDescent="0.2">
      <c r="A41" s="74"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4">
    <pageSetUpPr fitToPage="1"/>
  </sheetPr>
  <dimension ref="A1:K787"/>
  <sheetViews>
    <sheetView tabSelected="1" zoomScale="130" zoomScaleNormal="130" workbookViewId="0">
      <selection activeCell="I9" sqref="I9"/>
    </sheetView>
  </sheetViews>
  <sheetFormatPr defaultRowHeight="15.75" x14ac:dyDescent="0.25"/>
  <cols>
    <col min="1" max="1" width="13.7109375" style="82" customWidth="1"/>
    <col min="2" max="2" width="34.42578125" style="82" bestFit="1" customWidth="1"/>
    <col min="3" max="3" width="13.7109375" style="82" customWidth="1"/>
    <col min="4" max="4" width="9.28515625" style="82"/>
    <col min="5" max="5" width="17.7109375" style="82" customWidth="1"/>
    <col min="6" max="6" width="19" style="82" bestFit="1" customWidth="1"/>
    <col min="7" max="7" width="19.28515625" style="82" customWidth="1"/>
    <col min="8" max="8" width="18.5703125" style="219" customWidth="1"/>
    <col min="9" max="9" width="13.7109375" style="82" customWidth="1"/>
    <col min="10" max="10" width="16.5703125" style="82" bestFit="1" customWidth="1"/>
    <col min="11" max="11" width="21.7109375" style="82" bestFit="1" customWidth="1"/>
    <col min="12" max="233" width="9.28515625" style="82"/>
    <col min="234" max="234" width="13.7109375" style="82" customWidth="1"/>
    <col min="235" max="235" width="34.42578125" style="82" bestFit="1" customWidth="1"/>
    <col min="236" max="236" width="13.7109375" style="82" customWidth="1"/>
    <col min="237" max="237" width="9.28515625" style="82"/>
    <col min="238" max="238" width="13" style="82" customWidth="1"/>
    <col min="239" max="239" width="11.28515625" style="82" customWidth="1"/>
    <col min="240" max="240" width="15.42578125" style="82" customWidth="1"/>
    <col min="241" max="241" width="18.5703125" style="82" customWidth="1"/>
    <col min="242" max="489" width="9.28515625" style="82"/>
    <col min="490" max="490" width="13.7109375" style="82" customWidth="1"/>
    <col min="491" max="491" width="34.42578125" style="82" bestFit="1" customWidth="1"/>
    <col min="492" max="492" width="13.7109375" style="82" customWidth="1"/>
    <col min="493" max="493" width="9.28515625" style="82"/>
    <col min="494" max="494" width="13" style="82" customWidth="1"/>
    <col min="495" max="495" width="11.28515625" style="82" customWidth="1"/>
    <col min="496" max="496" width="15.42578125" style="82" customWidth="1"/>
    <col min="497" max="497" width="18.5703125" style="82" customWidth="1"/>
    <col min="498" max="745" width="9.28515625" style="82"/>
    <col min="746" max="746" width="13.7109375" style="82" customWidth="1"/>
    <col min="747" max="747" width="34.42578125" style="82" bestFit="1" customWidth="1"/>
    <col min="748" max="748" width="13.7109375" style="82" customWidth="1"/>
    <col min="749" max="749" width="9.28515625" style="82"/>
    <col min="750" max="750" width="13" style="82" customWidth="1"/>
    <col min="751" max="751" width="11.28515625" style="82" customWidth="1"/>
    <col min="752" max="752" width="15.42578125" style="82" customWidth="1"/>
    <col min="753" max="753" width="18.5703125" style="82" customWidth="1"/>
    <col min="754" max="1001" width="9.28515625" style="82"/>
    <col min="1002" max="1002" width="13.7109375" style="82" customWidth="1"/>
    <col min="1003" max="1003" width="34.42578125" style="82" bestFit="1" customWidth="1"/>
    <col min="1004" max="1004" width="13.7109375" style="82" customWidth="1"/>
    <col min="1005" max="1005" width="9.28515625" style="82"/>
    <col min="1006" max="1006" width="13" style="82" customWidth="1"/>
    <col min="1007" max="1007" width="11.28515625" style="82" customWidth="1"/>
    <col min="1008" max="1008" width="15.42578125" style="82" customWidth="1"/>
    <col min="1009" max="1009" width="18.5703125" style="82" customWidth="1"/>
    <col min="1010" max="1257" width="9.28515625" style="82"/>
    <col min="1258" max="1258" width="13.7109375" style="82" customWidth="1"/>
    <col min="1259" max="1259" width="34.42578125" style="82" bestFit="1" customWidth="1"/>
    <col min="1260" max="1260" width="13.7109375" style="82" customWidth="1"/>
    <col min="1261" max="1261" width="9.28515625" style="82"/>
    <col min="1262" max="1262" width="13" style="82" customWidth="1"/>
    <col min="1263" max="1263" width="11.28515625" style="82" customWidth="1"/>
    <col min="1264" max="1264" width="15.42578125" style="82" customWidth="1"/>
    <col min="1265" max="1265" width="18.5703125" style="82" customWidth="1"/>
    <col min="1266" max="1513" width="9.28515625" style="82"/>
    <col min="1514" max="1514" width="13.7109375" style="82" customWidth="1"/>
    <col min="1515" max="1515" width="34.42578125" style="82" bestFit="1" customWidth="1"/>
    <col min="1516" max="1516" width="13.7109375" style="82" customWidth="1"/>
    <col min="1517" max="1517" width="9.28515625" style="82"/>
    <col min="1518" max="1518" width="13" style="82" customWidth="1"/>
    <col min="1519" max="1519" width="11.28515625" style="82" customWidth="1"/>
    <col min="1520" max="1520" width="15.42578125" style="82" customWidth="1"/>
    <col min="1521" max="1521" width="18.5703125" style="82" customWidth="1"/>
    <col min="1522" max="1769" width="9.28515625" style="82"/>
    <col min="1770" max="1770" width="13.7109375" style="82" customWidth="1"/>
    <col min="1771" max="1771" width="34.42578125" style="82" bestFit="1" customWidth="1"/>
    <col min="1772" max="1772" width="13.7109375" style="82" customWidth="1"/>
    <col min="1773" max="1773" width="9.28515625" style="82"/>
    <col min="1774" max="1774" width="13" style="82" customWidth="1"/>
    <col min="1775" max="1775" width="11.28515625" style="82" customWidth="1"/>
    <col min="1776" max="1776" width="15.42578125" style="82" customWidth="1"/>
    <col min="1777" max="1777" width="18.5703125" style="82" customWidth="1"/>
    <col min="1778" max="2025" width="9.28515625" style="82"/>
    <col min="2026" max="2026" width="13.7109375" style="82" customWidth="1"/>
    <col min="2027" max="2027" width="34.42578125" style="82" bestFit="1" customWidth="1"/>
    <col min="2028" max="2028" width="13.7109375" style="82" customWidth="1"/>
    <col min="2029" max="2029" width="9.28515625" style="82"/>
    <col min="2030" max="2030" width="13" style="82" customWidth="1"/>
    <col min="2031" max="2031" width="11.28515625" style="82" customWidth="1"/>
    <col min="2032" max="2032" width="15.42578125" style="82" customWidth="1"/>
    <col min="2033" max="2033" width="18.5703125" style="82" customWidth="1"/>
    <col min="2034" max="2281" width="9.28515625" style="82"/>
    <col min="2282" max="2282" width="13.7109375" style="82" customWidth="1"/>
    <col min="2283" max="2283" width="34.42578125" style="82" bestFit="1" customWidth="1"/>
    <col min="2284" max="2284" width="13.7109375" style="82" customWidth="1"/>
    <col min="2285" max="2285" width="9.28515625" style="82"/>
    <col min="2286" max="2286" width="13" style="82" customWidth="1"/>
    <col min="2287" max="2287" width="11.28515625" style="82" customWidth="1"/>
    <col min="2288" max="2288" width="15.42578125" style="82" customWidth="1"/>
    <col min="2289" max="2289" width="18.5703125" style="82" customWidth="1"/>
    <col min="2290" max="2537" width="9.28515625" style="82"/>
    <col min="2538" max="2538" width="13.7109375" style="82" customWidth="1"/>
    <col min="2539" max="2539" width="34.42578125" style="82" bestFit="1" customWidth="1"/>
    <col min="2540" max="2540" width="13.7109375" style="82" customWidth="1"/>
    <col min="2541" max="2541" width="9.28515625" style="82"/>
    <col min="2542" max="2542" width="13" style="82" customWidth="1"/>
    <col min="2543" max="2543" width="11.28515625" style="82" customWidth="1"/>
    <col min="2544" max="2544" width="15.42578125" style="82" customWidth="1"/>
    <col min="2545" max="2545" width="18.5703125" style="82" customWidth="1"/>
    <col min="2546" max="2793" width="9.28515625" style="82"/>
    <col min="2794" max="2794" width="13.7109375" style="82" customWidth="1"/>
    <col min="2795" max="2795" width="34.42578125" style="82" bestFit="1" customWidth="1"/>
    <col min="2796" max="2796" width="13.7109375" style="82" customWidth="1"/>
    <col min="2797" max="2797" width="9.28515625" style="82"/>
    <col min="2798" max="2798" width="13" style="82" customWidth="1"/>
    <col min="2799" max="2799" width="11.28515625" style="82" customWidth="1"/>
    <col min="2800" max="2800" width="15.42578125" style="82" customWidth="1"/>
    <col min="2801" max="2801" width="18.5703125" style="82" customWidth="1"/>
    <col min="2802" max="3049" width="9.28515625" style="82"/>
    <col min="3050" max="3050" width="13.7109375" style="82" customWidth="1"/>
    <col min="3051" max="3051" width="34.42578125" style="82" bestFit="1" customWidth="1"/>
    <col min="3052" max="3052" width="13.7109375" style="82" customWidth="1"/>
    <col min="3053" max="3053" width="9.28515625" style="82"/>
    <col min="3054" max="3054" width="13" style="82" customWidth="1"/>
    <col min="3055" max="3055" width="11.28515625" style="82" customWidth="1"/>
    <col min="3056" max="3056" width="15.42578125" style="82" customWidth="1"/>
    <col min="3057" max="3057" width="18.5703125" style="82" customWidth="1"/>
    <col min="3058" max="3305" width="9.28515625" style="82"/>
    <col min="3306" max="3306" width="13.7109375" style="82" customWidth="1"/>
    <col min="3307" max="3307" width="34.42578125" style="82" bestFit="1" customWidth="1"/>
    <col min="3308" max="3308" width="13.7109375" style="82" customWidth="1"/>
    <col min="3309" max="3309" width="9.28515625" style="82"/>
    <col min="3310" max="3310" width="13" style="82" customWidth="1"/>
    <col min="3311" max="3311" width="11.28515625" style="82" customWidth="1"/>
    <col min="3312" max="3312" width="15.42578125" style="82" customWidth="1"/>
    <col min="3313" max="3313" width="18.5703125" style="82" customWidth="1"/>
    <col min="3314" max="3561" width="9.28515625" style="82"/>
    <col min="3562" max="3562" width="13.7109375" style="82" customWidth="1"/>
    <col min="3563" max="3563" width="34.42578125" style="82" bestFit="1" customWidth="1"/>
    <col min="3564" max="3564" width="13.7109375" style="82" customWidth="1"/>
    <col min="3565" max="3565" width="9.28515625" style="82"/>
    <col min="3566" max="3566" width="13" style="82" customWidth="1"/>
    <col min="3567" max="3567" width="11.28515625" style="82" customWidth="1"/>
    <col min="3568" max="3568" width="15.42578125" style="82" customWidth="1"/>
    <col min="3569" max="3569" width="18.5703125" style="82" customWidth="1"/>
    <col min="3570" max="3817" width="9.28515625" style="82"/>
    <col min="3818" max="3818" width="13.7109375" style="82" customWidth="1"/>
    <col min="3819" max="3819" width="34.42578125" style="82" bestFit="1" customWidth="1"/>
    <col min="3820" max="3820" width="13.7109375" style="82" customWidth="1"/>
    <col min="3821" max="3821" width="9.28515625" style="82"/>
    <col min="3822" max="3822" width="13" style="82" customWidth="1"/>
    <col min="3823" max="3823" width="11.28515625" style="82" customWidth="1"/>
    <col min="3824" max="3824" width="15.42578125" style="82" customWidth="1"/>
    <col min="3825" max="3825" width="18.5703125" style="82" customWidth="1"/>
    <col min="3826" max="4073" width="9.28515625" style="82"/>
    <col min="4074" max="4074" width="13.7109375" style="82" customWidth="1"/>
    <col min="4075" max="4075" width="34.42578125" style="82" bestFit="1" customWidth="1"/>
    <col min="4076" max="4076" width="13.7109375" style="82" customWidth="1"/>
    <col min="4077" max="4077" width="9.28515625" style="82"/>
    <col min="4078" max="4078" width="13" style="82" customWidth="1"/>
    <col min="4079" max="4079" width="11.28515625" style="82" customWidth="1"/>
    <col min="4080" max="4080" width="15.42578125" style="82" customWidth="1"/>
    <col min="4081" max="4081" width="18.5703125" style="82" customWidth="1"/>
    <col min="4082" max="4329" width="9.28515625" style="82"/>
    <col min="4330" max="4330" width="13.7109375" style="82" customWidth="1"/>
    <col min="4331" max="4331" width="34.42578125" style="82" bestFit="1" customWidth="1"/>
    <col min="4332" max="4332" width="13.7109375" style="82" customWidth="1"/>
    <col min="4333" max="4333" width="9.28515625" style="82"/>
    <col min="4334" max="4334" width="13" style="82" customWidth="1"/>
    <col min="4335" max="4335" width="11.28515625" style="82" customWidth="1"/>
    <col min="4336" max="4336" width="15.42578125" style="82" customWidth="1"/>
    <col min="4337" max="4337" width="18.5703125" style="82" customWidth="1"/>
    <col min="4338" max="4585" width="9.28515625" style="82"/>
    <col min="4586" max="4586" width="13.7109375" style="82" customWidth="1"/>
    <col min="4587" max="4587" width="34.42578125" style="82" bestFit="1" customWidth="1"/>
    <col min="4588" max="4588" width="13.7109375" style="82" customWidth="1"/>
    <col min="4589" max="4589" width="9.28515625" style="82"/>
    <col min="4590" max="4590" width="13" style="82" customWidth="1"/>
    <col min="4591" max="4591" width="11.28515625" style="82" customWidth="1"/>
    <col min="4592" max="4592" width="15.42578125" style="82" customWidth="1"/>
    <col min="4593" max="4593" width="18.5703125" style="82" customWidth="1"/>
    <col min="4594" max="4841" width="9.28515625" style="82"/>
    <col min="4842" max="4842" width="13.7109375" style="82" customWidth="1"/>
    <col min="4843" max="4843" width="34.42578125" style="82" bestFit="1" customWidth="1"/>
    <col min="4844" max="4844" width="13.7109375" style="82" customWidth="1"/>
    <col min="4845" max="4845" width="9.28515625" style="82"/>
    <col min="4846" max="4846" width="13" style="82" customWidth="1"/>
    <col min="4847" max="4847" width="11.28515625" style="82" customWidth="1"/>
    <col min="4848" max="4848" width="15.42578125" style="82" customWidth="1"/>
    <col min="4849" max="4849" width="18.5703125" style="82" customWidth="1"/>
    <col min="4850" max="5097" width="9.28515625" style="82"/>
    <col min="5098" max="5098" width="13.7109375" style="82" customWidth="1"/>
    <col min="5099" max="5099" width="34.42578125" style="82" bestFit="1" customWidth="1"/>
    <col min="5100" max="5100" width="13.7109375" style="82" customWidth="1"/>
    <col min="5101" max="5101" width="9.28515625" style="82"/>
    <col min="5102" max="5102" width="13" style="82" customWidth="1"/>
    <col min="5103" max="5103" width="11.28515625" style="82" customWidth="1"/>
    <col min="5104" max="5104" width="15.42578125" style="82" customWidth="1"/>
    <col min="5105" max="5105" width="18.5703125" style="82" customWidth="1"/>
    <col min="5106" max="5353" width="9.28515625" style="82"/>
    <col min="5354" max="5354" width="13.7109375" style="82" customWidth="1"/>
    <col min="5355" max="5355" width="34.42578125" style="82" bestFit="1" customWidth="1"/>
    <col min="5356" max="5356" width="13.7109375" style="82" customWidth="1"/>
    <col min="5357" max="5357" width="9.28515625" style="82"/>
    <col min="5358" max="5358" width="13" style="82" customWidth="1"/>
    <col min="5359" max="5359" width="11.28515625" style="82" customWidth="1"/>
    <col min="5360" max="5360" width="15.42578125" style="82" customWidth="1"/>
    <col min="5361" max="5361" width="18.5703125" style="82" customWidth="1"/>
    <col min="5362" max="5609" width="9.28515625" style="82"/>
    <col min="5610" max="5610" width="13.7109375" style="82" customWidth="1"/>
    <col min="5611" max="5611" width="34.42578125" style="82" bestFit="1" customWidth="1"/>
    <col min="5612" max="5612" width="13.7109375" style="82" customWidth="1"/>
    <col min="5613" max="5613" width="9.28515625" style="82"/>
    <col min="5614" max="5614" width="13" style="82" customWidth="1"/>
    <col min="5615" max="5615" width="11.28515625" style="82" customWidth="1"/>
    <col min="5616" max="5616" width="15.42578125" style="82" customWidth="1"/>
    <col min="5617" max="5617" width="18.5703125" style="82" customWidth="1"/>
    <col min="5618" max="5865" width="9.28515625" style="82"/>
    <col min="5866" max="5866" width="13.7109375" style="82" customWidth="1"/>
    <col min="5867" max="5867" width="34.42578125" style="82" bestFit="1" customWidth="1"/>
    <col min="5868" max="5868" width="13.7109375" style="82" customWidth="1"/>
    <col min="5869" max="5869" width="9.28515625" style="82"/>
    <col min="5870" max="5870" width="13" style="82" customWidth="1"/>
    <col min="5871" max="5871" width="11.28515625" style="82" customWidth="1"/>
    <col min="5872" max="5872" width="15.42578125" style="82" customWidth="1"/>
    <col min="5873" max="5873" width="18.5703125" style="82" customWidth="1"/>
    <col min="5874" max="6121" width="9.28515625" style="82"/>
    <col min="6122" max="6122" width="13.7109375" style="82" customWidth="1"/>
    <col min="6123" max="6123" width="34.42578125" style="82" bestFit="1" customWidth="1"/>
    <col min="6124" max="6124" width="13.7109375" style="82" customWidth="1"/>
    <col min="6125" max="6125" width="9.28515625" style="82"/>
    <col min="6126" max="6126" width="13" style="82" customWidth="1"/>
    <col min="6127" max="6127" width="11.28515625" style="82" customWidth="1"/>
    <col min="6128" max="6128" width="15.42578125" style="82" customWidth="1"/>
    <col min="6129" max="6129" width="18.5703125" style="82" customWidth="1"/>
    <col min="6130" max="6377" width="9.28515625" style="82"/>
    <col min="6378" max="6378" width="13.7109375" style="82" customWidth="1"/>
    <col min="6379" max="6379" width="34.42578125" style="82" bestFit="1" customWidth="1"/>
    <col min="6380" max="6380" width="13.7109375" style="82" customWidth="1"/>
    <col min="6381" max="6381" width="9.28515625" style="82"/>
    <col min="6382" max="6382" width="13" style="82" customWidth="1"/>
    <col min="6383" max="6383" width="11.28515625" style="82" customWidth="1"/>
    <col min="6384" max="6384" width="15.42578125" style="82" customWidth="1"/>
    <col min="6385" max="6385" width="18.5703125" style="82" customWidth="1"/>
    <col min="6386" max="6633" width="9.28515625" style="82"/>
    <col min="6634" max="6634" width="13.7109375" style="82" customWidth="1"/>
    <col min="6635" max="6635" width="34.42578125" style="82" bestFit="1" customWidth="1"/>
    <col min="6636" max="6636" width="13.7109375" style="82" customWidth="1"/>
    <col min="6637" max="6637" width="9.28515625" style="82"/>
    <col min="6638" max="6638" width="13" style="82" customWidth="1"/>
    <col min="6639" max="6639" width="11.28515625" style="82" customWidth="1"/>
    <col min="6640" max="6640" width="15.42578125" style="82" customWidth="1"/>
    <col min="6641" max="6641" width="18.5703125" style="82" customWidth="1"/>
    <col min="6642" max="6889" width="9.28515625" style="82"/>
    <col min="6890" max="6890" width="13.7109375" style="82" customWidth="1"/>
    <col min="6891" max="6891" width="34.42578125" style="82" bestFit="1" customWidth="1"/>
    <col min="6892" max="6892" width="13.7109375" style="82" customWidth="1"/>
    <col min="6893" max="6893" width="9.28515625" style="82"/>
    <col min="6894" max="6894" width="13" style="82" customWidth="1"/>
    <col min="6895" max="6895" width="11.28515625" style="82" customWidth="1"/>
    <col min="6896" max="6896" width="15.42578125" style="82" customWidth="1"/>
    <col min="6897" max="6897" width="18.5703125" style="82" customWidth="1"/>
    <col min="6898" max="7145" width="9.28515625" style="82"/>
    <col min="7146" max="7146" width="13.7109375" style="82" customWidth="1"/>
    <col min="7147" max="7147" width="34.42578125" style="82" bestFit="1" customWidth="1"/>
    <col min="7148" max="7148" width="13.7109375" style="82" customWidth="1"/>
    <col min="7149" max="7149" width="9.28515625" style="82"/>
    <col min="7150" max="7150" width="13" style="82" customWidth="1"/>
    <col min="7151" max="7151" width="11.28515625" style="82" customWidth="1"/>
    <col min="7152" max="7152" width="15.42578125" style="82" customWidth="1"/>
    <col min="7153" max="7153" width="18.5703125" style="82" customWidth="1"/>
    <col min="7154" max="7401" width="9.28515625" style="82"/>
    <col min="7402" max="7402" width="13.7109375" style="82" customWidth="1"/>
    <col min="7403" max="7403" width="34.42578125" style="82" bestFit="1" customWidth="1"/>
    <col min="7404" max="7404" width="13.7109375" style="82" customWidth="1"/>
    <col min="7405" max="7405" width="9.28515625" style="82"/>
    <col min="7406" max="7406" width="13" style="82" customWidth="1"/>
    <col min="7407" max="7407" width="11.28515625" style="82" customWidth="1"/>
    <col min="7408" max="7408" width="15.42578125" style="82" customWidth="1"/>
    <col min="7409" max="7409" width="18.5703125" style="82" customWidth="1"/>
    <col min="7410" max="7657" width="9.28515625" style="82"/>
    <col min="7658" max="7658" width="13.7109375" style="82" customWidth="1"/>
    <col min="7659" max="7659" width="34.42578125" style="82" bestFit="1" customWidth="1"/>
    <col min="7660" max="7660" width="13.7109375" style="82" customWidth="1"/>
    <col min="7661" max="7661" width="9.28515625" style="82"/>
    <col min="7662" max="7662" width="13" style="82" customWidth="1"/>
    <col min="7663" max="7663" width="11.28515625" style="82" customWidth="1"/>
    <col min="7664" max="7664" width="15.42578125" style="82" customWidth="1"/>
    <col min="7665" max="7665" width="18.5703125" style="82" customWidth="1"/>
    <col min="7666" max="7913" width="9.28515625" style="82"/>
    <col min="7914" max="7914" width="13.7109375" style="82" customWidth="1"/>
    <col min="7915" max="7915" width="34.42578125" style="82" bestFit="1" customWidth="1"/>
    <col min="7916" max="7916" width="13.7109375" style="82" customWidth="1"/>
    <col min="7917" max="7917" width="9.28515625" style="82"/>
    <col min="7918" max="7918" width="13" style="82" customWidth="1"/>
    <col min="7919" max="7919" width="11.28515625" style="82" customWidth="1"/>
    <col min="7920" max="7920" width="15.42578125" style="82" customWidth="1"/>
    <col min="7921" max="7921" width="18.5703125" style="82" customWidth="1"/>
    <col min="7922" max="8169" width="9.28515625" style="82"/>
    <col min="8170" max="8170" width="13.7109375" style="82" customWidth="1"/>
    <col min="8171" max="8171" width="34.42578125" style="82" bestFit="1" customWidth="1"/>
    <col min="8172" max="8172" width="13.7109375" style="82" customWidth="1"/>
    <col min="8173" max="8173" width="9.28515625" style="82"/>
    <col min="8174" max="8174" width="13" style="82" customWidth="1"/>
    <col min="8175" max="8175" width="11.28515625" style="82" customWidth="1"/>
    <col min="8176" max="8176" width="15.42578125" style="82" customWidth="1"/>
    <col min="8177" max="8177" width="18.5703125" style="82" customWidth="1"/>
    <col min="8178" max="8425" width="9.28515625" style="82"/>
    <col min="8426" max="8426" width="13.7109375" style="82" customWidth="1"/>
    <col min="8427" max="8427" width="34.42578125" style="82" bestFit="1" customWidth="1"/>
    <col min="8428" max="8428" width="13.7109375" style="82" customWidth="1"/>
    <col min="8429" max="8429" width="9.28515625" style="82"/>
    <col min="8430" max="8430" width="13" style="82" customWidth="1"/>
    <col min="8431" max="8431" width="11.28515625" style="82" customWidth="1"/>
    <col min="8432" max="8432" width="15.42578125" style="82" customWidth="1"/>
    <col min="8433" max="8433" width="18.5703125" style="82" customWidth="1"/>
    <col min="8434" max="8681" width="9.28515625" style="82"/>
    <col min="8682" max="8682" width="13.7109375" style="82" customWidth="1"/>
    <col min="8683" max="8683" width="34.42578125" style="82" bestFit="1" customWidth="1"/>
    <col min="8684" max="8684" width="13.7109375" style="82" customWidth="1"/>
    <col min="8685" max="8685" width="9.28515625" style="82"/>
    <col min="8686" max="8686" width="13" style="82" customWidth="1"/>
    <col min="8687" max="8687" width="11.28515625" style="82" customWidth="1"/>
    <col min="8688" max="8688" width="15.42578125" style="82" customWidth="1"/>
    <col min="8689" max="8689" width="18.5703125" style="82" customWidth="1"/>
    <col min="8690" max="8937" width="9.28515625" style="82"/>
    <col min="8938" max="8938" width="13.7109375" style="82" customWidth="1"/>
    <col min="8939" max="8939" width="34.42578125" style="82" bestFit="1" customWidth="1"/>
    <col min="8940" max="8940" width="13.7109375" style="82" customWidth="1"/>
    <col min="8941" max="8941" width="9.28515625" style="82"/>
    <col min="8942" max="8942" width="13" style="82" customWidth="1"/>
    <col min="8943" max="8943" width="11.28515625" style="82" customWidth="1"/>
    <col min="8944" max="8944" width="15.42578125" style="82" customWidth="1"/>
    <col min="8945" max="8945" width="18.5703125" style="82" customWidth="1"/>
    <col min="8946" max="9193" width="9.28515625" style="82"/>
    <col min="9194" max="9194" width="13.7109375" style="82" customWidth="1"/>
    <col min="9195" max="9195" width="34.42578125" style="82" bestFit="1" customWidth="1"/>
    <col min="9196" max="9196" width="13.7109375" style="82" customWidth="1"/>
    <col min="9197" max="9197" width="9.28515625" style="82"/>
    <col min="9198" max="9198" width="13" style="82" customWidth="1"/>
    <col min="9199" max="9199" width="11.28515625" style="82" customWidth="1"/>
    <col min="9200" max="9200" width="15.42578125" style="82" customWidth="1"/>
    <col min="9201" max="9201" width="18.5703125" style="82" customWidth="1"/>
    <col min="9202" max="9449" width="9.28515625" style="82"/>
    <col min="9450" max="9450" width="13.7109375" style="82" customWidth="1"/>
    <col min="9451" max="9451" width="34.42578125" style="82" bestFit="1" customWidth="1"/>
    <col min="9452" max="9452" width="13.7109375" style="82" customWidth="1"/>
    <col min="9453" max="9453" width="9.28515625" style="82"/>
    <col min="9454" max="9454" width="13" style="82" customWidth="1"/>
    <col min="9455" max="9455" width="11.28515625" style="82" customWidth="1"/>
    <col min="9456" max="9456" width="15.42578125" style="82" customWidth="1"/>
    <col min="9457" max="9457" width="18.5703125" style="82" customWidth="1"/>
    <col min="9458" max="9705" width="9.28515625" style="82"/>
    <col min="9706" max="9706" width="13.7109375" style="82" customWidth="1"/>
    <col min="9707" max="9707" width="34.42578125" style="82" bestFit="1" customWidth="1"/>
    <col min="9708" max="9708" width="13.7109375" style="82" customWidth="1"/>
    <col min="9709" max="9709" width="9.28515625" style="82"/>
    <col min="9710" max="9710" width="13" style="82" customWidth="1"/>
    <col min="9711" max="9711" width="11.28515625" style="82" customWidth="1"/>
    <col min="9712" max="9712" width="15.42578125" style="82" customWidth="1"/>
    <col min="9713" max="9713" width="18.5703125" style="82" customWidth="1"/>
    <col min="9714" max="9961" width="9.28515625" style="82"/>
    <col min="9962" max="9962" width="13.7109375" style="82" customWidth="1"/>
    <col min="9963" max="9963" width="34.42578125" style="82" bestFit="1" customWidth="1"/>
    <col min="9964" max="9964" width="13.7109375" style="82" customWidth="1"/>
    <col min="9965" max="9965" width="9.28515625" style="82"/>
    <col min="9966" max="9966" width="13" style="82" customWidth="1"/>
    <col min="9967" max="9967" width="11.28515625" style="82" customWidth="1"/>
    <col min="9968" max="9968" width="15.42578125" style="82" customWidth="1"/>
    <col min="9969" max="9969" width="18.5703125" style="82" customWidth="1"/>
    <col min="9970" max="10217" width="9.28515625" style="82"/>
    <col min="10218" max="10218" width="13.7109375" style="82" customWidth="1"/>
    <col min="10219" max="10219" width="34.42578125" style="82" bestFit="1" customWidth="1"/>
    <col min="10220" max="10220" width="13.7109375" style="82" customWidth="1"/>
    <col min="10221" max="10221" width="9.28515625" style="82"/>
    <col min="10222" max="10222" width="13" style="82" customWidth="1"/>
    <col min="10223" max="10223" width="11.28515625" style="82" customWidth="1"/>
    <col min="10224" max="10224" width="15.42578125" style="82" customWidth="1"/>
    <col min="10225" max="10225" width="18.5703125" style="82" customWidth="1"/>
    <col min="10226" max="10473" width="9.28515625" style="82"/>
    <col min="10474" max="10474" width="13.7109375" style="82" customWidth="1"/>
    <col min="10475" max="10475" width="34.42578125" style="82" bestFit="1" customWidth="1"/>
    <col min="10476" max="10476" width="13.7109375" style="82" customWidth="1"/>
    <col min="10477" max="10477" width="9.28515625" style="82"/>
    <col min="10478" max="10478" width="13" style="82" customWidth="1"/>
    <col min="10479" max="10479" width="11.28515625" style="82" customWidth="1"/>
    <col min="10480" max="10480" width="15.42578125" style="82" customWidth="1"/>
    <col min="10481" max="10481" width="18.5703125" style="82" customWidth="1"/>
    <col min="10482" max="10729" width="9.28515625" style="82"/>
    <col min="10730" max="10730" width="13.7109375" style="82" customWidth="1"/>
    <col min="10731" max="10731" width="34.42578125" style="82" bestFit="1" customWidth="1"/>
    <col min="10732" max="10732" width="13.7109375" style="82" customWidth="1"/>
    <col min="10733" max="10733" width="9.28515625" style="82"/>
    <col min="10734" max="10734" width="13" style="82" customWidth="1"/>
    <col min="10735" max="10735" width="11.28515625" style="82" customWidth="1"/>
    <col min="10736" max="10736" width="15.42578125" style="82" customWidth="1"/>
    <col min="10737" max="10737" width="18.5703125" style="82" customWidth="1"/>
    <col min="10738" max="10985" width="9.28515625" style="82"/>
    <col min="10986" max="10986" width="13.7109375" style="82" customWidth="1"/>
    <col min="10987" max="10987" width="34.42578125" style="82" bestFit="1" customWidth="1"/>
    <col min="10988" max="10988" width="13.7109375" style="82" customWidth="1"/>
    <col min="10989" max="10989" width="9.28515625" style="82"/>
    <col min="10990" max="10990" width="13" style="82" customWidth="1"/>
    <col min="10991" max="10991" width="11.28515625" style="82" customWidth="1"/>
    <col min="10992" max="10992" width="15.42578125" style="82" customWidth="1"/>
    <col min="10993" max="10993" width="18.5703125" style="82" customWidth="1"/>
    <col min="10994" max="11241" width="9.28515625" style="82"/>
    <col min="11242" max="11242" width="13.7109375" style="82" customWidth="1"/>
    <col min="11243" max="11243" width="34.42578125" style="82" bestFit="1" customWidth="1"/>
    <col min="11244" max="11244" width="13.7109375" style="82" customWidth="1"/>
    <col min="11245" max="11245" width="9.28515625" style="82"/>
    <col min="11246" max="11246" width="13" style="82" customWidth="1"/>
    <col min="11247" max="11247" width="11.28515625" style="82" customWidth="1"/>
    <col min="11248" max="11248" width="15.42578125" style="82" customWidth="1"/>
    <col min="11249" max="11249" width="18.5703125" style="82" customWidth="1"/>
    <col min="11250" max="11497" width="9.28515625" style="82"/>
    <col min="11498" max="11498" width="13.7109375" style="82" customWidth="1"/>
    <col min="11499" max="11499" width="34.42578125" style="82" bestFit="1" customWidth="1"/>
    <col min="11500" max="11500" width="13.7109375" style="82" customWidth="1"/>
    <col min="11501" max="11501" width="9.28515625" style="82"/>
    <col min="11502" max="11502" width="13" style="82" customWidth="1"/>
    <col min="11503" max="11503" width="11.28515625" style="82" customWidth="1"/>
    <col min="11504" max="11504" width="15.42578125" style="82" customWidth="1"/>
    <col min="11505" max="11505" width="18.5703125" style="82" customWidth="1"/>
    <col min="11506" max="11753" width="9.28515625" style="82"/>
    <col min="11754" max="11754" width="13.7109375" style="82" customWidth="1"/>
    <col min="11755" max="11755" width="34.42578125" style="82" bestFit="1" customWidth="1"/>
    <col min="11756" max="11756" width="13.7109375" style="82" customWidth="1"/>
    <col min="11757" max="11757" width="9.28515625" style="82"/>
    <col min="11758" max="11758" width="13" style="82" customWidth="1"/>
    <col min="11759" max="11759" width="11.28515625" style="82" customWidth="1"/>
    <col min="11760" max="11760" width="15.42578125" style="82" customWidth="1"/>
    <col min="11761" max="11761" width="18.5703125" style="82" customWidth="1"/>
    <col min="11762" max="12009" width="9.28515625" style="82"/>
    <col min="12010" max="12010" width="13.7109375" style="82" customWidth="1"/>
    <col min="12011" max="12011" width="34.42578125" style="82" bestFit="1" customWidth="1"/>
    <col min="12012" max="12012" width="13.7109375" style="82" customWidth="1"/>
    <col min="12013" max="12013" width="9.28515625" style="82"/>
    <col min="12014" max="12014" width="13" style="82" customWidth="1"/>
    <col min="12015" max="12015" width="11.28515625" style="82" customWidth="1"/>
    <col min="12016" max="12016" width="15.42578125" style="82" customWidth="1"/>
    <col min="12017" max="12017" width="18.5703125" style="82" customWidth="1"/>
    <col min="12018" max="12265" width="9.28515625" style="82"/>
    <col min="12266" max="12266" width="13.7109375" style="82" customWidth="1"/>
    <col min="12267" max="12267" width="34.42578125" style="82" bestFit="1" customWidth="1"/>
    <col min="12268" max="12268" width="13.7109375" style="82" customWidth="1"/>
    <col min="12269" max="12269" width="9.28515625" style="82"/>
    <col min="12270" max="12270" width="13" style="82" customWidth="1"/>
    <col min="12271" max="12271" width="11.28515625" style="82" customWidth="1"/>
    <col min="12272" max="12272" width="15.42578125" style="82" customWidth="1"/>
    <col min="12273" max="12273" width="18.5703125" style="82" customWidth="1"/>
    <col min="12274" max="12521" width="9.28515625" style="82"/>
    <col min="12522" max="12522" width="13.7109375" style="82" customWidth="1"/>
    <col min="12523" max="12523" width="34.42578125" style="82" bestFit="1" customWidth="1"/>
    <col min="12524" max="12524" width="13.7109375" style="82" customWidth="1"/>
    <col min="12525" max="12525" width="9.28515625" style="82"/>
    <col min="12526" max="12526" width="13" style="82" customWidth="1"/>
    <col min="12527" max="12527" width="11.28515625" style="82" customWidth="1"/>
    <col min="12528" max="12528" width="15.42578125" style="82" customWidth="1"/>
    <col min="12529" max="12529" width="18.5703125" style="82" customWidth="1"/>
    <col min="12530" max="12777" width="9.28515625" style="82"/>
    <col min="12778" max="12778" width="13.7109375" style="82" customWidth="1"/>
    <col min="12779" max="12779" width="34.42578125" style="82" bestFit="1" customWidth="1"/>
    <col min="12780" max="12780" width="13.7109375" style="82" customWidth="1"/>
    <col min="12781" max="12781" width="9.28515625" style="82"/>
    <col min="12782" max="12782" width="13" style="82" customWidth="1"/>
    <col min="12783" max="12783" width="11.28515625" style="82" customWidth="1"/>
    <col min="12784" max="12784" width="15.42578125" style="82" customWidth="1"/>
    <col min="12785" max="12785" width="18.5703125" style="82" customWidth="1"/>
    <col min="12786" max="13033" width="9.28515625" style="82"/>
    <col min="13034" max="13034" width="13.7109375" style="82" customWidth="1"/>
    <col min="13035" max="13035" width="34.42578125" style="82" bestFit="1" customWidth="1"/>
    <col min="13036" max="13036" width="13.7109375" style="82" customWidth="1"/>
    <col min="13037" max="13037" width="9.28515625" style="82"/>
    <col min="13038" max="13038" width="13" style="82" customWidth="1"/>
    <col min="13039" max="13039" width="11.28515625" style="82" customWidth="1"/>
    <col min="13040" max="13040" width="15.42578125" style="82" customWidth="1"/>
    <col min="13041" max="13041" width="18.5703125" style="82" customWidth="1"/>
    <col min="13042" max="13289" width="9.28515625" style="82"/>
    <col min="13290" max="13290" width="13.7109375" style="82" customWidth="1"/>
    <col min="13291" max="13291" width="34.42578125" style="82" bestFit="1" customWidth="1"/>
    <col min="13292" max="13292" width="13.7109375" style="82" customWidth="1"/>
    <col min="13293" max="13293" width="9.28515625" style="82"/>
    <col min="13294" max="13294" width="13" style="82" customWidth="1"/>
    <col min="13295" max="13295" width="11.28515625" style="82" customWidth="1"/>
    <col min="13296" max="13296" width="15.42578125" style="82" customWidth="1"/>
    <col min="13297" max="13297" width="18.5703125" style="82" customWidth="1"/>
    <col min="13298" max="13545" width="9.28515625" style="82"/>
    <col min="13546" max="13546" width="13.7109375" style="82" customWidth="1"/>
    <col min="13547" max="13547" width="34.42578125" style="82" bestFit="1" customWidth="1"/>
    <col min="13548" max="13548" width="13.7109375" style="82" customWidth="1"/>
    <col min="13549" max="13549" width="9.28515625" style="82"/>
    <col min="13550" max="13550" width="13" style="82" customWidth="1"/>
    <col min="13551" max="13551" width="11.28515625" style="82" customWidth="1"/>
    <col min="13552" max="13552" width="15.42578125" style="82" customWidth="1"/>
    <col min="13553" max="13553" width="18.5703125" style="82" customWidth="1"/>
    <col min="13554" max="13801" width="9.28515625" style="82"/>
    <col min="13802" max="13802" width="13.7109375" style="82" customWidth="1"/>
    <col min="13803" max="13803" width="34.42578125" style="82" bestFit="1" customWidth="1"/>
    <col min="13804" max="13804" width="13.7109375" style="82" customWidth="1"/>
    <col min="13805" max="13805" width="9.28515625" style="82"/>
    <col min="13806" max="13806" width="13" style="82" customWidth="1"/>
    <col min="13807" max="13807" width="11.28515625" style="82" customWidth="1"/>
    <col min="13808" max="13808" width="15.42578125" style="82" customWidth="1"/>
    <col min="13809" max="13809" width="18.5703125" style="82" customWidth="1"/>
    <col min="13810" max="14057" width="9.28515625" style="82"/>
    <col min="14058" max="14058" width="13.7109375" style="82" customWidth="1"/>
    <col min="14059" max="14059" width="34.42578125" style="82" bestFit="1" customWidth="1"/>
    <col min="14060" max="14060" width="13.7109375" style="82" customWidth="1"/>
    <col min="14061" max="14061" width="9.28515625" style="82"/>
    <col min="14062" max="14062" width="13" style="82" customWidth="1"/>
    <col min="14063" max="14063" width="11.28515625" style="82" customWidth="1"/>
    <col min="14064" max="14064" width="15.42578125" style="82" customWidth="1"/>
    <col min="14065" max="14065" width="18.5703125" style="82" customWidth="1"/>
    <col min="14066" max="14313" width="9.28515625" style="82"/>
    <col min="14314" max="14314" width="13.7109375" style="82" customWidth="1"/>
    <col min="14315" max="14315" width="34.42578125" style="82" bestFit="1" customWidth="1"/>
    <col min="14316" max="14316" width="13.7109375" style="82" customWidth="1"/>
    <col min="14317" max="14317" width="9.28515625" style="82"/>
    <col min="14318" max="14318" width="13" style="82" customWidth="1"/>
    <col min="14319" max="14319" width="11.28515625" style="82" customWidth="1"/>
    <col min="14320" max="14320" width="15.42578125" style="82" customWidth="1"/>
    <col min="14321" max="14321" width="18.5703125" style="82" customWidth="1"/>
    <col min="14322" max="14569" width="9.28515625" style="82"/>
    <col min="14570" max="14570" width="13.7109375" style="82" customWidth="1"/>
    <col min="14571" max="14571" width="34.42578125" style="82" bestFit="1" customWidth="1"/>
    <col min="14572" max="14572" width="13.7109375" style="82" customWidth="1"/>
    <col min="14573" max="14573" width="9.28515625" style="82"/>
    <col min="14574" max="14574" width="13" style="82" customWidth="1"/>
    <col min="14575" max="14575" width="11.28515625" style="82" customWidth="1"/>
    <col min="14576" max="14576" width="15.42578125" style="82" customWidth="1"/>
    <col min="14577" max="14577" width="18.5703125" style="82" customWidth="1"/>
    <col min="14578" max="14825" width="9.28515625" style="82"/>
    <col min="14826" max="14826" width="13.7109375" style="82" customWidth="1"/>
    <col min="14827" max="14827" width="34.42578125" style="82" bestFit="1" customWidth="1"/>
    <col min="14828" max="14828" width="13.7109375" style="82" customWidth="1"/>
    <col min="14829" max="14829" width="9.28515625" style="82"/>
    <col min="14830" max="14830" width="13" style="82" customWidth="1"/>
    <col min="14831" max="14831" width="11.28515625" style="82" customWidth="1"/>
    <col min="14832" max="14832" width="15.42578125" style="82" customWidth="1"/>
    <col min="14833" max="14833" width="18.5703125" style="82" customWidth="1"/>
    <col min="14834" max="15081" width="9.28515625" style="82"/>
    <col min="15082" max="15082" width="13.7109375" style="82" customWidth="1"/>
    <col min="15083" max="15083" width="34.42578125" style="82" bestFit="1" customWidth="1"/>
    <col min="15084" max="15084" width="13.7109375" style="82" customWidth="1"/>
    <col min="15085" max="15085" width="9.28515625" style="82"/>
    <col min="15086" max="15086" width="13" style="82" customWidth="1"/>
    <col min="15087" max="15087" width="11.28515625" style="82" customWidth="1"/>
    <col min="15088" max="15088" width="15.42578125" style="82" customWidth="1"/>
    <col min="15089" max="15089" width="18.5703125" style="82" customWidth="1"/>
    <col min="15090" max="15337" width="9.28515625" style="82"/>
    <col min="15338" max="15338" width="13.7109375" style="82" customWidth="1"/>
    <col min="15339" max="15339" width="34.42578125" style="82" bestFit="1" customWidth="1"/>
    <col min="15340" max="15340" width="13.7109375" style="82" customWidth="1"/>
    <col min="15341" max="15341" width="9.28515625" style="82"/>
    <col min="15342" max="15342" width="13" style="82" customWidth="1"/>
    <col min="15343" max="15343" width="11.28515625" style="82" customWidth="1"/>
    <col min="15344" max="15344" width="15.42578125" style="82" customWidth="1"/>
    <col min="15345" max="15345" width="18.5703125" style="82" customWidth="1"/>
    <col min="15346" max="15593" width="9.28515625" style="82"/>
    <col min="15594" max="15594" width="13.7109375" style="82" customWidth="1"/>
    <col min="15595" max="15595" width="34.42578125" style="82" bestFit="1" customWidth="1"/>
    <col min="15596" max="15596" width="13.7109375" style="82" customWidth="1"/>
    <col min="15597" max="15597" width="9.28515625" style="82"/>
    <col min="15598" max="15598" width="13" style="82" customWidth="1"/>
    <col min="15599" max="15599" width="11.28515625" style="82" customWidth="1"/>
    <col min="15600" max="15600" width="15.42578125" style="82" customWidth="1"/>
    <col min="15601" max="15601" width="18.5703125" style="82" customWidth="1"/>
    <col min="15602" max="15849" width="9.28515625" style="82"/>
    <col min="15850" max="15850" width="13.7109375" style="82" customWidth="1"/>
    <col min="15851" max="15851" width="34.42578125" style="82" bestFit="1" customWidth="1"/>
    <col min="15852" max="15852" width="13.7109375" style="82" customWidth="1"/>
    <col min="15853" max="15853" width="9.28515625" style="82"/>
    <col min="15854" max="15854" width="13" style="82" customWidth="1"/>
    <col min="15855" max="15855" width="11.28515625" style="82" customWidth="1"/>
    <col min="15856" max="15856" width="15.42578125" style="82" customWidth="1"/>
    <col min="15857" max="15857" width="18.5703125" style="82" customWidth="1"/>
    <col min="15858" max="16105" width="9.28515625" style="82"/>
    <col min="16106" max="16106" width="13.7109375" style="82" customWidth="1"/>
    <col min="16107" max="16107" width="34.42578125" style="82" bestFit="1" customWidth="1"/>
    <col min="16108" max="16108" width="13.7109375" style="82" customWidth="1"/>
    <col min="16109" max="16109" width="9.28515625" style="82"/>
    <col min="16110" max="16110" width="13" style="82" customWidth="1"/>
    <col min="16111" max="16111" width="11.28515625" style="82" customWidth="1"/>
    <col min="16112" max="16112" width="15.42578125" style="82" customWidth="1"/>
    <col min="16113" max="16113" width="18.5703125" style="82" customWidth="1"/>
    <col min="16114" max="16379" width="9.28515625" style="82"/>
    <col min="16380" max="16384" width="9.28515625" style="82" customWidth="1"/>
  </cols>
  <sheetData>
    <row r="1" spans="1:11" ht="16.5" thickBot="1" x14ac:dyDescent="0.3">
      <c r="A1" s="79" t="s">
        <v>26</v>
      </c>
      <c r="B1" s="80"/>
      <c r="C1" s="81"/>
      <c r="H1" s="83"/>
      <c r="I1" s="119"/>
    </row>
    <row r="2" spans="1:11" ht="48" thickBot="1" x14ac:dyDescent="0.3">
      <c r="A2" s="84" t="s">
        <v>27</v>
      </c>
      <c r="B2" s="85" t="s">
        <v>28</v>
      </c>
      <c r="C2" s="86" t="s">
        <v>29</v>
      </c>
      <c r="D2" s="87" t="s">
        <v>30</v>
      </c>
      <c r="E2" s="88" t="s">
        <v>31</v>
      </c>
      <c r="F2" s="87" t="s">
        <v>32</v>
      </c>
      <c r="G2" s="87" t="s">
        <v>33</v>
      </c>
      <c r="H2" s="89" t="s">
        <v>34</v>
      </c>
      <c r="I2" s="119"/>
      <c r="J2" s="119" t="s">
        <v>833</v>
      </c>
      <c r="K2" s="120" t="s">
        <v>35</v>
      </c>
    </row>
    <row r="3" spans="1:11" x14ac:dyDescent="0.25">
      <c r="A3" s="90" t="s">
        <v>36</v>
      </c>
      <c r="B3" s="91" t="s">
        <v>37</v>
      </c>
      <c r="C3" s="279" t="s">
        <v>38</v>
      </c>
      <c r="D3" s="92" t="s">
        <v>39</v>
      </c>
      <c r="E3" s="93">
        <v>12</v>
      </c>
      <c r="F3" s="94" t="s">
        <v>40</v>
      </c>
      <c r="G3" s="95" t="e">
        <f>'C90 Rate Build Up'!H67</f>
        <v>#DIV/0!</v>
      </c>
      <c r="H3" s="96" t="e">
        <f>E3*G3</f>
        <v>#DIV/0!</v>
      </c>
      <c r="I3" s="119"/>
      <c r="J3" s="119" t="s">
        <v>835</v>
      </c>
      <c r="K3" s="120" t="s">
        <v>41</v>
      </c>
    </row>
    <row r="4" spans="1:11" x14ac:dyDescent="0.25">
      <c r="A4" s="90" t="s">
        <v>42</v>
      </c>
      <c r="B4" s="97" t="s">
        <v>43</v>
      </c>
      <c r="C4" s="279"/>
      <c r="D4" s="98" t="s">
        <v>44</v>
      </c>
      <c r="E4" s="99">
        <v>80</v>
      </c>
      <c r="F4" s="100" t="e">
        <f>'C90 Rate Build Up'!$H$68</f>
        <v>#DIV/0!</v>
      </c>
      <c r="G4" s="101" t="s">
        <v>40</v>
      </c>
      <c r="H4" s="102" t="e">
        <f>E4*F4</f>
        <v>#DIV/0!</v>
      </c>
      <c r="I4" s="119"/>
      <c r="J4" s="119" t="s">
        <v>836</v>
      </c>
      <c r="K4" s="120" t="s">
        <v>45</v>
      </c>
    </row>
    <row r="5" spans="1:11" x14ac:dyDescent="0.25">
      <c r="A5" s="90" t="s">
        <v>46</v>
      </c>
      <c r="B5" s="97" t="s">
        <v>47</v>
      </c>
      <c r="C5" s="279"/>
      <c r="D5" s="98" t="s">
        <v>48</v>
      </c>
      <c r="E5" s="99">
        <v>16</v>
      </c>
      <c r="F5" s="100" t="e">
        <f>'C90 Rate Build Up'!$K$68</f>
        <v>#DIV/0!</v>
      </c>
      <c r="G5" s="101" t="s">
        <v>40</v>
      </c>
      <c r="H5" s="102" t="e">
        <f>E5*F5</f>
        <v>#DIV/0!</v>
      </c>
      <c r="I5" s="119"/>
      <c r="J5" s="119" t="s">
        <v>837</v>
      </c>
      <c r="K5" s="120" t="s">
        <v>49</v>
      </c>
    </row>
    <row r="6" spans="1:11" x14ac:dyDescent="0.25">
      <c r="A6" s="90" t="s">
        <v>50</v>
      </c>
      <c r="B6" s="97" t="s">
        <v>51</v>
      </c>
      <c r="C6" s="279"/>
      <c r="D6" s="98" t="s">
        <v>48</v>
      </c>
      <c r="E6" s="99">
        <v>16</v>
      </c>
      <c r="F6" s="100" t="e">
        <f>'C90 Rate Build Up'!$H$68</f>
        <v>#DIV/0!</v>
      </c>
      <c r="G6" s="101" t="s">
        <v>40</v>
      </c>
      <c r="H6" s="102" t="e">
        <f>E6*F6</f>
        <v>#DIV/0!</v>
      </c>
      <c r="I6" s="119"/>
      <c r="J6" s="119" t="s">
        <v>838</v>
      </c>
      <c r="K6" s="120" t="s">
        <v>52</v>
      </c>
    </row>
    <row r="7" spans="1:11" x14ac:dyDescent="0.25">
      <c r="A7" s="90" t="s">
        <v>53</v>
      </c>
      <c r="B7" s="97" t="s">
        <v>54</v>
      </c>
      <c r="C7" s="279"/>
      <c r="D7" s="98" t="s">
        <v>44</v>
      </c>
      <c r="E7" s="99">
        <v>80</v>
      </c>
      <c r="F7" s="100" t="e">
        <f>'C90 Rate Build Up'!$H$68</f>
        <v>#DIV/0!</v>
      </c>
      <c r="G7" s="103" t="s">
        <v>40</v>
      </c>
      <c r="H7" s="104" t="e">
        <f t="shared" ref="H7:H8" si="0">E7*F7</f>
        <v>#DIV/0!</v>
      </c>
    </row>
    <row r="8" spans="1:11" x14ac:dyDescent="0.25">
      <c r="A8" s="90" t="s">
        <v>55</v>
      </c>
      <c r="B8" s="97" t="s">
        <v>56</v>
      </c>
      <c r="C8" s="279"/>
      <c r="D8" s="99" t="s">
        <v>44</v>
      </c>
      <c r="E8" s="99">
        <v>48</v>
      </c>
      <c r="F8" s="100" t="e">
        <f>'C90 Rate Build Up'!$H$68</f>
        <v>#DIV/0!</v>
      </c>
      <c r="G8" s="103" t="s">
        <v>40</v>
      </c>
      <c r="H8" s="104" t="e">
        <f t="shared" si="0"/>
        <v>#DIV/0!</v>
      </c>
    </row>
    <row r="9" spans="1:11" x14ac:dyDescent="0.25">
      <c r="A9" s="90" t="s">
        <v>57</v>
      </c>
      <c r="B9" s="105" t="s">
        <v>58</v>
      </c>
      <c r="C9" s="279"/>
      <c r="D9" s="99" t="s">
        <v>44</v>
      </c>
      <c r="E9" s="99">
        <v>1040</v>
      </c>
      <c r="F9" s="100" t="e">
        <f>'C90 Rate Build Up'!$H$68</f>
        <v>#DIV/0!</v>
      </c>
      <c r="G9" s="103" t="s">
        <v>40</v>
      </c>
      <c r="H9" s="102" t="e">
        <f>E9*F9</f>
        <v>#DIV/0!</v>
      </c>
      <c r="I9" s="211"/>
    </row>
    <row r="10" spans="1:11" ht="16.5" thickBot="1" x14ac:dyDescent="0.3">
      <c r="A10" s="106"/>
      <c r="B10" s="107" t="s">
        <v>59</v>
      </c>
      <c r="C10" s="283"/>
      <c r="D10" s="108"/>
      <c r="E10" s="109"/>
      <c r="F10" s="108"/>
      <c r="G10" s="108"/>
      <c r="H10" s="110" t="e">
        <f>SUM(H3:H9)</f>
        <v>#DIV/0!</v>
      </c>
    </row>
    <row r="11" spans="1:11" ht="16.5" thickTop="1" x14ac:dyDescent="0.25">
      <c r="A11" s="90" t="s">
        <v>60</v>
      </c>
      <c r="B11" s="97" t="s">
        <v>37</v>
      </c>
      <c r="C11" s="279" t="s">
        <v>61</v>
      </c>
      <c r="D11" s="98" t="s">
        <v>39</v>
      </c>
      <c r="E11" s="99">
        <v>12</v>
      </c>
      <c r="F11" s="101" t="s">
        <v>40</v>
      </c>
      <c r="G11" s="100" t="e">
        <f>'D10 Rate Build Up'!H67</f>
        <v>#DIV/0!</v>
      </c>
      <c r="H11" s="104" t="e">
        <f>E11*G11</f>
        <v>#DIV/0!</v>
      </c>
      <c r="I11" s="212"/>
      <c r="J11" s="212"/>
    </row>
    <row r="12" spans="1:11" x14ac:dyDescent="0.25">
      <c r="A12" s="90" t="s">
        <v>62</v>
      </c>
      <c r="B12" s="97" t="s">
        <v>43</v>
      </c>
      <c r="C12" s="279"/>
      <c r="D12" s="98" t="s">
        <v>44</v>
      </c>
      <c r="E12" s="99">
        <v>80</v>
      </c>
      <c r="F12" s="100" t="e">
        <f>'D10 Rate Build Up'!H68</f>
        <v>#DIV/0!</v>
      </c>
      <c r="G12" s="101" t="s">
        <v>40</v>
      </c>
      <c r="H12" s="104" t="e">
        <f>E12*F12</f>
        <v>#DIV/0!</v>
      </c>
    </row>
    <row r="13" spans="1:11" x14ac:dyDescent="0.25">
      <c r="A13" s="90" t="s">
        <v>63</v>
      </c>
      <c r="B13" s="97" t="s">
        <v>47</v>
      </c>
      <c r="C13" s="279"/>
      <c r="D13" s="98" t="s">
        <v>48</v>
      </c>
      <c r="E13" s="99">
        <v>16</v>
      </c>
      <c r="F13" s="100" t="e">
        <f>'D10 Rate Build Up'!K68</f>
        <v>#DIV/0!</v>
      </c>
      <c r="G13" s="101" t="s">
        <v>40</v>
      </c>
      <c r="H13" s="104" t="e">
        <f t="shared" ref="H13:H17" si="1">E13*F13</f>
        <v>#DIV/0!</v>
      </c>
    </row>
    <row r="14" spans="1:11" x14ac:dyDescent="0.25">
      <c r="A14" s="90" t="s">
        <v>64</v>
      </c>
      <c r="B14" s="97" t="s">
        <v>51</v>
      </c>
      <c r="C14" s="279"/>
      <c r="D14" s="98" t="s">
        <v>48</v>
      </c>
      <c r="E14" s="99">
        <v>16</v>
      </c>
      <c r="F14" s="100" t="e">
        <f>'D10 Rate Build Up'!H68</f>
        <v>#DIV/0!</v>
      </c>
      <c r="G14" s="101" t="s">
        <v>40</v>
      </c>
      <c r="H14" s="104" t="e">
        <f>E14*F14</f>
        <v>#DIV/0!</v>
      </c>
    </row>
    <row r="15" spans="1:11" x14ac:dyDescent="0.25">
      <c r="A15" s="90" t="s">
        <v>65</v>
      </c>
      <c r="B15" s="97" t="s">
        <v>54</v>
      </c>
      <c r="C15" s="279"/>
      <c r="D15" s="98" t="s">
        <v>44</v>
      </c>
      <c r="E15" s="99">
        <v>80</v>
      </c>
      <c r="F15" s="100" t="e">
        <f>'D10 Rate Build Up'!H68</f>
        <v>#DIV/0!</v>
      </c>
      <c r="G15" s="101" t="s">
        <v>40</v>
      </c>
      <c r="H15" s="104" t="e">
        <f t="shared" si="1"/>
        <v>#DIV/0!</v>
      </c>
    </row>
    <row r="16" spans="1:11" ht="12.75" customHeight="1" x14ac:dyDescent="0.25">
      <c r="A16" s="90" t="s">
        <v>66</v>
      </c>
      <c r="B16" s="97" t="s">
        <v>56</v>
      </c>
      <c r="C16" s="279"/>
      <c r="D16" s="99" t="s">
        <v>44</v>
      </c>
      <c r="E16" s="99">
        <v>48</v>
      </c>
      <c r="F16" s="100" t="e">
        <f>'D10 Rate Build Up'!H68</f>
        <v>#DIV/0!</v>
      </c>
      <c r="G16" s="101" t="s">
        <v>40</v>
      </c>
      <c r="H16" s="104" t="e">
        <f t="shared" si="1"/>
        <v>#DIV/0!</v>
      </c>
    </row>
    <row r="17" spans="1:8" x14ac:dyDescent="0.25">
      <c r="A17" s="90" t="s">
        <v>67</v>
      </c>
      <c r="B17" s="105" t="s">
        <v>58</v>
      </c>
      <c r="C17" s="279"/>
      <c r="D17" s="99" t="s">
        <v>44</v>
      </c>
      <c r="E17" s="99">
        <v>1040</v>
      </c>
      <c r="F17" s="100" t="e">
        <f>'D10 Rate Build Up'!H68</f>
        <v>#DIV/0!</v>
      </c>
      <c r="G17" s="101" t="s">
        <v>40</v>
      </c>
      <c r="H17" s="104" t="e">
        <f t="shared" si="1"/>
        <v>#DIV/0!</v>
      </c>
    </row>
    <row r="18" spans="1:8" ht="16.5" thickBot="1" x14ac:dyDescent="0.3">
      <c r="A18" s="106"/>
      <c r="B18" s="107" t="s">
        <v>59</v>
      </c>
      <c r="C18" s="280"/>
      <c r="D18" s="108"/>
      <c r="E18" s="109"/>
      <c r="F18" s="108"/>
      <c r="G18" s="108"/>
      <c r="H18" s="110" t="e">
        <f>SUM(H11:H17)</f>
        <v>#DIV/0!</v>
      </c>
    </row>
    <row r="19" spans="1:8" ht="16.5" thickTop="1" x14ac:dyDescent="0.25">
      <c r="A19" s="90" t="s">
        <v>68</v>
      </c>
      <c r="B19" s="111" t="s">
        <v>37</v>
      </c>
      <c r="C19" s="279" t="s">
        <v>69</v>
      </c>
      <c r="D19" s="98" t="s">
        <v>39</v>
      </c>
      <c r="E19" s="99">
        <v>12</v>
      </c>
      <c r="F19" s="101" t="s">
        <v>40</v>
      </c>
      <c r="G19" s="100" t="e">
        <f>'DFW ATCT-E Rate Build Up'!H67</f>
        <v>#DIV/0!</v>
      </c>
      <c r="H19" s="104" t="e">
        <f>E19*G19</f>
        <v>#DIV/0!</v>
      </c>
    </row>
    <row r="20" spans="1:8" x14ac:dyDescent="0.25">
      <c r="A20" s="90" t="s">
        <v>70</v>
      </c>
      <c r="B20" s="111" t="s">
        <v>43</v>
      </c>
      <c r="C20" s="279"/>
      <c r="D20" s="98" t="s">
        <v>44</v>
      </c>
      <c r="E20" s="99">
        <v>80</v>
      </c>
      <c r="F20" s="100" t="e">
        <f>'DFW ATCT-E Rate Build Up'!H68</f>
        <v>#DIV/0!</v>
      </c>
      <c r="G20" s="101" t="s">
        <v>40</v>
      </c>
      <c r="H20" s="104" t="e">
        <f>E20*F20</f>
        <v>#DIV/0!</v>
      </c>
    </row>
    <row r="21" spans="1:8" x14ac:dyDescent="0.25">
      <c r="A21" s="90" t="s">
        <v>71</v>
      </c>
      <c r="B21" s="111" t="s">
        <v>47</v>
      </c>
      <c r="C21" s="279"/>
      <c r="D21" s="98" t="s">
        <v>48</v>
      </c>
      <c r="E21" s="99">
        <v>16</v>
      </c>
      <c r="F21" s="100" t="e">
        <f>'DFW ATCT-E Rate Build Up'!K68</f>
        <v>#DIV/0!</v>
      </c>
      <c r="G21" s="101" t="s">
        <v>40</v>
      </c>
      <c r="H21" s="104" t="e">
        <f t="shared" ref="H21:H25" si="2">E21*F21</f>
        <v>#DIV/0!</v>
      </c>
    </row>
    <row r="22" spans="1:8" x14ac:dyDescent="0.25">
      <c r="A22" s="90" t="s">
        <v>72</v>
      </c>
      <c r="B22" s="97" t="s">
        <v>51</v>
      </c>
      <c r="C22" s="279"/>
      <c r="D22" s="98" t="s">
        <v>48</v>
      </c>
      <c r="E22" s="99">
        <v>16</v>
      </c>
      <c r="F22" s="100" t="e">
        <f>'DFW ATCT-E Rate Build Up'!H68</f>
        <v>#DIV/0!</v>
      </c>
      <c r="G22" s="101" t="s">
        <v>40</v>
      </c>
      <c r="H22" s="104" t="e">
        <f t="shared" si="2"/>
        <v>#DIV/0!</v>
      </c>
    </row>
    <row r="23" spans="1:8" x14ac:dyDescent="0.25">
      <c r="A23" s="90" t="s">
        <v>73</v>
      </c>
      <c r="B23" s="111" t="s">
        <v>54</v>
      </c>
      <c r="C23" s="279"/>
      <c r="D23" s="98" t="s">
        <v>44</v>
      </c>
      <c r="E23" s="99">
        <v>80</v>
      </c>
      <c r="F23" s="100" t="e">
        <f>'DFW ATCT-E Rate Build Up'!H68</f>
        <v>#DIV/0!</v>
      </c>
      <c r="G23" s="101" t="s">
        <v>40</v>
      </c>
      <c r="H23" s="104" t="e">
        <f t="shared" si="2"/>
        <v>#DIV/0!</v>
      </c>
    </row>
    <row r="24" spans="1:8" ht="12.75" customHeight="1" x14ac:dyDescent="0.25">
      <c r="A24" s="90" t="s">
        <v>74</v>
      </c>
      <c r="B24" s="111" t="s">
        <v>56</v>
      </c>
      <c r="C24" s="279"/>
      <c r="D24" s="99" t="s">
        <v>44</v>
      </c>
      <c r="E24" s="99">
        <v>48</v>
      </c>
      <c r="F24" s="100" t="e">
        <f>'DFW ATCT-E Rate Build Up'!H68</f>
        <v>#DIV/0!</v>
      </c>
      <c r="G24" s="101" t="s">
        <v>40</v>
      </c>
      <c r="H24" s="104" t="e">
        <f t="shared" si="2"/>
        <v>#DIV/0!</v>
      </c>
    </row>
    <row r="25" spans="1:8" x14ac:dyDescent="0.25">
      <c r="A25" s="90" t="s">
        <v>75</v>
      </c>
      <c r="B25" s="105" t="s">
        <v>58</v>
      </c>
      <c r="C25" s="279"/>
      <c r="D25" s="99" t="s">
        <v>44</v>
      </c>
      <c r="E25" s="99">
        <v>1040</v>
      </c>
      <c r="F25" s="100" t="e">
        <f>'DFW ATCT-E Rate Build Up'!H68</f>
        <v>#DIV/0!</v>
      </c>
      <c r="G25" s="101" t="s">
        <v>40</v>
      </c>
      <c r="H25" s="104" t="e">
        <f t="shared" si="2"/>
        <v>#DIV/0!</v>
      </c>
    </row>
    <row r="26" spans="1:8" ht="16.5" thickBot="1" x14ac:dyDescent="0.3">
      <c r="A26" s="106"/>
      <c r="B26" s="112" t="s">
        <v>59</v>
      </c>
      <c r="C26" s="280"/>
      <c r="D26" s="108"/>
      <c r="E26" s="109"/>
      <c r="F26" s="108"/>
      <c r="G26" s="108"/>
      <c r="H26" s="110" t="e">
        <f>SUM(H19:H25)</f>
        <v>#DIV/0!</v>
      </c>
    </row>
    <row r="27" spans="1:8" ht="16.5" thickTop="1" x14ac:dyDescent="0.25">
      <c r="A27" s="90" t="s">
        <v>76</v>
      </c>
      <c r="B27" s="97" t="s">
        <v>37</v>
      </c>
      <c r="C27" s="279" t="s">
        <v>77</v>
      </c>
      <c r="D27" s="98" t="s">
        <v>39</v>
      </c>
      <c r="E27" s="99">
        <v>12</v>
      </c>
      <c r="F27" s="101" t="s">
        <v>40</v>
      </c>
      <c r="G27" s="100" t="e">
        <f>'DFW ATCT-W Rate Build Up'!H67</f>
        <v>#DIV/0!</v>
      </c>
      <c r="H27" s="104" t="e">
        <f>E27*G27</f>
        <v>#DIV/0!</v>
      </c>
    </row>
    <row r="28" spans="1:8" x14ac:dyDescent="0.25">
      <c r="A28" s="90" t="s">
        <v>78</v>
      </c>
      <c r="B28" s="97" t="s">
        <v>43</v>
      </c>
      <c r="C28" s="279"/>
      <c r="D28" s="98" t="s">
        <v>44</v>
      </c>
      <c r="E28" s="99">
        <v>80</v>
      </c>
      <c r="F28" s="100" t="e">
        <f>'DFW ATCT-W Rate Build Up'!H68</f>
        <v>#DIV/0!</v>
      </c>
      <c r="G28" s="101" t="s">
        <v>40</v>
      </c>
      <c r="H28" s="104" t="e">
        <f>E28*F28</f>
        <v>#DIV/0!</v>
      </c>
    </row>
    <row r="29" spans="1:8" x14ac:dyDescent="0.25">
      <c r="A29" s="90" t="s">
        <v>79</v>
      </c>
      <c r="B29" s="97" t="s">
        <v>47</v>
      </c>
      <c r="C29" s="279"/>
      <c r="D29" s="98" t="s">
        <v>48</v>
      </c>
      <c r="E29" s="99">
        <v>16</v>
      </c>
      <c r="F29" s="100" t="e">
        <f>'DFW ATCT-W Rate Build Up'!K68</f>
        <v>#DIV/0!</v>
      </c>
      <c r="G29" s="101" t="s">
        <v>40</v>
      </c>
      <c r="H29" s="104" t="e">
        <f t="shared" ref="H29:H33" si="3">E29*F29</f>
        <v>#DIV/0!</v>
      </c>
    </row>
    <row r="30" spans="1:8" x14ac:dyDescent="0.25">
      <c r="A30" s="90" t="s">
        <v>80</v>
      </c>
      <c r="B30" s="97" t="s">
        <v>51</v>
      </c>
      <c r="C30" s="279"/>
      <c r="D30" s="98" t="s">
        <v>44</v>
      </c>
      <c r="E30" s="99">
        <v>16</v>
      </c>
      <c r="F30" s="100" t="e">
        <f>'DFW ATCT-W Rate Build Up'!H68</f>
        <v>#DIV/0!</v>
      </c>
      <c r="G30" s="101" t="s">
        <v>40</v>
      </c>
      <c r="H30" s="104" t="e">
        <f t="shared" ref="H30" si="4">E30*F30</f>
        <v>#DIV/0!</v>
      </c>
    </row>
    <row r="31" spans="1:8" x14ac:dyDescent="0.25">
      <c r="A31" s="90" t="s">
        <v>81</v>
      </c>
      <c r="B31" s="97" t="s">
        <v>54</v>
      </c>
      <c r="C31" s="279"/>
      <c r="D31" s="98" t="s">
        <v>44</v>
      </c>
      <c r="E31" s="99">
        <v>80</v>
      </c>
      <c r="F31" s="100" t="e">
        <f>'DFW ATCT-W Rate Build Up'!H68</f>
        <v>#DIV/0!</v>
      </c>
      <c r="G31" s="101" t="s">
        <v>40</v>
      </c>
      <c r="H31" s="104" t="e">
        <f t="shared" si="3"/>
        <v>#DIV/0!</v>
      </c>
    </row>
    <row r="32" spans="1:8" ht="13.5" customHeight="1" x14ac:dyDescent="0.25">
      <c r="A32" s="90" t="s">
        <v>82</v>
      </c>
      <c r="B32" s="97" t="s">
        <v>56</v>
      </c>
      <c r="C32" s="279"/>
      <c r="D32" s="99" t="s">
        <v>44</v>
      </c>
      <c r="E32" s="99">
        <v>48</v>
      </c>
      <c r="F32" s="100" t="e">
        <f>'DFW ATCT-W Rate Build Up'!H68</f>
        <v>#DIV/0!</v>
      </c>
      <c r="G32" s="101" t="s">
        <v>40</v>
      </c>
      <c r="H32" s="104" t="e">
        <f t="shared" si="3"/>
        <v>#DIV/0!</v>
      </c>
    </row>
    <row r="33" spans="1:8" x14ac:dyDescent="0.25">
      <c r="A33" s="90" t="s">
        <v>83</v>
      </c>
      <c r="B33" s="105" t="s">
        <v>58</v>
      </c>
      <c r="C33" s="279"/>
      <c r="D33" s="99" t="s">
        <v>44</v>
      </c>
      <c r="E33" s="99">
        <v>1040</v>
      </c>
      <c r="F33" s="100" t="e">
        <f>'DFW ATCT-W Rate Build Up'!H68</f>
        <v>#DIV/0!</v>
      </c>
      <c r="G33" s="101" t="s">
        <v>40</v>
      </c>
      <c r="H33" s="104" t="e">
        <f t="shared" si="3"/>
        <v>#DIV/0!</v>
      </c>
    </row>
    <row r="34" spans="1:8" ht="16.5" thickBot="1" x14ac:dyDescent="0.3">
      <c r="A34" s="106"/>
      <c r="B34" s="113" t="s">
        <v>59</v>
      </c>
      <c r="C34" s="280"/>
      <c r="D34" s="108"/>
      <c r="E34" s="109"/>
      <c r="F34" s="108"/>
      <c r="G34" s="108"/>
      <c r="H34" s="110" t="e">
        <f>SUM(H27:H33)</f>
        <v>#DIV/0!</v>
      </c>
    </row>
    <row r="35" spans="1:8" ht="16.5" thickTop="1" x14ac:dyDescent="0.25">
      <c r="A35" s="117" t="s">
        <v>84</v>
      </c>
      <c r="B35" s="97" t="s">
        <v>37</v>
      </c>
      <c r="C35" s="279" t="s">
        <v>85</v>
      </c>
      <c r="D35" s="98" t="s">
        <v>39</v>
      </c>
      <c r="E35" s="99">
        <v>12</v>
      </c>
      <c r="F35" s="101" t="s">
        <v>40</v>
      </c>
      <c r="G35" s="100" t="e">
        <f>'DTW Rate Build Up'!H67</f>
        <v>#DIV/0!</v>
      </c>
      <c r="H35" s="104" t="e">
        <f>E35*G35</f>
        <v>#DIV/0!</v>
      </c>
    </row>
    <row r="36" spans="1:8" x14ac:dyDescent="0.25">
      <c r="A36" s="90" t="s">
        <v>86</v>
      </c>
      <c r="B36" s="97" t="s">
        <v>43</v>
      </c>
      <c r="C36" s="279"/>
      <c r="D36" s="98" t="s">
        <v>44</v>
      </c>
      <c r="E36" s="99">
        <v>80</v>
      </c>
      <c r="F36" s="100" t="e">
        <f>'DTW Rate Build Up'!H68</f>
        <v>#DIV/0!</v>
      </c>
      <c r="G36" s="101" t="s">
        <v>40</v>
      </c>
      <c r="H36" s="104" t="e">
        <f>E36*F36</f>
        <v>#DIV/0!</v>
      </c>
    </row>
    <row r="37" spans="1:8" x14ac:dyDescent="0.25">
      <c r="A37" s="117" t="s">
        <v>87</v>
      </c>
      <c r="B37" s="97" t="s">
        <v>47</v>
      </c>
      <c r="C37" s="279"/>
      <c r="D37" s="98" t="s">
        <v>48</v>
      </c>
      <c r="E37" s="99">
        <v>16</v>
      </c>
      <c r="F37" s="100" t="e">
        <f>'DTW Rate Build Up'!K68</f>
        <v>#DIV/0!</v>
      </c>
      <c r="G37" s="101" t="s">
        <v>40</v>
      </c>
      <c r="H37" s="104" t="e">
        <f t="shared" ref="H37:H41" si="5">E37*F37</f>
        <v>#DIV/0!</v>
      </c>
    </row>
    <row r="38" spans="1:8" x14ac:dyDescent="0.25">
      <c r="A38" s="90" t="s">
        <v>88</v>
      </c>
      <c r="B38" s="97" t="s">
        <v>51</v>
      </c>
      <c r="C38" s="279"/>
      <c r="D38" s="98" t="s">
        <v>48</v>
      </c>
      <c r="E38" s="99">
        <v>16</v>
      </c>
      <c r="F38" s="100" t="e">
        <f>'DTW Rate Build Up'!H68</f>
        <v>#DIV/0!</v>
      </c>
      <c r="G38" s="101" t="s">
        <v>40</v>
      </c>
      <c r="H38" s="104" t="e">
        <f t="shared" ref="H38" si="6">E38*F38</f>
        <v>#DIV/0!</v>
      </c>
    </row>
    <row r="39" spans="1:8" x14ac:dyDescent="0.25">
      <c r="A39" s="117" t="s">
        <v>89</v>
      </c>
      <c r="B39" s="97" t="s">
        <v>54</v>
      </c>
      <c r="C39" s="279"/>
      <c r="D39" s="98" t="s">
        <v>44</v>
      </c>
      <c r="E39" s="99">
        <v>80</v>
      </c>
      <c r="F39" s="100" t="e">
        <f>'DTW Rate Build Up'!H68</f>
        <v>#DIV/0!</v>
      </c>
      <c r="G39" s="101" t="s">
        <v>40</v>
      </c>
      <c r="H39" s="104" t="e">
        <f t="shared" si="5"/>
        <v>#DIV/0!</v>
      </c>
    </row>
    <row r="40" spans="1:8" x14ac:dyDescent="0.25">
      <c r="A40" s="90" t="s">
        <v>90</v>
      </c>
      <c r="B40" s="97" t="s">
        <v>56</v>
      </c>
      <c r="C40" s="279"/>
      <c r="D40" s="99" t="s">
        <v>44</v>
      </c>
      <c r="E40" s="99">
        <v>48</v>
      </c>
      <c r="F40" s="100" t="e">
        <f>'DTW Rate Build Up'!H68</f>
        <v>#DIV/0!</v>
      </c>
      <c r="G40" s="101" t="s">
        <v>40</v>
      </c>
      <c r="H40" s="104" t="e">
        <f t="shared" si="5"/>
        <v>#DIV/0!</v>
      </c>
    </row>
    <row r="41" spans="1:8" x14ac:dyDescent="0.25">
      <c r="A41" s="117" t="s">
        <v>91</v>
      </c>
      <c r="B41" s="105" t="s">
        <v>58</v>
      </c>
      <c r="C41" s="279"/>
      <c r="D41" s="99" t="s">
        <v>44</v>
      </c>
      <c r="E41" s="99">
        <v>1040</v>
      </c>
      <c r="F41" s="100" t="e">
        <f>'DTW Rate Build Up'!H68</f>
        <v>#DIV/0!</v>
      </c>
      <c r="G41" s="101" t="s">
        <v>40</v>
      </c>
      <c r="H41" s="104" t="e">
        <f t="shared" si="5"/>
        <v>#DIV/0!</v>
      </c>
    </row>
    <row r="42" spans="1:8" ht="16.5" thickBot="1" x14ac:dyDescent="0.3">
      <c r="A42" s="116"/>
      <c r="B42" s="107" t="s">
        <v>59</v>
      </c>
      <c r="C42" s="280"/>
      <c r="D42" s="108"/>
      <c r="E42" s="109"/>
      <c r="F42" s="108"/>
      <c r="G42" s="108"/>
      <c r="H42" s="110" t="e">
        <f>SUM(H35:H41)</f>
        <v>#DIV/0!</v>
      </c>
    </row>
    <row r="43" spans="1:8" x14ac:dyDescent="0.25">
      <c r="A43" s="117" t="s">
        <v>92</v>
      </c>
      <c r="B43" s="91" t="s">
        <v>37</v>
      </c>
      <c r="C43" s="279" t="s">
        <v>93</v>
      </c>
      <c r="D43" s="92" t="s">
        <v>39</v>
      </c>
      <c r="E43" s="93">
        <v>12</v>
      </c>
      <c r="F43" s="94" t="s">
        <v>40</v>
      </c>
      <c r="G43" s="95" t="e">
        <f>'I90 TRACON Rate Build Up'!H67</f>
        <v>#DIV/0!</v>
      </c>
      <c r="H43" s="118" t="e">
        <f>E43*G43</f>
        <v>#DIV/0!</v>
      </c>
    </row>
    <row r="44" spans="1:8" x14ac:dyDescent="0.25">
      <c r="A44" s="90" t="s">
        <v>94</v>
      </c>
      <c r="B44" s="97" t="s">
        <v>43</v>
      </c>
      <c r="C44" s="279"/>
      <c r="D44" s="98" t="s">
        <v>44</v>
      </c>
      <c r="E44" s="99">
        <v>80</v>
      </c>
      <c r="F44" s="100" t="e">
        <f>'I90 TRACON Rate Build Up'!H68</f>
        <v>#DIV/0!</v>
      </c>
      <c r="G44" s="101" t="s">
        <v>40</v>
      </c>
      <c r="H44" s="104" t="e">
        <f>E44*F44</f>
        <v>#DIV/0!</v>
      </c>
    </row>
    <row r="45" spans="1:8" x14ac:dyDescent="0.25">
      <c r="A45" s="90" t="s">
        <v>95</v>
      </c>
      <c r="B45" s="97" t="s">
        <v>47</v>
      </c>
      <c r="C45" s="279"/>
      <c r="D45" s="98" t="s">
        <v>48</v>
      </c>
      <c r="E45" s="99">
        <v>16</v>
      </c>
      <c r="F45" s="100" t="e">
        <f>'I90 TRACON Rate Build Up'!K68</f>
        <v>#DIV/0!</v>
      </c>
      <c r="G45" s="101" t="s">
        <v>40</v>
      </c>
      <c r="H45" s="104" t="e">
        <f t="shared" ref="H45:H49" si="7">E45*F45</f>
        <v>#DIV/0!</v>
      </c>
    </row>
    <row r="46" spans="1:8" x14ac:dyDescent="0.25">
      <c r="A46" s="90" t="s">
        <v>96</v>
      </c>
      <c r="B46" s="97" t="s">
        <v>51</v>
      </c>
      <c r="C46" s="279"/>
      <c r="D46" s="98" t="s">
        <v>48</v>
      </c>
      <c r="E46" s="99">
        <v>16</v>
      </c>
      <c r="F46" s="100" t="e">
        <f>'I90 TRACON Rate Build Up'!H68</f>
        <v>#DIV/0!</v>
      </c>
      <c r="G46" s="101" t="s">
        <v>40</v>
      </c>
      <c r="H46" s="104" t="e">
        <f t="shared" si="7"/>
        <v>#DIV/0!</v>
      </c>
    </row>
    <row r="47" spans="1:8" x14ac:dyDescent="0.25">
      <c r="A47" s="90" t="s">
        <v>97</v>
      </c>
      <c r="B47" s="97" t="s">
        <v>54</v>
      </c>
      <c r="C47" s="279"/>
      <c r="D47" s="98" t="s">
        <v>44</v>
      </c>
      <c r="E47" s="99">
        <v>80</v>
      </c>
      <c r="F47" s="100" t="e">
        <f>'I90 TRACON Rate Build Up'!H68</f>
        <v>#DIV/0!</v>
      </c>
      <c r="G47" s="101" t="s">
        <v>40</v>
      </c>
      <c r="H47" s="104" t="e">
        <f t="shared" si="7"/>
        <v>#DIV/0!</v>
      </c>
    </row>
    <row r="48" spans="1:8" x14ac:dyDescent="0.25">
      <c r="A48" s="90" t="s">
        <v>98</v>
      </c>
      <c r="B48" s="97" t="s">
        <v>56</v>
      </c>
      <c r="C48" s="279"/>
      <c r="D48" s="99" t="s">
        <v>44</v>
      </c>
      <c r="E48" s="99">
        <v>48</v>
      </c>
      <c r="F48" s="100" t="e">
        <f>'I90 TRACON Rate Build Up'!H68</f>
        <v>#DIV/0!</v>
      </c>
      <c r="G48" s="101" t="s">
        <v>40</v>
      </c>
      <c r="H48" s="104" t="e">
        <f t="shared" si="7"/>
        <v>#DIV/0!</v>
      </c>
    </row>
    <row r="49" spans="1:8" x14ac:dyDescent="0.25">
      <c r="A49" s="90" t="s">
        <v>99</v>
      </c>
      <c r="B49" s="105" t="s">
        <v>58</v>
      </c>
      <c r="C49" s="279"/>
      <c r="D49" s="99" t="s">
        <v>44</v>
      </c>
      <c r="E49" s="99">
        <v>1040</v>
      </c>
      <c r="F49" s="100" t="e">
        <f>'I90 TRACON Rate Build Up'!H68</f>
        <v>#DIV/0!</v>
      </c>
      <c r="G49" s="101" t="s">
        <v>40</v>
      </c>
      <c r="H49" s="104" t="e">
        <f t="shared" si="7"/>
        <v>#DIV/0!</v>
      </c>
    </row>
    <row r="50" spans="1:8" ht="16.5" thickBot="1" x14ac:dyDescent="0.3">
      <c r="A50" s="116"/>
      <c r="B50" s="107" t="s">
        <v>59</v>
      </c>
      <c r="C50" s="280"/>
      <c r="D50" s="108"/>
      <c r="E50" s="109"/>
      <c r="F50" s="108"/>
      <c r="G50" s="108"/>
      <c r="H50" s="110" t="e">
        <f>SUM(H43:H49)</f>
        <v>#DIV/0!</v>
      </c>
    </row>
    <row r="51" spans="1:8" x14ac:dyDescent="0.25">
      <c r="A51" s="213"/>
      <c r="B51" s="213"/>
      <c r="C51" s="213"/>
      <c r="D51" s="213"/>
      <c r="E51" s="213"/>
      <c r="F51" s="213"/>
      <c r="G51" s="214"/>
      <c r="H51" s="215"/>
    </row>
    <row r="52" spans="1:8" ht="16.5" thickBot="1" x14ac:dyDescent="0.3">
      <c r="A52" s="79" t="s">
        <v>26</v>
      </c>
      <c r="B52" s="80"/>
      <c r="C52" s="81"/>
      <c r="H52" s="83"/>
    </row>
    <row r="53" spans="1:8" ht="48" thickBot="1" x14ac:dyDescent="0.3">
      <c r="A53" s="84" t="s">
        <v>27</v>
      </c>
      <c r="B53" s="85" t="s">
        <v>28</v>
      </c>
      <c r="C53" s="86" t="s">
        <v>29</v>
      </c>
      <c r="D53" s="87" t="s">
        <v>30</v>
      </c>
      <c r="E53" s="88" t="s">
        <v>31</v>
      </c>
      <c r="F53" s="87" t="s">
        <v>32</v>
      </c>
      <c r="G53" s="87" t="s">
        <v>33</v>
      </c>
      <c r="H53" s="89" t="s">
        <v>34</v>
      </c>
    </row>
    <row r="54" spans="1:8" x14ac:dyDescent="0.25">
      <c r="A54" s="90" t="s">
        <v>100</v>
      </c>
      <c r="B54" s="91" t="s">
        <v>37</v>
      </c>
      <c r="C54" s="279" t="s">
        <v>101</v>
      </c>
      <c r="D54" s="92" t="s">
        <v>39</v>
      </c>
      <c r="E54" s="93">
        <v>12</v>
      </c>
      <c r="F54" s="94" t="s">
        <v>40</v>
      </c>
      <c r="G54" s="95" t="e">
        <f>'IAH ATCT Rate Build Up'!H67</f>
        <v>#DIV/0!</v>
      </c>
      <c r="H54" s="118" t="e">
        <f>E54*G54</f>
        <v>#DIV/0!</v>
      </c>
    </row>
    <row r="55" spans="1:8" x14ac:dyDescent="0.25">
      <c r="A55" s="90" t="s">
        <v>102</v>
      </c>
      <c r="B55" s="97" t="s">
        <v>43</v>
      </c>
      <c r="C55" s="279"/>
      <c r="D55" s="98" t="s">
        <v>44</v>
      </c>
      <c r="E55" s="99">
        <v>80</v>
      </c>
      <c r="F55" s="100" t="e">
        <f>'IAH ATCT Rate Build Up'!H68</f>
        <v>#DIV/0!</v>
      </c>
      <c r="G55" s="101" t="s">
        <v>40</v>
      </c>
      <c r="H55" s="104" t="e">
        <f>E55*F55</f>
        <v>#DIV/0!</v>
      </c>
    </row>
    <row r="56" spans="1:8" x14ac:dyDescent="0.25">
      <c r="A56" s="90" t="s">
        <v>103</v>
      </c>
      <c r="B56" s="97" t="s">
        <v>47</v>
      </c>
      <c r="C56" s="279"/>
      <c r="D56" s="98" t="s">
        <v>48</v>
      </c>
      <c r="E56" s="99">
        <v>16</v>
      </c>
      <c r="F56" s="100" t="e">
        <f>'IAH ATCT Rate Build Up'!K68</f>
        <v>#DIV/0!</v>
      </c>
      <c r="G56" s="101" t="s">
        <v>40</v>
      </c>
      <c r="H56" s="104" t="e">
        <f t="shared" ref="H56:H60" si="8">E56*F56</f>
        <v>#DIV/0!</v>
      </c>
    </row>
    <row r="57" spans="1:8" x14ac:dyDescent="0.25">
      <c r="A57" s="90" t="s">
        <v>104</v>
      </c>
      <c r="B57" s="97" t="s">
        <v>51</v>
      </c>
      <c r="C57" s="279"/>
      <c r="D57" s="98" t="s">
        <v>48</v>
      </c>
      <c r="E57" s="99">
        <v>16</v>
      </c>
      <c r="F57" s="100" t="e">
        <f>'IAH ATCT Rate Build Up'!H68</f>
        <v>#DIV/0!</v>
      </c>
      <c r="G57" s="101" t="s">
        <v>40</v>
      </c>
      <c r="H57" s="104" t="e">
        <f t="shared" si="8"/>
        <v>#DIV/0!</v>
      </c>
    </row>
    <row r="58" spans="1:8" x14ac:dyDescent="0.25">
      <c r="A58" s="90" t="s">
        <v>105</v>
      </c>
      <c r="B58" s="97" t="s">
        <v>54</v>
      </c>
      <c r="C58" s="279"/>
      <c r="D58" s="98" t="s">
        <v>44</v>
      </c>
      <c r="E58" s="99">
        <v>80</v>
      </c>
      <c r="F58" s="100" t="e">
        <f>'IAH ATCT Rate Build Up'!H68</f>
        <v>#DIV/0!</v>
      </c>
      <c r="G58" s="101" t="s">
        <v>40</v>
      </c>
      <c r="H58" s="104" t="e">
        <f t="shared" si="8"/>
        <v>#DIV/0!</v>
      </c>
    </row>
    <row r="59" spans="1:8" x14ac:dyDescent="0.25">
      <c r="A59" s="90" t="s">
        <v>106</v>
      </c>
      <c r="B59" s="97" t="s">
        <v>56</v>
      </c>
      <c r="C59" s="279"/>
      <c r="D59" s="99" t="s">
        <v>44</v>
      </c>
      <c r="E59" s="99">
        <v>48</v>
      </c>
      <c r="F59" s="100" t="e">
        <f>'IAH ATCT Rate Build Up'!H68</f>
        <v>#DIV/0!</v>
      </c>
      <c r="G59" s="101" t="s">
        <v>40</v>
      </c>
      <c r="H59" s="104" t="e">
        <f t="shared" si="8"/>
        <v>#DIV/0!</v>
      </c>
    </row>
    <row r="60" spans="1:8" x14ac:dyDescent="0.25">
      <c r="A60" s="90" t="s">
        <v>107</v>
      </c>
      <c r="B60" s="105" t="s">
        <v>58</v>
      </c>
      <c r="C60" s="279"/>
      <c r="D60" s="99" t="s">
        <v>44</v>
      </c>
      <c r="E60" s="99">
        <v>1040</v>
      </c>
      <c r="F60" s="100" t="e">
        <f>'IAH ATCT Rate Build Up'!H68</f>
        <v>#DIV/0!</v>
      </c>
      <c r="G60" s="101" t="s">
        <v>40</v>
      </c>
      <c r="H60" s="104" t="e">
        <f t="shared" si="8"/>
        <v>#DIV/0!</v>
      </c>
    </row>
    <row r="61" spans="1:8" ht="16.5" thickBot="1" x14ac:dyDescent="0.3">
      <c r="A61" s="106"/>
      <c r="B61" s="107" t="s">
        <v>59</v>
      </c>
      <c r="C61" s="280"/>
      <c r="D61" s="108"/>
      <c r="E61" s="109"/>
      <c r="F61" s="108"/>
      <c r="G61" s="108"/>
      <c r="H61" s="110" t="e">
        <f>SUM(H54:H60)</f>
        <v>#DIV/0!</v>
      </c>
    </row>
    <row r="62" spans="1:8" ht="16.5" thickTop="1" x14ac:dyDescent="0.25">
      <c r="A62" s="90" t="s">
        <v>108</v>
      </c>
      <c r="B62" s="97" t="s">
        <v>37</v>
      </c>
      <c r="C62" s="279" t="s">
        <v>109</v>
      </c>
      <c r="D62" s="98" t="s">
        <v>39</v>
      </c>
      <c r="E62" s="99">
        <v>12</v>
      </c>
      <c r="F62" s="101" t="s">
        <v>40</v>
      </c>
      <c r="G62" s="100" t="e">
        <f>'MSP ATCT Rate Build Up'!H67</f>
        <v>#DIV/0!</v>
      </c>
      <c r="H62" s="104" t="e">
        <f>E62*G62</f>
        <v>#DIV/0!</v>
      </c>
    </row>
    <row r="63" spans="1:8" x14ac:dyDescent="0.25">
      <c r="A63" s="90" t="s">
        <v>110</v>
      </c>
      <c r="B63" s="97" t="s">
        <v>43</v>
      </c>
      <c r="C63" s="279"/>
      <c r="D63" s="98" t="s">
        <v>44</v>
      </c>
      <c r="E63" s="99">
        <v>80</v>
      </c>
      <c r="F63" s="100" t="e">
        <f>'MSP ATCT Rate Build Up'!H68</f>
        <v>#DIV/0!</v>
      </c>
      <c r="G63" s="101" t="s">
        <v>40</v>
      </c>
      <c r="H63" s="104" t="e">
        <f>E63*F63</f>
        <v>#DIV/0!</v>
      </c>
    </row>
    <row r="64" spans="1:8" x14ac:dyDescent="0.25">
      <c r="A64" s="90" t="s">
        <v>111</v>
      </c>
      <c r="B64" s="97" t="s">
        <v>47</v>
      </c>
      <c r="C64" s="279"/>
      <c r="D64" s="98" t="s">
        <v>48</v>
      </c>
      <c r="E64" s="99">
        <v>16</v>
      </c>
      <c r="F64" s="100" t="e">
        <f>'MSP ATCT Rate Build Up'!K68</f>
        <v>#DIV/0!</v>
      </c>
      <c r="G64" s="101" t="s">
        <v>40</v>
      </c>
      <c r="H64" s="104" t="e">
        <f t="shared" ref="H64:H68" si="9">E64*F64</f>
        <v>#DIV/0!</v>
      </c>
    </row>
    <row r="65" spans="1:8" x14ac:dyDescent="0.25">
      <c r="A65" s="90" t="s">
        <v>112</v>
      </c>
      <c r="B65" s="97" t="s">
        <v>51</v>
      </c>
      <c r="C65" s="279"/>
      <c r="D65" s="98" t="s">
        <v>48</v>
      </c>
      <c r="E65" s="99">
        <v>16</v>
      </c>
      <c r="F65" s="100" t="e">
        <f>'MSP ATCT Rate Build Up'!H68</f>
        <v>#DIV/0!</v>
      </c>
      <c r="G65" s="101" t="s">
        <v>40</v>
      </c>
      <c r="H65" s="104" t="e">
        <f t="shared" si="9"/>
        <v>#DIV/0!</v>
      </c>
    </row>
    <row r="66" spans="1:8" x14ac:dyDescent="0.25">
      <c r="A66" s="90" t="s">
        <v>113</v>
      </c>
      <c r="B66" s="97" t="s">
        <v>54</v>
      </c>
      <c r="C66" s="279"/>
      <c r="D66" s="98" t="s">
        <v>44</v>
      </c>
      <c r="E66" s="99">
        <v>80</v>
      </c>
      <c r="F66" s="100" t="e">
        <f>'MSP ATCT Rate Build Up'!H68</f>
        <v>#DIV/0!</v>
      </c>
      <c r="G66" s="101" t="s">
        <v>40</v>
      </c>
      <c r="H66" s="104" t="e">
        <f t="shared" si="9"/>
        <v>#DIV/0!</v>
      </c>
    </row>
    <row r="67" spans="1:8" x14ac:dyDescent="0.25">
      <c r="A67" s="90" t="s">
        <v>114</v>
      </c>
      <c r="B67" s="97" t="s">
        <v>56</v>
      </c>
      <c r="C67" s="279"/>
      <c r="D67" s="99" t="s">
        <v>44</v>
      </c>
      <c r="E67" s="99">
        <v>48</v>
      </c>
      <c r="F67" s="100" t="e">
        <f>'MSP ATCT Rate Build Up'!H68</f>
        <v>#DIV/0!</v>
      </c>
      <c r="G67" s="101" t="s">
        <v>40</v>
      </c>
      <c r="H67" s="104" t="e">
        <f t="shared" si="9"/>
        <v>#DIV/0!</v>
      </c>
    </row>
    <row r="68" spans="1:8" x14ac:dyDescent="0.25">
      <c r="A68" s="90" t="s">
        <v>115</v>
      </c>
      <c r="B68" s="105" t="s">
        <v>58</v>
      </c>
      <c r="C68" s="279"/>
      <c r="D68" s="99" t="s">
        <v>44</v>
      </c>
      <c r="E68" s="99">
        <v>1040</v>
      </c>
      <c r="F68" s="100" t="e">
        <f>'MSP ATCT Rate Build Up'!H68</f>
        <v>#DIV/0!</v>
      </c>
      <c r="G68" s="101" t="s">
        <v>40</v>
      </c>
      <c r="H68" s="104" t="e">
        <f t="shared" si="9"/>
        <v>#DIV/0!</v>
      </c>
    </row>
    <row r="69" spans="1:8" ht="16.5" thickBot="1" x14ac:dyDescent="0.3">
      <c r="A69" s="106"/>
      <c r="B69" s="107" t="s">
        <v>59</v>
      </c>
      <c r="C69" s="280"/>
      <c r="D69" s="108"/>
      <c r="E69" s="109"/>
      <c r="F69" s="108"/>
      <c r="G69" s="108"/>
      <c r="H69" s="110" t="e">
        <f>SUM(H62:H68)</f>
        <v>#DIV/0!</v>
      </c>
    </row>
    <row r="70" spans="1:8" ht="16.5" thickTop="1" x14ac:dyDescent="0.25">
      <c r="A70" s="90" t="s">
        <v>116</v>
      </c>
      <c r="B70" s="97" t="s">
        <v>37</v>
      </c>
      <c r="C70" s="279" t="s">
        <v>117</v>
      </c>
      <c r="D70" s="98" t="s">
        <v>39</v>
      </c>
      <c r="E70" s="99">
        <v>12</v>
      </c>
      <c r="F70" s="101" t="s">
        <v>40</v>
      </c>
      <c r="G70" s="100" t="e">
        <f>'ORD ATCT Rate Build Up'!H67</f>
        <v>#DIV/0!</v>
      </c>
      <c r="H70" s="104" t="e">
        <f>E70*G70</f>
        <v>#DIV/0!</v>
      </c>
    </row>
    <row r="71" spans="1:8" x14ac:dyDescent="0.25">
      <c r="A71" s="90" t="s">
        <v>118</v>
      </c>
      <c r="B71" s="97" t="s">
        <v>43</v>
      </c>
      <c r="C71" s="279"/>
      <c r="D71" s="98" t="s">
        <v>44</v>
      </c>
      <c r="E71" s="99">
        <v>80</v>
      </c>
      <c r="F71" s="100" t="e">
        <f>'ORD ATCT Rate Build Up'!H68</f>
        <v>#DIV/0!</v>
      </c>
      <c r="G71" s="101" t="s">
        <v>40</v>
      </c>
      <c r="H71" s="104" t="e">
        <f>E71*F71</f>
        <v>#DIV/0!</v>
      </c>
    </row>
    <row r="72" spans="1:8" x14ac:dyDescent="0.25">
      <c r="A72" s="90" t="s">
        <v>119</v>
      </c>
      <c r="B72" s="97" t="s">
        <v>47</v>
      </c>
      <c r="C72" s="279"/>
      <c r="D72" s="98" t="s">
        <v>48</v>
      </c>
      <c r="E72" s="99">
        <v>16</v>
      </c>
      <c r="F72" s="100" t="e">
        <f>'ORD ATCT Rate Build Up'!K68</f>
        <v>#DIV/0!</v>
      </c>
      <c r="G72" s="101" t="s">
        <v>40</v>
      </c>
      <c r="H72" s="104" t="e">
        <f t="shared" ref="H72:H76" si="10">E72*F72</f>
        <v>#DIV/0!</v>
      </c>
    </row>
    <row r="73" spans="1:8" x14ac:dyDescent="0.25">
      <c r="A73" s="90" t="s">
        <v>120</v>
      </c>
      <c r="B73" s="97" t="s">
        <v>51</v>
      </c>
      <c r="C73" s="279"/>
      <c r="D73" s="98" t="s">
        <v>48</v>
      </c>
      <c r="E73" s="99">
        <v>16</v>
      </c>
      <c r="F73" s="100" t="e">
        <f>'ORD ATCT Rate Build Up'!H68</f>
        <v>#DIV/0!</v>
      </c>
      <c r="G73" s="101" t="s">
        <v>40</v>
      </c>
      <c r="H73" s="104" t="e">
        <f t="shared" si="10"/>
        <v>#DIV/0!</v>
      </c>
    </row>
    <row r="74" spans="1:8" x14ac:dyDescent="0.25">
      <c r="A74" s="90" t="s">
        <v>121</v>
      </c>
      <c r="B74" s="97" t="s">
        <v>54</v>
      </c>
      <c r="C74" s="279"/>
      <c r="D74" s="98" t="s">
        <v>44</v>
      </c>
      <c r="E74" s="99">
        <v>80</v>
      </c>
      <c r="F74" s="100" t="e">
        <f>'ORD ATCT Rate Build Up'!H68</f>
        <v>#DIV/0!</v>
      </c>
      <c r="G74" s="101" t="s">
        <v>40</v>
      </c>
      <c r="H74" s="104" t="e">
        <f t="shared" si="10"/>
        <v>#DIV/0!</v>
      </c>
    </row>
    <row r="75" spans="1:8" x14ac:dyDescent="0.25">
      <c r="A75" s="90" t="s">
        <v>122</v>
      </c>
      <c r="B75" s="97" t="s">
        <v>56</v>
      </c>
      <c r="C75" s="279"/>
      <c r="D75" s="99" t="s">
        <v>44</v>
      </c>
      <c r="E75" s="99">
        <v>48</v>
      </c>
      <c r="F75" s="100" t="e">
        <f>'ORD ATCT Rate Build Up'!H68</f>
        <v>#DIV/0!</v>
      </c>
      <c r="G75" s="101" t="s">
        <v>40</v>
      </c>
      <c r="H75" s="104" t="e">
        <f t="shared" si="10"/>
        <v>#DIV/0!</v>
      </c>
    </row>
    <row r="76" spans="1:8" x14ac:dyDescent="0.25">
      <c r="A76" s="90" t="s">
        <v>123</v>
      </c>
      <c r="B76" s="105" t="s">
        <v>58</v>
      </c>
      <c r="C76" s="279"/>
      <c r="D76" s="99" t="s">
        <v>44</v>
      </c>
      <c r="E76" s="99">
        <v>1040</v>
      </c>
      <c r="F76" s="100" t="e">
        <f>'ORD ATCT Rate Build Up'!H68</f>
        <v>#DIV/0!</v>
      </c>
      <c r="G76" s="101" t="s">
        <v>40</v>
      </c>
      <c r="H76" s="104" t="e">
        <f t="shared" si="10"/>
        <v>#DIV/0!</v>
      </c>
    </row>
    <row r="77" spans="1:8" ht="16.5" thickBot="1" x14ac:dyDescent="0.3">
      <c r="A77" s="106"/>
      <c r="B77" s="113" t="s">
        <v>59</v>
      </c>
      <c r="C77" s="280"/>
      <c r="D77" s="108"/>
      <c r="E77" s="109"/>
      <c r="F77" s="108"/>
      <c r="G77" s="108"/>
      <c r="H77" s="110" t="e">
        <f>SUM(H70:H76)</f>
        <v>#DIV/0!</v>
      </c>
    </row>
    <row r="78" spans="1:8" ht="16.5" thickTop="1" x14ac:dyDescent="0.25">
      <c r="A78" s="90" t="s">
        <v>124</v>
      </c>
      <c r="B78" s="97" t="s">
        <v>37</v>
      </c>
      <c r="C78" s="279" t="s">
        <v>125</v>
      </c>
      <c r="D78" s="98" t="s">
        <v>39</v>
      </c>
      <c r="E78" s="99">
        <v>12</v>
      </c>
      <c r="F78" s="101" t="s">
        <v>40</v>
      </c>
      <c r="G78" s="100" t="e">
        <f>'ZAB ARTCC Rate Build Up'!H67</f>
        <v>#DIV/0!</v>
      </c>
      <c r="H78" s="104" t="e">
        <f>E78*G78</f>
        <v>#DIV/0!</v>
      </c>
    </row>
    <row r="79" spans="1:8" x14ac:dyDescent="0.25">
      <c r="A79" s="90" t="s">
        <v>126</v>
      </c>
      <c r="B79" s="97" t="s">
        <v>43</v>
      </c>
      <c r="C79" s="279"/>
      <c r="D79" s="98" t="s">
        <v>44</v>
      </c>
      <c r="E79" s="99">
        <v>80</v>
      </c>
      <c r="F79" s="100" t="e">
        <f>'ZAB ARTCC Rate Build Up'!H68</f>
        <v>#DIV/0!</v>
      </c>
      <c r="G79" s="101" t="s">
        <v>40</v>
      </c>
      <c r="H79" s="104" t="e">
        <f>E79*F79</f>
        <v>#DIV/0!</v>
      </c>
    </row>
    <row r="80" spans="1:8" x14ac:dyDescent="0.25">
      <c r="A80" s="90" t="s">
        <v>127</v>
      </c>
      <c r="B80" s="97" t="s">
        <v>47</v>
      </c>
      <c r="C80" s="279"/>
      <c r="D80" s="98" t="s">
        <v>48</v>
      </c>
      <c r="E80" s="99">
        <v>16</v>
      </c>
      <c r="F80" s="100" t="e">
        <f>'ZAB ARTCC Rate Build Up'!K68</f>
        <v>#DIV/0!</v>
      </c>
      <c r="G80" s="101" t="s">
        <v>40</v>
      </c>
      <c r="H80" s="104" t="e">
        <f t="shared" ref="H80:H84" si="11">E80*F80</f>
        <v>#DIV/0!</v>
      </c>
    </row>
    <row r="81" spans="1:8" x14ac:dyDescent="0.25">
      <c r="A81" s="90" t="s">
        <v>128</v>
      </c>
      <c r="B81" s="97" t="s">
        <v>51</v>
      </c>
      <c r="C81" s="279"/>
      <c r="D81" s="98" t="s">
        <v>48</v>
      </c>
      <c r="E81" s="99">
        <v>16</v>
      </c>
      <c r="F81" s="100" t="e">
        <f>'ZAB ARTCC Rate Build Up'!H68</f>
        <v>#DIV/0!</v>
      </c>
      <c r="G81" s="101" t="s">
        <v>40</v>
      </c>
      <c r="H81" s="104" t="e">
        <f t="shared" si="11"/>
        <v>#DIV/0!</v>
      </c>
    </row>
    <row r="82" spans="1:8" x14ac:dyDescent="0.25">
      <c r="A82" s="90" t="s">
        <v>129</v>
      </c>
      <c r="B82" s="97" t="s">
        <v>54</v>
      </c>
      <c r="C82" s="279"/>
      <c r="D82" s="98" t="s">
        <v>44</v>
      </c>
      <c r="E82" s="99">
        <v>80</v>
      </c>
      <c r="F82" s="100" t="e">
        <f>'ZAB ARTCC Rate Build Up'!H68</f>
        <v>#DIV/0!</v>
      </c>
      <c r="G82" s="101" t="s">
        <v>40</v>
      </c>
      <c r="H82" s="104" t="e">
        <f t="shared" si="11"/>
        <v>#DIV/0!</v>
      </c>
    </row>
    <row r="83" spans="1:8" x14ac:dyDescent="0.25">
      <c r="A83" s="90" t="s">
        <v>130</v>
      </c>
      <c r="B83" s="97" t="s">
        <v>56</v>
      </c>
      <c r="C83" s="279"/>
      <c r="D83" s="99" t="s">
        <v>44</v>
      </c>
      <c r="E83" s="99">
        <v>48</v>
      </c>
      <c r="F83" s="100" t="e">
        <f>'ZAB ARTCC Rate Build Up'!H68</f>
        <v>#DIV/0!</v>
      </c>
      <c r="G83" s="101" t="s">
        <v>40</v>
      </c>
      <c r="H83" s="104" t="e">
        <f t="shared" si="11"/>
        <v>#DIV/0!</v>
      </c>
    </row>
    <row r="84" spans="1:8" x14ac:dyDescent="0.25">
      <c r="A84" s="90" t="s">
        <v>131</v>
      </c>
      <c r="B84" s="105" t="s">
        <v>58</v>
      </c>
      <c r="C84" s="279"/>
      <c r="D84" s="99" t="s">
        <v>44</v>
      </c>
      <c r="E84" s="99">
        <v>1040</v>
      </c>
      <c r="F84" s="100" t="e">
        <f>'ZAB ARTCC Rate Build Up'!H68</f>
        <v>#DIV/0!</v>
      </c>
      <c r="G84" s="101" t="s">
        <v>40</v>
      </c>
      <c r="H84" s="104" t="e">
        <f t="shared" si="11"/>
        <v>#DIV/0!</v>
      </c>
    </row>
    <row r="85" spans="1:8" ht="16.5" thickBot="1" x14ac:dyDescent="0.3">
      <c r="A85" s="106"/>
      <c r="B85" s="113" t="s">
        <v>59</v>
      </c>
      <c r="C85" s="280"/>
      <c r="D85" s="108"/>
      <c r="E85" s="109"/>
      <c r="F85" s="108"/>
      <c r="G85" s="108"/>
      <c r="H85" s="110" t="e">
        <f>SUM(H78:H84)</f>
        <v>#DIV/0!</v>
      </c>
    </row>
    <row r="86" spans="1:8" ht="16.5" thickTop="1" x14ac:dyDescent="0.25">
      <c r="A86" s="90" t="s">
        <v>132</v>
      </c>
      <c r="B86" s="97" t="s">
        <v>37</v>
      </c>
      <c r="C86" s="279" t="s">
        <v>133</v>
      </c>
      <c r="D86" s="98" t="s">
        <v>39</v>
      </c>
      <c r="E86" s="99">
        <v>12</v>
      </c>
      <c r="F86" s="101" t="s">
        <v>40</v>
      </c>
      <c r="G86" s="100" t="e">
        <f>'ZAU Rate Build Up'!H67</f>
        <v>#DIV/0!</v>
      </c>
      <c r="H86" s="104" t="e">
        <f>E86*G86</f>
        <v>#DIV/0!</v>
      </c>
    </row>
    <row r="87" spans="1:8" x14ac:dyDescent="0.25">
      <c r="A87" s="90" t="s">
        <v>134</v>
      </c>
      <c r="B87" s="97" t="s">
        <v>43</v>
      </c>
      <c r="C87" s="279"/>
      <c r="D87" s="98" t="s">
        <v>44</v>
      </c>
      <c r="E87" s="99">
        <v>80</v>
      </c>
      <c r="F87" s="100" t="e">
        <f>'ZAU Rate Build Up'!H68</f>
        <v>#DIV/0!</v>
      </c>
      <c r="G87" s="101" t="s">
        <v>40</v>
      </c>
      <c r="H87" s="104" t="e">
        <f>E87*F87</f>
        <v>#DIV/0!</v>
      </c>
    </row>
    <row r="88" spans="1:8" x14ac:dyDescent="0.25">
      <c r="A88" s="90" t="s">
        <v>135</v>
      </c>
      <c r="B88" s="97" t="s">
        <v>47</v>
      </c>
      <c r="C88" s="279"/>
      <c r="D88" s="98" t="s">
        <v>48</v>
      </c>
      <c r="E88" s="99">
        <v>16</v>
      </c>
      <c r="F88" s="100" t="e">
        <f>'ZAU Rate Build Up'!K68</f>
        <v>#DIV/0!</v>
      </c>
      <c r="G88" s="101" t="s">
        <v>40</v>
      </c>
      <c r="H88" s="104" t="e">
        <f t="shared" ref="H88:H92" si="12">E88*F88</f>
        <v>#DIV/0!</v>
      </c>
    </row>
    <row r="89" spans="1:8" x14ac:dyDescent="0.25">
      <c r="A89" s="90" t="s">
        <v>136</v>
      </c>
      <c r="B89" s="97" t="s">
        <v>51</v>
      </c>
      <c r="C89" s="279"/>
      <c r="D89" s="98" t="s">
        <v>48</v>
      </c>
      <c r="E89" s="99">
        <v>16</v>
      </c>
      <c r="F89" s="100" t="e">
        <f>'ZAU Rate Build Up'!H68</f>
        <v>#DIV/0!</v>
      </c>
      <c r="G89" s="101" t="s">
        <v>40</v>
      </c>
      <c r="H89" s="104" t="e">
        <f t="shared" si="12"/>
        <v>#DIV/0!</v>
      </c>
    </row>
    <row r="90" spans="1:8" x14ac:dyDescent="0.25">
      <c r="A90" s="90" t="s">
        <v>137</v>
      </c>
      <c r="B90" s="97" t="s">
        <v>54</v>
      </c>
      <c r="C90" s="279"/>
      <c r="D90" s="98" t="s">
        <v>44</v>
      </c>
      <c r="E90" s="99">
        <v>80</v>
      </c>
      <c r="F90" s="100" t="e">
        <f>'ZAU Rate Build Up'!H68</f>
        <v>#DIV/0!</v>
      </c>
      <c r="G90" s="101" t="s">
        <v>40</v>
      </c>
      <c r="H90" s="104" t="e">
        <f t="shared" si="12"/>
        <v>#DIV/0!</v>
      </c>
    </row>
    <row r="91" spans="1:8" x14ac:dyDescent="0.25">
      <c r="A91" s="90" t="s">
        <v>138</v>
      </c>
      <c r="B91" s="97" t="s">
        <v>56</v>
      </c>
      <c r="C91" s="279"/>
      <c r="D91" s="99" t="s">
        <v>44</v>
      </c>
      <c r="E91" s="99">
        <v>48</v>
      </c>
      <c r="F91" s="100" t="e">
        <f>'ZAU Rate Build Up'!H68</f>
        <v>#DIV/0!</v>
      </c>
      <c r="G91" s="101" t="s">
        <v>40</v>
      </c>
      <c r="H91" s="104" t="e">
        <f t="shared" si="12"/>
        <v>#DIV/0!</v>
      </c>
    </row>
    <row r="92" spans="1:8" x14ac:dyDescent="0.25">
      <c r="A92" s="90" t="s">
        <v>139</v>
      </c>
      <c r="B92" s="105" t="s">
        <v>58</v>
      </c>
      <c r="C92" s="279"/>
      <c r="D92" s="99" t="s">
        <v>44</v>
      </c>
      <c r="E92" s="99">
        <v>1040</v>
      </c>
      <c r="F92" s="100" t="e">
        <f>'ZAU Rate Build Up'!H68</f>
        <v>#DIV/0!</v>
      </c>
      <c r="G92" s="101" t="s">
        <v>40</v>
      </c>
      <c r="H92" s="104" t="e">
        <f t="shared" si="12"/>
        <v>#DIV/0!</v>
      </c>
    </row>
    <row r="93" spans="1:8" ht="16.5" thickBot="1" x14ac:dyDescent="0.3">
      <c r="A93" s="106"/>
      <c r="B93" s="113" t="s">
        <v>59</v>
      </c>
      <c r="C93" s="280"/>
      <c r="D93" s="108"/>
      <c r="E93" s="109"/>
      <c r="F93" s="108"/>
      <c r="G93" s="108"/>
      <c r="H93" s="110" t="e">
        <f>SUM(H86:H92)</f>
        <v>#DIV/0!</v>
      </c>
    </row>
    <row r="94" spans="1:8" ht="16.5" thickTop="1" x14ac:dyDescent="0.25">
      <c r="A94" s="90" t="s">
        <v>140</v>
      </c>
      <c r="B94" s="97" t="s">
        <v>37</v>
      </c>
      <c r="C94" s="279" t="s">
        <v>141</v>
      </c>
      <c r="D94" s="98" t="s">
        <v>39</v>
      </c>
      <c r="E94" s="99">
        <v>12</v>
      </c>
      <c r="F94" s="101" t="s">
        <v>40</v>
      </c>
      <c r="G94" s="100" t="e">
        <f>'ZFW Rate Build Up'!H67</f>
        <v>#DIV/0!</v>
      </c>
      <c r="H94" s="104" t="e">
        <f>E94*G94</f>
        <v>#DIV/0!</v>
      </c>
    </row>
    <row r="95" spans="1:8" x14ac:dyDescent="0.25">
      <c r="A95" s="90" t="s">
        <v>142</v>
      </c>
      <c r="B95" s="97" t="s">
        <v>43</v>
      </c>
      <c r="C95" s="279"/>
      <c r="D95" s="98" t="s">
        <v>44</v>
      </c>
      <c r="E95" s="99">
        <v>80</v>
      </c>
      <c r="F95" s="100" t="e">
        <f>'ZFW Rate Build Up'!H68</f>
        <v>#DIV/0!</v>
      </c>
      <c r="G95" s="101" t="s">
        <v>40</v>
      </c>
      <c r="H95" s="104" t="e">
        <f>E95*F95</f>
        <v>#DIV/0!</v>
      </c>
    </row>
    <row r="96" spans="1:8" x14ac:dyDescent="0.25">
      <c r="A96" s="90" t="s">
        <v>143</v>
      </c>
      <c r="B96" s="97" t="s">
        <v>47</v>
      </c>
      <c r="C96" s="279"/>
      <c r="D96" s="98" t="s">
        <v>48</v>
      </c>
      <c r="E96" s="99">
        <v>16</v>
      </c>
      <c r="F96" s="100" t="e">
        <f>'ZFW Rate Build Up'!K68</f>
        <v>#DIV/0!</v>
      </c>
      <c r="G96" s="101" t="s">
        <v>40</v>
      </c>
      <c r="H96" s="104" t="e">
        <f t="shared" ref="H96:H100" si="13">E96*F96</f>
        <v>#DIV/0!</v>
      </c>
    </row>
    <row r="97" spans="1:8" x14ac:dyDescent="0.25">
      <c r="A97" s="90" t="s">
        <v>144</v>
      </c>
      <c r="B97" s="216" t="s">
        <v>51</v>
      </c>
      <c r="C97" s="279"/>
      <c r="D97" s="98" t="s">
        <v>48</v>
      </c>
      <c r="E97" s="99">
        <v>16</v>
      </c>
      <c r="F97" s="100" t="e">
        <f>'ZFW Rate Build Up'!H68</f>
        <v>#DIV/0!</v>
      </c>
      <c r="G97" s="101" t="s">
        <v>40</v>
      </c>
      <c r="H97" s="104" t="e">
        <f t="shared" si="13"/>
        <v>#DIV/0!</v>
      </c>
    </row>
    <row r="98" spans="1:8" x14ac:dyDescent="0.25">
      <c r="A98" s="90" t="s">
        <v>145</v>
      </c>
      <c r="B98" s="97" t="s">
        <v>54</v>
      </c>
      <c r="C98" s="279"/>
      <c r="D98" s="98" t="s">
        <v>44</v>
      </c>
      <c r="E98" s="99">
        <v>80</v>
      </c>
      <c r="F98" s="100" t="e">
        <f>'ZFW Rate Build Up'!H68</f>
        <v>#DIV/0!</v>
      </c>
      <c r="G98" s="101" t="s">
        <v>40</v>
      </c>
      <c r="H98" s="104" t="e">
        <f t="shared" si="13"/>
        <v>#DIV/0!</v>
      </c>
    </row>
    <row r="99" spans="1:8" x14ac:dyDescent="0.25">
      <c r="A99" s="90" t="s">
        <v>146</v>
      </c>
      <c r="B99" s="97" t="s">
        <v>56</v>
      </c>
      <c r="C99" s="279"/>
      <c r="D99" s="99" t="s">
        <v>44</v>
      </c>
      <c r="E99" s="99">
        <v>48</v>
      </c>
      <c r="F99" s="100" t="e">
        <f>'ZFW Rate Build Up'!H68</f>
        <v>#DIV/0!</v>
      </c>
      <c r="G99" s="101" t="s">
        <v>40</v>
      </c>
      <c r="H99" s="104" t="e">
        <f t="shared" si="13"/>
        <v>#DIV/0!</v>
      </c>
    </row>
    <row r="100" spans="1:8" x14ac:dyDescent="0.25">
      <c r="A100" s="90" t="s">
        <v>147</v>
      </c>
      <c r="B100" s="105" t="s">
        <v>58</v>
      </c>
      <c r="C100" s="279"/>
      <c r="D100" s="99" t="s">
        <v>44</v>
      </c>
      <c r="E100" s="99">
        <v>1040</v>
      </c>
      <c r="F100" s="100" t="e">
        <f>'ZFW Rate Build Up'!H68</f>
        <v>#DIV/0!</v>
      </c>
      <c r="G100" s="101" t="s">
        <v>40</v>
      </c>
      <c r="H100" s="104" t="e">
        <f t="shared" si="13"/>
        <v>#DIV/0!</v>
      </c>
    </row>
    <row r="101" spans="1:8" ht="16.5" thickBot="1" x14ac:dyDescent="0.3">
      <c r="A101" s="106"/>
      <c r="B101" s="113" t="s">
        <v>59</v>
      </c>
      <c r="C101" s="280"/>
      <c r="D101" s="108"/>
      <c r="E101" s="109"/>
      <c r="F101" s="108"/>
      <c r="G101" s="108"/>
      <c r="H101" s="110" t="e">
        <f>SUM(H94:H100)</f>
        <v>#DIV/0!</v>
      </c>
    </row>
    <row r="102" spans="1:8" ht="16.5" thickTop="1" x14ac:dyDescent="0.25">
      <c r="A102" s="117" t="s">
        <v>148</v>
      </c>
      <c r="B102" s="97" t="s">
        <v>37</v>
      </c>
      <c r="C102" s="279" t="s">
        <v>149</v>
      </c>
      <c r="D102" s="98" t="s">
        <v>39</v>
      </c>
      <c r="E102" s="99">
        <v>12</v>
      </c>
      <c r="F102" s="101" t="s">
        <v>40</v>
      </c>
      <c r="G102" s="100" t="e">
        <f>'ZHU Rate Build Up'!H67</f>
        <v>#DIV/0!</v>
      </c>
      <c r="H102" s="104" t="e">
        <f>E102*G102</f>
        <v>#DIV/0!</v>
      </c>
    </row>
    <row r="103" spans="1:8" x14ac:dyDescent="0.25">
      <c r="A103" s="90" t="s">
        <v>150</v>
      </c>
      <c r="B103" s="97" t="s">
        <v>43</v>
      </c>
      <c r="C103" s="279"/>
      <c r="D103" s="98" t="s">
        <v>44</v>
      </c>
      <c r="E103" s="99">
        <v>80</v>
      </c>
      <c r="F103" s="100" t="e">
        <f>'ZHU Rate Build Up'!H68</f>
        <v>#DIV/0!</v>
      </c>
      <c r="G103" s="101" t="s">
        <v>40</v>
      </c>
      <c r="H103" s="104" t="e">
        <f>E103*F103</f>
        <v>#DIV/0!</v>
      </c>
    </row>
    <row r="104" spans="1:8" x14ac:dyDescent="0.25">
      <c r="A104" s="90" t="s">
        <v>151</v>
      </c>
      <c r="B104" s="97" t="s">
        <v>47</v>
      </c>
      <c r="C104" s="279"/>
      <c r="D104" s="98" t="s">
        <v>48</v>
      </c>
      <c r="E104" s="99">
        <v>16</v>
      </c>
      <c r="F104" s="100" t="e">
        <f>'ZHU Rate Build Up'!K68</f>
        <v>#DIV/0!</v>
      </c>
      <c r="G104" s="101" t="s">
        <v>40</v>
      </c>
      <c r="H104" s="104" t="e">
        <f t="shared" ref="H104:H108" si="14">E104*F104</f>
        <v>#DIV/0!</v>
      </c>
    </row>
    <row r="105" spans="1:8" x14ac:dyDescent="0.25">
      <c r="A105" s="90" t="s">
        <v>152</v>
      </c>
      <c r="B105" s="97" t="s">
        <v>51</v>
      </c>
      <c r="C105" s="279"/>
      <c r="D105" s="98" t="s">
        <v>48</v>
      </c>
      <c r="E105" s="99">
        <v>16</v>
      </c>
      <c r="F105" s="100" t="e">
        <f>'ZHU Rate Build Up'!H68</f>
        <v>#DIV/0!</v>
      </c>
      <c r="G105" s="101" t="s">
        <v>40</v>
      </c>
      <c r="H105" s="104" t="e">
        <f t="shared" si="14"/>
        <v>#DIV/0!</v>
      </c>
    </row>
    <row r="106" spans="1:8" x14ac:dyDescent="0.25">
      <c r="A106" s="90" t="s">
        <v>153</v>
      </c>
      <c r="B106" s="97" t="s">
        <v>54</v>
      </c>
      <c r="C106" s="279"/>
      <c r="D106" s="98" t="s">
        <v>44</v>
      </c>
      <c r="E106" s="99">
        <v>80</v>
      </c>
      <c r="F106" s="100" t="e">
        <f>'ZHU Rate Build Up'!H68</f>
        <v>#DIV/0!</v>
      </c>
      <c r="G106" s="101" t="s">
        <v>40</v>
      </c>
      <c r="H106" s="104" t="e">
        <f t="shared" si="14"/>
        <v>#DIV/0!</v>
      </c>
    </row>
    <row r="107" spans="1:8" x14ac:dyDescent="0.25">
      <c r="A107" s="90" t="s">
        <v>154</v>
      </c>
      <c r="B107" s="97" t="s">
        <v>56</v>
      </c>
      <c r="C107" s="279"/>
      <c r="D107" s="99" t="s">
        <v>44</v>
      </c>
      <c r="E107" s="99">
        <v>48</v>
      </c>
      <c r="F107" s="100" t="e">
        <f>'ZHU Rate Build Up'!H68</f>
        <v>#DIV/0!</v>
      </c>
      <c r="G107" s="101" t="s">
        <v>40</v>
      </c>
      <c r="H107" s="104" t="e">
        <f t="shared" si="14"/>
        <v>#DIV/0!</v>
      </c>
    </row>
    <row r="108" spans="1:8" x14ac:dyDescent="0.25">
      <c r="A108" s="117" t="s">
        <v>155</v>
      </c>
      <c r="B108" s="105" t="s">
        <v>58</v>
      </c>
      <c r="C108" s="279"/>
      <c r="D108" s="99" t="s">
        <v>44</v>
      </c>
      <c r="E108" s="99">
        <v>1040</v>
      </c>
      <c r="F108" s="100" t="e">
        <f>'ZHU Rate Build Up'!H68</f>
        <v>#DIV/0!</v>
      </c>
      <c r="G108" s="101" t="s">
        <v>40</v>
      </c>
      <c r="H108" s="104" t="e">
        <f t="shared" si="14"/>
        <v>#DIV/0!</v>
      </c>
    </row>
    <row r="109" spans="1:8" ht="16.5" thickBot="1" x14ac:dyDescent="0.3">
      <c r="A109" s="106"/>
      <c r="B109" s="107" t="s">
        <v>59</v>
      </c>
      <c r="C109" s="280"/>
      <c r="D109" s="108"/>
      <c r="E109" s="109"/>
      <c r="F109" s="108"/>
      <c r="G109" s="108"/>
      <c r="H109" s="110" t="e">
        <f>SUM(H102:H108)</f>
        <v>#DIV/0!</v>
      </c>
    </row>
    <row r="110" spans="1:8" ht="16.5" thickTop="1" x14ac:dyDescent="0.25">
      <c r="B110" s="213"/>
      <c r="C110" s="217"/>
      <c r="D110" s="214"/>
      <c r="E110" s="214"/>
      <c r="F110" s="214"/>
      <c r="G110" s="214"/>
      <c r="H110" s="215"/>
    </row>
    <row r="111" spans="1:8" ht="16.5" thickBot="1" x14ac:dyDescent="0.3">
      <c r="A111" s="79" t="s">
        <v>26</v>
      </c>
      <c r="B111" s="80"/>
      <c r="C111" s="217"/>
      <c r="H111" s="83"/>
    </row>
    <row r="112" spans="1:8" ht="48" thickBot="1" x14ac:dyDescent="0.3">
      <c r="A112" s="84" t="s">
        <v>27</v>
      </c>
      <c r="B112" s="85" t="s">
        <v>28</v>
      </c>
      <c r="C112" s="86" t="s">
        <v>29</v>
      </c>
      <c r="D112" s="87" t="s">
        <v>30</v>
      </c>
      <c r="E112" s="88" t="s">
        <v>31</v>
      </c>
      <c r="F112" s="87" t="s">
        <v>32</v>
      </c>
      <c r="G112" s="87" t="s">
        <v>33</v>
      </c>
      <c r="H112" s="89" t="s">
        <v>34</v>
      </c>
    </row>
    <row r="113" spans="1:8" x14ac:dyDescent="0.25">
      <c r="A113" s="90" t="s">
        <v>156</v>
      </c>
      <c r="B113" s="91" t="s">
        <v>37</v>
      </c>
      <c r="C113" s="279" t="s">
        <v>157</v>
      </c>
      <c r="D113" s="92" t="s">
        <v>39</v>
      </c>
      <c r="E113" s="93">
        <v>12</v>
      </c>
      <c r="F113" s="218" t="s">
        <v>40</v>
      </c>
      <c r="G113" s="95" t="e">
        <f>'ZID Rate Build Up'!H67</f>
        <v>#DIV/0!</v>
      </c>
      <c r="H113" s="118" t="e">
        <f>E113*G113</f>
        <v>#DIV/0!</v>
      </c>
    </row>
    <row r="114" spans="1:8" x14ac:dyDescent="0.25">
      <c r="A114" s="90" t="s">
        <v>158</v>
      </c>
      <c r="B114" s="97" t="s">
        <v>43</v>
      </c>
      <c r="C114" s="279"/>
      <c r="D114" s="98" t="s">
        <v>44</v>
      </c>
      <c r="E114" s="99">
        <v>80</v>
      </c>
      <c r="F114" s="100" t="e">
        <f>'ZID Rate Build Up'!H68</f>
        <v>#DIV/0!</v>
      </c>
      <c r="G114" s="103" t="s">
        <v>40</v>
      </c>
      <c r="H114" s="104" t="e">
        <f>E114*F114</f>
        <v>#DIV/0!</v>
      </c>
    </row>
    <row r="115" spans="1:8" x14ac:dyDescent="0.25">
      <c r="A115" s="90" t="s">
        <v>159</v>
      </c>
      <c r="B115" s="97" t="s">
        <v>47</v>
      </c>
      <c r="C115" s="279"/>
      <c r="D115" s="98" t="s">
        <v>48</v>
      </c>
      <c r="E115" s="99">
        <v>16</v>
      </c>
      <c r="F115" s="100" t="e">
        <f>'ZID Rate Build Up'!K68</f>
        <v>#DIV/0!</v>
      </c>
      <c r="G115" s="103" t="s">
        <v>40</v>
      </c>
      <c r="H115" s="104" t="e">
        <f t="shared" ref="H115:H119" si="15">E115*F115</f>
        <v>#DIV/0!</v>
      </c>
    </row>
    <row r="116" spans="1:8" x14ac:dyDescent="0.25">
      <c r="A116" s="90" t="s">
        <v>160</v>
      </c>
      <c r="B116" s="97" t="s">
        <v>51</v>
      </c>
      <c r="C116" s="279"/>
      <c r="D116" s="98" t="s">
        <v>48</v>
      </c>
      <c r="E116" s="99">
        <v>16</v>
      </c>
      <c r="F116" s="100" t="e">
        <f>'ZID Rate Build Up'!H68</f>
        <v>#DIV/0!</v>
      </c>
      <c r="G116" s="101" t="s">
        <v>40</v>
      </c>
      <c r="H116" s="104" t="e">
        <f t="shared" si="15"/>
        <v>#DIV/0!</v>
      </c>
    </row>
    <row r="117" spans="1:8" x14ac:dyDescent="0.25">
      <c r="A117" s="90" t="s">
        <v>161</v>
      </c>
      <c r="B117" s="97" t="s">
        <v>54</v>
      </c>
      <c r="C117" s="279"/>
      <c r="D117" s="98" t="s">
        <v>44</v>
      </c>
      <c r="E117" s="99">
        <v>80</v>
      </c>
      <c r="F117" s="100" t="e">
        <f>'ZID Rate Build Up'!H68</f>
        <v>#DIV/0!</v>
      </c>
      <c r="G117" s="103" t="s">
        <v>40</v>
      </c>
      <c r="H117" s="104" t="e">
        <f t="shared" si="15"/>
        <v>#DIV/0!</v>
      </c>
    </row>
    <row r="118" spans="1:8" x14ac:dyDescent="0.25">
      <c r="A118" s="90" t="s">
        <v>162</v>
      </c>
      <c r="B118" s="97" t="s">
        <v>56</v>
      </c>
      <c r="C118" s="279"/>
      <c r="D118" s="99" t="s">
        <v>44</v>
      </c>
      <c r="E118" s="99">
        <v>48</v>
      </c>
      <c r="F118" s="100" t="e">
        <f>'ZID Rate Build Up'!H68</f>
        <v>#DIV/0!</v>
      </c>
      <c r="G118" s="103" t="s">
        <v>40</v>
      </c>
      <c r="H118" s="104" t="e">
        <f t="shared" si="15"/>
        <v>#DIV/0!</v>
      </c>
    </row>
    <row r="119" spans="1:8" x14ac:dyDescent="0.25">
      <c r="A119" s="90" t="s">
        <v>163</v>
      </c>
      <c r="B119" s="105" t="s">
        <v>58</v>
      </c>
      <c r="C119" s="279"/>
      <c r="D119" s="99" t="s">
        <v>44</v>
      </c>
      <c r="E119" s="99">
        <v>1040</v>
      </c>
      <c r="F119" s="100" t="e">
        <f>'ZID Rate Build Up'!H68</f>
        <v>#DIV/0!</v>
      </c>
      <c r="G119" s="103" t="s">
        <v>40</v>
      </c>
      <c r="H119" s="104" t="e">
        <f t="shared" si="15"/>
        <v>#DIV/0!</v>
      </c>
    </row>
    <row r="120" spans="1:8" ht="16.5" thickBot="1" x14ac:dyDescent="0.3">
      <c r="A120" s="106"/>
      <c r="B120" s="113" t="s">
        <v>59</v>
      </c>
      <c r="C120" s="280"/>
      <c r="D120" s="108"/>
      <c r="E120" s="109"/>
      <c r="F120" s="108"/>
      <c r="G120" s="108"/>
      <c r="H120" s="110" t="e">
        <f>SUM(H113:H119)</f>
        <v>#DIV/0!</v>
      </c>
    </row>
    <row r="121" spans="1:8" ht="16.5" thickTop="1" x14ac:dyDescent="0.25">
      <c r="A121" s="90" t="s">
        <v>164</v>
      </c>
      <c r="B121" s="97" t="s">
        <v>37</v>
      </c>
      <c r="C121" s="279" t="s">
        <v>165</v>
      </c>
      <c r="D121" s="98" t="s">
        <v>39</v>
      </c>
      <c r="E121" s="99">
        <v>12</v>
      </c>
      <c r="F121" s="103" t="s">
        <v>40</v>
      </c>
      <c r="G121" s="100" t="e">
        <f>'ZKC Rate Build Up'!H67</f>
        <v>#DIV/0!</v>
      </c>
      <c r="H121" s="104" t="e">
        <f>E121*G121</f>
        <v>#DIV/0!</v>
      </c>
    </row>
    <row r="122" spans="1:8" x14ac:dyDescent="0.25">
      <c r="A122" s="90" t="s">
        <v>166</v>
      </c>
      <c r="B122" s="97" t="s">
        <v>43</v>
      </c>
      <c r="C122" s="279"/>
      <c r="D122" s="98" t="s">
        <v>44</v>
      </c>
      <c r="E122" s="99">
        <v>80</v>
      </c>
      <c r="F122" s="100" t="e">
        <f>'ZKC Rate Build Up'!H68</f>
        <v>#DIV/0!</v>
      </c>
      <c r="G122" s="103" t="s">
        <v>40</v>
      </c>
      <c r="H122" s="104" t="e">
        <f>E122*F122</f>
        <v>#DIV/0!</v>
      </c>
    </row>
    <row r="123" spans="1:8" x14ac:dyDescent="0.25">
      <c r="A123" s="90" t="s">
        <v>167</v>
      </c>
      <c r="B123" s="97" t="s">
        <v>47</v>
      </c>
      <c r="C123" s="279"/>
      <c r="D123" s="98" t="s">
        <v>48</v>
      </c>
      <c r="E123" s="99">
        <v>16</v>
      </c>
      <c r="F123" s="100" t="e">
        <f>'ZKC Rate Build Up'!K68</f>
        <v>#DIV/0!</v>
      </c>
      <c r="G123" s="103" t="s">
        <v>40</v>
      </c>
      <c r="H123" s="104" t="e">
        <f t="shared" ref="H123:H127" si="16">E123*F123</f>
        <v>#DIV/0!</v>
      </c>
    </row>
    <row r="124" spans="1:8" x14ac:dyDescent="0.25">
      <c r="A124" s="90" t="s">
        <v>168</v>
      </c>
      <c r="B124" s="216" t="s">
        <v>51</v>
      </c>
      <c r="C124" s="279"/>
      <c r="D124" s="98" t="s">
        <v>48</v>
      </c>
      <c r="E124" s="99">
        <v>16</v>
      </c>
      <c r="F124" s="100" t="e">
        <f>'ZKC Rate Build Up'!H68</f>
        <v>#DIV/0!</v>
      </c>
      <c r="G124" s="101" t="s">
        <v>40</v>
      </c>
      <c r="H124" s="104" t="e">
        <f t="shared" si="16"/>
        <v>#DIV/0!</v>
      </c>
    </row>
    <row r="125" spans="1:8" x14ac:dyDescent="0.25">
      <c r="A125" s="90" t="s">
        <v>169</v>
      </c>
      <c r="B125" s="97" t="s">
        <v>54</v>
      </c>
      <c r="C125" s="279"/>
      <c r="D125" s="98" t="s">
        <v>44</v>
      </c>
      <c r="E125" s="99">
        <v>80</v>
      </c>
      <c r="F125" s="100" t="e">
        <f>'ZKC Rate Build Up'!H68</f>
        <v>#DIV/0!</v>
      </c>
      <c r="G125" s="103" t="s">
        <v>40</v>
      </c>
      <c r="H125" s="104" t="e">
        <f t="shared" si="16"/>
        <v>#DIV/0!</v>
      </c>
    </row>
    <row r="126" spans="1:8" x14ac:dyDescent="0.25">
      <c r="A126" s="90" t="s">
        <v>170</v>
      </c>
      <c r="B126" s="97" t="s">
        <v>56</v>
      </c>
      <c r="C126" s="279"/>
      <c r="D126" s="99" t="s">
        <v>44</v>
      </c>
      <c r="E126" s="99">
        <v>48</v>
      </c>
      <c r="F126" s="100" t="e">
        <f>'ZKC Rate Build Up'!H68</f>
        <v>#DIV/0!</v>
      </c>
      <c r="G126" s="103" t="s">
        <v>40</v>
      </c>
      <c r="H126" s="104" t="e">
        <f t="shared" si="16"/>
        <v>#DIV/0!</v>
      </c>
    </row>
    <row r="127" spans="1:8" x14ac:dyDescent="0.25">
      <c r="A127" s="90" t="s">
        <v>171</v>
      </c>
      <c r="B127" s="105" t="s">
        <v>58</v>
      </c>
      <c r="C127" s="279"/>
      <c r="D127" s="99" t="s">
        <v>44</v>
      </c>
      <c r="E127" s="99">
        <v>1040</v>
      </c>
      <c r="F127" s="100" t="e">
        <f>'ZKC Rate Build Up'!H68</f>
        <v>#DIV/0!</v>
      </c>
      <c r="G127" s="103" t="s">
        <v>40</v>
      </c>
      <c r="H127" s="104" t="e">
        <f t="shared" si="16"/>
        <v>#DIV/0!</v>
      </c>
    </row>
    <row r="128" spans="1:8" ht="16.5" thickBot="1" x14ac:dyDescent="0.3">
      <c r="A128" s="106"/>
      <c r="B128" s="113" t="s">
        <v>59</v>
      </c>
      <c r="C128" s="280"/>
      <c r="D128" s="108"/>
      <c r="E128" s="109"/>
      <c r="F128" s="108"/>
      <c r="G128" s="108"/>
      <c r="H128" s="110" t="e">
        <f>SUM(H121:H127)</f>
        <v>#DIV/0!</v>
      </c>
    </row>
    <row r="129" spans="1:8" ht="16.5" thickTop="1" x14ac:dyDescent="0.25">
      <c r="A129" s="90" t="s">
        <v>172</v>
      </c>
      <c r="B129" s="97" t="s">
        <v>37</v>
      </c>
      <c r="C129" s="279" t="s">
        <v>173</v>
      </c>
      <c r="D129" s="98" t="s">
        <v>39</v>
      </c>
      <c r="E129" s="99">
        <v>12</v>
      </c>
      <c r="F129" s="103" t="s">
        <v>40</v>
      </c>
      <c r="G129" s="100" t="e">
        <f>'ZMP Rate Build Up'!H67</f>
        <v>#DIV/0!</v>
      </c>
      <c r="H129" s="104" t="e">
        <f>E129*G129</f>
        <v>#DIV/0!</v>
      </c>
    </row>
    <row r="130" spans="1:8" x14ac:dyDescent="0.25">
      <c r="A130" s="90" t="s">
        <v>174</v>
      </c>
      <c r="B130" s="97" t="s">
        <v>43</v>
      </c>
      <c r="C130" s="279"/>
      <c r="D130" s="98" t="s">
        <v>44</v>
      </c>
      <c r="E130" s="99">
        <v>80</v>
      </c>
      <c r="F130" s="100" t="e">
        <f>'ZMP Rate Build Up'!H68</f>
        <v>#DIV/0!</v>
      </c>
      <c r="G130" s="103" t="s">
        <v>40</v>
      </c>
      <c r="H130" s="104" t="e">
        <f>E130*F130</f>
        <v>#DIV/0!</v>
      </c>
    </row>
    <row r="131" spans="1:8" x14ac:dyDescent="0.25">
      <c r="A131" s="90" t="s">
        <v>175</v>
      </c>
      <c r="B131" s="97" t="s">
        <v>47</v>
      </c>
      <c r="C131" s="279"/>
      <c r="D131" s="98" t="s">
        <v>48</v>
      </c>
      <c r="E131" s="99">
        <v>16</v>
      </c>
      <c r="F131" s="100" t="e">
        <f>'ZMP Rate Build Up'!K68</f>
        <v>#DIV/0!</v>
      </c>
      <c r="G131" s="103" t="s">
        <v>40</v>
      </c>
      <c r="H131" s="104" t="e">
        <f t="shared" ref="H131:H135" si="17">E131*F131</f>
        <v>#DIV/0!</v>
      </c>
    </row>
    <row r="132" spans="1:8" x14ac:dyDescent="0.25">
      <c r="A132" s="90" t="s">
        <v>176</v>
      </c>
      <c r="B132" s="97" t="s">
        <v>51</v>
      </c>
      <c r="C132" s="279"/>
      <c r="D132" s="98" t="s">
        <v>48</v>
      </c>
      <c r="E132" s="99">
        <v>16</v>
      </c>
      <c r="F132" s="100" t="e">
        <f>'ZMP Rate Build Up'!H68</f>
        <v>#DIV/0!</v>
      </c>
      <c r="G132" s="101" t="s">
        <v>40</v>
      </c>
      <c r="H132" s="104" t="e">
        <f t="shared" si="17"/>
        <v>#DIV/0!</v>
      </c>
    </row>
    <row r="133" spans="1:8" x14ac:dyDescent="0.25">
      <c r="A133" s="90" t="s">
        <v>177</v>
      </c>
      <c r="B133" s="97" t="s">
        <v>54</v>
      </c>
      <c r="C133" s="279"/>
      <c r="D133" s="98" t="s">
        <v>44</v>
      </c>
      <c r="E133" s="99">
        <v>80</v>
      </c>
      <c r="F133" s="100" t="e">
        <f>'ZMP Rate Build Up'!H68</f>
        <v>#DIV/0!</v>
      </c>
      <c r="G133" s="103" t="s">
        <v>40</v>
      </c>
      <c r="H133" s="104" t="e">
        <f t="shared" si="17"/>
        <v>#DIV/0!</v>
      </c>
    </row>
    <row r="134" spans="1:8" x14ac:dyDescent="0.25">
      <c r="A134" s="90" t="s">
        <v>178</v>
      </c>
      <c r="B134" s="97" t="s">
        <v>56</v>
      </c>
      <c r="C134" s="279"/>
      <c r="D134" s="99" t="s">
        <v>44</v>
      </c>
      <c r="E134" s="99">
        <v>48</v>
      </c>
      <c r="F134" s="100" t="e">
        <f>'ZMP Rate Build Up'!H68</f>
        <v>#DIV/0!</v>
      </c>
      <c r="G134" s="103" t="s">
        <v>40</v>
      </c>
      <c r="H134" s="104" t="e">
        <f t="shared" si="17"/>
        <v>#DIV/0!</v>
      </c>
    </row>
    <row r="135" spans="1:8" x14ac:dyDescent="0.25">
      <c r="A135" s="90" t="s">
        <v>179</v>
      </c>
      <c r="B135" s="105" t="s">
        <v>58</v>
      </c>
      <c r="C135" s="279"/>
      <c r="D135" s="99" t="s">
        <v>44</v>
      </c>
      <c r="E135" s="99">
        <v>1040</v>
      </c>
      <c r="F135" s="100" t="e">
        <f>'ZMP Rate Build Up'!H68</f>
        <v>#DIV/0!</v>
      </c>
      <c r="G135" s="103" t="s">
        <v>40</v>
      </c>
      <c r="H135" s="104" t="e">
        <f t="shared" si="17"/>
        <v>#DIV/0!</v>
      </c>
    </row>
    <row r="136" spans="1:8" ht="16.5" thickBot="1" x14ac:dyDescent="0.3">
      <c r="A136" s="106"/>
      <c r="B136" s="113" t="s">
        <v>59</v>
      </c>
      <c r="C136" s="280"/>
      <c r="D136" s="108"/>
      <c r="E136" s="109"/>
      <c r="F136" s="108"/>
      <c r="G136" s="108"/>
      <c r="H136" s="110" t="e">
        <f>SUM(H129:H135)</f>
        <v>#DIV/0!</v>
      </c>
    </row>
    <row r="137" spans="1:8" ht="16.5" thickTop="1" x14ac:dyDescent="0.25">
      <c r="A137" s="90" t="s">
        <v>180</v>
      </c>
      <c r="B137" s="97" t="s">
        <v>37</v>
      </c>
      <c r="C137" s="279" t="s">
        <v>181</v>
      </c>
      <c r="D137" s="98" t="s">
        <v>39</v>
      </c>
      <c r="E137" s="99">
        <v>12</v>
      </c>
      <c r="F137" s="103" t="s">
        <v>40</v>
      </c>
      <c r="G137" s="100" t="e">
        <f>'ZOB Rate Build Up'!H67</f>
        <v>#DIV/0!</v>
      </c>
      <c r="H137" s="104" t="e">
        <f>E137*G137</f>
        <v>#DIV/0!</v>
      </c>
    </row>
    <row r="138" spans="1:8" x14ac:dyDescent="0.25">
      <c r="A138" s="90" t="s">
        <v>182</v>
      </c>
      <c r="B138" s="97" t="s">
        <v>43</v>
      </c>
      <c r="C138" s="279"/>
      <c r="D138" s="98" t="s">
        <v>44</v>
      </c>
      <c r="E138" s="99">
        <v>80</v>
      </c>
      <c r="F138" s="100" t="e">
        <f>'ZOB Rate Build Up'!H68</f>
        <v>#DIV/0!</v>
      </c>
      <c r="G138" s="103" t="s">
        <v>40</v>
      </c>
      <c r="H138" s="104" t="e">
        <f>E138*F138</f>
        <v>#DIV/0!</v>
      </c>
    </row>
    <row r="139" spans="1:8" x14ac:dyDescent="0.25">
      <c r="A139" s="90" t="s">
        <v>183</v>
      </c>
      <c r="B139" s="97" t="s">
        <v>47</v>
      </c>
      <c r="C139" s="279"/>
      <c r="D139" s="98" t="s">
        <v>48</v>
      </c>
      <c r="E139" s="99">
        <v>16</v>
      </c>
      <c r="F139" s="100" t="e">
        <f>'ZOB Rate Build Up'!K68</f>
        <v>#DIV/0!</v>
      </c>
      <c r="G139" s="103" t="s">
        <v>40</v>
      </c>
      <c r="H139" s="104" t="e">
        <f t="shared" ref="H139:H143" si="18">E139*F139</f>
        <v>#DIV/0!</v>
      </c>
    </row>
    <row r="140" spans="1:8" x14ac:dyDescent="0.25">
      <c r="A140" s="90" t="s">
        <v>184</v>
      </c>
      <c r="B140" s="97" t="s">
        <v>51</v>
      </c>
      <c r="C140" s="279"/>
      <c r="D140" s="98" t="s">
        <v>48</v>
      </c>
      <c r="E140" s="99">
        <v>16</v>
      </c>
      <c r="F140" s="100" t="e">
        <f>'ZOB Rate Build Up'!H68</f>
        <v>#DIV/0!</v>
      </c>
      <c r="G140" s="101" t="s">
        <v>40</v>
      </c>
      <c r="H140" s="104" t="e">
        <f t="shared" si="18"/>
        <v>#DIV/0!</v>
      </c>
    </row>
    <row r="141" spans="1:8" x14ac:dyDescent="0.25">
      <c r="A141" s="90" t="s">
        <v>185</v>
      </c>
      <c r="B141" s="97" t="s">
        <v>54</v>
      </c>
      <c r="C141" s="279"/>
      <c r="D141" s="98" t="s">
        <v>44</v>
      </c>
      <c r="E141" s="99">
        <v>80</v>
      </c>
      <c r="F141" s="100" t="e">
        <f>'ZOB Rate Build Up'!H68</f>
        <v>#DIV/0!</v>
      </c>
      <c r="G141" s="103" t="s">
        <v>40</v>
      </c>
      <c r="H141" s="104" t="e">
        <f t="shared" si="18"/>
        <v>#DIV/0!</v>
      </c>
    </row>
    <row r="142" spans="1:8" x14ac:dyDescent="0.25">
      <c r="A142" s="90" t="s">
        <v>186</v>
      </c>
      <c r="B142" s="97" t="s">
        <v>56</v>
      </c>
      <c r="C142" s="279"/>
      <c r="D142" s="99" t="s">
        <v>44</v>
      </c>
      <c r="E142" s="99">
        <v>48</v>
      </c>
      <c r="F142" s="100" t="e">
        <f>'ZOB Rate Build Up'!H68</f>
        <v>#DIV/0!</v>
      </c>
      <c r="G142" s="103" t="s">
        <v>40</v>
      </c>
      <c r="H142" s="104" t="e">
        <f t="shared" si="18"/>
        <v>#DIV/0!</v>
      </c>
    </row>
    <row r="143" spans="1:8" x14ac:dyDescent="0.25">
      <c r="A143" s="90" t="s">
        <v>187</v>
      </c>
      <c r="B143" s="105" t="s">
        <v>58</v>
      </c>
      <c r="C143" s="279"/>
      <c r="D143" s="99" t="s">
        <v>44</v>
      </c>
      <c r="E143" s="99">
        <v>1040</v>
      </c>
      <c r="F143" s="100" t="e">
        <f>'ZOB Rate Build Up'!H68</f>
        <v>#DIV/0!</v>
      </c>
      <c r="G143" s="103" t="s">
        <v>40</v>
      </c>
      <c r="H143" s="104" t="e">
        <f t="shared" si="18"/>
        <v>#DIV/0!</v>
      </c>
    </row>
    <row r="144" spans="1:8" ht="16.5" thickBot="1" x14ac:dyDescent="0.3">
      <c r="A144" s="106"/>
      <c r="B144" s="107" t="s">
        <v>59</v>
      </c>
      <c r="C144" s="280"/>
      <c r="D144" s="108"/>
      <c r="E144" s="109"/>
      <c r="F144" s="108"/>
      <c r="G144" s="108"/>
      <c r="H144" s="110" t="e">
        <f>SUM(H137:H143)</f>
        <v>#DIV/0!</v>
      </c>
    </row>
    <row r="145" spans="1:9" ht="17.25" thickTop="1" thickBot="1" x14ac:dyDescent="0.3"/>
    <row r="146" spans="1:9" ht="48" thickBot="1" x14ac:dyDescent="0.3">
      <c r="A146" s="220" t="s">
        <v>27</v>
      </c>
      <c r="B146" s="221" t="s">
        <v>28</v>
      </c>
      <c r="C146" s="222" t="s">
        <v>29</v>
      </c>
      <c r="D146" s="222" t="s">
        <v>30</v>
      </c>
      <c r="E146" s="88" t="s">
        <v>31</v>
      </c>
      <c r="F146" s="222" t="s">
        <v>32</v>
      </c>
      <c r="G146" s="222" t="s">
        <v>33</v>
      </c>
      <c r="H146" s="223" t="s">
        <v>34</v>
      </c>
    </row>
    <row r="147" spans="1:9" x14ac:dyDescent="0.25">
      <c r="A147" s="224" t="s">
        <v>188</v>
      </c>
      <c r="B147" s="225" t="s">
        <v>37</v>
      </c>
      <c r="C147" s="281" t="s">
        <v>189</v>
      </c>
      <c r="D147" s="226" t="s">
        <v>39</v>
      </c>
      <c r="E147" s="227" t="s">
        <v>40</v>
      </c>
      <c r="F147" s="226" t="s">
        <v>40</v>
      </c>
      <c r="G147" s="228" t="e">
        <f>H147/12</f>
        <v>#DIV/0!</v>
      </c>
      <c r="H147" s="228" t="e">
        <f>SUM(H3+H11+H19+H27+H35+H43+H54+H62+H70+H78+H86+H94+H102+H113+H121+H129+H137)</f>
        <v>#DIV/0!</v>
      </c>
    </row>
    <row r="148" spans="1:9" x14ac:dyDescent="0.25">
      <c r="A148" s="224" t="s">
        <v>190</v>
      </c>
      <c r="B148" s="225" t="s">
        <v>43</v>
      </c>
      <c r="C148" s="281"/>
      <c r="D148" s="226" t="s">
        <v>44</v>
      </c>
      <c r="E148" s="227" t="s">
        <v>40</v>
      </c>
      <c r="F148" s="226" t="s">
        <v>40</v>
      </c>
      <c r="G148" s="226" t="s">
        <v>40</v>
      </c>
      <c r="H148" s="228" t="e">
        <f>SUM(H4+H12+H20+H28+H36+H44+H55+H63+H71+H79+H87+H95+H103+H114+H122+H130+H138)</f>
        <v>#DIV/0!</v>
      </c>
    </row>
    <row r="149" spans="1:9" x14ac:dyDescent="0.25">
      <c r="A149" s="224" t="s">
        <v>191</v>
      </c>
      <c r="B149" s="225" t="s">
        <v>47</v>
      </c>
      <c r="C149" s="281"/>
      <c r="D149" s="226" t="s">
        <v>48</v>
      </c>
      <c r="E149" s="227" t="s">
        <v>40</v>
      </c>
      <c r="F149" s="226" t="s">
        <v>40</v>
      </c>
      <c r="G149" s="226" t="s">
        <v>40</v>
      </c>
      <c r="H149" s="228" t="e">
        <f>SUM(H5+H13+H21+H29+H37+H45+H56+H64+H72+H80+H88+H96+H104+H115+H123+H131+H139)</f>
        <v>#DIV/0!</v>
      </c>
    </row>
    <row r="150" spans="1:9" x14ac:dyDescent="0.25">
      <c r="A150" s="224" t="s">
        <v>192</v>
      </c>
      <c r="B150" s="225" t="s">
        <v>51</v>
      </c>
      <c r="C150" s="281"/>
      <c r="D150" s="226" t="s">
        <v>48</v>
      </c>
      <c r="E150" s="227" t="s">
        <v>40</v>
      </c>
      <c r="F150" s="226" t="s">
        <v>40</v>
      </c>
      <c r="G150" s="226" t="s">
        <v>40</v>
      </c>
      <c r="H150" s="228" t="e">
        <f>SUM(H6+H14+H22+H30+H38+H46+H57+H65+H73+H81+H89+H97+H105+H116+H124+H132+H140)</f>
        <v>#DIV/0!</v>
      </c>
    </row>
    <row r="151" spans="1:9" ht="14.25" customHeight="1" x14ac:dyDescent="0.25">
      <c r="A151" s="224" t="s">
        <v>193</v>
      </c>
      <c r="B151" s="225" t="s">
        <v>54</v>
      </c>
      <c r="C151" s="281"/>
      <c r="D151" s="226" t="s">
        <v>44</v>
      </c>
      <c r="E151" s="227" t="s">
        <v>40</v>
      </c>
      <c r="F151" s="226" t="s">
        <v>40</v>
      </c>
      <c r="G151" s="226" t="s">
        <v>40</v>
      </c>
      <c r="H151" s="228" t="e">
        <f t="shared" ref="H151:H153" si="19">SUM(H7+H15+H23+H31+H39+H47+H58+H66+H74+H82+H90+H98+H106+H117+H125+H133+H141)</f>
        <v>#DIV/0!</v>
      </c>
    </row>
    <row r="152" spans="1:9" x14ac:dyDescent="0.25">
      <c r="A152" s="224" t="s">
        <v>194</v>
      </c>
      <c r="B152" s="225" t="s">
        <v>56</v>
      </c>
      <c r="C152" s="281"/>
      <c r="D152" s="229" t="s">
        <v>44</v>
      </c>
      <c r="E152" s="227" t="s">
        <v>40</v>
      </c>
      <c r="F152" s="226" t="s">
        <v>40</v>
      </c>
      <c r="G152" s="226" t="s">
        <v>40</v>
      </c>
      <c r="H152" s="228" t="e">
        <f t="shared" si="19"/>
        <v>#DIV/0!</v>
      </c>
    </row>
    <row r="153" spans="1:9" x14ac:dyDescent="0.25">
      <c r="A153" s="224" t="s">
        <v>195</v>
      </c>
      <c r="B153" s="225" t="s">
        <v>58</v>
      </c>
      <c r="C153" s="281"/>
      <c r="D153" s="230" t="s">
        <v>44</v>
      </c>
      <c r="E153" s="231" t="s">
        <v>40</v>
      </c>
      <c r="F153" s="226" t="s">
        <v>40</v>
      </c>
      <c r="G153" s="226" t="s">
        <v>40</v>
      </c>
      <c r="H153" s="228" t="e">
        <f t="shared" si="19"/>
        <v>#DIV/0!</v>
      </c>
    </row>
    <row r="154" spans="1:9" ht="16.5" thickBot="1" x14ac:dyDescent="0.3">
      <c r="A154" s="232" t="s">
        <v>196</v>
      </c>
      <c r="B154" s="233" t="s">
        <v>59</v>
      </c>
      <c r="C154" s="282"/>
      <c r="D154" s="234"/>
      <c r="E154" s="234"/>
      <c r="F154" s="234"/>
      <c r="G154" s="235"/>
      <c r="H154" s="236" t="e">
        <f>SUM(H147:H153)</f>
        <v>#DIV/0!</v>
      </c>
    </row>
    <row r="155" spans="1:9" x14ac:dyDescent="0.25">
      <c r="A155" s="237"/>
      <c r="B155" s="238"/>
      <c r="C155" s="239"/>
      <c r="D155" s="240"/>
      <c r="E155" s="240"/>
      <c r="F155" s="240"/>
      <c r="G155" s="240"/>
      <c r="H155" s="241"/>
      <c r="I155" s="237"/>
    </row>
    <row r="156" spans="1:9" ht="16.5" thickBot="1" x14ac:dyDescent="0.3">
      <c r="A156" s="242" t="s">
        <v>839</v>
      </c>
      <c r="B156" s="242"/>
      <c r="C156" s="243"/>
      <c r="H156" s="244" t="s">
        <v>197</v>
      </c>
      <c r="I156" s="79"/>
    </row>
    <row r="157" spans="1:9" ht="48" thickBot="1" x14ac:dyDescent="0.3">
      <c r="A157" s="84" t="s">
        <v>27</v>
      </c>
      <c r="B157" s="85" t="s">
        <v>28</v>
      </c>
      <c r="C157" s="86" t="s">
        <v>29</v>
      </c>
      <c r="D157" s="87" t="s">
        <v>30</v>
      </c>
      <c r="E157" s="88" t="s">
        <v>31</v>
      </c>
      <c r="F157" s="87" t="s">
        <v>32</v>
      </c>
      <c r="G157" s="87" t="s">
        <v>33</v>
      </c>
      <c r="H157" s="89" t="s">
        <v>34</v>
      </c>
    </row>
    <row r="158" spans="1:9" x14ac:dyDescent="0.25">
      <c r="A158" s="90" t="s">
        <v>198</v>
      </c>
      <c r="B158" s="91" t="s">
        <v>37</v>
      </c>
      <c r="C158" s="279" t="s">
        <v>38</v>
      </c>
      <c r="D158" s="92" t="s">
        <v>39</v>
      </c>
      <c r="E158" s="93">
        <v>12</v>
      </c>
      <c r="F158" s="94" t="s">
        <v>40</v>
      </c>
      <c r="G158" s="95" t="e">
        <f>'C90 Rate Build Up'!H135</f>
        <v>#DIV/0!</v>
      </c>
      <c r="H158" s="118" t="e">
        <f>E158*G158</f>
        <v>#DIV/0!</v>
      </c>
    </row>
    <row r="159" spans="1:9" x14ac:dyDescent="0.25">
      <c r="A159" s="90" t="s">
        <v>199</v>
      </c>
      <c r="B159" s="97" t="s">
        <v>43</v>
      </c>
      <c r="C159" s="279"/>
      <c r="D159" s="98" t="s">
        <v>44</v>
      </c>
      <c r="E159" s="99">
        <v>80</v>
      </c>
      <c r="F159" s="100" t="e">
        <f>'C90 Rate Build Up'!$H$136</f>
        <v>#DIV/0!</v>
      </c>
      <c r="G159" s="101" t="s">
        <v>40</v>
      </c>
      <c r="H159" s="104" t="e">
        <f>E159*F159</f>
        <v>#DIV/0!</v>
      </c>
    </row>
    <row r="160" spans="1:9" x14ac:dyDescent="0.25">
      <c r="A160" s="90" t="s">
        <v>200</v>
      </c>
      <c r="B160" s="97" t="s">
        <v>47</v>
      </c>
      <c r="C160" s="279"/>
      <c r="D160" s="98" t="s">
        <v>48</v>
      </c>
      <c r="E160" s="99">
        <v>16</v>
      </c>
      <c r="F160" s="100" t="e">
        <f>'C90 Rate Build Up'!$K$136</f>
        <v>#DIV/0!</v>
      </c>
      <c r="G160" s="101" t="s">
        <v>40</v>
      </c>
      <c r="H160" s="104" t="e">
        <f t="shared" ref="H160:H164" si="20">E160*F160</f>
        <v>#DIV/0!</v>
      </c>
    </row>
    <row r="161" spans="1:8" x14ac:dyDescent="0.25">
      <c r="A161" s="90" t="s">
        <v>201</v>
      </c>
      <c r="B161" s="97" t="s">
        <v>51</v>
      </c>
      <c r="C161" s="279"/>
      <c r="D161" s="98" t="s">
        <v>48</v>
      </c>
      <c r="E161" s="99">
        <v>16</v>
      </c>
      <c r="F161" s="100" t="e">
        <f>'C90 Rate Build Up'!$H$136</f>
        <v>#DIV/0!</v>
      </c>
      <c r="G161" s="101" t="s">
        <v>40</v>
      </c>
      <c r="H161" s="104" t="e">
        <f t="shared" ref="H161" si="21">E161*F161</f>
        <v>#DIV/0!</v>
      </c>
    </row>
    <row r="162" spans="1:8" x14ac:dyDescent="0.25">
      <c r="A162" s="90" t="s">
        <v>202</v>
      </c>
      <c r="B162" s="97" t="s">
        <v>54</v>
      </c>
      <c r="C162" s="279"/>
      <c r="D162" s="98" t="s">
        <v>44</v>
      </c>
      <c r="E162" s="99">
        <v>80</v>
      </c>
      <c r="F162" s="100" t="e">
        <f>'C90 Rate Build Up'!$H$136</f>
        <v>#DIV/0!</v>
      </c>
      <c r="G162" s="101" t="s">
        <v>40</v>
      </c>
      <c r="H162" s="104" t="e">
        <f t="shared" si="20"/>
        <v>#DIV/0!</v>
      </c>
    </row>
    <row r="163" spans="1:8" x14ac:dyDescent="0.25">
      <c r="A163" s="90" t="s">
        <v>203</v>
      </c>
      <c r="B163" s="97" t="s">
        <v>56</v>
      </c>
      <c r="C163" s="279"/>
      <c r="D163" s="99" t="s">
        <v>44</v>
      </c>
      <c r="E163" s="99">
        <v>48</v>
      </c>
      <c r="F163" s="100" t="e">
        <f>'C90 Rate Build Up'!$H$136</f>
        <v>#DIV/0!</v>
      </c>
      <c r="G163" s="101" t="s">
        <v>40</v>
      </c>
      <c r="H163" s="104" t="e">
        <f t="shared" si="20"/>
        <v>#DIV/0!</v>
      </c>
    </row>
    <row r="164" spans="1:8" x14ac:dyDescent="0.25">
      <c r="A164" s="90" t="s">
        <v>204</v>
      </c>
      <c r="B164" s="105" t="s">
        <v>58</v>
      </c>
      <c r="C164" s="279"/>
      <c r="D164" s="99" t="s">
        <v>44</v>
      </c>
      <c r="E164" s="99">
        <v>1040</v>
      </c>
      <c r="F164" s="100" t="e">
        <f>'C90 Rate Build Up'!$H$136</f>
        <v>#DIV/0!</v>
      </c>
      <c r="G164" s="101" t="s">
        <v>40</v>
      </c>
      <c r="H164" s="104" t="e">
        <f t="shared" si="20"/>
        <v>#DIV/0!</v>
      </c>
    </row>
    <row r="165" spans="1:8" ht="16.5" thickBot="1" x14ac:dyDescent="0.3">
      <c r="A165" s="106"/>
      <c r="B165" s="113" t="s">
        <v>59</v>
      </c>
      <c r="C165" s="283"/>
      <c r="D165" s="108"/>
      <c r="E165" s="109"/>
      <c r="F165" s="108"/>
      <c r="G165" s="108"/>
      <c r="H165" s="110" t="e">
        <f>SUM(H158:H164)</f>
        <v>#DIV/0!</v>
      </c>
    </row>
    <row r="166" spans="1:8" ht="16.5" thickTop="1" x14ac:dyDescent="0.25">
      <c r="A166" s="90" t="s">
        <v>205</v>
      </c>
      <c r="B166" s="216" t="s">
        <v>37</v>
      </c>
      <c r="C166" s="279" t="s">
        <v>61</v>
      </c>
      <c r="D166" s="98" t="s">
        <v>39</v>
      </c>
      <c r="E166" s="99">
        <v>12</v>
      </c>
      <c r="F166" s="101" t="s">
        <v>40</v>
      </c>
      <c r="G166" s="100" t="e">
        <f>'D10 Rate Build Up'!H135</f>
        <v>#DIV/0!</v>
      </c>
      <c r="H166" s="104" t="e">
        <f>E166*G166</f>
        <v>#DIV/0!</v>
      </c>
    </row>
    <row r="167" spans="1:8" x14ac:dyDescent="0.25">
      <c r="A167" s="90" t="s">
        <v>206</v>
      </c>
      <c r="B167" s="216" t="s">
        <v>43</v>
      </c>
      <c r="C167" s="279"/>
      <c r="D167" s="98" t="s">
        <v>44</v>
      </c>
      <c r="E167" s="99">
        <v>80</v>
      </c>
      <c r="F167" s="100" t="e">
        <f>'D10 Rate Build Up'!H136</f>
        <v>#DIV/0!</v>
      </c>
      <c r="G167" s="101" t="s">
        <v>40</v>
      </c>
      <c r="H167" s="104" t="e">
        <f>E167*F167</f>
        <v>#DIV/0!</v>
      </c>
    </row>
    <row r="168" spans="1:8" x14ac:dyDescent="0.25">
      <c r="A168" s="90" t="s">
        <v>207</v>
      </c>
      <c r="B168" s="216" t="s">
        <v>47</v>
      </c>
      <c r="C168" s="279"/>
      <c r="D168" s="98" t="s">
        <v>48</v>
      </c>
      <c r="E168" s="99">
        <v>16</v>
      </c>
      <c r="F168" s="100" t="e">
        <f>'D10 Rate Build Up'!K136</f>
        <v>#DIV/0!</v>
      </c>
      <c r="G168" s="101" t="s">
        <v>40</v>
      </c>
      <c r="H168" s="104" t="e">
        <f t="shared" ref="H168:H172" si="22">E168*F168</f>
        <v>#DIV/0!</v>
      </c>
    </row>
    <row r="169" spans="1:8" x14ac:dyDescent="0.25">
      <c r="A169" s="90" t="s">
        <v>208</v>
      </c>
      <c r="B169" s="216" t="s">
        <v>51</v>
      </c>
      <c r="C169" s="279"/>
      <c r="D169" s="98" t="s">
        <v>48</v>
      </c>
      <c r="E169" s="99">
        <v>16</v>
      </c>
      <c r="F169" s="100" t="e">
        <f>'D10 Rate Build Up'!H136</f>
        <v>#DIV/0!</v>
      </c>
      <c r="G169" s="101" t="s">
        <v>40</v>
      </c>
      <c r="H169" s="104" t="e">
        <f t="shared" ref="H169" si="23">E169*F169</f>
        <v>#DIV/0!</v>
      </c>
    </row>
    <row r="170" spans="1:8" x14ac:dyDescent="0.25">
      <c r="A170" s="90" t="s">
        <v>209</v>
      </c>
      <c r="B170" s="216" t="s">
        <v>54</v>
      </c>
      <c r="C170" s="279"/>
      <c r="D170" s="98" t="s">
        <v>44</v>
      </c>
      <c r="E170" s="99">
        <v>80</v>
      </c>
      <c r="F170" s="100" t="e">
        <f>'D10 Rate Build Up'!H136</f>
        <v>#DIV/0!</v>
      </c>
      <c r="G170" s="101" t="s">
        <v>40</v>
      </c>
      <c r="H170" s="104" t="e">
        <f t="shared" si="22"/>
        <v>#DIV/0!</v>
      </c>
    </row>
    <row r="171" spans="1:8" x14ac:dyDescent="0.25">
      <c r="A171" s="90" t="s">
        <v>210</v>
      </c>
      <c r="B171" s="216" t="s">
        <v>56</v>
      </c>
      <c r="C171" s="279"/>
      <c r="D171" s="99" t="s">
        <v>44</v>
      </c>
      <c r="E171" s="99">
        <v>48</v>
      </c>
      <c r="F171" s="100" t="e">
        <f>'D10 Rate Build Up'!H136</f>
        <v>#DIV/0!</v>
      </c>
      <c r="G171" s="101" t="s">
        <v>40</v>
      </c>
      <c r="H171" s="104" t="e">
        <f t="shared" si="22"/>
        <v>#DIV/0!</v>
      </c>
    </row>
    <row r="172" spans="1:8" x14ac:dyDescent="0.25">
      <c r="A172" s="90" t="s">
        <v>211</v>
      </c>
      <c r="B172" s="216" t="s">
        <v>58</v>
      </c>
      <c r="C172" s="279"/>
      <c r="D172" s="99" t="s">
        <v>44</v>
      </c>
      <c r="E172" s="99">
        <v>1040</v>
      </c>
      <c r="F172" s="100" t="e">
        <f>'D10 Rate Build Up'!H136</f>
        <v>#DIV/0!</v>
      </c>
      <c r="G172" s="101" t="s">
        <v>40</v>
      </c>
      <c r="H172" s="104" t="e">
        <f t="shared" si="22"/>
        <v>#DIV/0!</v>
      </c>
    </row>
    <row r="173" spans="1:8" ht="16.5" thickBot="1" x14ac:dyDescent="0.3">
      <c r="A173" s="106"/>
      <c r="B173" s="113" t="s">
        <v>59</v>
      </c>
      <c r="C173" s="280"/>
      <c r="D173" s="108"/>
      <c r="E173" s="109"/>
      <c r="F173" s="108"/>
      <c r="G173" s="108"/>
      <c r="H173" s="110" t="e">
        <f>SUM(H166:H172)</f>
        <v>#DIV/0!</v>
      </c>
    </row>
    <row r="174" spans="1:8" ht="16.5" thickTop="1" x14ac:dyDescent="0.25">
      <c r="A174" s="90" t="s">
        <v>212</v>
      </c>
      <c r="B174" s="216" t="s">
        <v>37</v>
      </c>
      <c r="C174" s="279" t="s">
        <v>69</v>
      </c>
      <c r="D174" s="98" t="s">
        <v>39</v>
      </c>
      <c r="E174" s="99">
        <v>12</v>
      </c>
      <c r="F174" s="101" t="s">
        <v>40</v>
      </c>
      <c r="G174" s="100" t="e">
        <f>'DFW ATCT-E Rate Build Up'!H135</f>
        <v>#DIV/0!</v>
      </c>
      <c r="H174" s="104" t="e">
        <f>E174*G174</f>
        <v>#DIV/0!</v>
      </c>
    </row>
    <row r="175" spans="1:8" x14ac:dyDescent="0.25">
      <c r="A175" s="90" t="s">
        <v>213</v>
      </c>
      <c r="B175" s="216" t="s">
        <v>43</v>
      </c>
      <c r="C175" s="279"/>
      <c r="D175" s="98" t="s">
        <v>44</v>
      </c>
      <c r="E175" s="99">
        <v>80</v>
      </c>
      <c r="F175" s="100" t="e">
        <f>'DFW ATCT-E Rate Build Up'!H136</f>
        <v>#DIV/0!</v>
      </c>
      <c r="G175" s="101" t="s">
        <v>40</v>
      </c>
      <c r="H175" s="104" t="e">
        <f>E175*F175</f>
        <v>#DIV/0!</v>
      </c>
    </row>
    <row r="176" spans="1:8" x14ac:dyDescent="0.25">
      <c r="A176" s="90" t="s">
        <v>214</v>
      </c>
      <c r="B176" s="216" t="s">
        <v>47</v>
      </c>
      <c r="C176" s="279"/>
      <c r="D176" s="98" t="s">
        <v>48</v>
      </c>
      <c r="E176" s="99">
        <v>16</v>
      </c>
      <c r="F176" s="100" t="e">
        <f>'DFW ATCT-E Rate Build Up'!K136</f>
        <v>#DIV/0!</v>
      </c>
      <c r="G176" s="101" t="s">
        <v>40</v>
      </c>
      <c r="H176" s="104" t="e">
        <f t="shared" ref="H176:H180" si="24">E176*F176</f>
        <v>#DIV/0!</v>
      </c>
    </row>
    <row r="177" spans="1:8" x14ac:dyDescent="0.25">
      <c r="A177" s="90" t="s">
        <v>215</v>
      </c>
      <c r="B177" s="216" t="s">
        <v>51</v>
      </c>
      <c r="C177" s="279"/>
      <c r="D177" s="98" t="s">
        <v>48</v>
      </c>
      <c r="E177" s="99">
        <v>16</v>
      </c>
      <c r="F177" s="100" t="e">
        <f>'DFW ATCT-E Rate Build Up'!H136</f>
        <v>#DIV/0!</v>
      </c>
      <c r="G177" s="101" t="s">
        <v>40</v>
      </c>
      <c r="H177" s="104" t="e">
        <f t="shared" ref="H177" si="25">E177*F177</f>
        <v>#DIV/0!</v>
      </c>
    </row>
    <row r="178" spans="1:8" x14ac:dyDescent="0.25">
      <c r="A178" s="90" t="s">
        <v>216</v>
      </c>
      <c r="B178" s="216" t="s">
        <v>54</v>
      </c>
      <c r="C178" s="279"/>
      <c r="D178" s="98" t="s">
        <v>44</v>
      </c>
      <c r="E178" s="99">
        <v>80</v>
      </c>
      <c r="F178" s="100" t="e">
        <f>'DFW ATCT-E Rate Build Up'!H136</f>
        <v>#DIV/0!</v>
      </c>
      <c r="G178" s="101" t="s">
        <v>40</v>
      </c>
      <c r="H178" s="104" t="e">
        <f t="shared" si="24"/>
        <v>#DIV/0!</v>
      </c>
    </row>
    <row r="179" spans="1:8" x14ac:dyDescent="0.25">
      <c r="A179" s="90" t="s">
        <v>217</v>
      </c>
      <c r="B179" s="216" t="s">
        <v>56</v>
      </c>
      <c r="C179" s="279"/>
      <c r="D179" s="99" t="s">
        <v>44</v>
      </c>
      <c r="E179" s="99">
        <v>48</v>
      </c>
      <c r="F179" s="100" t="e">
        <f>'DFW ATCT-E Rate Build Up'!H136</f>
        <v>#DIV/0!</v>
      </c>
      <c r="G179" s="101" t="s">
        <v>40</v>
      </c>
      <c r="H179" s="104" t="e">
        <f t="shared" si="24"/>
        <v>#DIV/0!</v>
      </c>
    </row>
    <row r="180" spans="1:8" x14ac:dyDescent="0.25">
      <c r="A180" s="90" t="s">
        <v>218</v>
      </c>
      <c r="B180" s="216" t="s">
        <v>58</v>
      </c>
      <c r="C180" s="279"/>
      <c r="D180" s="99" t="s">
        <v>44</v>
      </c>
      <c r="E180" s="99">
        <v>1040</v>
      </c>
      <c r="F180" s="100" t="e">
        <f>'DFW ATCT-E Rate Build Up'!H136</f>
        <v>#DIV/0!</v>
      </c>
      <c r="G180" s="101" t="s">
        <v>40</v>
      </c>
      <c r="H180" s="104" t="e">
        <f t="shared" si="24"/>
        <v>#DIV/0!</v>
      </c>
    </row>
    <row r="181" spans="1:8" ht="16.5" thickBot="1" x14ac:dyDescent="0.3">
      <c r="A181" s="106"/>
      <c r="B181" s="113" t="s">
        <v>59</v>
      </c>
      <c r="C181" s="280"/>
      <c r="D181" s="108"/>
      <c r="E181" s="109"/>
      <c r="F181" s="108"/>
      <c r="G181" s="108"/>
      <c r="H181" s="110" t="e">
        <f>SUM(H174:H180)</f>
        <v>#DIV/0!</v>
      </c>
    </row>
    <row r="182" spans="1:8" ht="16.5" thickTop="1" x14ac:dyDescent="0.25">
      <c r="A182" s="90" t="s">
        <v>219</v>
      </c>
      <c r="B182" s="216" t="s">
        <v>37</v>
      </c>
      <c r="C182" s="279" t="s">
        <v>77</v>
      </c>
      <c r="D182" s="98" t="s">
        <v>39</v>
      </c>
      <c r="E182" s="99">
        <v>12</v>
      </c>
      <c r="F182" s="101" t="s">
        <v>40</v>
      </c>
      <c r="G182" s="100" t="e">
        <f>'DFW ATCT-W Rate Build Up'!H135</f>
        <v>#DIV/0!</v>
      </c>
      <c r="H182" s="104" t="e">
        <f>E182*G182</f>
        <v>#DIV/0!</v>
      </c>
    </row>
    <row r="183" spans="1:8" x14ac:dyDescent="0.25">
      <c r="A183" s="90" t="s">
        <v>220</v>
      </c>
      <c r="B183" s="216" t="s">
        <v>43</v>
      </c>
      <c r="C183" s="279"/>
      <c r="D183" s="98" t="s">
        <v>44</v>
      </c>
      <c r="E183" s="99">
        <v>80</v>
      </c>
      <c r="F183" s="100" t="e">
        <f>'DFW ATCT-W Rate Build Up'!H136</f>
        <v>#DIV/0!</v>
      </c>
      <c r="G183" s="101" t="s">
        <v>40</v>
      </c>
      <c r="H183" s="104" t="e">
        <f>E183*F183</f>
        <v>#DIV/0!</v>
      </c>
    </row>
    <row r="184" spans="1:8" x14ac:dyDescent="0.25">
      <c r="A184" s="90" t="s">
        <v>221</v>
      </c>
      <c r="B184" s="216" t="s">
        <v>47</v>
      </c>
      <c r="C184" s="279"/>
      <c r="D184" s="98" t="s">
        <v>48</v>
      </c>
      <c r="E184" s="99">
        <v>16</v>
      </c>
      <c r="F184" s="100" t="e">
        <f>'DFW ATCT-W Rate Build Up'!K136</f>
        <v>#DIV/0!</v>
      </c>
      <c r="G184" s="101" t="s">
        <v>40</v>
      </c>
      <c r="H184" s="104" t="e">
        <f t="shared" ref="H184:H188" si="26">E184*F184</f>
        <v>#DIV/0!</v>
      </c>
    </row>
    <row r="185" spans="1:8" x14ac:dyDescent="0.25">
      <c r="A185" s="90" t="s">
        <v>222</v>
      </c>
      <c r="B185" s="216" t="s">
        <v>51</v>
      </c>
      <c r="C185" s="279"/>
      <c r="D185" s="98" t="s">
        <v>48</v>
      </c>
      <c r="E185" s="99">
        <v>16</v>
      </c>
      <c r="F185" s="100" t="e">
        <f>'DFW ATCT-W Rate Build Up'!H136</f>
        <v>#DIV/0!</v>
      </c>
      <c r="G185" s="101" t="s">
        <v>40</v>
      </c>
      <c r="H185" s="104" t="e">
        <f t="shared" ref="H185" si="27">E185*F185</f>
        <v>#DIV/0!</v>
      </c>
    </row>
    <row r="186" spans="1:8" x14ac:dyDescent="0.25">
      <c r="A186" s="90" t="s">
        <v>223</v>
      </c>
      <c r="B186" s="216" t="s">
        <v>54</v>
      </c>
      <c r="C186" s="279"/>
      <c r="D186" s="98" t="s">
        <v>44</v>
      </c>
      <c r="E186" s="99">
        <v>80</v>
      </c>
      <c r="F186" s="100" t="e">
        <f>'DFW ATCT-W Rate Build Up'!H136</f>
        <v>#DIV/0!</v>
      </c>
      <c r="G186" s="101" t="s">
        <v>40</v>
      </c>
      <c r="H186" s="104" t="e">
        <f t="shared" si="26"/>
        <v>#DIV/0!</v>
      </c>
    </row>
    <row r="187" spans="1:8" x14ac:dyDescent="0.25">
      <c r="A187" s="90" t="s">
        <v>224</v>
      </c>
      <c r="B187" s="216" t="s">
        <v>56</v>
      </c>
      <c r="C187" s="279"/>
      <c r="D187" s="99" t="s">
        <v>44</v>
      </c>
      <c r="E187" s="99">
        <v>48</v>
      </c>
      <c r="F187" s="100" t="e">
        <f>'DFW ATCT-W Rate Build Up'!H136</f>
        <v>#DIV/0!</v>
      </c>
      <c r="G187" s="101" t="s">
        <v>40</v>
      </c>
      <c r="H187" s="104" t="e">
        <f t="shared" si="26"/>
        <v>#DIV/0!</v>
      </c>
    </row>
    <row r="188" spans="1:8" x14ac:dyDescent="0.25">
      <c r="A188" s="90" t="s">
        <v>225</v>
      </c>
      <c r="B188" s="216" t="s">
        <v>58</v>
      </c>
      <c r="C188" s="279"/>
      <c r="D188" s="99" t="s">
        <v>44</v>
      </c>
      <c r="E188" s="99">
        <v>1040</v>
      </c>
      <c r="F188" s="100" t="e">
        <f>'DFW ATCT-W Rate Build Up'!H136</f>
        <v>#DIV/0!</v>
      </c>
      <c r="G188" s="101" t="s">
        <v>40</v>
      </c>
      <c r="H188" s="104" t="e">
        <f t="shared" si="26"/>
        <v>#DIV/0!</v>
      </c>
    </row>
    <row r="189" spans="1:8" ht="16.5" thickBot="1" x14ac:dyDescent="0.3">
      <c r="A189" s="106"/>
      <c r="B189" s="113" t="s">
        <v>59</v>
      </c>
      <c r="C189" s="280"/>
      <c r="D189" s="108"/>
      <c r="E189" s="109"/>
      <c r="F189" s="108"/>
      <c r="G189" s="108"/>
      <c r="H189" s="110" t="e">
        <f>SUM(H182:H188)</f>
        <v>#DIV/0!</v>
      </c>
    </row>
    <row r="190" spans="1:8" ht="16.5" thickTop="1" x14ac:dyDescent="0.25">
      <c r="A190" s="90" t="s">
        <v>226</v>
      </c>
      <c r="B190" s="216" t="s">
        <v>37</v>
      </c>
      <c r="C190" s="279" t="s">
        <v>85</v>
      </c>
      <c r="D190" s="98" t="s">
        <v>39</v>
      </c>
      <c r="E190" s="99">
        <v>12</v>
      </c>
      <c r="F190" s="101" t="s">
        <v>40</v>
      </c>
      <c r="G190" s="100" t="e">
        <f>'DTW Rate Build Up'!H135</f>
        <v>#DIV/0!</v>
      </c>
      <c r="H190" s="104" t="e">
        <f>E190*G190</f>
        <v>#DIV/0!</v>
      </c>
    </row>
    <row r="191" spans="1:8" x14ac:dyDescent="0.25">
      <c r="A191" s="90" t="s">
        <v>227</v>
      </c>
      <c r="B191" s="216" t="s">
        <v>43</v>
      </c>
      <c r="C191" s="279"/>
      <c r="D191" s="98" t="s">
        <v>44</v>
      </c>
      <c r="E191" s="99">
        <v>80</v>
      </c>
      <c r="F191" s="100" t="e">
        <f>'DTW Rate Build Up'!H136</f>
        <v>#DIV/0!</v>
      </c>
      <c r="G191" s="101" t="s">
        <v>40</v>
      </c>
      <c r="H191" s="104" t="e">
        <f>E191*F191</f>
        <v>#DIV/0!</v>
      </c>
    </row>
    <row r="192" spans="1:8" x14ac:dyDescent="0.25">
      <c r="A192" s="90" t="s">
        <v>228</v>
      </c>
      <c r="B192" s="216" t="s">
        <v>47</v>
      </c>
      <c r="C192" s="279"/>
      <c r="D192" s="98" t="s">
        <v>48</v>
      </c>
      <c r="E192" s="99">
        <v>16</v>
      </c>
      <c r="F192" s="100" t="e">
        <f>'DTW Rate Build Up'!K136</f>
        <v>#DIV/0!</v>
      </c>
      <c r="G192" s="101" t="s">
        <v>40</v>
      </c>
      <c r="H192" s="104" t="e">
        <f t="shared" ref="H192:H196" si="28">E192*F192</f>
        <v>#DIV/0!</v>
      </c>
    </row>
    <row r="193" spans="1:9" x14ac:dyDescent="0.25">
      <c r="A193" s="90" t="s">
        <v>229</v>
      </c>
      <c r="B193" s="216" t="s">
        <v>51</v>
      </c>
      <c r="C193" s="279"/>
      <c r="D193" s="98" t="s">
        <v>48</v>
      </c>
      <c r="E193" s="99">
        <v>16</v>
      </c>
      <c r="F193" s="100" t="e">
        <f>'DTW Rate Build Up'!H136</f>
        <v>#DIV/0!</v>
      </c>
      <c r="G193" s="101" t="s">
        <v>40</v>
      </c>
      <c r="H193" s="104" t="e">
        <f t="shared" ref="H193" si="29">E193*F193</f>
        <v>#DIV/0!</v>
      </c>
    </row>
    <row r="194" spans="1:9" x14ac:dyDescent="0.25">
      <c r="A194" s="90" t="s">
        <v>230</v>
      </c>
      <c r="B194" s="216" t="s">
        <v>54</v>
      </c>
      <c r="C194" s="279"/>
      <c r="D194" s="98" t="s">
        <v>44</v>
      </c>
      <c r="E194" s="99">
        <v>80</v>
      </c>
      <c r="F194" s="100" t="e">
        <f>'DTW Rate Build Up'!H136</f>
        <v>#DIV/0!</v>
      </c>
      <c r="G194" s="101" t="s">
        <v>40</v>
      </c>
      <c r="H194" s="104" t="e">
        <f t="shared" si="28"/>
        <v>#DIV/0!</v>
      </c>
    </row>
    <row r="195" spans="1:9" x14ac:dyDescent="0.25">
      <c r="A195" s="90" t="s">
        <v>231</v>
      </c>
      <c r="B195" s="216" t="s">
        <v>56</v>
      </c>
      <c r="C195" s="279"/>
      <c r="D195" s="99" t="s">
        <v>44</v>
      </c>
      <c r="E195" s="99">
        <v>48</v>
      </c>
      <c r="F195" s="100" t="e">
        <f>'DTW Rate Build Up'!H136</f>
        <v>#DIV/0!</v>
      </c>
      <c r="G195" s="101" t="s">
        <v>40</v>
      </c>
      <c r="H195" s="104" t="e">
        <f t="shared" si="28"/>
        <v>#DIV/0!</v>
      </c>
    </row>
    <row r="196" spans="1:9" x14ac:dyDescent="0.25">
      <c r="A196" s="90" t="s">
        <v>232</v>
      </c>
      <c r="B196" s="216" t="s">
        <v>58</v>
      </c>
      <c r="C196" s="279"/>
      <c r="D196" s="99" t="s">
        <v>44</v>
      </c>
      <c r="E196" s="99">
        <v>1040</v>
      </c>
      <c r="F196" s="100" t="e">
        <f>'DTW Rate Build Up'!H136</f>
        <v>#DIV/0!</v>
      </c>
      <c r="G196" s="101" t="s">
        <v>40</v>
      </c>
      <c r="H196" s="104" t="e">
        <f t="shared" si="28"/>
        <v>#DIV/0!</v>
      </c>
    </row>
    <row r="197" spans="1:9" ht="16.5" thickBot="1" x14ac:dyDescent="0.3">
      <c r="A197" s="106"/>
      <c r="B197" s="113" t="s">
        <v>59</v>
      </c>
      <c r="C197" s="280"/>
      <c r="D197" s="108"/>
      <c r="E197" s="109"/>
      <c r="F197" s="108"/>
      <c r="G197" s="108"/>
      <c r="H197" s="110" t="e">
        <f>SUM(H190:H196)</f>
        <v>#DIV/0!</v>
      </c>
    </row>
    <row r="198" spans="1:9" ht="16.5" thickTop="1" x14ac:dyDescent="0.25">
      <c r="A198" s="117" t="s">
        <v>233</v>
      </c>
      <c r="B198" s="216" t="s">
        <v>37</v>
      </c>
      <c r="C198" s="279" t="s">
        <v>93</v>
      </c>
      <c r="D198" s="98" t="s">
        <v>39</v>
      </c>
      <c r="E198" s="99">
        <v>12</v>
      </c>
      <c r="F198" s="101" t="s">
        <v>40</v>
      </c>
      <c r="G198" s="100" t="e">
        <f>'I90 TRACON Rate Build Up'!H135</f>
        <v>#DIV/0!</v>
      </c>
      <c r="H198" s="104" t="e">
        <f>E198*G198</f>
        <v>#DIV/0!</v>
      </c>
    </row>
    <row r="199" spans="1:9" x14ac:dyDescent="0.25">
      <c r="A199" s="90" t="s">
        <v>234</v>
      </c>
      <c r="B199" s="216" t="s">
        <v>43</v>
      </c>
      <c r="C199" s="279"/>
      <c r="D199" s="98" t="s">
        <v>44</v>
      </c>
      <c r="E199" s="99">
        <v>80</v>
      </c>
      <c r="F199" s="100" t="e">
        <f>'I90 TRACON Rate Build Up'!H136</f>
        <v>#DIV/0!</v>
      </c>
      <c r="G199" s="101" t="s">
        <v>40</v>
      </c>
      <c r="H199" s="104" t="e">
        <f>E199*F199</f>
        <v>#DIV/0!</v>
      </c>
    </row>
    <row r="200" spans="1:9" x14ac:dyDescent="0.25">
      <c r="A200" s="90" t="s">
        <v>235</v>
      </c>
      <c r="B200" s="216" t="s">
        <v>47</v>
      </c>
      <c r="C200" s="279"/>
      <c r="D200" s="98" t="s">
        <v>48</v>
      </c>
      <c r="E200" s="99">
        <v>16</v>
      </c>
      <c r="F200" s="100" t="e">
        <f>'I90 TRACON Rate Build Up'!K136</f>
        <v>#DIV/0!</v>
      </c>
      <c r="G200" s="101" t="s">
        <v>40</v>
      </c>
      <c r="H200" s="104" t="e">
        <f t="shared" ref="H200:H204" si="30">E200*F200</f>
        <v>#DIV/0!</v>
      </c>
    </row>
    <row r="201" spans="1:9" x14ac:dyDescent="0.25">
      <c r="A201" s="90" t="s">
        <v>236</v>
      </c>
      <c r="B201" s="216" t="s">
        <v>51</v>
      </c>
      <c r="C201" s="279"/>
      <c r="D201" s="98" t="s">
        <v>48</v>
      </c>
      <c r="E201" s="99">
        <v>16</v>
      </c>
      <c r="F201" s="100" t="e">
        <f>'I90 TRACON Rate Build Up'!H136</f>
        <v>#DIV/0!</v>
      </c>
      <c r="G201" s="101" t="s">
        <v>40</v>
      </c>
      <c r="H201" s="104" t="e">
        <f t="shared" ref="H201" si="31">E201*F201</f>
        <v>#DIV/0!</v>
      </c>
    </row>
    <row r="202" spans="1:9" x14ac:dyDescent="0.25">
      <c r="A202" s="90" t="s">
        <v>237</v>
      </c>
      <c r="B202" s="216" t="s">
        <v>54</v>
      </c>
      <c r="C202" s="279"/>
      <c r="D202" s="98" t="s">
        <v>44</v>
      </c>
      <c r="E202" s="99">
        <v>80</v>
      </c>
      <c r="F202" s="100" t="e">
        <f>'I90 TRACON Rate Build Up'!H136</f>
        <v>#DIV/0!</v>
      </c>
      <c r="G202" s="101" t="s">
        <v>40</v>
      </c>
      <c r="H202" s="104" t="e">
        <f t="shared" si="30"/>
        <v>#DIV/0!</v>
      </c>
    </row>
    <row r="203" spans="1:9" x14ac:dyDescent="0.25">
      <c r="A203" s="90" t="s">
        <v>238</v>
      </c>
      <c r="B203" s="216" t="s">
        <v>56</v>
      </c>
      <c r="C203" s="279"/>
      <c r="D203" s="99" t="s">
        <v>44</v>
      </c>
      <c r="E203" s="99">
        <v>48</v>
      </c>
      <c r="F203" s="100" t="e">
        <f>'I90 TRACON Rate Build Up'!H136</f>
        <v>#DIV/0!</v>
      </c>
      <c r="G203" s="101" t="s">
        <v>40</v>
      </c>
      <c r="H203" s="104" t="e">
        <f t="shared" si="30"/>
        <v>#DIV/0!</v>
      </c>
    </row>
    <row r="204" spans="1:9" x14ac:dyDescent="0.25">
      <c r="A204" s="90" t="s">
        <v>239</v>
      </c>
      <c r="B204" s="216" t="s">
        <v>58</v>
      </c>
      <c r="C204" s="279"/>
      <c r="D204" s="99" t="s">
        <v>44</v>
      </c>
      <c r="E204" s="99">
        <v>1040</v>
      </c>
      <c r="F204" s="100" t="e">
        <f>'I90 TRACON Rate Build Up'!H136</f>
        <v>#DIV/0!</v>
      </c>
      <c r="G204" s="101" t="s">
        <v>40</v>
      </c>
      <c r="H204" s="104" t="e">
        <f t="shared" si="30"/>
        <v>#DIV/0!</v>
      </c>
    </row>
    <row r="205" spans="1:9" ht="16.5" thickBot="1" x14ac:dyDescent="0.3">
      <c r="A205" s="106"/>
      <c r="B205" s="113" t="s">
        <v>59</v>
      </c>
      <c r="C205" s="280"/>
      <c r="D205" s="108"/>
      <c r="E205" s="109"/>
      <c r="F205" s="108"/>
      <c r="G205" s="108"/>
      <c r="H205" s="110" t="e">
        <f>SUM(H198:H204)</f>
        <v>#DIV/0!</v>
      </c>
    </row>
    <row r="206" spans="1:9" ht="16.5" thickTop="1" x14ac:dyDescent="0.25">
      <c r="B206" s="213"/>
      <c r="C206" s="217"/>
      <c r="D206" s="214"/>
      <c r="E206" s="214"/>
      <c r="F206" s="214"/>
      <c r="G206" s="214"/>
      <c r="H206" s="215"/>
      <c r="I206" s="213"/>
    </row>
    <row r="207" spans="1:9" ht="16.5" thickBot="1" x14ac:dyDescent="0.3">
      <c r="A207" s="242" t="s">
        <v>839</v>
      </c>
      <c r="B207" s="80"/>
      <c r="C207" s="243"/>
      <c r="H207" s="83"/>
    </row>
    <row r="208" spans="1:9" ht="48" thickBot="1" x14ac:dyDescent="0.3">
      <c r="A208" s="84" t="s">
        <v>27</v>
      </c>
      <c r="B208" s="85" t="s">
        <v>28</v>
      </c>
      <c r="C208" s="86" t="s">
        <v>29</v>
      </c>
      <c r="D208" s="87" t="s">
        <v>30</v>
      </c>
      <c r="E208" s="88" t="s">
        <v>31</v>
      </c>
      <c r="F208" s="87" t="s">
        <v>32</v>
      </c>
      <c r="G208" s="87" t="s">
        <v>33</v>
      </c>
      <c r="H208" s="89" t="s">
        <v>34</v>
      </c>
    </row>
    <row r="209" spans="1:8" x14ac:dyDescent="0.25">
      <c r="A209" s="90" t="s">
        <v>240</v>
      </c>
      <c r="B209" s="245" t="s">
        <v>37</v>
      </c>
      <c r="C209" s="279" t="s">
        <v>101</v>
      </c>
      <c r="D209" s="92" t="s">
        <v>39</v>
      </c>
      <c r="E209" s="93">
        <v>12</v>
      </c>
      <c r="F209" s="94" t="s">
        <v>40</v>
      </c>
      <c r="G209" s="95" t="e">
        <f>'IAH ATCT Rate Build Up'!H135</f>
        <v>#DIV/0!</v>
      </c>
      <c r="H209" s="118" t="e">
        <f>E209*G209</f>
        <v>#DIV/0!</v>
      </c>
    </row>
    <row r="210" spans="1:8" x14ac:dyDescent="0.25">
      <c r="A210" s="90" t="s">
        <v>241</v>
      </c>
      <c r="B210" s="216" t="s">
        <v>43</v>
      </c>
      <c r="C210" s="279"/>
      <c r="D210" s="98" t="s">
        <v>44</v>
      </c>
      <c r="E210" s="99">
        <v>80</v>
      </c>
      <c r="F210" s="100" t="e">
        <f>'IAH ATCT Rate Build Up'!H136</f>
        <v>#DIV/0!</v>
      </c>
      <c r="G210" s="101" t="s">
        <v>40</v>
      </c>
      <c r="H210" s="104" t="e">
        <f>E210*F210</f>
        <v>#DIV/0!</v>
      </c>
    </row>
    <row r="211" spans="1:8" x14ac:dyDescent="0.25">
      <c r="A211" s="90" t="s">
        <v>242</v>
      </c>
      <c r="B211" s="216" t="s">
        <v>47</v>
      </c>
      <c r="C211" s="279"/>
      <c r="D211" s="98" t="s">
        <v>48</v>
      </c>
      <c r="E211" s="99">
        <v>16</v>
      </c>
      <c r="F211" s="100" t="e">
        <f>'IAH ATCT Rate Build Up'!K136</f>
        <v>#DIV/0!</v>
      </c>
      <c r="G211" s="101" t="s">
        <v>40</v>
      </c>
      <c r="H211" s="104" t="e">
        <f t="shared" ref="H211:H215" si="32">E211*F211</f>
        <v>#DIV/0!</v>
      </c>
    </row>
    <row r="212" spans="1:8" x14ac:dyDescent="0.25">
      <c r="A212" s="90" t="s">
        <v>243</v>
      </c>
      <c r="B212" s="216" t="s">
        <v>51</v>
      </c>
      <c r="C212" s="279"/>
      <c r="D212" s="98" t="s">
        <v>48</v>
      </c>
      <c r="E212" s="99">
        <v>16</v>
      </c>
      <c r="F212" s="100" t="e">
        <f>'IAH ATCT Rate Build Up'!H136</f>
        <v>#DIV/0!</v>
      </c>
      <c r="G212" s="101" t="s">
        <v>40</v>
      </c>
      <c r="H212" s="104" t="e">
        <f t="shared" ref="H212" si="33">E212*F212</f>
        <v>#DIV/0!</v>
      </c>
    </row>
    <row r="213" spans="1:8" x14ac:dyDescent="0.25">
      <c r="A213" s="90" t="s">
        <v>244</v>
      </c>
      <c r="B213" s="216" t="s">
        <v>54</v>
      </c>
      <c r="C213" s="279"/>
      <c r="D213" s="98" t="s">
        <v>44</v>
      </c>
      <c r="E213" s="99">
        <v>80</v>
      </c>
      <c r="F213" s="100" t="e">
        <f>'IAH ATCT Rate Build Up'!H136</f>
        <v>#DIV/0!</v>
      </c>
      <c r="G213" s="101" t="s">
        <v>40</v>
      </c>
      <c r="H213" s="104" t="e">
        <f t="shared" si="32"/>
        <v>#DIV/0!</v>
      </c>
    </row>
    <row r="214" spans="1:8" x14ac:dyDescent="0.25">
      <c r="A214" s="90" t="s">
        <v>245</v>
      </c>
      <c r="B214" s="216" t="s">
        <v>56</v>
      </c>
      <c r="C214" s="279"/>
      <c r="D214" s="99" t="s">
        <v>44</v>
      </c>
      <c r="E214" s="99">
        <v>48</v>
      </c>
      <c r="F214" s="100" t="e">
        <f>'IAH ATCT Rate Build Up'!H136</f>
        <v>#DIV/0!</v>
      </c>
      <c r="G214" s="101" t="s">
        <v>40</v>
      </c>
      <c r="H214" s="104" t="e">
        <f t="shared" si="32"/>
        <v>#DIV/0!</v>
      </c>
    </row>
    <row r="215" spans="1:8" x14ac:dyDescent="0.25">
      <c r="A215" s="90" t="s">
        <v>246</v>
      </c>
      <c r="B215" s="216" t="s">
        <v>58</v>
      </c>
      <c r="C215" s="279"/>
      <c r="D215" s="99" t="s">
        <v>44</v>
      </c>
      <c r="E215" s="99">
        <v>1040</v>
      </c>
      <c r="F215" s="100" t="e">
        <f>'IAH ATCT Rate Build Up'!H136</f>
        <v>#DIV/0!</v>
      </c>
      <c r="G215" s="101" t="s">
        <v>40</v>
      </c>
      <c r="H215" s="104" t="e">
        <f t="shared" si="32"/>
        <v>#DIV/0!</v>
      </c>
    </row>
    <row r="216" spans="1:8" ht="16.5" thickBot="1" x14ac:dyDescent="0.3">
      <c r="A216" s="106"/>
      <c r="B216" s="113" t="s">
        <v>59</v>
      </c>
      <c r="C216" s="280"/>
      <c r="D216" s="108"/>
      <c r="E216" s="109"/>
      <c r="F216" s="108"/>
      <c r="G216" s="108"/>
      <c r="H216" s="110" t="e">
        <f>SUM(H209:H215)</f>
        <v>#DIV/0!</v>
      </c>
    </row>
    <row r="217" spans="1:8" ht="16.5" thickTop="1" x14ac:dyDescent="0.25">
      <c r="A217" s="90" t="s">
        <v>247</v>
      </c>
      <c r="B217" s="216" t="s">
        <v>37</v>
      </c>
      <c r="C217" s="279" t="s">
        <v>109</v>
      </c>
      <c r="D217" s="98" t="s">
        <v>39</v>
      </c>
      <c r="E217" s="99">
        <v>12</v>
      </c>
      <c r="F217" s="101" t="s">
        <v>40</v>
      </c>
      <c r="G217" s="100" t="e">
        <f>'MSP ATCT Rate Build Up'!H135</f>
        <v>#DIV/0!</v>
      </c>
      <c r="H217" s="104" t="e">
        <f>E217*G217</f>
        <v>#DIV/0!</v>
      </c>
    </row>
    <row r="218" spans="1:8" x14ac:dyDescent="0.25">
      <c r="A218" s="90" t="s">
        <v>248</v>
      </c>
      <c r="B218" s="216" t="s">
        <v>43</v>
      </c>
      <c r="C218" s="279"/>
      <c r="D218" s="98" t="s">
        <v>44</v>
      </c>
      <c r="E218" s="99">
        <v>80</v>
      </c>
      <c r="F218" s="100" t="e">
        <f>'MSP ATCT Rate Build Up'!H136</f>
        <v>#DIV/0!</v>
      </c>
      <c r="G218" s="101" t="s">
        <v>40</v>
      </c>
      <c r="H218" s="104" t="e">
        <f>E218*F218</f>
        <v>#DIV/0!</v>
      </c>
    </row>
    <row r="219" spans="1:8" x14ac:dyDescent="0.25">
      <c r="A219" s="90" t="s">
        <v>249</v>
      </c>
      <c r="B219" s="216" t="s">
        <v>47</v>
      </c>
      <c r="C219" s="279"/>
      <c r="D219" s="98" t="s">
        <v>48</v>
      </c>
      <c r="E219" s="99">
        <v>16</v>
      </c>
      <c r="F219" s="100" t="e">
        <f>'MSP ATCT Rate Build Up'!K136</f>
        <v>#DIV/0!</v>
      </c>
      <c r="G219" s="101" t="s">
        <v>40</v>
      </c>
      <c r="H219" s="104" t="e">
        <f t="shared" ref="H219:H223" si="34">E219*F219</f>
        <v>#DIV/0!</v>
      </c>
    </row>
    <row r="220" spans="1:8" x14ac:dyDescent="0.25">
      <c r="A220" s="90" t="s">
        <v>250</v>
      </c>
      <c r="B220" s="216" t="s">
        <v>51</v>
      </c>
      <c r="C220" s="279"/>
      <c r="D220" s="98" t="s">
        <v>48</v>
      </c>
      <c r="E220" s="99">
        <v>16</v>
      </c>
      <c r="F220" s="100" t="e">
        <f>'MSP ATCT Rate Build Up'!H136</f>
        <v>#DIV/0!</v>
      </c>
      <c r="G220" s="101" t="s">
        <v>40</v>
      </c>
      <c r="H220" s="104" t="e">
        <f t="shared" ref="H220" si="35">E220*F220</f>
        <v>#DIV/0!</v>
      </c>
    </row>
    <row r="221" spans="1:8" x14ac:dyDescent="0.25">
      <c r="A221" s="90" t="s">
        <v>251</v>
      </c>
      <c r="B221" s="216" t="s">
        <v>54</v>
      </c>
      <c r="C221" s="279"/>
      <c r="D221" s="98" t="s">
        <v>44</v>
      </c>
      <c r="E221" s="99">
        <v>80</v>
      </c>
      <c r="F221" s="100" t="e">
        <f>'MSP ATCT Rate Build Up'!H136</f>
        <v>#DIV/0!</v>
      </c>
      <c r="G221" s="101" t="s">
        <v>40</v>
      </c>
      <c r="H221" s="104" t="e">
        <f t="shared" si="34"/>
        <v>#DIV/0!</v>
      </c>
    </row>
    <row r="222" spans="1:8" x14ac:dyDescent="0.25">
      <c r="A222" s="90" t="s">
        <v>252</v>
      </c>
      <c r="B222" s="216" t="s">
        <v>56</v>
      </c>
      <c r="C222" s="279"/>
      <c r="D222" s="99" t="s">
        <v>44</v>
      </c>
      <c r="E222" s="99">
        <v>48</v>
      </c>
      <c r="F222" s="100" t="e">
        <f>'MSP ATCT Rate Build Up'!H136</f>
        <v>#DIV/0!</v>
      </c>
      <c r="G222" s="101" t="s">
        <v>40</v>
      </c>
      <c r="H222" s="104" t="e">
        <f t="shared" si="34"/>
        <v>#DIV/0!</v>
      </c>
    </row>
    <row r="223" spans="1:8" x14ac:dyDescent="0.25">
      <c r="A223" s="90" t="s">
        <v>253</v>
      </c>
      <c r="B223" s="216" t="s">
        <v>58</v>
      </c>
      <c r="C223" s="279"/>
      <c r="D223" s="99" t="s">
        <v>44</v>
      </c>
      <c r="E223" s="99">
        <v>1040</v>
      </c>
      <c r="F223" s="100" t="e">
        <f>'MSP ATCT Rate Build Up'!H136</f>
        <v>#DIV/0!</v>
      </c>
      <c r="G223" s="101" t="s">
        <v>40</v>
      </c>
      <c r="H223" s="104" t="e">
        <f t="shared" si="34"/>
        <v>#DIV/0!</v>
      </c>
    </row>
    <row r="224" spans="1:8" ht="16.5" thickBot="1" x14ac:dyDescent="0.3">
      <c r="A224" s="106"/>
      <c r="B224" s="113" t="s">
        <v>59</v>
      </c>
      <c r="C224" s="280"/>
      <c r="D224" s="108"/>
      <c r="E224" s="109"/>
      <c r="F224" s="108"/>
      <c r="G224" s="108"/>
      <c r="H224" s="110" t="e">
        <f>SUM(H217:H223)</f>
        <v>#DIV/0!</v>
      </c>
    </row>
    <row r="225" spans="1:8" ht="16.5" thickTop="1" x14ac:dyDescent="0.25">
      <c r="A225" s="90" t="s">
        <v>254</v>
      </c>
      <c r="B225" s="216" t="s">
        <v>37</v>
      </c>
      <c r="C225" s="279" t="s">
        <v>117</v>
      </c>
      <c r="D225" s="98" t="s">
        <v>39</v>
      </c>
      <c r="E225" s="99">
        <v>12</v>
      </c>
      <c r="F225" s="101" t="s">
        <v>40</v>
      </c>
      <c r="G225" s="100" t="e">
        <f>'ORD ATCT Rate Build Up'!H135</f>
        <v>#DIV/0!</v>
      </c>
      <c r="H225" s="104" t="e">
        <f>E225*G225</f>
        <v>#DIV/0!</v>
      </c>
    </row>
    <row r="226" spans="1:8" x14ac:dyDescent="0.25">
      <c r="A226" s="90" t="s">
        <v>255</v>
      </c>
      <c r="B226" s="216" t="s">
        <v>43</v>
      </c>
      <c r="C226" s="279"/>
      <c r="D226" s="98" t="s">
        <v>44</v>
      </c>
      <c r="E226" s="99">
        <v>80</v>
      </c>
      <c r="F226" s="100" t="e">
        <f>'ORD ATCT Rate Build Up'!H136</f>
        <v>#DIV/0!</v>
      </c>
      <c r="G226" s="101" t="s">
        <v>40</v>
      </c>
      <c r="H226" s="104" t="e">
        <f>E226*F226</f>
        <v>#DIV/0!</v>
      </c>
    </row>
    <row r="227" spans="1:8" x14ac:dyDescent="0.25">
      <c r="A227" s="90" t="s">
        <v>256</v>
      </c>
      <c r="B227" s="216" t="s">
        <v>47</v>
      </c>
      <c r="C227" s="279"/>
      <c r="D227" s="98" t="s">
        <v>48</v>
      </c>
      <c r="E227" s="99">
        <v>16</v>
      </c>
      <c r="F227" s="100" t="e">
        <f>'ORD ATCT Rate Build Up'!K136</f>
        <v>#DIV/0!</v>
      </c>
      <c r="G227" s="101" t="s">
        <v>40</v>
      </c>
      <c r="H227" s="104" t="e">
        <f t="shared" ref="H227:H231" si="36">E227*F227</f>
        <v>#DIV/0!</v>
      </c>
    </row>
    <row r="228" spans="1:8" x14ac:dyDescent="0.25">
      <c r="A228" s="90" t="s">
        <v>257</v>
      </c>
      <c r="B228" s="216" t="s">
        <v>51</v>
      </c>
      <c r="C228" s="279"/>
      <c r="D228" s="98" t="s">
        <v>48</v>
      </c>
      <c r="E228" s="99">
        <v>16</v>
      </c>
      <c r="F228" s="100" t="e">
        <f>'ORD ATCT Rate Build Up'!H136</f>
        <v>#DIV/0!</v>
      </c>
      <c r="G228" s="101" t="s">
        <v>40</v>
      </c>
      <c r="H228" s="104" t="e">
        <f t="shared" ref="H228" si="37">E228*F228</f>
        <v>#DIV/0!</v>
      </c>
    </row>
    <row r="229" spans="1:8" x14ac:dyDescent="0.25">
      <c r="A229" s="90" t="s">
        <v>258</v>
      </c>
      <c r="B229" s="216" t="s">
        <v>54</v>
      </c>
      <c r="C229" s="279"/>
      <c r="D229" s="98" t="s">
        <v>44</v>
      </c>
      <c r="E229" s="99">
        <v>80</v>
      </c>
      <c r="F229" s="100" t="e">
        <f>'ORD ATCT Rate Build Up'!H136</f>
        <v>#DIV/0!</v>
      </c>
      <c r="G229" s="101" t="s">
        <v>40</v>
      </c>
      <c r="H229" s="104" t="e">
        <f t="shared" si="36"/>
        <v>#DIV/0!</v>
      </c>
    </row>
    <row r="230" spans="1:8" x14ac:dyDescent="0.25">
      <c r="A230" s="90" t="s">
        <v>259</v>
      </c>
      <c r="B230" s="216" t="s">
        <v>56</v>
      </c>
      <c r="C230" s="279"/>
      <c r="D230" s="99" t="s">
        <v>44</v>
      </c>
      <c r="E230" s="99">
        <v>48</v>
      </c>
      <c r="F230" s="100" t="e">
        <f>'ORD ATCT Rate Build Up'!H136</f>
        <v>#DIV/0!</v>
      </c>
      <c r="G230" s="101" t="s">
        <v>40</v>
      </c>
      <c r="H230" s="104" t="e">
        <f t="shared" si="36"/>
        <v>#DIV/0!</v>
      </c>
    </row>
    <row r="231" spans="1:8" x14ac:dyDescent="0.25">
      <c r="A231" s="90" t="s">
        <v>260</v>
      </c>
      <c r="B231" s="216" t="s">
        <v>58</v>
      </c>
      <c r="C231" s="279"/>
      <c r="D231" s="99" t="s">
        <v>44</v>
      </c>
      <c r="E231" s="99">
        <v>1040</v>
      </c>
      <c r="F231" s="100" t="e">
        <f>'ORD ATCT Rate Build Up'!H136</f>
        <v>#DIV/0!</v>
      </c>
      <c r="G231" s="101" t="s">
        <v>40</v>
      </c>
      <c r="H231" s="104" t="e">
        <f t="shared" si="36"/>
        <v>#DIV/0!</v>
      </c>
    </row>
    <row r="232" spans="1:8" ht="16.5" thickBot="1" x14ac:dyDescent="0.3">
      <c r="A232" s="106"/>
      <c r="B232" s="113" t="s">
        <v>59</v>
      </c>
      <c r="C232" s="280"/>
      <c r="D232" s="108"/>
      <c r="E232" s="109"/>
      <c r="F232" s="108"/>
      <c r="G232" s="108"/>
      <c r="H232" s="110" t="e">
        <f>SUM(H225:H231)</f>
        <v>#DIV/0!</v>
      </c>
    </row>
    <row r="233" spans="1:8" ht="16.5" thickTop="1" x14ac:dyDescent="0.25">
      <c r="A233" s="90" t="s">
        <v>261</v>
      </c>
      <c r="B233" s="216" t="s">
        <v>37</v>
      </c>
      <c r="C233" s="279" t="s">
        <v>125</v>
      </c>
      <c r="D233" s="98" t="s">
        <v>39</v>
      </c>
      <c r="E233" s="99">
        <v>12</v>
      </c>
      <c r="F233" s="101" t="s">
        <v>40</v>
      </c>
      <c r="G233" s="100" t="e">
        <f>'ZAB ARTCC Rate Build Up'!H135</f>
        <v>#DIV/0!</v>
      </c>
      <c r="H233" s="104" t="e">
        <f>E233*G233</f>
        <v>#DIV/0!</v>
      </c>
    </row>
    <row r="234" spans="1:8" x14ac:dyDescent="0.25">
      <c r="A234" s="90" t="s">
        <v>262</v>
      </c>
      <c r="B234" s="216" t="s">
        <v>43</v>
      </c>
      <c r="C234" s="279"/>
      <c r="D234" s="98" t="s">
        <v>44</v>
      </c>
      <c r="E234" s="99">
        <v>80</v>
      </c>
      <c r="F234" s="100" t="e">
        <f>'ZAB ARTCC Rate Build Up'!H136</f>
        <v>#DIV/0!</v>
      </c>
      <c r="G234" s="101" t="s">
        <v>40</v>
      </c>
      <c r="H234" s="104" t="e">
        <f>E234*F234</f>
        <v>#DIV/0!</v>
      </c>
    </row>
    <row r="235" spans="1:8" x14ac:dyDescent="0.25">
      <c r="A235" s="90" t="s">
        <v>263</v>
      </c>
      <c r="B235" s="216" t="s">
        <v>47</v>
      </c>
      <c r="C235" s="279"/>
      <c r="D235" s="98" t="s">
        <v>48</v>
      </c>
      <c r="E235" s="99">
        <v>16</v>
      </c>
      <c r="F235" s="100" t="e">
        <f>'ZAB ARTCC Rate Build Up'!K136</f>
        <v>#DIV/0!</v>
      </c>
      <c r="G235" s="101" t="s">
        <v>40</v>
      </c>
      <c r="H235" s="104" t="e">
        <f t="shared" ref="H235:H239" si="38">E235*F235</f>
        <v>#DIV/0!</v>
      </c>
    </row>
    <row r="236" spans="1:8" x14ac:dyDescent="0.25">
      <c r="A236" s="90" t="s">
        <v>264</v>
      </c>
      <c r="B236" s="216" t="s">
        <v>51</v>
      </c>
      <c r="C236" s="279"/>
      <c r="D236" s="98" t="s">
        <v>48</v>
      </c>
      <c r="E236" s="99">
        <v>16</v>
      </c>
      <c r="F236" s="100" t="e">
        <f>'ZAB ARTCC Rate Build Up'!H136</f>
        <v>#DIV/0!</v>
      </c>
      <c r="G236" s="101" t="s">
        <v>40</v>
      </c>
      <c r="H236" s="104" t="e">
        <f t="shared" ref="H236" si="39">E236*F236</f>
        <v>#DIV/0!</v>
      </c>
    </row>
    <row r="237" spans="1:8" x14ac:dyDescent="0.25">
      <c r="A237" s="90" t="s">
        <v>265</v>
      </c>
      <c r="B237" s="216" t="s">
        <v>54</v>
      </c>
      <c r="C237" s="279"/>
      <c r="D237" s="98" t="s">
        <v>44</v>
      </c>
      <c r="E237" s="99">
        <v>80</v>
      </c>
      <c r="F237" s="100" t="e">
        <f>'ZAB ARTCC Rate Build Up'!H136</f>
        <v>#DIV/0!</v>
      </c>
      <c r="G237" s="101" t="s">
        <v>40</v>
      </c>
      <c r="H237" s="104" t="e">
        <f t="shared" si="38"/>
        <v>#DIV/0!</v>
      </c>
    </row>
    <row r="238" spans="1:8" x14ac:dyDescent="0.25">
      <c r="A238" s="90" t="s">
        <v>266</v>
      </c>
      <c r="B238" s="216" t="s">
        <v>56</v>
      </c>
      <c r="C238" s="279"/>
      <c r="D238" s="99" t="s">
        <v>44</v>
      </c>
      <c r="E238" s="99">
        <v>48</v>
      </c>
      <c r="F238" s="100" t="e">
        <f>'ZAB ARTCC Rate Build Up'!H136</f>
        <v>#DIV/0!</v>
      </c>
      <c r="G238" s="101" t="s">
        <v>40</v>
      </c>
      <c r="H238" s="104" t="e">
        <f t="shared" si="38"/>
        <v>#DIV/0!</v>
      </c>
    </row>
    <row r="239" spans="1:8" x14ac:dyDescent="0.25">
      <c r="A239" s="90" t="s">
        <v>267</v>
      </c>
      <c r="B239" s="216" t="s">
        <v>58</v>
      </c>
      <c r="C239" s="279"/>
      <c r="D239" s="99" t="s">
        <v>44</v>
      </c>
      <c r="E239" s="99">
        <v>1040</v>
      </c>
      <c r="F239" s="100" t="e">
        <f>'ZAB ARTCC Rate Build Up'!H136</f>
        <v>#DIV/0!</v>
      </c>
      <c r="G239" s="101" t="s">
        <v>40</v>
      </c>
      <c r="H239" s="104" t="e">
        <f t="shared" si="38"/>
        <v>#DIV/0!</v>
      </c>
    </row>
    <row r="240" spans="1:8" ht="16.5" thickBot="1" x14ac:dyDescent="0.3">
      <c r="A240" s="106"/>
      <c r="B240" s="113" t="s">
        <v>59</v>
      </c>
      <c r="C240" s="280"/>
      <c r="D240" s="108"/>
      <c r="E240" s="109"/>
      <c r="F240" s="108"/>
      <c r="G240" s="108"/>
      <c r="H240" s="110" t="e">
        <f>SUM(H233:H239)</f>
        <v>#DIV/0!</v>
      </c>
    </row>
    <row r="241" spans="1:8" ht="16.5" thickTop="1" x14ac:dyDescent="0.25">
      <c r="A241" s="90" t="s">
        <v>268</v>
      </c>
      <c r="B241" s="216" t="s">
        <v>37</v>
      </c>
      <c r="C241" s="279" t="s">
        <v>133</v>
      </c>
      <c r="D241" s="98" t="s">
        <v>39</v>
      </c>
      <c r="E241" s="99">
        <v>12</v>
      </c>
      <c r="F241" s="101" t="s">
        <v>40</v>
      </c>
      <c r="G241" s="100" t="e">
        <f>'ZAU Rate Build Up'!H135</f>
        <v>#DIV/0!</v>
      </c>
      <c r="H241" s="104" t="e">
        <f>E241*G241</f>
        <v>#DIV/0!</v>
      </c>
    </row>
    <row r="242" spans="1:8" x14ac:dyDescent="0.25">
      <c r="A242" s="90" t="s">
        <v>269</v>
      </c>
      <c r="B242" s="216" t="s">
        <v>43</v>
      </c>
      <c r="C242" s="279"/>
      <c r="D242" s="98" t="s">
        <v>44</v>
      </c>
      <c r="E242" s="99">
        <v>80</v>
      </c>
      <c r="F242" s="100" t="e">
        <f>'ZAU Rate Build Up'!H136</f>
        <v>#DIV/0!</v>
      </c>
      <c r="G242" s="101" t="s">
        <v>40</v>
      </c>
      <c r="H242" s="104" t="e">
        <f>E242*F242</f>
        <v>#DIV/0!</v>
      </c>
    </row>
    <row r="243" spans="1:8" x14ac:dyDescent="0.25">
      <c r="A243" s="90" t="s">
        <v>270</v>
      </c>
      <c r="B243" s="216" t="s">
        <v>47</v>
      </c>
      <c r="C243" s="279"/>
      <c r="D243" s="98" t="s">
        <v>48</v>
      </c>
      <c r="E243" s="99">
        <v>16</v>
      </c>
      <c r="F243" s="100" t="e">
        <f>'ZAU Rate Build Up'!K136</f>
        <v>#DIV/0!</v>
      </c>
      <c r="G243" s="101" t="s">
        <v>40</v>
      </c>
      <c r="H243" s="104" t="e">
        <f>E243*F243</f>
        <v>#DIV/0!</v>
      </c>
    </row>
    <row r="244" spans="1:8" x14ac:dyDescent="0.25">
      <c r="A244" s="90" t="s">
        <v>271</v>
      </c>
      <c r="B244" s="216" t="s">
        <v>51</v>
      </c>
      <c r="C244" s="279"/>
      <c r="D244" s="98" t="s">
        <v>48</v>
      </c>
      <c r="E244" s="99">
        <v>16</v>
      </c>
      <c r="F244" s="100" t="e">
        <f>'ZAU Rate Build Up'!H136</f>
        <v>#DIV/0!</v>
      </c>
      <c r="G244" s="101" t="s">
        <v>40</v>
      </c>
      <c r="H244" s="104" t="e">
        <f>E244*F244</f>
        <v>#DIV/0!</v>
      </c>
    </row>
    <row r="245" spans="1:8" x14ac:dyDescent="0.25">
      <c r="A245" s="90" t="s">
        <v>272</v>
      </c>
      <c r="B245" s="216" t="s">
        <v>54</v>
      </c>
      <c r="C245" s="279"/>
      <c r="D245" s="98" t="s">
        <v>44</v>
      </c>
      <c r="E245" s="99">
        <v>80</v>
      </c>
      <c r="F245" s="100" t="e">
        <f>'ZAU Rate Build Up'!H136</f>
        <v>#DIV/0!</v>
      </c>
      <c r="G245" s="101" t="s">
        <v>40</v>
      </c>
      <c r="H245" s="104" t="e">
        <f t="shared" ref="H245:H247" si="40">E245*F245</f>
        <v>#DIV/0!</v>
      </c>
    </row>
    <row r="246" spans="1:8" x14ac:dyDescent="0.25">
      <c r="A246" s="90" t="s">
        <v>273</v>
      </c>
      <c r="B246" s="216" t="s">
        <v>56</v>
      </c>
      <c r="C246" s="279"/>
      <c r="D246" s="99" t="s">
        <v>44</v>
      </c>
      <c r="E246" s="99">
        <v>48</v>
      </c>
      <c r="F246" s="100" t="e">
        <f>'ZAU Rate Build Up'!H136</f>
        <v>#DIV/0!</v>
      </c>
      <c r="G246" s="101" t="s">
        <v>40</v>
      </c>
      <c r="H246" s="104" t="e">
        <f t="shared" si="40"/>
        <v>#DIV/0!</v>
      </c>
    </row>
    <row r="247" spans="1:8" x14ac:dyDescent="0.25">
      <c r="A247" s="90" t="s">
        <v>274</v>
      </c>
      <c r="B247" s="216" t="s">
        <v>58</v>
      </c>
      <c r="C247" s="279"/>
      <c r="D247" s="99" t="s">
        <v>44</v>
      </c>
      <c r="E247" s="99">
        <v>1040</v>
      </c>
      <c r="F247" s="100" t="e">
        <f>'ZAU Rate Build Up'!H136</f>
        <v>#DIV/0!</v>
      </c>
      <c r="G247" s="101" t="s">
        <v>40</v>
      </c>
      <c r="H247" s="104" t="e">
        <f t="shared" si="40"/>
        <v>#DIV/0!</v>
      </c>
    </row>
    <row r="248" spans="1:8" ht="16.5" thickBot="1" x14ac:dyDescent="0.3">
      <c r="A248" s="106"/>
      <c r="B248" s="113" t="s">
        <v>59</v>
      </c>
      <c r="C248" s="280"/>
      <c r="D248" s="108"/>
      <c r="E248" s="109"/>
      <c r="F248" s="108"/>
      <c r="G248" s="108"/>
      <c r="H248" s="110" t="e">
        <f>SUM(H241:H247)</f>
        <v>#DIV/0!</v>
      </c>
    </row>
    <row r="249" spans="1:8" ht="16.5" thickTop="1" x14ac:dyDescent="0.25">
      <c r="A249" s="90" t="s">
        <v>275</v>
      </c>
      <c r="B249" s="216" t="s">
        <v>37</v>
      </c>
      <c r="C249" s="279" t="s">
        <v>141</v>
      </c>
      <c r="D249" s="98" t="s">
        <v>39</v>
      </c>
      <c r="E249" s="99">
        <v>12</v>
      </c>
      <c r="F249" s="101" t="s">
        <v>40</v>
      </c>
      <c r="G249" s="100" t="e">
        <f>'ZFW Rate Build Up'!H135</f>
        <v>#DIV/0!</v>
      </c>
      <c r="H249" s="104" t="e">
        <f>E249*G249</f>
        <v>#DIV/0!</v>
      </c>
    </row>
    <row r="250" spans="1:8" x14ac:dyDescent="0.25">
      <c r="A250" s="90" t="s">
        <v>276</v>
      </c>
      <c r="B250" s="216" t="s">
        <v>43</v>
      </c>
      <c r="C250" s="279"/>
      <c r="D250" s="98" t="s">
        <v>44</v>
      </c>
      <c r="E250" s="99">
        <v>80</v>
      </c>
      <c r="F250" s="100" t="e">
        <f>'ZFW Rate Build Up'!H136</f>
        <v>#DIV/0!</v>
      </c>
      <c r="G250" s="101" t="s">
        <v>40</v>
      </c>
      <c r="H250" s="104" t="e">
        <f>E250*F250</f>
        <v>#DIV/0!</v>
      </c>
    </row>
    <row r="251" spans="1:8" x14ac:dyDescent="0.25">
      <c r="A251" s="90" t="s">
        <v>277</v>
      </c>
      <c r="B251" s="216" t="s">
        <v>47</v>
      </c>
      <c r="C251" s="279"/>
      <c r="D251" s="98" t="s">
        <v>48</v>
      </c>
      <c r="E251" s="99">
        <v>16</v>
      </c>
      <c r="F251" s="100" t="e">
        <f>'ZFW Rate Build Up'!K136</f>
        <v>#DIV/0!</v>
      </c>
      <c r="G251" s="101" t="s">
        <v>40</v>
      </c>
      <c r="H251" s="104" t="e">
        <f t="shared" ref="H251:H255" si="41">E251*F251</f>
        <v>#DIV/0!</v>
      </c>
    </row>
    <row r="252" spans="1:8" x14ac:dyDescent="0.25">
      <c r="A252" s="90" t="s">
        <v>278</v>
      </c>
      <c r="B252" s="216" t="s">
        <v>51</v>
      </c>
      <c r="C252" s="279"/>
      <c r="D252" s="98" t="s">
        <v>48</v>
      </c>
      <c r="E252" s="99">
        <v>16</v>
      </c>
      <c r="F252" s="100" t="e">
        <f>'ZFW Rate Build Up'!H136</f>
        <v>#DIV/0!</v>
      </c>
      <c r="G252" s="101" t="s">
        <v>40</v>
      </c>
      <c r="H252" s="104" t="e">
        <f t="shared" ref="H252" si="42">E252*F252</f>
        <v>#DIV/0!</v>
      </c>
    </row>
    <row r="253" spans="1:8" x14ac:dyDescent="0.25">
      <c r="A253" s="90" t="s">
        <v>279</v>
      </c>
      <c r="B253" s="216" t="s">
        <v>54</v>
      </c>
      <c r="C253" s="279"/>
      <c r="D253" s="98" t="s">
        <v>44</v>
      </c>
      <c r="E253" s="99">
        <v>80</v>
      </c>
      <c r="F253" s="100" t="e">
        <f>'ZFW Rate Build Up'!H136</f>
        <v>#DIV/0!</v>
      </c>
      <c r="G253" s="101" t="s">
        <v>40</v>
      </c>
      <c r="H253" s="104" t="e">
        <f t="shared" si="41"/>
        <v>#DIV/0!</v>
      </c>
    </row>
    <row r="254" spans="1:8" x14ac:dyDescent="0.25">
      <c r="A254" s="90" t="s">
        <v>280</v>
      </c>
      <c r="B254" s="216" t="s">
        <v>56</v>
      </c>
      <c r="C254" s="279"/>
      <c r="D254" s="99" t="s">
        <v>44</v>
      </c>
      <c r="E254" s="99">
        <v>48</v>
      </c>
      <c r="F254" s="100" t="e">
        <f>'ZFW Rate Build Up'!H136</f>
        <v>#DIV/0!</v>
      </c>
      <c r="G254" s="101" t="s">
        <v>40</v>
      </c>
      <c r="H254" s="104" t="e">
        <f t="shared" si="41"/>
        <v>#DIV/0!</v>
      </c>
    </row>
    <row r="255" spans="1:8" x14ac:dyDescent="0.25">
      <c r="A255" s="90" t="s">
        <v>281</v>
      </c>
      <c r="B255" s="216" t="s">
        <v>58</v>
      </c>
      <c r="C255" s="279"/>
      <c r="D255" s="99" t="s">
        <v>44</v>
      </c>
      <c r="E255" s="99">
        <v>1040</v>
      </c>
      <c r="F255" s="100" t="e">
        <f>'ZFW Rate Build Up'!H136</f>
        <v>#DIV/0!</v>
      </c>
      <c r="G255" s="101" t="s">
        <v>40</v>
      </c>
      <c r="H255" s="104" t="e">
        <f t="shared" si="41"/>
        <v>#DIV/0!</v>
      </c>
    </row>
    <row r="256" spans="1:8" ht="16.5" thickBot="1" x14ac:dyDescent="0.3">
      <c r="A256" s="106"/>
      <c r="B256" s="113" t="s">
        <v>59</v>
      </c>
      <c r="C256" s="280"/>
      <c r="D256" s="108"/>
      <c r="E256" s="109"/>
      <c r="F256" s="108"/>
      <c r="G256" s="108"/>
      <c r="H256" s="110" t="e">
        <f>SUM(H249:H255)</f>
        <v>#DIV/0!</v>
      </c>
    </row>
    <row r="257" spans="1:8" ht="16.5" thickTop="1" x14ac:dyDescent="0.25">
      <c r="A257" s="117" t="s">
        <v>282</v>
      </c>
      <c r="B257" s="216" t="s">
        <v>37</v>
      </c>
      <c r="C257" s="279" t="s">
        <v>149</v>
      </c>
      <c r="D257" s="98" t="s">
        <v>39</v>
      </c>
      <c r="E257" s="99">
        <v>12</v>
      </c>
      <c r="F257" s="101" t="s">
        <v>40</v>
      </c>
      <c r="G257" s="100" t="e">
        <f>'ZHU Rate Build Up'!H135</f>
        <v>#DIV/0!</v>
      </c>
      <c r="H257" s="104" t="e">
        <f>E257*G257</f>
        <v>#DIV/0!</v>
      </c>
    </row>
    <row r="258" spans="1:8" x14ac:dyDescent="0.25">
      <c r="A258" s="90" t="s">
        <v>283</v>
      </c>
      <c r="B258" s="216" t="s">
        <v>43</v>
      </c>
      <c r="C258" s="279"/>
      <c r="D258" s="98" t="s">
        <v>44</v>
      </c>
      <c r="E258" s="99">
        <v>80</v>
      </c>
      <c r="F258" s="100" t="e">
        <f>'ZHU Rate Build Up'!H136</f>
        <v>#DIV/0!</v>
      </c>
      <c r="G258" s="101" t="s">
        <v>40</v>
      </c>
      <c r="H258" s="104" t="e">
        <f>E258*F258</f>
        <v>#DIV/0!</v>
      </c>
    </row>
    <row r="259" spans="1:8" x14ac:dyDescent="0.25">
      <c r="A259" s="90" t="s">
        <v>284</v>
      </c>
      <c r="B259" s="216" t="s">
        <v>47</v>
      </c>
      <c r="C259" s="279"/>
      <c r="D259" s="98" t="s">
        <v>48</v>
      </c>
      <c r="E259" s="99">
        <v>16</v>
      </c>
      <c r="F259" s="100" t="e">
        <f>'ZHU Rate Build Up'!K136</f>
        <v>#DIV/0!</v>
      </c>
      <c r="G259" s="101" t="s">
        <v>40</v>
      </c>
      <c r="H259" s="104" t="e">
        <f t="shared" ref="H259:H263" si="43">E259*F259</f>
        <v>#DIV/0!</v>
      </c>
    </row>
    <row r="260" spans="1:8" x14ac:dyDescent="0.25">
      <c r="A260" s="117" t="s">
        <v>285</v>
      </c>
      <c r="B260" s="216" t="s">
        <v>51</v>
      </c>
      <c r="C260" s="279"/>
      <c r="D260" s="98" t="s">
        <v>48</v>
      </c>
      <c r="E260" s="99">
        <v>16</v>
      </c>
      <c r="F260" s="100" t="e">
        <f>'ZHU Rate Build Up'!H136</f>
        <v>#DIV/0!</v>
      </c>
      <c r="G260" s="101" t="s">
        <v>40</v>
      </c>
      <c r="H260" s="104" t="e">
        <f t="shared" ref="H260" si="44">E260*F260</f>
        <v>#DIV/0!</v>
      </c>
    </row>
    <row r="261" spans="1:8" x14ac:dyDescent="0.25">
      <c r="A261" s="90" t="s">
        <v>286</v>
      </c>
      <c r="B261" s="216" t="s">
        <v>54</v>
      </c>
      <c r="C261" s="279"/>
      <c r="D261" s="98" t="s">
        <v>44</v>
      </c>
      <c r="E261" s="99">
        <v>80</v>
      </c>
      <c r="F261" s="100" t="e">
        <f>'ZHU Rate Build Up'!H136</f>
        <v>#DIV/0!</v>
      </c>
      <c r="G261" s="101" t="s">
        <v>40</v>
      </c>
      <c r="H261" s="104" t="e">
        <f t="shared" si="43"/>
        <v>#DIV/0!</v>
      </c>
    </row>
    <row r="262" spans="1:8" x14ac:dyDescent="0.25">
      <c r="A262" s="90" t="s">
        <v>287</v>
      </c>
      <c r="B262" s="216" t="s">
        <v>56</v>
      </c>
      <c r="C262" s="279"/>
      <c r="D262" s="99" t="s">
        <v>44</v>
      </c>
      <c r="E262" s="99">
        <v>48</v>
      </c>
      <c r="F262" s="100" t="e">
        <f>'ZHU Rate Build Up'!H136</f>
        <v>#DIV/0!</v>
      </c>
      <c r="G262" s="101" t="s">
        <v>40</v>
      </c>
      <c r="H262" s="104" t="e">
        <f t="shared" si="43"/>
        <v>#DIV/0!</v>
      </c>
    </row>
    <row r="263" spans="1:8" x14ac:dyDescent="0.25">
      <c r="A263" s="117" t="s">
        <v>288</v>
      </c>
      <c r="B263" s="216" t="s">
        <v>58</v>
      </c>
      <c r="C263" s="279"/>
      <c r="D263" s="99" t="s">
        <v>44</v>
      </c>
      <c r="E263" s="99">
        <v>1040</v>
      </c>
      <c r="F263" s="100" t="e">
        <f>'ZHU Rate Build Up'!H136</f>
        <v>#DIV/0!</v>
      </c>
      <c r="G263" s="101" t="s">
        <v>40</v>
      </c>
      <c r="H263" s="104" t="e">
        <f t="shared" si="43"/>
        <v>#DIV/0!</v>
      </c>
    </row>
    <row r="264" spans="1:8" ht="16.5" thickBot="1" x14ac:dyDescent="0.3">
      <c r="A264" s="106"/>
      <c r="B264" s="107" t="s">
        <v>59</v>
      </c>
      <c r="C264" s="280"/>
      <c r="D264" s="108"/>
      <c r="E264" s="109"/>
      <c r="F264" s="108"/>
      <c r="G264" s="108"/>
      <c r="H264" s="110" t="e">
        <f>SUM(H257:H263)</f>
        <v>#DIV/0!</v>
      </c>
    </row>
    <row r="265" spans="1:8" ht="16.5" thickTop="1" x14ac:dyDescent="0.25">
      <c r="B265" s="213"/>
      <c r="C265" s="217"/>
      <c r="D265" s="214"/>
      <c r="E265" s="214"/>
      <c r="F265" s="214"/>
      <c r="G265" s="214"/>
      <c r="H265" s="215"/>
    </row>
    <row r="266" spans="1:8" ht="16.5" thickBot="1" x14ac:dyDescent="0.3">
      <c r="A266" s="242" t="s">
        <v>839</v>
      </c>
      <c r="B266" s="80"/>
      <c r="C266" s="243"/>
      <c r="H266" s="83"/>
    </row>
    <row r="267" spans="1:8" ht="48" thickBot="1" x14ac:dyDescent="0.3">
      <c r="A267" s="84" t="s">
        <v>27</v>
      </c>
      <c r="B267" s="85" t="s">
        <v>28</v>
      </c>
      <c r="C267" s="86" t="s">
        <v>29</v>
      </c>
      <c r="D267" s="87" t="s">
        <v>30</v>
      </c>
      <c r="E267" s="88" t="s">
        <v>31</v>
      </c>
      <c r="F267" s="87" t="s">
        <v>32</v>
      </c>
      <c r="G267" s="87" t="s">
        <v>33</v>
      </c>
      <c r="H267" s="89" t="s">
        <v>34</v>
      </c>
    </row>
    <row r="268" spans="1:8" x14ac:dyDescent="0.25">
      <c r="A268" s="90" t="s">
        <v>289</v>
      </c>
      <c r="B268" s="245" t="s">
        <v>37</v>
      </c>
      <c r="C268" s="279" t="s">
        <v>157</v>
      </c>
      <c r="D268" s="92" t="s">
        <v>39</v>
      </c>
      <c r="E268" s="93">
        <v>12</v>
      </c>
      <c r="F268" s="94" t="s">
        <v>40</v>
      </c>
      <c r="G268" s="95" t="e">
        <f>'ZID Rate Build Up'!H135</f>
        <v>#DIV/0!</v>
      </c>
      <c r="H268" s="118" t="e">
        <f>E268*G268</f>
        <v>#DIV/0!</v>
      </c>
    </row>
    <row r="269" spans="1:8" x14ac:dyDescent="0.25">
      <c r="A269" s="90" t="s">
        <v>290</v>
      </c>
      <c r="B269" s="216" t="s">
        <v>43</v>
      </c>
      <c r="C269" s="279"/>
      <c r="D269" s="98" t="s">
        <v>44</v>
      </c>
      <c r="E269" s="99">
        <v>80</v>
      </c>
      <c r="F269" s="100" t="e">
        <f>'ZID Rate Build Up'!H136</f>
        <v>#DIV/0!</v>
      </c>
      <c r="G269" s="101" t="s">
        <v>40</v>
      </c>
      <c r="H269" s="104" t="e">
        <f>E269*F269</f>
        <v>#DIV/0!</v>
      </c>
    </row>
    <row r="270" spans="1:8" x14ac:dyDescent="0.25">
      <c r="A270" s="90" t="s">
        <v>291</v>
      </c>
      <c r="B270" s="216" t="s">
        <v>47</v>
      </c>
      <c r="C270" s="279"/>
      <c r="D270" s="98" t="s">
        <v>48</v>
      </c>
      <c r="E270" s="99">
        <v>16</v>
      </c>
      <c r="F270" s="100" t="e">
        <f>'ZID Rate Build Up'!K136</f>
        <v>#DIV/0!</v>
      </c>
      <c r="G270" s="101" t="s">
        <v>40</v>
      </c>
      <c r="H270" s="104" t="e">
        <f t="shared" ref="H270:H274" si="45">E270*F270</f>
        <v>#DIV/0!</v>
      </c>
    </row>
    <row r="271" spans="1:8" x14ac:dyDescent="0.25">
      <c r="A271" s="90" t="s">
        <v>292</v>
      </c>
      <c r="B271" s="216" t="s">
        <v>51</v>
      </c>
      <c r="C271" s="279"/>
      <c r="D271" s="98" t="s">
        <v>48</v>
      </c>
      <c r="E271" s="99">
        <v>16</v>
      </c>
      <c r="F271" s="100" t="e">
        <f>'ZID Rate Build Up'!H136</f>
        <v>#DIV/0!</v>
      </c>
      <c r="G271" s="101" t="s">
        <v>40</v>
      </c>
      <c r="H271" s="104" t="e">
        <f t="shared" ref="H271" si="46">E271*F271</f>
        <v>#DIV/0!</v>
      </c>
    </row>
    <row r="272" spans="1:8" x14ac:dyDescent="0.25">
      <c r="A272" s="90" t="s">
        <v>293</v>
      </c>
      <c r="B272" s="216" t="s">
        <v>54</v>
      </c>
      <c r="C272" s="279"/>
      <c r="D272" s="98" t="s">
        <v>44</v>
      </c>
      <c r="E272" s="99">
        <v>80</v>
      </c>
      <c r="F272" s="100" t="e">
        <f>'ZID Rate Build Up'!H136</f>
        <v>#DIV/0!</v>
      </c>
      <c r="G272" s="101" t="s">
        <v>40</v>
      </c>
      <c r="H272" s="104" t="e">
        <f t="shared" si="45"/>
        <v>#DIV/0!</v>
      </c>
    </row>
    <row r="273" spans="1:8" x14ac:dyDescent="0.25">
      <c r="A273" s="90" t="s">
        <v>294</v>
      </c>
      <c r="B273" s="216" t="s">
        <v>56</v>
      </c>
      <c r="C273" s="279"/>
      <c r="D273" s="99" t="s">
        <v>44</v>
      </c>
      <c r="E273" s="99">
        <v>48</v>
      </c>
      <c r="F273" s="100" t="e">
        <f>'ZID Rate Build Up'!H136</f>
        <v>#DIV/0!</v>
      </c>
      <c r="G273" s="101" t="s">
        <v>40</v>
      </c>
      <c r="H273" s="104" t="e">
        <f t="shared" si="45"/>
        <v>#DIV/0!</v>
      </c>
    </row>
    <row r="274" spans="1:8" x14ac:dyDescent="0.25">
      <c r="A274" s="90" t="s">
        <v>295</v>
      </c>
      <c r="B274" s="216" t="s">
        <v>58</v>
      </c>
      <c r="C274" s="279"/>
      <c r="D274" s="99" t="s">
        <v>44</v>
      </c>
      <c r="E274" s="99">
        <v>1040</v>
      </c>
      <c r="F274" s="100" t="e">
        <f>'ZID Rate Build Up'!H136</f>
        <v>#DIV/0!</v>
      </c>
      <c r="G274" s="101" t="s">
        <v>40</v>
      </c>
      <c r="H274" s="104" t="e">
        <f t="shared" si="45"/>
        <v>#DIV/0!</v>
      </c>
    </row>
    <row r="275" spans="1:8" ht="16.5" thickBot="1" x14ac:dyDescent="0.3">
      <c r="A275" s="106"/>
      <c r="B275" s="113" t="s">
        <v>59</v>
      </c>
      <c r="C275" s="280"/>
      <c r="D275" s="108"/>
      <c r="E275" s="109"/>
      <c r="F275" s="108"/>
      <c r="G275" s="108"/>
      <c r="H275" s="110" t="e">
        <f>SUM(H268:H274)</f>
        <v>#DIV/0!</v>
      </c>
    </row>
    <row r="276" spans="1:8" ht="16.5" thickTop="1" x14ac:dyDescent="0.25">
      <c r="A276" s="90" t="s">
        <v>296</v>
      </c>
      <c r="B276" s="216" t="s">
        <v>37</v>
      </c>
      <c r="C276" s="279" t="s">
        <v>165</v>
      </c>
      <c r="D276" s="98" t="s">
        <v>39</v>
      </c>
      <c r="E276" s="99">
        <v>12</v>
      </c>
      <c r="F276" s="101" t="s">
        <v>40</v>
      </c>
      <c r="G276" s="100" t="e">
        <f>'ZKC Rate Build Up'!H135</f>
        <v>#DIV/0!</v>
      </c>
      <c r="H276" s="104" t="e">
        <f>E276*G276</f>
        <v>#DIV/0!</v>
      </c>
    </row>
    <row r="277" spans="1:8" x14ac:dyDescent="0.25">
      <c r="A277" s="90" t="s">
        <v>297</v>
      </c>
      <c r="B277" s="216" t="s">
        <v>43</v>
      </c>
      <c r="C277" s="279"/>
      <c r="D277" s="98" t="s">
        <v>44</v>
      </c>
      <c r="E277" s="99">
        <v>80</v>
      </c>
      <c r="F277" s="100" t="e">
        <f>'ZKC Rate Build Up'!H136</f>
        <v>#DIV/0!</v>
      </c>
      <c r="G277" s="101" t="s">
        <v>40</v>
      </c>
      <c r="H277" s="104" t="e">
        <f>E277*F277</f>
        <v>#DIV/0!</v>
      </c>
    </row>
    <row r="278" spans="1:8" x14ac:dyDescent="0.25">
      <c r="A278" s="90" t="s">
        <v>298</v>
      </c>
      <c r="B278" s="216" t="s">
        <v>47</v>
      </c>
      <c r="C278" s="279"/>
      <c r="D278" s="98" t="s">
        <v>48</v>
      </c>
      <c r="E278" s="99">
        <v>16</v>
      </c>
      <c r="F278" s="100" t="e">
        <f>'ZKC Rate Build Up'!K136</f>
        <v>#DIV/0!</v>
      </c>
      <c r="G278" s="101" t="s">
        <v>40</v>
      </c>
      <c r="H278" s="104" t="e">
        <f t="shared" ref="H278:H282" si="47">E278*F278</f>
        <v>#DIV/0!</v>
      </c>
    </row>
    <row r="279" spans="1:8" x14ac:dyDescent="0.25">
      <c r="A279" s="90" t="s">
        <v>299</v>
      </c>
      <c r="B279" s="216" t="s">
        <v>51</v>
      </c>
      <c r="C279" s="279"/>
      <c r="D279" s="98" t="s">
        <v>48</v>
      </c>
      <c r="E279" s="99">
        <v>16</v>
      </c>
      <c r="F279" s="100" t="e">
        <f>'ZKC Rate Build Up'!H136</f>
        <v>#DIV/0!</v>
      </c>
      <c r="G279" s="101" t="s">
        <v>40</v>
      </c>
      <c r="H279" s="104" t="e">
        <f t="shared" ref="H279" si="48">E279*F279</f>
        <v>#DIV/0!</v>
      </c>
    </row>
    <row r="280" spans="1:8" x14ac:dyDescent="0.25">
      <c r="A280" s="90" t="s">
        <v>300</v>
      </c>
      <c r="B280" s="216" t="s">
        <v>54</v>
      </c>
      <c r="C280" s="279"/>
      <c r="D280" s="98" t="s">
        <v>44</v>
      </c>
      <c r="E280" s="99">
        <v>80</v>
      </c>
      <c r="F280" s="100" t="e">
        <f>'ZKC Rate Build Up'!H136</f>
        <v>#DIV/0!</v>
      </c>
      <c r="G280" s="101" t="s">
        <v>40</v>
      </c>
      <c r="H280" s="104" t="e">
        <f t="shared" si="47"/>
        <v>#DIV/0!</v>
      </c>
    </row>
    <row r="281" spans="1:8" x14ac:dyDescent="0.25">
      <c r="A281" s="90" t="s">
        <v>301</v>
      </c>
      <c r="B281" s="216" t="s">
        <v>56</v>
      </c>
      <c r="C281" s="279"/>
      <c r="D281" s="99" t="s">
        <v>44</v>
      </c>
      <c r="E281" s="99">
        <v>48</v>
      </c>
      <c r="F281" s="100" t="e">
        <f>'ZKC Rate Build Up'!H136</f>
        <v>#DIV/0!</v>
      </c>
      <c r="G281" s="101" t="s">
        <v>40</v>
      </c>
      <c r="H281" s="104" t="e">
        <f t="shared" si="47"/>
        <v>#DIV/0!</v>
      </c>
    </row>
    <row r="282" spans="1:8" x14ac:dyDescent="0.25">
      <c r="A282" s="90" t="s">
        <v>302</v>
      </c>
      <c r="B282" s="216" t="s">
        <v>58</v>
      </c>
      <c r="C282" s="279"/>
      <c r="D282" s="99" t="s">
        <v>44</v>
      </c>
      <c r="E282" s="99">
        <v>1040</v>
      </c>
      <c r="F282" s="100" t="e">
        <f>'ZKC Rate Build Up'!H136</f>
        <v>#DIV/0!</v>
      </c>
      <c r="G282" s="101" t="s">
        <v>40</v>
      </c>
      <c r="H282" s="104" t="e">
        <f t="shared" si="47"/>
        <v>#DIV/0!</v>
      </c>
    </row>
    <row r="283" spans="1:8" ht="16.5" thickBot="1" x14ac:dyDescent="0.3">
      <c r="A283" s="106"/>
      <c r="B283" s="113" t="s">
        <v>59</v>
      </c>
      <c r="C283" s="280"/>
      <c r="D283" s="108"/>
      <c r="E283" s="109"/>
      <c r="F283" s="108"/>
      <c r="G283" s="108"/>
      <c r="H283" s="110" t="e">
        <f>SUM(H276:H282)</f>
        <v>#DIV/0!</v>
      </c>
    </row>
    <row r="284" spans="1:8" ht="16.5" thickTop="1" x14ac:dyDescent="0.25">
      <c r="A284" s="90" t="s">
        <v>303</v>
      </c>
      <c r="B284" s="216" t="s">
        <v>37</v>
      </c>
      <c r="C284" s="279" t="s">
        <v>173</v>
      </c>
      <c r="D284" s="98" t="s">
        <v>39</v>
      </c>
      <c r="E284" s="99">
        <v>12</v>
      </c>
      <c r="F284" s="101" t="s">
        <v>40</v>
      </c>
      <c r="G284" s="100" t="e">
        <f>'ZMP Rate Build Up'!H135</f>
        <v>#DIV/0!</v>
      </c>
      <c r="H284" s="104" t="e">
        <f>E284*G284</f>
        <v>#DIV/0!</v>
      </c>
    </row>
    <row r="285" spans="1:8" x14ac:dyDescent="0.25">
      <c r="A285" s="90" t="s">
        <v>304</v>
      </c>
      <c r="B285" s="216" t="s">
        <v>43</v>
      </c>
      <c r="C285" s="279"/>
      <c r="D285" s="98" t="s">
        <v>44</v>
      </c>
      <c r="E285" s="99">
        <v>80</v>
      </c>
      <c r="F285" s="100" t="e">
        <f>'ZMP Rate Build Up'!H136</f>
        <v>#DIV/0!</v>
      </c>
      <c r="G285" s="101" t="s">
        <v>40</v>
      </c>
      <c r="H285" s="104" t="e">
        <f>E285*F285</f>
        <v>#DIV/0!</v>
      </c>
    </row>
    <row r="286" spans="1:8" x14ac:dyDescent="0.25">
      <c r="A286" s="90" t="s">
        <v>305</v>
      </c>
      <c r="B286" s="216" t="s">
        <v>47</v>
      </c>
      <c r="C286" s="279"/>
      <c r="D286" s="98" t="s">
        <v>48</v>
      </c>
      <c r="E286" s="99">
        <v>16</v>
      </c>
      <c r="F286" s="100" t="e">
        <f>'ZMP Rate Build Up'!K136</f>
        <v>#DIV/0!</v>
      </c>
      <c r="G286" s="101" t="s">
        <v>40</v>
      </c>
      <c r="H286" s="104" t="e">
        <f t="shared" ref="H286:H290" si="49">E286*F286</f>
        <v>#DIV/0!</v>
      </c>
    </row>
    <row r="287" spans="1:8" x14ac:dyDescent="0.25">
      <c r="A287" s="90" t="s">
        <v>306</v>
      </c>
      <c r="B287" s="216" t="s">
        <v>51</v>
      </c>
      <c r="C287" s="279"/>
      <c r="D287" s="98" t="s">
        <v>48</v>
      </c>
      <c r="E287" s="99">
        <v>16</v>
      </c>
      <c r="F287" s="100" t="e">
        <f>'ZMP Rate Build Up'!H136</f>
        <v>#DIV/0!</v>
      </c>
      <c r="G287" s="101" t="s">
        <v>40</v>
      </c>
      <c r="H287" s="104" t="e">
        <f t="shared" ref="H287" si="50">E287*F287</f>
        <v>#DIV/0!</v>
      </c>
    </row>
    <row r="288" spans="1:8" x14ac:dyDescent="0.25">
      <c r="A288" s="90" t="s">
        <v>307</v>
      </c>
      <c r="B288" s="216" t="s">
        <v>54</v>
      </c>
      <c r="C288" s="279"/>
      <c r="D288" s="98" t="s">
        <v>44</v>
      </c>
      <c r="E288" s="99">
        <v>80</v>
      </c>
      <c r="F288" s="100" t="e">
        <f>'ZMP Rate Build Up'!H136</f>
        <v>#DIV/0!</v>
      </c>
      <c r="G288" s="101" t="s">
        <v>40</v>
      </c>
      <c r="H288" s="104" t="e">
        <f t="shared" si="49"/>
        <v>#DIV/0!</v>
      </c>
    </row>
    <row r="289" spans="1:8" x14ac:dyDescent="0.25">
      <c r="A289" s="90" t="s">
        <v>308</v>
      </c>
      <c r="B289" s="216" t="s">
        <v>56</v>
      </c>
      <c r="C289" s="279"/>
      <c r="D289" s="99" t="s">
        <v>44</v>
      </c>
      <c r="E289" s="99">
        <v>48</v>
      </c>
      <c r="F289" s="100" t="e">
        <f>'ZMP Rate Build Up'!H136</f>
        <v>#DIV/0!</v>
      </c>
      <c r="G289" s="101" t="s">
        <v>40</v>
      </c>
      <c r="H289" s="104" t="e">
        <f t="shared" si="49"/>
        <v>#DIV/0!</v>
      </c>
    </row>
    <row r="290" spans="1:8" x14ac:dyDescent="0.25">
      <c r="A290" s="90" t="s">
        <v>309</v>
      </c>
      <c r="B290" s="216" t="s">
        <v>58</v>
      </c>
      <c r="C290" s="279"/>
      <c r="D290" s="99" t="s">
        <v>44</v>
      </c>
      <c r="E290" s="99">
        <v>1040</v>
      </c>
      <c r="F290" s="100" t="e">
        <f>'ZMP Rate Build Up'!H136</f>
        <v>#DIV/0!</v>
      </c>
      <c r="G290" s="101" t="s">
        <v>40</v>
      </c>
      <c r="H290" s="104" t="e">
        <f t="shared" si="49"/>
        <v>#DIV/0!</v>
      </c>
    </row>
    <row r="291" spans="1:8" ht="16.5" thickBot="1" x14ac:dyDescent="0.3">
      <c r="A291" s="106"/>
      <c r="B291" s="113" t="s">
        <v>59</v>
      </c>
      <c r="C291" s="280"/>
      <c r="D291" s="108"/>
      <c r="E291" s="109"/>
      <c r="F291" s="108"/>
      <c r="G291" s="108"/>
      <c r="H291" s="110" t="e">
        <f>SUM(H284:H290)</f>
        <v>#DIV/0!</v>
      </c>
    </row>
    <row r="292" spans="1:8" ht="16.5" thickTop="1" x14ac:dyDescent="0.25">
      <c r="A292" s="90" t="s">
        <v>310</v>
      </c>
      <c r="B292" s="216" t="s">
        <v>37</v>
      </c>
      <c r="C292" s="279" t="s">
        <v>181</v>
      </c>
      <c r="D292" s="98" t="s">
        <v>39</v>
      </c>
      <c r="E292" s="99">
        <v>12</v>
      </c>
      <c r="F292" s="101" t="s">
        <v>40</v>
      </c>
      <c r="G292" s="100" t="e">
        <f>'ZOB Rate Build Up'!H135</f>
        <v>#DIV/0!</v>
      </c>
      <c r="H292" s="104" t="e">
        <f>E292*G292</f>
        <v>#DIV/0!</v>
      </c>
    </row>
    <row r="293" spans="1:8" x14ac:dyDescent="0.25">
      <c r="A293" s="90" t="s">
        <v>311</v>
      </c>
      <c r="B293" s="216" t="s">
        <v>43</v>
      </c>
      <c r="C293" s="279"/>
      <c r="D293" s="98" t="s">
        <v>44</v>
      </c>
      <c r="E293" s="99">
        <v>80</v>
      </c>
      <c r="F293" s="100" t="e">
        <f>'ZOB Rate Build Up'!H136</f>
        <v>#DIV/0!</v>
      </c>
      <c r="G293" s="101" t="s">
        <v>40</v>
      </c>
      <c r="H293" s="104" t="e">
        <f>E293*F293</f>
        <v>#DIV/0!</v>
      </c>
    </row>
    <row r="294" spans="1:8" x14ac:dyDescent="0.25">
      <c r="A294" s="90" t="s">
        <v>312</v>
      </c>
      <c r="B294" s="216" t="s">
        <v>47</v>
      </c>
      <c r="C294" s="279"/>
      <c r="D294" s="98" t="s">
        <v>48</v>
      </c>
      <c r="E294" s="99">
        <v>16</v>
      </c>
      <c r="F294" s="100" t="e">
        <f>'ZOB Rate Build Up'!K136</f>
        <v>#DIV/0!</v>
      </c>
      <c r="G294" s="101" t="s">
        <v>40</v>
      </c>
      <c r="H294" s="104" t="e">
        <f t="shared" ref="H294:H298" si="51">E294*F294</f>
        <v>#DIV/0!</v>
      </c>
    </row>
    <row r="295" spans="1:8" x14ac:dyDescent="0.25">
      <c r="A295" s="90" t="s">
        <v>313</v>
      </c>
      <c r="B295" s="216" t="s">
        <v>51</v>
      </c>
      <c r="C295" s="279"/>
      <c r="D295" s="98" t="s">
        <v>48</v>
      </c>
      <c r="E295" s="99">
        <v>16</v>
      </c>
      <c r="F295" s="100" t="e">
        <f>'ZOB Rate Build Up'!H136</f>
        <v>#DIV/0!</v>
      </c>
      <c r="G295" s="101" t="s">
        <v>40</v>
      </c>
      <c r="H295" s="104" t="e">
        <f t="shared" ref="H295" si="52">E295*F295</f>
        <v>#DIV/0!</v>
      </c>
    </row>
    <row r="296" spans="1:8" x14ac:dyDescent="0.25">
      <c r="A296" s="90" t="s">
        <v>314</v>
      </c>
      <c r="B296" s="216" t="s">
        <v>54</v>
      </c>
      <c r="C296" s="279"/>
      <c r="D296" s="98" t="s">
        <v>44</v>
      </c>
      <c r="E296" s="99">
        <v>80</v>
      </c>
      <c r="F296" s="100" t="e">
        <f>'ZOB Rate Build Up'!H136</f>
        <v>#DIV/0!</v>
      </c>
      <c r="G296" s="101" t="s">
        <v>40</v>
      </c>
      <c r="H296" s="104" t="e">
        <f t="shared" si="51"/>
        <v>#DIV/0!</v>
      </c>
    </row>
    <row r="297" spans="1:8" x14ac:dyDescent="0.25">
      <c r="A297" s="90" t="s">
        <v>315</v>
      </c>
      <c r="B297" s="216" t="s">
        <v>56</v>
      </c>
      <c r="C297" s="279"/>
      <c r="D297" s="99" t="s">
        <v>44</v>
      </c>
      <c r="E297" s="99">
        <v>48</v>
      </c>
      <c r="F297" s="100" t="e">
        <f>'ZOB Rate Build Up'!H136</f>
        <v>#DIV/0!</v>
      </c>
      <c r="G297" s="101" t="s">
        <v>40</v>
      </c>
      <c r="H297" s="104" t="e">
        <f t="shared" si="51"/>
        <v>#DIV/0!</v>
      </c>
    </row>
    <row r="298" spans="1:8" x14ac:dyDescent="0.25">
      <c r="A298" s="90" t="s">
        <v>316</v>
      </c>
      <c r="B298" s="216" t="s">
        <v>58</v>
      </c>
      <c r="C298" s="279"/>
      <c r="D298" s="99" t="s">
        <v>44</v>
      </c>
      <c r="E298" s="99">
        <v>1040</v>
      </c>
      <c r="F298" s="100" t="e">
        <f>'ZOB Rate Build Up'!H136</f>
        <v>#DIV/0!</v>
      </c>
      <c r="G298" s="101" t="s">
        <v>40</v>
      </c>
      <c r="H298" s="104" t="e">
        <f t="shared" si="51"/>
        <v>#DIV/0!</v>
      </c>
    </row>
    <row r="299" spans="1:8" ht="16.5" thickBot="1" x14ac:dyDescent="0.3">
      <c r="A299" s="106"/>
      <c r="B299" s="107" t="s">
        <v>59</v>
      </c>
      <c r="C299" s="280"/>
      <c r="D299" s="108"/>
      <c r="E299" s="109"/>
      <c r="F299" s="108"/>
      <c r="G299" s="108"/>
      <c r="H299" s="110" t="e">
        <f>SUM(H292:H298)</f>
        <v>#DIV/0!</v>
      </c>
    </row>
    <row r="300" spans="1:8" ht="17.25" thickTop="1" thickBot="1" x14ac:dyDescent="0.3"/>
    <row r="301" spans="1:8" ht="48" thickBot="1" x14ac:dyDescent="0.3">
      <c r="A301" s="220" t="s">
        <v>27</v>
      </c>
      <c r="B301" s="221" t="s">
        <v>28</v>
      </c>
      <c r="C301" s="222" t="s">
        <v>29</v>
      </c>
      <c r="D301" s="222" t="s">
        <v>30</v>
      </c>
      <c r="E301" s="88" t="s">
        <v>31</v>
      </c>
      <c r="F301" s="222" t="s">
        <v>32</v>
      </c>
      <c r="G301" s="222" t="s">
        <v>33</v>
      </c>
      <c r="H301" s="223" t="s">
        <v>34</v>
      </c>
    </row>
    <row r="302" spans="1:8" ht="16.5" thickBot="1" x14ac:dyDescent="0.3">
      <c r="A302" s="246" t="s">
        <v>317</v>
      </c>
      <c r="B302" s="247" t="s">
        <v>37</v>
      </c>
      <c r="C302" s="286" t="s">
        <v>318</v>
      </c>
      <c r="D302" s="248" t="s">
        <v>39</v>
      </c>
      <c r="E302" s="248" t="s">
        <v>40</v>
      </c>
      <c r="F302" s="248" t="s">
        <v>40</v>
      </c>
      <c r="G302" s="249" t="e">
        <f>H302/12</f>
        <v>#DIV/0!</v>
      </c>
      <c r="H302" s="250" t="e">
        <f t="shared" ref="H302:H308" si="53">H158+H166+H174+H182+H190+H198+H209+H217+H225+H233+H241+H249+H257+H268+H276+H284+H292</f>
        <v>#DIV/0!</v>
      </c>
    </row>
    <row r="303" spans="1:8" ht="16.5" thickBot="1" x14ac:dyDescent="0.3">
      <c r="A303" s="251" t="s">
        <v>319</v>
      </c>
      <c r="B303" s="225" t="s">
        <v>43</v>
      </c>
      <c r="C303" s="281"/>
      <c r="D303" s="226" t="s">
        <v>44</v>
      </c>
      <c r="E303" s="226" t="s">
        <v>40</v>
      </c>
      <c r="F303" s="226" t="s">
        <v>40</v>
      </c>
      <c r="G303" s="226" t="s">
        <v>40</v>
      </c>
      <c r="H303" s="250" t="e">
        <f t="shared" si="53"/>
        <v>#DIV/0!</v>
      </c>
    </row>
    <row r="304" spans="1:8" ht="16.5" thickBot="1" x14ac:dyDescent="0.3">
      <c r="A304" s="251" t="s">
        <v>320</v>
      </c>
      <c r="B304" s="225" t="s">
        <v>47</v>
      </c>
      <c r="C304" s="281"/>
      <c r="D304" s="226" t="s">
        <v>48</v>
      </c>
      <c r="E304" s="226" t="s">
        <v>40</v>
      </c>
      <c r="F304" s="226" t="s">
        <v>40</v>
      </c>
      <c r="G304" s="226" t="s">
        <v>40</v>
      </c>
      <c r="H304" s="250" t="e">
        <f t="shared" si="53"/>
        <v>#DIV/0!</v>
      </c>
    </row>
    <row r="305" spans="1:8" ht="16.5" thickBot="1" x14ac:dyDescent="0.3">
      <c r="A305" s="251" t="s">
        <v>321</v>
      </c>
      <c r="B305" s="225" t="s">
        <v>51</v>
      </c>
      <c r="C305" s="281"/>
      <c r="D305" s="226" t="s">
        <v>48</v>
      </c>
      <c r="E305" s="226" t="s">
        <v>40</v>
      </c>
      <c r="F305" s="226" t="s">
        <v>40</v>
      </c>
      <c r="G305" s="226" t="s">
        <v>40</v>
      </c>
      <c r="H305" s="250" t="e">
        <f t="shared" si="53"/>
        <v>#DIV/0!</v>
      </c>
    </row>
    <row r="306" spans="1:8" ht="16.5" thickBot="1" x14ac:dyDescent="0.3">
      <c r="A306" s="251" t="s">
        <v>322</v>
      </c>
      <c r="B306" s="225" t="s">
        <v>54</v>
      </c>
      <c r="C306" s="281"/>
      <c r="D306" s="226" t="s">
        <v>44</v>
      </c>
      <c r="E306" s="226" t="s">
        <v>40</v>
      </c>
      <c r="F306" s="226" t="s">
        <v>40</v>
      </c>
      <c r="G306" s="226" t="s">
        <v>40</v>
      </c>
      <c r="H306" s="250" t="e">
        <f t="shared" si="53"/>
        <v>#DIV/0!</v>
      </c>
    </row>
    <row r="307" spans="1:8" ht="16.5" thickBot="1" x14ac:dyDescent="0.3">
      <c r="A307" s="251" t="s">
        <v>323</v>
      </c>
      <c r="B307" s="225" t="s">
        <v>56</v>
      </c>
      <c r="C307" s="281"/>
      <c r="D307" s="229" t="s">
        <v>44</v>
      </c>
      <c r="E307" s="226" t="s">
        <v>40</v>
      </c>
      <c r="F307" s="226" t="s">
        <v>40</v>
      </c>
      <c r="G307" s="226" t="s">
        <v>40</v>
      </c>
      <c r="H307" s="250" t="e">
        <f t="shared" si="53"/>
        <v>#DIV/0!</v>
      </c>
    </row>
    <row r="308" spans="1:8" ht="16.5" thickBot="1" x14ac:dyDescent="0.3">
      <c r="A308" s="251" t="s">
        <v>324</v>
      </c>
      <c r="B308" s="225" t="s">
        <v>58</v>
      </c>
      <c r="C308" s="281"/>
      <c r="D308" s="229" t="s">
        <v>44</v>
      </c>
      <c r="E308" s="226"/>
      <c r="F308" s="226"/>
      <c r="G308" s="226" t="s">
        <v>40</v>
      </c>
      <c r="H308" s="250" t="e">
        <f t="shared" si="53"/>
        <v>#DIV/0!</v>
      </c>
    </row>
    <row r="309" spans="1:8" ht="16.5" thickBot="1" x14ac:dyDescent="0.3">
      <c r="A309" s="232" t="s">
        <v>325</v>
      </c>
      <c r="B309" s="233" t="s">
        <v>59</v>
      </c>
      <c r="C309" s="282"/>
      <c r="D309" s="252"/>
      <c r="E309" s="252"/>
      <c r="F309" s="252"/>
      <c r="G309" s="235"/>
      <c r="H309" s="253" t="e">
        <f>SUM(H302:H308)</f>
        <v>#DIV/0!</v>
      </c>
    </row>
    <row r="310" spans="1:8" x14ac:dyDescent="0.25">
      <c r="C310" s="243"/>
      <c r="H310" s="83"/>
    </row>
    <row r="311" spans="1:8" ht="16.5" thickBot="1" x14ac:dyDescent="0.3">
      <c r="A311" s="242" t="s">
        <v>840</v>
      </c>
      <c r="B311" s="80"/>
      <c r="C311" s="243"/>
      <c r="H311" s="244" t="s">
        <v>326</v>
      </c>
    </row>
    <row r="312" spans="1:8" ht="48" thickBot="1" x14ac:dyDescent="0.3">
      <c r="A312" s="84" t="s">
        <v>27</v>
      </c>
      <c r="B312" s="85" t="s">
        <v>28</v>
      </c>
      <c r="C312" s="86" t="s">
        <v>29</v>
      </c>
      <c r="D312" s="87" t="s">
        <v>30</v>
      </c>
      <c r="E312" s="88" t="s">
        <v>31</v>
      </c>
      <c r="F312" s="87" t="s">
        <v>32</v>
      </c>
      <c r="G312" s="87" t="s">
        <v>33</v>
      </c>
      <c r="H312" s="89" t="s">
        <v>34</v>
      </c>
    </row>
    <row r="313" spans="1:8" x14ac:dyDescent="0.25">
      <c r="A313" s="90" t="s">
        <v>327</v>
      </c>
      <c r="B313" s="91" t="s">
        <v>37</v>
      </c>
      <c r="C313" s="279" t="s">
        <v>38</v>
      </c>
      <c r="D313" s="92" t="s">
        <v>39</v>
      </c>
      <c r="E313" s="93">
        <v>12</v>
      </c>
      <c r="F313" s="94" t="s">
        <v>40</v>
      </c>
      <c r="G313" s="95" t="e">
        <f>'C90 Rate Build Up'!H203</f>
        <v>#DIV/0!</v>
      </c>
      <c r="H313" s="118" t="e">
        <f>E313*G313</f>
        <v>#DIV/0!</v>
      </c>
    </row>
    <row r="314" spans="1:8" x14ac:dyDescent="0.25">
      <c r="A314" s="90" t="s">
        <v>328</v>
      </c>
      <c r="B314" s="97" t="s">
        <v>43</v>
      </c>
      <c r="C314" s="279"/>
      <c r="D314" s="98" t="s">
        <v>44</v>
      </c>
      <c r="E314" s="99">
        <v>80</v>
      </c>
      <c r="F314" s="100" t="e">
        <f>'C90 Rate Build Up'!$H$204</f>
        <v>#DIV/0!</v>
      </c>
      <c r="G314" s="101" t="s">
        <v>40</v>
      </c>
      <c r="H314" s="104" t="e">
        <f>E314*F314</f>
        <v>#DIV/0!</v>
      </c>
    </row>
    <row r="315" spans="1:8" x14ac:dyDescent="0.25">
      <c r="A315" s="90" t="s">
        <v>329</v>
      </c>
      <c r="B315" s="97" t="s">
        <v>47</v>
      </c>
      <c r="C315" s="279"/>
      <c r="D315" s="98" t="s">
        <v>48</v>
      </c>
      <c r="E315" s="99">
        <v>16</v>
      </c>
      <c r="F315" s="100" t="e">
        <f>'C90 Rate Build Up'!$K$204</f>
        <v>#DIV/0!</v>
      </c>
      <c r="G315" s="101" t="s">
        <v>40</v>
      </c>
      <c r="H315" s="104" t="e">
        <f t="shared" ref="H315:H319" si="54">E315*F315</f>
        <v>#DIV/0!</v>
      </c>
    </row>
    <row r="316" spans="1:8" x14ac:dyDescent="0.25">
      <c r="A316" s="90" t="s">
        <v>330</v>
      </c>
      <c r="B316" s="216" t="s">
        <v>51</v>
      </c>
      <c r="C316" s="279"/>
      <c r="D316" s="98" t="s">
        <v>48</v>
      </c>
      <c r="E316" s="99">
        <v>16</v>
      </c>
      <c r="F316" s="100" t="e">
        <f>'C90 Rate Build Up'!$H$204</f>
        <v>#DIV/0!</v>
      </c>
      <c r="G316" s="101" t="s">
        <v>40</v>
      </c>
      <c r="H316" s="104" t="e">
        <f t="shared" ref="H316" si="55">E316*F316</f>
        <v>#DIV/0!</v>
      </c>
    </row>
    <row r="317" spans="1:8" x14ac:dyDescent="0.25">
      <c r="A317" s="90" t="s">
        <v>331</v>
      </c>
      <c r="B317" s="97" t="s">
        <v>54</v>
      </c>
      <c r="C317" s="279"/>
      <c r="D317" s="98" t="s">
        <v>44</v>
      </c>
      <c r="E317" s="99">
        <v>80</v>
      </c>
      <c r="F317" s="100" t="e">
        <f>'C90 Rate Build Up'!$H$204</f>
        <v>#DIV/0!</v>
      </c>
      <c r="G317" s="101" t="s">
        <v>40</v>
      </c>
      <c r="H317" s="104" t="e">
        <f t="shared" si="54"/>
        <v>#DIV/0!</v>
      </c>
    </row>
    <row r="318" spans="1:8" x14ac:dyDescent="0.25">
      <c r="A318" s="90" t="s">
        <v>332</v>
      </c>
      <c r="B318" s="97" t="s">
        <v>56</v>
      </c>
      <c r="C318" s="279"/>
      <c r="D318" s="99" t="s">
        <v>44</v>
      </c>
      <c r="E318" s="99">
        <v>48</v>
      </c>
      <c r="F318" s="100" t="e">
        <f>'C90 Rate Build Up'!$H$204</f>
        <v>#DIV/0!</v>
      </c>
      <c r="G318" s="101" t="s">
        <v>40</v>
      </c>
      <c r="H318" s="104" t="e">
        <f t="shared" si="54"/>
        <v>#DIV/0!</v>
      </c>
    </row>
    <row r="319" spans="1:8" x14ac:dyDescent="0.25">
      <c r="A319" s="90" t="s">
        <v>333</v>
      </c>
      <c r="B319" s="105" t="s">
        <v>58</v>
      </c>
      <c r="C319" s="279"/>
      <c r="D319" s="99" t="s">
        <v>44</v>
      </c>
      <c r="E319" s="99">
        <v>1040</v>
      </c>
      <c r="F319" s="100" t="e">
        <f>'C90 Rate Build Up'!$H$204</f>
        <v>#DIV/0!</v>
      </c>
      <c r="G319" s="101" t="s">
        <v>40</v>
      </c>
      <c r="H319" s="104" t="e">
        <f t="shared" si="54"/>
        <v>#DIV/0!</v>
      </c>
    </row>
    <row r="320" spans="1:8" ht="16.5" thickBot="1" x14ac:dyDescent="0.3">
      <c r="A320" s="106"/>
      <c r="B320" s="113" t="s">
        <v>59</v>
      </c>
      <c r="C320" s="283"/>
      <c r="D320" s="108"/>
      <c r="E320" s="109"/>
      <c r="F320" s="108"/>
      <c r="G320" s="108"/>
      <c r="H320" s="110" t="e">
        <f>SUM(H313:H319)</f>
        <v>#DIV/0!</v>
      </c>
    </row>
    <row r="321" spans="1:8" ht="16.5" thickTop="1" x14ac:dyDescent="0.25">
      <c r="A321" s="90" t="s">
        <v>334</v>
      </c>
      <c r="B321" s="216" t="s">
        <v>37</v>
      </c>
      <c r="C321" s="279" t="s">
        <v>61</v>
      </c>
      <c r="D321" s="98" t="s">
        <v>39</v>
      </c>
      <c r="E321" s="99">
        <v>12</v>
      </c>
      <c r="F321" s="101" t="s">
        <v>40</v>
      </c>
      <c r="G321" s="100" t="e">
        <f>'D10 Rate Build Up'!H203</f>
        <v>#DIV/0!</v>
      </c>
      <c r="H321" s="104" t="e">
        <f>E321*G321</f>
        <v>#DIV/0!</v>
      </c>
    </row>
    <row r="322" spans="1:8" x14ac:dyDescent="0.25">
      <c r="A322" s="90" t="s">
        <v>335</v>
      </c>
      <c r="B322" s="216" t="s">
        <v>43</v>
      </c>
      <c r="C322" s="279"/>
      <c r="D322" s="98" t="s">
        <v>44</v>
      </c>
      <c r="E322" s="99">
        <v>80</v>
      </c>
      <c r="F322" s="100" t="e">
        <f>'D10 Rate Build Up'!H204</f>
        <v>#DIV/0!</v>
      </c>
      <c r="G322" s="101" t="s">
        <v>40</v>
      </c>
      <c r="H322" s="104" t="e">
        <f>E322*F322</f>
        <v>#DIV/0!</v>
      </c>
    </row>
    <row r="323" spans="1:8" x14ac:dyDescent="0.25">
      <c r="A323" s="90" t="s">
        <v>336</v>
      </c>
      <c r="B323" s="216" t="s">
        <v>47</v>
      </c>
      <c r="C323" s="279"/>
      <c r="D323" s="98" t="s">
        <v>48</v>
      </c>
      <c r="E323" s="99">
        <v>16</v>
      </c>
      <c r="F323" s="100" t="e">
        <f>'D10 Rate Build Up'!K204</f>
        <v>#DIV/0!</v>
      </c>
      <c r="G323" s="101" t="s">
        <v>40</v>
      </c>
      <c r="H323" s="104" t="e">
        <f t="shared" ref="H323:H327" si="56">E323*F323</f>
        <v>#DIV/0!</v>
      </c>
    </row>
    <row r="324" spans="1:8" x14ac:dyDescent="0.25">
      <c r="A324" s="90" t="s">
        <v>337</v>
      </c>
      <c r="B324" s="216" t="s">
        <v>51</v>
      </c>
      <c r="C324" s="279"/>
      <c r="D324" s="98" t="s">
        <v>48</v>
      </c>
      <c r="E324" s="99">
        <v>16</v>
      </c>
      <c r="F324" s="100" t="e">
        <f>'D10 Rate Build Up'!H204</f>
        <v>#DIV/0!</v>
      </c>
      <c r="G324" s="101" t="s">
        <v>40</v>
      </c>
      <c r="H324" s="104" t="e">
        <f t="shared" ref="H324" si="57">E324*F324</f>
        <v>#DIV/0!</v>
      </c>
    </row>
    <row r="325" spans="1:8" x14ac:dyDescent="0.25">
      <c r="A325" s="90" t="s">
        <v>338</v>
      </c>
      <c r="B325" s="216" t="s">
        <v>54</v>
      </c>
      <c r="C325" s="279"/>
      <c r="D325" s="98" t="s">
        <v>44</v>
      </c>
      <c r="E325" s="99">
        <v>80</v>
      </c>
      <c r="F325" s="100" t="e">
        <f>'D10 Rate Build Up'!H204</f>
        <v>#DIV/0!</v>
      </c>
      <c r="G325" s="101" t="s">
        <v>40</v>
      </c>
      <c r="H325" s="104" t="e">
        <f t="shared" si="56"/>
        <v>#DIV/0!</v>
      </c>
    </row>
    <row r="326" spans="1:8" x14ac:dyDescent="0.25">
      <c r="A326" s="90" t="s">
        <v>339</v>
      </c>
      <c r="B326" s="216" t="s">
        <v>56</v>
      </c>
      <c r="C326" s="279"/>
      <c r="D326" s="99" t="s">
        <v>44</v>
      </c>
      <c r="E326" s="99">
        <v>48</v>
      </c>
      <c r="F326" s="100" t="e">
        <f>'D10 Rate Build Up'!H204</f>
        <v>#DIV/0!</v>
      </c>
      <c r="G326" s="101" t="s">
        <v>40</v>
      </c>
      <c r="H326" s="104" t="e">
        <f t="shared" si="56"/>
        <v>#DIV/0!</v>
      </c>
    </row>
    <row r="327" spans="1:8" x14ac:dyDescent="0.25">
      <c r="A327" s="90" t="s">
        <v>340</v>
      </c>
      <c r="B327" s="216" t="s">
        <v>58</v>
      </c>
      <c r="C327" s="279"/>
      <c r="D327" s="99" t="s">
        <v>44</v>
      </c>
      <c r="E327" s="99">
        <v>1040</v>
      </c>
      <c r="F327" s="100" t="e">
        <f>'D10 Rate Build Up'!H204</f>
        <v>#DIV/0!</v>
      </c>
      <c r="G327" s="101" t="s">
        <v>40</v>
      </c>
      <c r="H327" s="104" t="e">
        <f t="shared" si="56"/>
        <v>#DIV/0!</v>
      </c>
    </row>
    <row r="328" spans="1:8" ht="16.5" thickBot="1" x14ac:dyDescent="0.3">
      <c r="A328" s="106"/>
      <c r="B328" s="113" t="s">
        <v>59</v>
      </c>
      <c r="C328" s="280"/>
      <c r="D328" s="108"/>
      <c r="E328" s="109"/>
      <c r="F328" s="108"/>
      <c r="G328" s="108"/>
      <c r="H328" s="110" t="e">
        <f>SUM(H321:H327)</f>
        <v>#DIV/0!</v>
      </c>
    </row>
    <row r="329" spans="1:8" ht="16.5" thickTop="1" x14ac:dyDescent="0.25">
      <c r="A329" s="90" t="s">
        <v>341</v>
      </c>
      <c r="B329" s="216" t="s">
        <v>37</v>
      </c>
      <c r="C329" s="279" t="s">
        <v>69</v>
      </c>
      <c r="D329" s="98" t="s">
        <v>39</v>
      </c>
      <c r="E329" s="99">
        <v>12</v>
      </c>
      <c r="F329" s="101" t="s">
        <v>40</v>
      </c>
      <c r="G329" s="100" t="e">
        <f>'DFW ATCT-E Rate Build Up'!H203</f>
        <v>#DIV/0!</v>
      </c>
      <c r="H329" s="104" t="e">
        <f>E329*G329</f>
        <v>#DIV/0!</v>
      </c>
    </row>
    <row r="330" spans="1:8" x14ac:dyDescent="0.25">
      <c r="A330" s="90" t="s">
        <v>342</v>
      </c>
      <c r="B330" s="216" t="s">
        <v>43</v>
      </c>
      <c r="C330" s="279"/>
      <c r="D330" s="98" t="s">
        <v>44</v>
      </c>
      <c r="E330" s="99">
        <v>80</v>
      </c>
      <c r="F330" s="100" t="e">
        <f>'DFW ATCT-E Rate Build Up'!H204</f>
        <v>#DIV/0!</v>
      </c>
      <c r="G330" s="101" t="s">
        <v>40</v>
      </c>
      <c r="H330" s="104" t="e">
        <f>E330*F330</f>
        <v>#DIV/0!</v>
      </c>
    </row>
    <row r="331" spans="1:8" x14ac:dyDescent="0.25">
      <c r="A331" s="90" t="s">
        <v>343</v>
      </c>
      <c r="B331" s="216" t="s">
        <v>47</v>
      </c>
      <c r="C331" s="279"/>
      <c r="D331" s="98" t="s">
        <v>48</v>
      </c>
      <c r="E331" s="99">
        <v>16</v>
      </c>
      <c r="F331" s="100" t="e">
        <f>'DFW ATCT-E Rate Build Up'!K204</f>
        <v>#DIV/0!</v>
      </c>
      <c r="G331" s="101" t="s">
        <v>40</v>
      </c>
      <c r="H331" s="104" t="e">
        <f t="shared" ref="H331:H335" si="58">E331*F331</f>
        <v>#DIV/0!</v>
      </c>
    </row>
    <row r="332" spans="1:8" x14ac:dyDescent="0.25">
      <c r="A332" s="90" t="s">
        <v>344</v>
      </c>
      <c r="B332" s="216" t="s">
        <v>51</v>
      </c>
      <c r="C332" s="279"/>
      <c r="D332" s="98" t="s">
        <v>48</v>
      </c>
      <c r="E332" s="99">
        <v>16</v>
      </c>
      <c r="F332" s="100" t="e">
        <f>'DFW ATCT-E Rate Build Up'!H204</f>
        <v>#DIV/0!</v>
      </c>
      <c r="G332" s="101" t="s">
        <v>40</v>
      </c>
      <c r="H332" s="104" t="e">
        <f t="shared" ref="H332" si="59">E332*F332</f>
        <v>#DIV/0!</v>
      </c>
    </row>
    <row r="333" spans="1:8" x14ac:dyDescent="0.25">
      <c r="A333" s="90" t="s">
        <v>345</v>
      </c>
      <c r="B333" s="216" t="s">
        <v>54</v>
      </c>
      <c r="C333" s="279"/>
      <c r="D333" s="98" t="s">
        <v>44</v>
      </c>
      <c r="E333" s="99">
        <v>80</v>
      </c>
      <c r="F333" s="100" t="e">
        <f>'DFW ATCT-E Rate Build Up'!H204</f>
        <v>#DIV/0!</v>
      </c>
      <c r="G333" s="101" t="s">
        <v>40</v>
      </c>
      <c r="H333" s="104" t="e">
        <f t="shared" si="58"/>
        <v>#DIV/0!</v>
      </c>
    </row>
    <row r="334" spans="1:8" x14ac:dyDescent="0.25">
      <c r="A334" s="90" t="s">
        <v>346</v>
      </c>
      <c r="B334" s="216" t="s">
        <v>56</v>
      </c>
      <c r="C334" s="279"/>
      <c r="D334" s="99" t="s">
        <v>44</v>
      </c>
      <c r="E334" s="99">
        <v>48</v>
      </c>
      <c r="F334" s="100" t="e">
        <f>'DFW ATCT-E Rate Build Up'!H204</f>
        <v>#DIV/0!</v>
      </c>
      <c r="G334" s="101" t="s">
        <v>40</v>
      </c>
      <c r="H334" s="104" t="e">
        <f t="shared" si="58"/>
        <v>#DIV/0!</v>
      </c>
    </row>
    <row r="335" spans="1:8" x14ac:dyDescent="0.25">
      <c r="A335" s="90" t="s">
        <v>347</v>
      </c>
      <c r="B335" s="216" t="s">
        <v>58</v>
      </c>
      <c r="C335" s="279"/>
      <c r="D335" s="99" t="s">
        <v>44</v>
      </c>
      <c r="E335" s="99">
        <v>1040</v>
      </c>
      <c r="F335" s="100" t="e">
        <f>'DFW ATCT-E Rate Build Up'!H204</f>
        <v>#DIV/0!</v>
      </c>
      <c r="G335" s="101" t="s">
        <v>40</v>
      </c>
      <c r="H335" s="104" t="e">
        <f t="shared" si="58"/>
        <v>#DIV/0!</v>
      </c>
    </row>
    <row r="336" spans="1:8" ht="16.5" thickBot="1" x14ac:dyDescent="0.3">
      <c r="A336" s="106"/>
      <c r="B336" s="113" t="s">
        <v>59</v>
      </c>
      <c r="C336" s="280"/>
      <c r="D336" s="108"/>
      <c r="E336" s="109"/>
      <c r="F336" s="108"/>
      <c r="G336" s="108"/>
      <c r="H336" s="110" t="e">
        <f>SUM(H329:H335)</f>
        <v>#DIV/0!</v>
      </c>
    </row>
    <row r="337" spans="1:8" ht="16.5" thickTop="1" x14ac:dyDescent="0.25">
      <c r="A337" s="90" t="s">
        <v>348</v>
      </c>
      <c r="B337" s="216" t="s">
        <v>37</v>
      </c>
      <c r="C337" s="279" t="s">
        <v>77</v>
      </c>
      <c r="D337" s="98" t="s">
        <v>39</v>
      </c>
      <c r="E337" s="99">
        <v>12</v>
      </c>
      <c r="F337" s="101" t="s">
        <v>40</v>
      </c>
      <c r="G337" s="100" t="e">
        <f>'DFW ATCT-W Rate Build Up'!H203</f>
        <v>#DIV/0!</v>
      </c>
      <c r="H337" s="104" t="e">
        <f>E337*G337</f>
        <v>#DIV/0!</v>
      </c>
    </row>
    <row r="338" spans="1:8" x14ac:dyDescent="0.25">
      <c r="A338" s="90" t="s">
        <v>349</v>
      </c>
      <c r="B338" s="216" t="s">
        <v>43</v>
      </c>
      <c r="C338" s="279"/>
      <c r="D338" s="98" t="s">
        <v>44</v>
      </c>
      <c r="E338" s="99">
        <v>80</v>
      </c>
      <c r="F338" s="100" t="e">
        <f>'DFW ATCT-W Rate Build Up'!H204</f>
        <v>#DIV/0!</v>
      </c>
      <c r="G338" s="101" t="s">
        <v>40</v>
      </c>
      <c r="H338" s="104" t="e">
        <f>E338*F338</f>
        <v>#DIV/0!</v>
      </c>
    </row>
    <row r="339" spans="1:8" x14ac:dyDescent="0.25">
      <c r="A339" s="90" t="s">
        <v>350</v>
      </c>
      <c r="B339" s="216" t="s">
        <v>47</v>
      </c>
      <c r="C339" s="279"/>
      <c r="D339" s="98" t="s">
        <v>48</v>
      </c>
      <c r="E339" s="99">
        <v>16</v>
      </c>
      <c r="F339" s="100" t="e">
        <f>'DFW ATCT-W Rate Build Up'!K204</f>
        <v>#DIV/0!</v>
      </c>
      <c r="G339" s="101" t="s">
        <v>40</v>
      </c>
      <c r="H339" s="104" t="e">
        <f t="shared" ref="H339:H343" si="60">E339*F339</f>
        <v>#DIV/0!</v>
      </c>
    </row>
    <row r="340" spans="1:8" x14ac:dyDescent="0.25">
      <c r="A340" s="90" t="s">
        <v>351</v>
      </c>
      <c r="B340" s="216" t="s">
        <v>51</v>
      </c>
      <c r="C340" s="279"/>
      <c r="D340" s="98" t="s">
        <v>48</v>
      </c>
      <c r="E340" s="99">
        <v>16</v>
      </c>
      <c r="F340" s="100" t="e">
        <f>'DFW ATCT-W Rate Build Up'!H204</f>
        <v>#DIV/0!</v>
      </c>
      <c r="G340" s="101" t="s">
        <v>40</v>
      </c>
      <c r="H340" s="104" t="e">
        <f t="shared" ref="H340" si="61">E340*F340</f>
        <v>#DIV/0!</v>
      </c>
    </row>
    <row r="341" spans="1:8" x14ac:dyDescent="0.25">
      <c r="A341" s="90" t="s">
        <v>352</v>
      </c>
      <c r="B341" s="216" t="s">
        <v>54</v>
      </c>
      <c r="C341" s="279"/>
      <c r="D341" s="98" t="s">
        <v>44</v>
      </c>
      <c r="E341" s="99">
        <v>80</v>
      </c>
      <c r="F341" s="100" t="e">
        <f>'DFW ATCT-W Rate Build Up'!H204</f>
        <v>#DIV/0!</v>
      </c>
      <c r="G341" s="101" t="s">
        <v>40</v>
      </c>
      <c r="H341" s="104" t="e">
        <f t="shared" si="60"/>
        <v>#DIV/0!</v>
      </c>
    </row>
    <row r="342" spans="1:8" x14ac:dyDescent="0.25">
      <c r="A342" s="90" t="s">
        <v>353</v>
      </c>
      <c r="B342" s="216" t="s">
        <v>56</v>
      </c>
      <c r="C342" s="279"/>
      <c r="D342" s="99" t="s">
        <v>44</v>
      </c>
      <c r="E342" s="99">
        <v>48</v>
      </c>
      <c r="F342" s="100" t="e">
        <f>'DFW ATCT-W Rate Build Up'!H204</f>
        <v>#DIV/0!</v>
      </c>
      <c r="G342" s="101" t="s">
        <v>40</v>
      </c>
      <c r="H342" s="104" t="e">
        <f t="shared" si="60"/>
        <v>#DIV/0!</v>
      </c>
    </row>
    <row r="343" spans="1:8" x14ac:dyDescent="0.25">
      <c r="A343" s="90" t="s">
        <v>354</v>
      </c>
      <c r="B343" s="216" t="s">
        <v>58</v>
      </c>
      <c r="C343" s="279"/>
      <c r="D343" s="99" t="s">
        <v>44</v>
      </c>
      <c r="E343" s="99">
        <v>1040</v>
      </c>
      <c r="F343" s="100" t="e">
        <f>'DFW ATCT-W Rate Build Up'!H204</f>
        <v>#DIV/0!</v>
      </c>
      <c r="G343" s="101" t="s">
        <v>40</v>
      </c>
      <c r="H343" s="104" t="e">
        <f t="shared" si="60"/>
        <v>#DIV/0!</v>
      </c>
    </row>
    <row r="344" spans="1:8" ht="16.5" thickBot="1" x14ac:dyDescent="0.3">
      <c r="A344" s="106"/>
      <c r="B344" s="113" t="s">
        <v>59</v>
      </c>
      <c r="C344" s="280"/>
      <c r="D344" s="108"/>
      <c r="E344" s="109"/>
      <c r="F344" s="108"/>
      <c r="G344" s="108"/>
      <c r="H344" s="110" t="e">
        <f>SUM(H337:H343)</f>
        <v>#DIV/0!</v>
      </c>
    </row>
    <row r="345" spans="1:8" ht="16.5" thickTop="1" x14ac:dyDescent="0.25">
      <c r="A345" s="90" t="s">
        <v>355</v>
      </c>
      <c r="B345" s="216" t="s">
        <v>37</v>
      </c>
      <c r="C345" s="279" t="s">
        <v>85</v>
      </c>
      <c r="D345" s="98" t="s">
        <v>39</v>
      </c>
      <c r="E345" s="99">
        <v>12</v>
      </c>
      <c r="F345" s="101" t="s">
        <v>40</v>
      </c>
      <c r="G345" s="100" t="e">
        <f>'DTW Rate Build Up'!H203</f>
        <v>#DIV/0!</v>
      </c>
      <c r="H345" s="104" t="e">
        <f>E345*G345</f>
        <v>#DIV/0!</v>
      </c>
    </row>
    <row r="346" spans="1:8" x14ac:dyDescent="0.25">
      <c r="A346" s="90" t="s">
        <v>356</v>
      </c>
      <c r="B346" s="216" t="s">
        <v>43</v>
      </c>
      <c r="C346" s="279"/>
      <c r="D346" s="98" t="s">
        <v>44</v>
      </c>
      <c r="E346" s="99">
        <v>80</v>
      </c>
      <c r="F346" s="100" t="e">
        <f>'DTW Rate Build Up'!H204</f>
        <v>#DIV/0!</v>
      </c>
      <c r="G346" s="101" t="s">
        <v>40</v>
      </c>
      <c r="H346" s="104" t="e">
        <f>E346*F346</f>
        <v>#DIV/0!</v>
      </c>
    </row>
    <row r="347" spans="1:8" x14ac:dyDescent="0.25">
      <c r="A347" s="90" t="s">
        <v>357</v>
      </c>
      <c r="B347" s="216" t="s">
        <v>47</v>
      </c>
      <c r="C347" s="279"/>
      <c r="D347" s="98" t="s">
        <v>48</v>
      </c>
      <c r="E347" s="99">
        <v>16</v>
      </c>
      <c r="F347" s="100" t="e">
        <f>'DTW Rate Build Up'!K204</f>
        <v>#DIV/0!</v>
      </c>
      <c r="G347" s="101" t="s">
        <v>40</v>
      </c>
      <c r="H347" s="104" t="e">
        <f t="shared" ref="H347:H351" si="62">E347*F347</f>
        <v>#DIV/0!</v>
      </c>
    </row>
    <row r="348" spans="1:8" x14ac:dyDescent="0.25">
      <c r="A348" s="90" t="s">
        <v>358</v>
      </c>
      <c r="B348" s="216" t="s">
        <v>51</v>
      </c>
      <c r="C348" s="279"/>
      <c r="D348" s="98" t="s">
        <v>48</v>
      </c>
      <c r="E348" s="99">
        <v>16</v>
      </c>
      <c r="F348" s="100" t="e">
        <f>'DTW Rate Build Up'!H204</f>
        <v>#DIV/0!</v>
      </c>
      <c r="G348" s="101" t="s">
        <v>40</v>
      </c>
      <c r="H348" s="104" t="e">
        <f t="shared" ref="H348" si="63">E348*F348</f>
        <v>#DIV/0!</v>
      </c>
    </row>
    <row r="349" spans="1:8" x14ac:dyDescent="0.25">
      <c r="A349" s="90" t="s">
        <v>359</v>
      </c>
      <c r="B349" s="216" t="s">
        <v>54</v>
      </c>
      <c r="C349" s="279"/>
      <c r="D349" s="98" t="s">
        <v>44</v>
      </c>
      <c r="E349" s="99">
        <v>80</v>
      </c>
      <c r="F349" s="100" t="e">
        <f>'DTW Rate Build Up'!H204</f>
        <v>#DIV/0!</v>
      </c>
      <c r="G349" s="101" t="s">
        <v>40</v>
      </c>
      <c r="H349" s="104" t="e">
        <f t="shared" si="62"/>
        <v>#DIV/0!</v>
      </c>
    </row>
    <row r="350" spans="1:8" x14ac:dyDescent="0.25">
      <c r="A350" s="90" t="s">
        <v>360</v>
      </c>
      <c r="B350" s="216" t="s">
        <v>56</v>
      </c>
      <c r="C350" s="279"/>
      <c r="D350" s="99" t="s">
        <v>44</v>
      </c>
      <c r="E350" s="99">
        <v>48</v>
      </c>
      <c r="F350" s="100" t="e">
        <f>'DTW Rate Build Up'!H204</f>
        <v>#DIV/0!</v>
      </c>
      <c r="G350" s="101" t="s">
        <v>40</v>
      </c>
      <c r="H350" s="104" t="e">
        <f t="shared" si="62"/>
        <v>#DIV/0!</v>
      </c>
    </row>
    <row r="351" spans="1:8" x14ac:dyDescent="0.25">
      <c r="A351" s="90" t="s">
        <v>361</v>
      </c>
      <c r="B351" s="216" t="s">
        <v>58</v>
      </c>
      <c r="C351" s="279"/>
      <c r="D351" s="99" t="s">
        <v>44</v>
      </c>
      <c r="E351" s="99">
        <v>1040</v>
      </c>
      <c r="F351" s="100" t="e">
        <f>'DTW Rate Build Up'!H204</f>
        <v>#DIV/0!</v>
      </c>
      <c r="G351" s="101" t="s">
        <v>40</v>
      </c>
      <c r="H351" s="104" t="e">
        <f t="shared" si="62"/>
        <v>#DIV/0!</v>
      </c>
    </row>
    <row r="352" spans="1:8" ht="16.5" thickBot="1" x14ac:dyDescent="0.3">
      <c r="A352" s="106"/>
      <c r="B352" s="113" t="s">
        <v>59</v>
      </c>
      <c r="C352" s="280"/>
      <c r="D352" s="108"/>
      <c r="E352" s="109"/>
      <c r="F352" s="108"/>
      <c r="G352" s="108"/>
      <c r="H352" s="110" t="e">
        <f>SUM(H345:H351)</f>
        <v>#DIV/0!</v>
      </c>
    </row>
    <row r="353" spans="1:9" ht="16.5" thickTop="1" x14ac:dyDescent="0.25">
      <c r="A353" s="90" t="s">
        <v>362</v>
      </c>
      <c r="B353" s="216" t="s">
        <v>37</v>
      </c>
      <c r="C353" s="279" t="s">
        <v>93</v>
      </c>
      <c r="D353" s="98" t="s">
        <v>39</v>
      </c>
      <c r="E353" s="99">
        <v>12</v>
      </c>
      <c r="F353" s="101" t="s">
        <v>40</v>
      </c>
      <c r="G353" s="100" t="e">
        <f>'I90 TRACON Rate Build Up'!H203</f>
        <v>#DIV/0!</v>
      </c>
      <c r="H353" s="104" t="e">
        <f>E353*G353</f>
        <v>#DIV/0!</v>
      </c>
    </row>
    <row r="354" spans="1:9" x14ac:dyDescent="0.25">
      <c r="A354" s="90" t="s">
        <v>363</v>
      </c>
      <c r="B354" s="216" t="s">
        <v>43</v>
      </c>
      <c r="C354" s="279"/>
      <c r="D354" s="98" t="s">
        <v>44</v>
      </c>
      <c r="E354" s="99">
        <v>80</v>
      </c>
      <c r="F354" s="100" t="e">
        <f>'I90 TRACON Rate Build Up'!H204</f>
        <v>#DIV/0!</v>
      </c>
      <c r="G354" s="101" t="s">
        <v>40</v>
      </c>
      <c r="H354" s="104" t="e">
        <f>E354*F354</f>
        <v>#DIV/0!</v>
      </c>
    </row>
    <row r="355" spans="1:9" x14ac:dyDescent="0.25">
      <c r="A355" s="90" t="s">
        <v>364</v>
      </c>
      <c r="B355" s="216" t="s">
        <v>47</v>
      </c>
      <c r="C355" s="279"/>
      <c r="D355" s="98" t="s">
        <v>48</v>
      </c>
      <c r="E355" s="99">
        <v>16</v>
      </c>
      <c r="F355" s="100" t="e">
        <f>'I90 TRACON Rate Build Up'!K204</f>
        <v>#DIV/0!</v>
      </c>
      <c r="G355" s="101" t="s">
        <v>40</v>
      </c>
      <c r="H355" s="104" t="e">
        <f t="shared" ref="H355:H359" si="64">E355*F355</f>
        <v>#DIV/0!</v>
      </c>
    </row>
    <row r="356" spans="1:9" x14ac:dyDescent="0.25">
      <c r="A356" s="90" t="s">
        <v>365</v>
      </c>
      <c r="B356" s="216" t="s">
        <v>51</v>
      </c>
      <c r="C356" s="279"/>
      <c r="D356" s="98" t="s">
        <v>48</v>
      </c>
      <c r="E356" s="99">
        <v>16</v>
      </c>
      <c r="F356" s="100" t="e">
        <f>'I90 TRACON Rate Build Up'!H204</f>
        <v>#DIV/0!</v>
      </c>
      <c r="G356" s="101" t="s">
        <v>40</v>
      </c>
      <c r="H356" s="104" t="e">
        <f t="shared" ref="H356" si="65">E356*F356</f>
        <v>#DIV/0!</v>
      </c>
    </row>
    <row r="357" spans="1:9" x14ac:dyDescent="0.25">
      <c r="A357" s="90" t="s">
        <v>366</v>
      </c>
      <c r="B357" s="216" t="s">
        <v>54</v>
      </c>
      <c r="C357" s="279"/>
      <c r="D357" s="98" t="s">
        <v>44</v>
      </c>
      <c r="E357" s="99">
        <v>80</v>
      </c>
      <c r="F357" s="100" t="e">
        <f>'I90 TRACON Rate Build Up'!H204</f>
        <v>#DIV/0!</v>
      </c>
      <c r="G357" s="101" t="s">
        <v>40</v>
      </c>
      <c r="H357" s="104" t="e">
        <f t="shared" si="64"/>
        <v>#DIV/0!</v>
      </c>
    </row>
    <row r="358" spans="1:9" x14ac:dyDescent="0.25">
      <c r="A358" s="90" t="s">
        <v>367</v>
      </c>
      <c r="B358" s="216" t="s">
        <v>56</v>
      </c>
      <c r="C358" s="279"/>
      <c r="D358" s="99" t="s">
        <v>44</v>
      </c>
      <c r="E358" s="99">
        <v>48</v>
      </c>
      <c r="F358" s="100" t="e">
        <f>'I90 TRACON Rate Build Up'!H204</f>
        <v>#DIV/0!</v>
      </c>
      <c r="G358" s="101" t="s">
        <v>40</v>
      </c>
      <c r="H358" s="104" t="e">
        <f t="shared" si="64"/>
        <v>#DIV/0!</v>
      </c>
    </row>
    <row r="359" spans="1:9" x14ac:dyDescent="0.25">
      <c r="A359" s="90" t="s">
        <v>368</v>
      </c>
      <c r="B359" s="216" t="s">
        <v>58</v>
      </c>
      <c r="C359" s="279"/>
      <c r="D359" s="99" t="s">
        <v>44</v>
      </c>
      <c r="E359" s="99">
        <v>1040</v>
      </c>
      <c r="F359" s="100" t="e">
        <f>'I90 TRACON Rate Build Up'!H204</f>
        <v>#DIV/0!</v>
      </c>
      <c r="G359" s="101" t="s">
        <v>40</v>
      </c>
      <c r="H359" s="104" t="e">
        <f t="shared" si="64"/>
        <v>#DIV/0!</v>
      </c>
    </row>
    <row r="360" spans="1:9" ht="16.5" thickBot="1" x14ac:dyDescent="0.3">
      <c r="A360" s="106"/>
      <c r="B360" s="107" t="s">
        <v>59</v>
      </c>
      <c r="C360" s="280"/>
      <c r="D360" s="108"/>
      <c r="E360" s="109"/>
      <c r="F360" s="108"/>
      <c r="G360" s="108"/>
      <c r="H360" s="110" t="e">
        <f>SUM(H353:H359)</f>
        <v>#DIV/0!</v>
      </c>
    </row>
    <row r="361" spans="1:9" ht="16.5" thickTop="1" x14ac:dyDescent="0.25">
      <c r="B361" s="213"/>
      <c r="C361" s="217"/>
      <c r="D361" s="214"/>
      <c r="E361" s="214"/>
      <c r="F361" s="214"/>
      <c r="G361" s="214"/>
      <c r="H361" s="215"/>
      <c r="I361" s="213"/>
    </row>
    <row r="362" spans="1:9" ht="16.5" thickBot="1" x14ac:dyDescent="0.3">
      <c r="A362" s="242" t="s">
        <v>840</v>
      </c>
      <c r="B362" s="80"/>
      <c r="C362" s="243"/>
      <c r="H362" s="83"/>
    </row>
    <row r="363" spans="1:9" ht="48" thickBot="1" x14ac:dyDescent="0.3">
      <c r="A363" s="84" t="s">
        <v>27</v>
      </c>
      <c r="B363" s="85" t="s">
        <v>28</v>
      </c>
      <c r="C363" s="86" t="s">
        <v>29</v>
      </c>
      <c r="D363" s="87" t="s">
        <v>30</v>
      </c>
      <c r="E363" s="88" t="s">
        <v>31</v>
      </c>
      <c r="F363" s="87" t="s">
        <v>32</v>
      </c>
      <c r="G363" s="87" t="s">
        <v>33</v>
      </c>
      <c r="H363" s="89" t="s">
        <v>34</v>
      </c>
    </row>
    <row r="364" spans="1:9" x14ac:dyDescent="0.25">
      <c r="A364" s="90" t="s">
        <v>333</v>
      </c>
      <c r="B364" s="245" t="s">
        <v>37</v>
      </c>
      <c r="C364" s="279" t="s">
        <v>101</v>
      </c>
      <c r="D364" s="92" t="s">
        <v>39</v>
      </c>
      <c r="E364" s="93">
        <v>12</v>
      </c>
      <c r="F364" s="94" t="s">
        <v>40</v>
      </c>
      <c r="G364" s="95" t="e">
        <f>'IAH ATCT Rate Build Up'!H203</f>
        <v>#DIV/0!</v>
      </c>
      <c r="H364" s="118" t="e">
        <f>E364*G364</f>
        <v>#DIV/0!</v>
      </c>
    </row>
    <row r="365" spans="1:9" x14ac:dyDescent="0.25">
      <c r="A365" s="90" t="s">
        <v>369</v>
      </c>
      <c r="B365" s="216" t="s">
        <v>43</v>
      </c>
      <c r="C365" s="279"/>
      <c r="D365" s="98" t="s">
        <v>44</v>
      </c>
      <c r="E365" s="99">
        <v>80</v>
      </c>
      <c r="F365" s="100" t="e">
        <f>'IAH ATCT Rate Build Up'!H204</f>
        <v>#DIV/0!</v>
      </c>
      <c r="G365" s="101" t="s">
        <v>40</v>
      </c>
      <c r="H365" s="104" t="e">
        <f>E365*F365</f>
        <v>#DIV/0!</v>
      </c>
    </row>
    <row r="366" spans="1:9" x14ac:dyDescent="0.25">
      <c r="A366" s="90" t="s">
        <v>370</v>
      </c>
      <c r="B366" s="216" t="s">
        <v>47</v>
      </c>
      <c r="C366" s="279"/>
      <c r="D366" s="98" t="s">
        <v>48</v>
      </c>
      <c r="E366" s="99">
        <v>16</v>
      </c>
      <c r="F366" s="100" t="e">
        <f>'IAH ATCT Rate Build Up'!K204</f>
        <v>#DIV/0!</v>
      </c>
      <c r="G366" s="101" t="s">
        <v>40</v>
      </c>
      <c r="H366" s="104" t="e">
        <f t="shared" ref="H366:H370" si="66">E366*F366</f>
        <v>#DIV/0!</v>
      </c>
    </row>
    <row r="367" spans="1:9" x14ac:dyDescent="0.25">
      <c r="A367" s="90" t="s">
        <v>371</v>
      </c>
      <c r="B367" s="216" t="s">
        <v>51</v>
      </c>
      <c r="C367" s="279"/>
      <c r="D367" s="98" t="s">
        <v>48</v>
      </c>
      <c r="E367" s="99">
        <v>16</v>
      </c>
      <c r="F367" s="100" t="e">
        <f>'IAH ATCT Rate Build Up'!H204</f>
        <v>#DIV/0!</v>
      </c>
      <c r="G367" s="101" t="s">
        <v>40</v>
      </c>
      <c r="H367" s="104" t="e">
        <f t="shared" ref="H367" si="67">E367*F367</f>
        <v>#DIV/0!</v>
      </c>
    </row>
    <row r="368" spans="1:9" x14ac:dyDescent="0.25">
      <c r="A368" s="90" t="s">
        <v>372</v>
      </c>
      <c r="B368" s="216" t="s">
        <v>54</v>
      </c>
      <c r="C368" s="279"/>
      <c r="D368" s="98" t="s">
        <v>44</v>
      </c>
      <c r="E368" s="99">
        <v>80</v>
      </c>
      <c r="F368" s="100" t="e">
        <f>'IAH ATCT Rate Build Up'!H204</f>
        <v>#DIV/0!</v>
      </c>
      <c r="G368" s="101" t="s">
        <v>40</v>
      </c>
      <c r="H368" s="104" t="e">
        <f t="shared" si="66"/>
        <v>#DIV/0!</v>
      </c>
    </row>
    <row r="369" spans="1:8" x14ac:dyDescent="0.25">
      <c r="A369" s="90" t="s">
        <v>373</v>
      </c>
      <c r="B369" s="216" t="s">
        <v>56</v>
      </c>
      <c r="C369" s="279"/>
      <c r="D369" s="99" t="s">
        <v>44</v>
      </c>
      <c r="E369" s="99">
        <v>48</v>
      </c>
      <c r="F369" s="100" t="e">
        <f>'IAH ATCT Rate Build Up'!H204</f>
        <v>#DIV/0!</v>
      </c>
      <c r="G369" s="101" t="s">
        <v>40</v>
      </c>
      <c r="H369" s="104" t="e">
        <f t="shared" si="66"/>
        <v>#DIV/0!</v>
      </c>
    </row>
    <row r="370" spans="1:8" x14ac:dyDescent="0.25">
      <c r="A370" s="90" t="s">
        <v>374</v>
      </c>
      <c r="B370" s="216" t="s">
        <v>58</v>
      </c>
      <c r="C370" s="279"/>
      <c r="D370" s="99" t="s">
        <v>44</v>
      </c>
      <c r="E370" s="99">
        <v>1040</v>
      </c>
      <c r="F370" s="100" t="e">
        <f>'IAH ATCT Rate Build Up'!H204</f>
        <v>#DIV/0!</v>
      </c>
      <c r="G370" s="101" t="s">
        <v>40</v>
      </c>
      <c r="H370" s="104" t="e">
        <f t="shared" si="66"/>
        <v>#DIV/0!</v>
      </c>
    </row>
    <row r="371" spans="1:8" ht="16.5" thickBot="1" x14ac:dyDescent="0.3">
      <c r="A371" s="106"/>
      <c r="B371" s="113" t="s">
        <v>59</v>
      </c>
      <c r="C371" s="280"/>
      <c r="D371" s="108"/>
      <c r="E371" s="109"/>
      <c r="F371" s="108"/>
      <c r="G371" s="108"/>
      <c r="H371" s="110" t="e">
        <f>SUM(H364:H370)</f>
        <v>#DIV/0!</v>
      </c>
    </row>
    <row r="372" spans="1:8" ht="16.5" thickTop="1" x14ac:dyDescent="0.25">
      <c r="A372" s="90" t="s">
        <v>375</v>
      </c>
      <c r="B372" s="216" t="s">
        <v>37</v>
      </c>
      <c r="C372" s="279" t="s">
        <v>109</v>
      </c>
      <c r="D372" s="98" t="s">
        <v>39</v>
      </c>
      <c r="E372" s="99">
        <v>12</v>
      </c>
      <c r="F372" s="101" t="s">
        <v>40</v>
      </c>
      <c r="G372" s="100" t="e">
        <f>'MSP ATCT Rate Build Up'!H203</f>
        <v>#DIV/0!</v>
      </c>
      <c r="H372" s="104" t="e">
        <f>E372*G372</f>
        <v>#DIV/0!</v>
      </c>
    </row>
    <row r="373" spans="1:8" x14ac:dyDescent="0.25">
      <c r="A373" s="90" t="s">
        <v>376</v>
      </c>
      <c r="B373" s="216" t="s">
        <v>43</v>
      </c>
      <c r="C373" s="279"/>
      <c r="D373" s="98" t="s">
        <v>44</v>
      </c>
      <c r="E373" s="99">
        <v>80</v>
      </c>
      <c r="F373" s="100" t="e">
        <f>'MSP ATCT Rate Build Up'!H204</f>
        <v>#DIV/0!</v>
      </c>
      <c r="G373" s="101" t="s">
        <v>40</v>
      </c>
      <c r="H373" s="104" t="e">
        <f>E373*F373</f>
        <v>#DIV/0!</v>
      </c>
    </row>
    <row r="374" spans="1:8" x14ac:dyDescent="0.25">
      <c r="A374" s="90" t="s">
        <v>377</v>
      </c>
      <c r="B374" s="216" t="s">
        <v>47</v>
      </c>
      <c r="C374" s="279"/>
      <c r="D374" s="98" t="s">
        <v>48</v>
      </c>
      <c r="E374" s="99">
        <v>16</v>
      </c>
      <c r="F374" s="100" t="e">
        <f>'MSP ATCT Rate Build Up'!K204</f>
        <v>#DIV/0!</v>
      </c>
      <c r="G374" s="101" t="s">
        <v>40</v>
      </c>
      <c r="H374" s="104" t="e">
        <f t="shared" ref="H374:H378" si="68">E374*F374</f>
        <v>#DIV/0!</v>
      </c>
    </row>
    <row r="375" spans="1:8" x14ac:dyDescent="0.25">
      <c r="A375" s="90" t="s">
        <v>378</v>
      </c>
      <c r="B375" s="216" t="s">
        <v>51</v>
      </c>
      <c r="C375" s="279"/>
      <c r="D375" s="98" t="s">
        <v>48</v>
      </c>
      <c r="E375" s="99">
        <v>16</v>
      </c>
      <c r="F375" s="100" t="e">
        <f>'MSP ATCT Rate Build Up'!H204</f>
        <v>#DIV/0!</v>
      </c>
      <c r="G375" s="101" t="s">
        <v>40</v>
      </c>
      <c r="H375" s="104" t="e">
        <f t="shared" ref="H375" si="69">E375*F375</f>
        <v>#DIV/0!</v>
      </c>
    </row>
    <row r="376" spans="1:8" x14ac:dyDescent="0.25">
      <c r="A376" s="90" t="s">
        <v>379</v>
      </c>
      <c r="B376" s="216" t="s">
        <v>54</v>
      </c>
      <c r="C376" s="279"/>
      <c r="D376" s="98" t="s">
        <v>44</v>
      </c>
      <c r="E376" s="99">
        <v>80</v>
      </c>
      <c r="F376" s="100" t="e">
        <f>'MSP ATCT Rate Build Up'!H204</f>
        <v>#DIV/0!</v>
      </c>
      <c r="G376" s="101" t="s">
        <v>40</v>
      </c>
      <c r="H376" s="104" t="e">
        <f t="shared" si="68"/>
        <v>#DIV/0!</v>
      </c>
    </row>
    <row r="377" spans="1:8" x14ac:dyDescent="0.25">
      <c r="A377" s="90" t="s">
        <v>380</v>
      </c>
      <c r="B377" s="216" t="s">
        <v>56</v>
      </c>
      <c r="C377" s="279"/>
      <c r="D377" s="99" t="s">
        <v>44</v>
      </c>
      <c r="E377" s="99">
        <v>48</v>
      </c>
      <c r="F377" s="100" t="e">
        <f>'MSP ATCT Rate Build Up'!H204</f>
        <v>#DIV/0!</v>
      </c>
      <c r="G377" s="101" t="s">
        <v>40</v>
      </c>
      <c r="H377" s="104" t="e">
        <f t="shared" si="68"/>
        <v>#DIV/0!</v>
      </c>
    </row>
    <row r="378" spans="1:8" x14ac:dyDescent="0.25">
      <c r="A378" s="90" t="s">
        <v>381</v>
      </c>
      <c r="B378" s="216" t="s">
        <v>58</v>
      </c>
      <c r="C378" s="279"/>
      <c r="D378" s="99" t="s">
        <v>44</v>
      </c>
      <c r="E378" s="99">
        <v>1040</v>
      </c>
      <c r="F378" s="100" t="e">
        <f>'MSP ATCT Rate Build Up'!H204</f>
        <v>#DIV/0!</v>
      </c>
      <c r="G378" s="101" t="s">
        <v>40</v>
      </c>
      <c r="H378" s="104" t="e">
        <f t="shared" si="68"/>
        <v>#DIV/0!</v>
      </c>
    </row>
    <row r="379" spans="1:8" ht="16.5" thickBot="1" x14ac:dyDescent="0.3">
      <c r="A379" s="106"/>
      <c r="B379" s="113" t="s">
        <v>59</v>
      </c>
      <c r="C379" s="280"/>
      <c r="D379" s="108"/>
      <c r="E379" s="109"/>
      <c r="F379" s="108"/>
      <c r="G379" s="108"/>
      <c r="H379" s="110" t="e">
        <f>SUM(H372:H378)</f>
        <v>#DIV/0!</v>
      </c>
    </row>
    <row r="380" spans="1:8" ht="16.5" thickTop="1" x14ac:dyDescent="0.25">
      <c r="A380" s="90" t="s">
        <v>382</v>
      </c>
      <c r="B380" s="216" t="s">
        <v>37</v>
      </c>
      <c r="C380" s="279" t="s">
        <v>117</v>
      </c>
      <c r="D380" s="98" t="s">
        <v>39</v>
      </c>
      <c r="E380" s="99">
        <v>12</v>
      </c>
      <c r="F380" s="101" t="s">
        <v>40</v>
      </c>
      <c r="G380" s="100" t="e">
        <f>'ORD ATCT Rate Build Up'!H203</f>
        <v>#DIV/0!</v>
      </c>
      <c r="H380" s="104" t="e">
        <f>E380*G380</f>
        <v>#DIV/0!</v>
      </c>
    </row>
    <row r="381" spans="1:8" x14ac:dyDescent="0.25">
      <c r="A381" s="90" t="s">
        <v>383</v>
      </c>
      <c r="B381" s="216" t="s">
        <v>43</v>
      </c>
      <c r="C381" s="279"/>
      <c r="D381" s="98" t="s">
        <v>44</v>
      </c>
      <c r="E381" s="99">
        <v>80</v>
      </c>
      <c r="F381" s="100" t="e">
        <f>'ORD ATCT Rate Build Up'!H204</f>
        <v>#DIV/0!</v>
      </c>
      <c r="G381" s="101" t="s">
        <v>40</v>
      </c>
      <c r="H381" s="104" t="e">
        <f>E381*F381</f>
        <v>#DIV/0!</v>
      </c>
    </row>
    <row r="382" spans="1:8" x14ac:dyDescent="0.25">
      <c r="A382" s="90" t="s">
        <v>384</v>
      </c>
      <c r="B382" s="216" t="s">
        <v>47</v>
      </c>
      <c r="C382" s="279"/>
      <c r="D382" s="98" t="s">
        <v>48</v>
      </c>
      <c r="E382" s="99">
        <v>16</v>
      </c>
      <c r="F382" s="100" t="e">
        <f>'ORD ATCT Rate Build Up'!K204</f>
        <v>#DIV/0!</v>
      </c>
      <c r="G382" s="101" t="s">
        <v>40</v>
      </c>
      <c r="H382" s="104" t="e">
        <f t="shared" ref="H382:H386" si="70">E382*F382</f>
        <v>#DIV/0!</v>
      </c>
    </row>
    <row r="383" spans="1:8" x14ac:dyDescent="0.25">
      <c r="A383" s="90" t="s">
        <v>385</v>
      </c>
      <c r="B383" s="216" t="s">
        <v>51</v>
      </c>
      <c r="C383" s="279"/>
      <c r="D383" s="98" t="s">
        <v>48</v>
      </c>
      <c r="E383" s="99">
        <v>16</v>
      </c>
      <c r="F383" s="100" t="e">
        <f>'ORD ATCT Rate Build Up'!H204</f>
        <v>#DIV/0!</v>
      </c>
      <c r="G383" s="101" t="s">
        <v>40</v>
      </c>
      <c r="H383" s="104" t="e">
        <f t="shared" ref="H383" si="71">E383*F383</f>
        <v>#DIV/0!</v>
      </c>
    </row>
    <row r="384" spans="1:8" x14ac:dyDescent="0.25">
      <c r="A384" s="90" t="s">
        <v>386</v>
      </c>
      <c r="B384" s="216" t="s">
        <v>54</v>
      </c>
      <c r="C384" s="279"/>
      <c r="D384" s="98" t="s">
        <v>44</v>
      </c>
      <c r="E384" s="99">
        <v>80</v>
      </c>
      <c r="F384" s="100" t="e">
        <f>'ORD ATCT Rate Build Up'!H204</f>
        <v>#DIV/0!</v>
      </c>
      <c r="G384" s="101" t="s">
        <v>40</v>
      </c>
      <c r="H384" s="104" t="e">
        <f t="shared" si="70"/>
        <v>#DIV/0!</v>
      </c>
    </row>
    <row r="385" spans="1:8" x14ac:dyDescent="0.25">
      <c r="A385" s="90" t="s">
        <v>387</v>
      </c>
      <c r="B385" s="216" t="s">
        <v>56</v>
      </c>
      <c r="C385" s="279"/>
      <c r="D385" s="99" t="s">
        <v>44</v>
      </c>
      <c r="E385" s="99">
        <v>48</v>
      </c>
      <c r="F385" s="100" t="e">
        <f>'ORD ATCT Rate Build Up'!H204</f>
        <v>#DIV/0!</v>
      </c>
      <c r="G385" s="101" t="s">
        <v>40</v>
      </c>
      <c r="H385" s="104" t="e">
        <f t="shared" si="70"/>
        <v>#DIV/0!</v>
      </c>
    </row>
    <row r="386" spans="1:8" x14ac:dyDescent="0.25">
      <c r="A386" s="90" t="s">
        <v>388</v>
      </c>
      <c r="B386" s="216" t="s">
        <v>58</v>
      </c>
      <c r="C386" s="279"/>
      <c r="D386" s="99" t="s">
        <v>44</v>
      </c>
      <c r="E386" s="99">
        <v>1040</v>
      </c>
      <c r="F386" s="100" t="e">
        <f>'ORD ATCT Rate Build Up'!H204</f>
        <v>#DIV/0!</v>
      </c>
      <c r="G386" s="101" t="s">
        <v>40</v>
      </c>
      <c r="H386" s="104" t="e">
        <f t="shared" si="70"/>
        <v>#DIV/0!</v>
      </c>
    </row>
    <row r="387" spans="1:8" ht="16.5" thickBot="1" x14ac:dyDescent="0.3">
      <c r="A387" s="106"/>
      <c r="B387" s="113" t="s">
        <v>59</v>
      </c>
      <c r="C387" s="280"/>
      <c r="D387" s="108"/>
      <c r="E387" s="109"/>
      <c r="F387" s="108"/>
      <c r="G387" s="108"/>
      <c r="H387" s="110" t="e">
        <f>SUM(H380:H386)</f>
        <v>#DIV/0!</v>
      </c>
    </row>
    <row r="388" spans="1:8" ht="16.5" thickTop="1" x14ac:dyDescent="0.25">
      <c r="A388" s="90" t="s">
        <v>389</v>
      </c>
      <c r="B388" s="216" t="s">
        <v>37</v>
      </c>
      <c r="C388" s="279" t="s">
        <v>125</v>
      </c>
      <c r="D388" s="98" t="s">
        <v>39</v>
      </c>
      <c r="E388" s="99">
        <v>12</v>
      </c>
      <c r="F388" s="101" t="s">
        <v>40</v>
      </c>
      <c r="G388" s="100" t="e">
        <f>'ZAB ARTCC Rate Build Up'!H203</f>
        <v>#DIV/0!</v>
      </c>
      <c r="H388" s="104" t="e">
        <f>E388*G388</f>
        <v>#DIV/0!</v>
      </c>
    </row>
    <row r="389" spans="1:8" x14ac:dyDescent="0.25">
      <c r="A389" s="90" t="s">
        <v>390</v>
      </c>
      <c r="B389" s="216" t="s">
        <v>43</v>
      </c>
      <c r="C389" s="279"/>
      <c r="D389" s="98" t="s">
        <v>44</v>
      </c>
      <c r="E389" s="99">
        <v>80</v>
      </c>
      <c r="F389" s="100" t="e">
        <f>'ZAB ARTCC Rate Build Up'!H204</f>
        <v>#DIV/0!</v>
      </c>
      <c r="G389" s="101" t="s">
        <v>40</v>
      </c>
      <c r="H389" s="104" t="e">
        <f>E389*F389</f>
        <v>#DIV/0!</v>
      </c>
    </row>
    <row r="390" spans="1:8" x14ac:dyDescent="0.25">
      <c r="A390" s="90" t="s">
        <v>391</v>
      </c>
      <c r="B390" s="216" t="s">
        <v>47</v>
      </c>
      <c r="C390" s="279"/>
      <c r="D390" s="98" t="s">
        <v>48</v>
      </c>
      <c r="E390" s="99">
        <v>16</v>
      </c>
      <c r="F390" s="100" t="e">
        <f>'ZAB ARTCC Rate Build Up'!K204</f>
        <v>#DIV/0!</v>
      </c>
      <c r="G390" s="101" t="s">
        <v>40</v>
      </c>
      <c r="H390" s="104" t="e">
        <f t="shared" ref="H390:H394" si="72">E390*F390</f>
        <v>#DIV/0!</v>
      </c>
    </row>
    <row r="391" spans="1:8" x14ac:dyDescent="0.25">
      <c r="A391" s="90" t="s">
        <v>392</v>
      </c>
      <c r="B391" s="216" t="s">
        <v>51</v>
      </c>
      <c r="C391" s="279"/>
      <c r="D391" s="98" t="s">
        <v>48</v>
      </c>
      <c r="E391" s="99">
        <v>16</v>
      </c>
      <c r="F391" s="100" t="e">
        <f>'ZAB ARTCC Rate Build Up'!H204</f>
        <v>#DIV/0!</v>
      </c>
      <c r="G391" s="101" t="s">
        <v>40</v>
      </c>
      <c r="H391" s="104" t="e">
        <f t="shared" ref="H391" si="73">E391*F391</f>
        <v>#DIV/0!</v>
      </c>
    </row>
    <row r="392" spans="1:8" x14ac:dyDescent="0.25">
      <c r="A392" s="90" t="s">
        <v>393</v>
      </c>
      <c r="B392" s="216" t="s">
        <v>54</v>
      </c>
      <c r="C392" s="279"/>
      <c r="D392" s="98" t="s">
        <v>44</v>
      </c>
      <c r="E392" s="99">
        <v>80</v>
      </c>
      <c r="F392" s="100" t="e">
        <f>'ZAB ARTCC Rate Build Up'!H204</f>
        <v>#DIV/0!</v>
      </c>
      <c r="G392" s="101" t="s">
        <v>40</v>
      </c>
      <c r="H392" s="104" t="e">
        <f t="shared" si="72"/>
        <v>#DIV/0!</v>
      </c>
    </row>
    <row r="393" spans="1:8" x14ac:dyDescent="0.25">
      <c r="A393" s="90" t="s">
        <v>394</v>
      </c>
      <c r="B393" s="216" t="s">
        <v>56</v>
      </c>
      <c r="C393" s="279"/>
      <c r="D393" s="99" t="s">
        <v>44</v>
      </c>
      <c r="E393" s="99">
        <v>48</v>
      </c>
      <c r="F393" s="100" t="e">
        <f>'ZAB ARTCC Rate Build Up'!H204</f>
        <v>#DIV/0!</v>
      </c>
      <c r="G393" s="101" t="s">
        <v>40</v>
      </c>
      <c r="H393" s="104" t="e">
        <f t="shared" si="72"/>
        <v>#DIV/0!</v>
      </c>
    </row>
    <row r="394" spans="1:8" x14ac:dyDescent="0.25">
      <c r="A394" s="90" t="s">
        <v>395</v>
      </c>
      <c r="B394" s="216" t="s">
        <v>58</v>
      </c>
      <c r="C394" s="279"/>
      <c r="D394" s="99" t="s">
        <v>44</v>
      </c>
      <c r="E394" s="99">
        <v>1040</v>
      </c>
      <c r="F394" s="100" t="e">
        <f>'ZAB ARTCC Rate Build Up'!H204</f>
        <v>#DIV/0!</v>
      </c>
      <c r="G394" s="101" t="s">
        <v>40</v>
      </c>
      <c r="H394" s="104" t="e">
        <f t="shared" si="72"/>
        <v>#DIV/0!</v>
      </c>
    </row>
    <row r="395" spans="1:8" ht="16.5" thickBot="1" x14ac:dyDescent="0.3">
      <c r="A395" s="106"/>
      <c r="B395" s="113" t="s">
        <v>59</v>
      </c>
      <c r="C395" s="280"/>
      <c r="D395" s="108"/>
      <c r="E395" s="109"/>
      <c r="F395" s="108"/>
      <c r="G395" s="108"/>
      <c r="H395" s="110" t="e">
        <f>SUM(H388:H394)</f>
        <v>#DIV/0!</v>
      </c>
    </row>
    <row r="396" spans="1:8" ht="16.5" thickTop="1" x14ac:dyDescent="0.25">
      <c r="A396" s="90" t="s">
        <v>396</v>
      </c>
      <c r="B396" s="216" t="s">
        <v>37</v>
      </c>
      <c r="C396" s="279" t="s">
        <v>133</v>
      </c>
      <c r="D396" s="98" t="s">
        <v>39</v>
      </c>
      <c r="E396" s="99">
        <v>12</v>
      </c>
      <c r="F396" s="101" t="s">
        <v>40</v>
      </c>
      <c r="G396" s="100" t="e">
        <f>'ZAU Rate Build Up'!H203</f>
        <v>#DIV/0!</v>
      </c>
      <c r="H396" s="104" t="e">
        <f>E396*G396</f>
        <v>#DIV/0!</v>
      </c>
    </row>
    <row r="397" spans="1:8" x14ac:dyDescent="0.25">
      <c r="A397" s="90" t="s">
        <v>397</v>
      </c>
      <c r="B397" s="216" t="s">
        <v>43</v>
      </c>
      <c r="C397" s="279"/>
      <c r="D397" s="98" t="s">
        <v>44</v>
      </c>
      <c r="E397" s="99">
        <v>80</v>
      </c>
      <c r="F397" s="100" t="e">
        <f>'ZAU Rate Build Up'!H204</f>
        <v>#DIV/0!</v>
      </c>
      <c r="G397" s="101" t="s">
        <v>40</v>
      </c>
      <c r="H397" s="104" t="e">
        <f>E397*F397</f>
        <v>#DIV/0!</v>
      </c>
    </row>
    <row r="398" spans="1:8" x14ac:dyDescent="0.25">
      <c r="A398" s="90" t="s">
        <v>398</v>
      </c>
      <c r="B398" s="216" t="s">
        <v>47</v>
      </c>
      <c r="C398" s="279"/>
      <c r="D398" s="98" t="s">
        <v>48</v>
      </c>
      <c r="E398" s="99">
        <v>16</v>
      </c>
      <c r="F398" s="100" t="e">
        <f>'ZAU Rate Build Up'!K204</f>
        <v>#DIV/0!</v>
      </c>
      <c r="G398" s="101" t="s">
        <v>40</v>
      </c>
      <c r="H398" s="104" t="e">
        <f t="shared" ref="H398:H402" si="74">E398*F398</f>
        <v>#DIV/0!</v>
      </c>
    </row>
    <row r="399" spans="1:8" x14ac:dyDescent="0.25">
      <c r="A399" s="90" t="s">
        <v>399</v>
      </c>
      <c r="B399" s="216" t="s">
        <v>51</v>
      </c>
      <c r="C399" s="279"/>
      <c r="D399" s="98" t="s">
        <v>48</v>
      </c>
      <c r="E399" s="99">
        <v>16</v>
      </c>
      <c r="F399" s="100" t="e">
        <f>'ZAU Rate Build Up'!H204</f>
        <v>#DIV/0!</v>
      </c>
      <c r="G399" s="101" t="s">
        <v>40</v>
      </c>
      <c r="H399" s="104" t="e">
        <f t="shared" ref="H399" si="75">E399*F399</f>
        <v>#DIV/0!</v>
      </c>
    </row>
    <row r="400" spans="1:8" x14ac:dyDescent="0.25">
      <c r="A400" s="90" t="s">
        <v>400</v>
      </c>
      <c r="B400" s="216" t="s">
        <v>54</v>
      </c>
      <c r="C400" s="279"/>
      <c r="D400" s="98" t="s">
        <v>44</v>
      </c>
      <c r="E400" s="99">
        <v>80</v>
      </c>
      <c r="F400" s="100" t="e">
        <f>'ZAU Rate Build Up'!H204</f>
        <v>#DIV/0!</v>
      </c>
      <c r="G400" s="101" t="s">
        <v>40</v>
      </c>
      <c r="H400" s="104" t="e">
        <f t="shared" si="74"/>
        <v>#DIV/0!</v>
      </c>
    </row>
    <row r="401" spans="1:8" x14ac:dyDescent="0.25">
      <c r="A401" s="90" t="s">
        <v>401</v>
      </c>
      <c r="B401" s="216" t="s">
        <v>56</v>
      </c>
      <c r="C401" s="279"/>
      <c r="D401" s="99" t="s">
        <v>44</v>
      </c>
      <c r="E401" s="99">
        <v>48</v>
      </c>
      <c r="F401" s="100" t="e">
        <f>'ZAU Rate Build Up'!H204</f>
        <v>#DIV/0!</v>
      </c>
      <c r="G401" s="101" t="s">
        <v>40</v>
      </c>
      <c r="H401" s="104" t="e">
        <f t="shared" si="74"/>
        <v>#DIV/0!</v>
      </c>
    </row>
    <row r="402" spans="1:8" x14ac:dyDescent="0.25">
      <c r="A402" s="90" t="s">
        <v>402</v>
      </c>
      <c r="B402" s="216" t="s">
        <v>58</v>
      </c>
      <c r="C402" s="279"/>
      <c r="D402" s="99" t="s">
        <v>44</v>
      </c>
      <c r="E402" s="99">
        <v>1040</v>
      </c>
      <c r="F402" s="100" t="e">
        <f>'ZAU Rate Build Up'!H204</f>
        <v>#DIV/0!</v>
      </c>
      <c r="G402" s="101" t="s">
        <v>40</v>
      </c>
      <c r="H402" s="104" t="e">
        <f t="shared" si="74"/>
        <v>#DIV/0!</v>
      </c>
    </row>
    <row r="403" spans="1:8" ht="16.5" thickBot="1" x14ac:dyDescent="0.3">
      <c r="A403" s="106"/>
      <c r="B403" s="113" t="s">
        <v>59</v>
      </c>
      <c r="C403" s="280"/>
      <c r="D403" s="108"/>
      <c r="E403" s="109"/>
      <c r="F403" s="108"/>
      <c r="G403" s="108"/>
      <c r="H403" s="110" t="e">
        <f>SUM(H396:H402)</f>
        <v>#DIV/0!</v>
      </c>
    </row>
    <row r="404" spans="1:8" ht="16.5" thickTop="1" x14ac:dyDescent="0.25">
      <c r="A404" s="90" t="s">
        <v>403</v>
      </c>
      <c r="B404" s="216" t="s">
        <v>37</v>
      </c>
      <c r="C404" s="279" t="s">
        <v>141</v>
      </c>
      <c r="D404" s="98" t="s">
        <v>39</v>
      </c>
      <c r="E404" s="99">
        <v>12</v>
      </c>
      <c r="F404" s="101" t="s">
        <v>40</v>
      </c>
      <c r="G404" s="100" t="e">
        <f>'ZFW Rate Build Up'!H203</f>
        <v>#DIV/0!</v>
      </c>
      <c r="H404" s="104" t="e">
        <f>E404*G404</f>
        <v>#DIV/0!</v>
      </c>
    </row>
    <row r="405" spans="1:8" x14ac:dyDescent="0.25">
      <c r="A405" s="90" t="s">
        <v>404</v>
      </c>
      <c r="B405" s="216" t="s">
        <v>43</v>
      </c>
      <c r="C405" s="279"/>
      <c r="D405" s="98" t="s">
        <v>44</v>
      </c>
      <c r="E405" s="99">
        <v>80</v>
      </c>
      <c r="F405" s="100" t="e">
        <f>'ZFW Rate Build Up'!H204</f>
        <v>#DIV/0!</v>
      </c>
      <c r="G405" s="101" t="s">
        <v>40</v>
      </c>
      <c r="H405" s="104" t="e">
        <f>E405*F405</f>
        <v>#DIV/0!</v>
      </c>
    </row>
    <row r="406" spans="1:8" x14ac:dyDescent="0.25">
      <c r="A406" s="90" t="s">
        <v>405</v>
      </c>
      <c r="B406" s="216" t="s">
        <v>47</v>
      </c>
      <c r="C406" s="279"/>
      <c r="D406" s="98" t="s">
        <v>48</v>
      </c>
      <c r="E406" s="99">
        <v>16</v>
      </c>
      <c r="F406" s="100" t="e">
        <f>'ZFW Rate Build Up'!K204</f>
        <v>#DIV/0!</v>
      </c>
      <c r="G406" s="101" t="s">
        <v>40</v>
      </c>
      <c r="H406" s="104" t="e">
        <f t="shared" ref="H406:H410" si="76">E406*F406</f>
        <v>#DIV/0!</v>
      </c>
    </row>
    <row r="407" spans="1:8" x14ac:dyDescent="0.25">
      <c r="A407" s="90" t="s">
        <v>406</v>
      </c>
      <c r="B407" s="216" t="s">
        <v>51</v>
      </c>
      <c r="C407" s="279"/>
      <c r="D407" s="98" t="s">
        <v>48</v>
      </c>
      <c r="E407" s="99">
        <v>16</v>
      </c>
      <c r="F407" s="100" t="e">
        <f>'ZFW Rate Build Up'!H204</f>
        <v>#DIV/0!</v>
      </c>
      <c r="G407" s="101" t="s">
        <v>40</v>
      </c>
      <c r="H407" s="104" t="e">
        <f t="shared" ref="H407" si="77">E407*F407</f>
        <v>#DIV/0!</v>
      </c>
    </row>
    <row r="408" spans="1:8" x14ac:dyDescent="0.25">
      <c r="A408" s="90" t="s">
        <v>407</v>
      </c>
      <c r="B408" s="216" t="s">
        <v>54</v>
      </c>
      <c r="C408" s="279"/>
      <c r="D408" s="98" t="s">
        <v>44</v>
      </c>
      <c r="E408" s="99">
        <v>80</v>
      </c>
      <c r="F408" s="100" t="e">
        <f>'ZFW Rate Build Up'!H204</f>
        <v>#DIV/0!</v>
      </c>
      <c r="G408" s="101" t="s">
        <v>40</v>
      </c>
      <c r="H408" s="104" t="e">
        <f t="shared" si="76"/>
        <v>#DIV/0!</v>
      </c>
    </row>
    <row r="409" spans="1:8" x14ac:dyDescent="0.25">
      <c r="A409" s="90" t="s">
        <v>408</v>
      </c>
      <c r="B409" s="216" t="s">
        <v>56</v>
      </c>
      <c r="C409" s="279"/>
      <c r="D409" s="99" t="s">
        <v>44</v>
      </c>
      <c r="E409" s="99">
        <v>48</v>
      </c>
      <c r="F409" s="100" t="e">
        <f>'ZFW Rate Build Up'!H204</f>
        <v>#DIV/0!</v>
      </c>
      <c r="G409" s="101" t="s">
        <v>40</v>
      </c>
      <c r="H409" s="104" t="e">
        <f t="shared" si="76"/>
        <v>#DIV/0!</v>
      </c>
    </row>
    <row r="410" spans="1:8" x14ac:dyDescent="0.25">
      <c r="A410" s="90" t="s">
        <v>409</v>
      </c>
      <c r="B410" s="216" t="s">
        <v>58</v>
      </c>
      <c r="C410" s="279"/>
      <c r="D410" s="99" t="s">
        <v>44</v>
      </c>
      <c r="E410" s="99">
        <v>1040</v>
      </c>
      <c r="F410" s="100" t="e">
        <f>'ZFW Rate Build Up'!H204</f>
        <v>#DIV/0!</v>
      </c>
      <c r="G410" s="101" t="s">
        <v>40</v>
      </c>
      <c r="H410" s="104" t="e">
        <f t="shared" si="76"/>
        <v>#DIV/0!</v>
      </c>
    </row>
    <row r="411" spans="1:8" ht="16.5" thickBot="1" x14ac:dyDescent="0.3">
      <c r="A411" s="106"/>
      <c r="B411" s="113" t="s">
        <v>59</v>
      </c>
      <c r="C411" s="280"/>
      <c r="D411" s="108"/>
      <c r="E411" s="109"/>
      <c r="F411" s="108"/>
      <c r="G411" s="108"/>
      <c r="H411" s="110" t="e">
        <f>SUM(H404:H410)</f>
        <v>#DIV/0!</v>
      </c>
    </row>
    <row r="412" spans="1:8" ht="16.5" thickTop="1" x14ac:dyDescent="0.25">
      <c r="A412" s="117" t="s">
        <v>410</v>
      </c>
      <c r="B412" s="216" t="s">
        <v>37</v>
      </c>
      <c r="C412" s="279" t="s">
        <v>149</v>
      </c>
      <c r="D412" s="98" t="s">
        <v>39</v>
      </c>
      <c r="E412" s="99">
        <v>12</v>
      </c>
      <c r="F412" s="101" t="s">
        <v>40</v>
      </c>
      <c r="G412" s="100" t="e">
        <f>'ZHU Rate Build Up'!H203</f>
        <v>#DIV/0!</v>
      </c>
      <c r="H412" s="104" t="e">
        <f>E412*G412</f>
        <v>#DIV/0!</v>
      </c>
    </row>
    <row r="413" spans="1:8" x14ac:dyDescent="0.25">
      <c r="A413" s="90" t="s">
        <v>411</v>
      </c>
      <c r="B413" s="216" t="s">
        <v>43</v>
      </c>
      <c r="C413" s="279"/>
      <c r="D413" s="98" t="s">
        <v>44</v>
      </c>
      <c r="E413" s="99">
        <v>80</v>
      </c>
      <c r="F413" s="100" t="e">
        <f>'ZHU Rate Build Up'!H204</f>
        <v>#DIV/0!</v>
      </c>
      <c r="G413" s="101" t="s">
        <v>40</v>
      </c>
      <c r="H413" s="104" t="e">
        <f>E413*F413</f>
        <v>#DIV/0!</v>
      </c>
    </row>
    <row r="414" spans="1:8" x14ac:dyDescent="0.25">
      <c r="A414" s="90" t="s">
        <v>412</v>
      </c>
      <c r="B414" s="216" t="s">
        <v>47</v>
      </c>
      <c r="C414" s="279"/>
      <c r="D414" s="98" t="s">
        <v>48</v>
      </c>
      <c r="E414" s="99">
        <v>16</v>
      </c>
      <c r="F414" s="100" t="e">
        <f>'ZHU Rate Build Up'!K204</f>
        <v>#DIV/0!</v>
      </c>
      <c r="G414" s="101" t="s">
        <v>40</v>
      </c>
      <c r="H414" s="104" t="e">
        <f t="shared" ref="H414:H418" si="78">E414*F414</f>
        <v>#DIV/0!</v>
      </c>
    </row>
    <row r="415" spans="1:8" x14ac:dyDescent="0.25">
      <c r="A415" s="117" t="s">
        <v>413</v>
      </c>
      <c r="B415" s="216" t="s">
        <v>51</v>
      </c>
      <c r="C415" s="279"/>
      <c r="D415" s="98" t="s">
        <v>48</v>
      </c>
      <c r="E415" s="99">
        <v>16</v>
      </c>
      <c r="F415" s="100" t="e">
        <f>'ZHU Rate Build Up'!H204</f>
        <v>#DIV/0!</v>
      </c>
      <c r="G415" s="101" t="s">
        <v>40</v>
      </c>
      <c r="H415" s="104" t="e">
        <f t="shared" ref="H415" si="79">E415*F415</f>
        <v>#DIV/0!</v>
      </c>
    </row>
    <row r="416" spans="1:8" x14ac:dyDescent="0.25">
      <c r="A416" s="90" t="s">
        <v>414</v>
      </c>
      <c r="B416" s="216" t="s">
        <v>54</v>
      </c>
      <c r="C416" s="279"/>
      <c r="D416" s="98" t="s">
        <v>44</v>
      </c>
      <c r="E416" s="99">
        <v>80</v>
      </c>
      <c r="F416" s="100" t="e">
        <f>'ZHU Rate Build Up'!H204</f>
        <v>#DIV/0!</v>
      </c>
      <c r="G416" s="101" t="s">
        <v>40</v>
      </c>
      <c r="H416" s="104" t="e">
        <f t="shared" si="78"/>
        <v>#DIV/0!</v>
      </c>
    </row>
    <row r="417" spans="1:8" x14ac:dyDescent="0.25">
      <c r="A417" s="90" t="s">
        <v>415</v>
      </c>
      <c r="B417" s="216" t="s">
        <v>56</v>
      </c>
      <c r="C417" s="279"/>
      <c r="D417" s="99" t="s">
        <v>44</v>
      </c>
      <c r="E417" s="99">
        <v>48</v>
      </c>
      <c r="F417" s="100" t="e">
        <f>'ZHU Rate Build Up'!H204</f>
        <v>#DIV/0!</v>
      </c>
      <c r="G417" s="101" t="s">
        <v>40</v>
      </c>
      <c r="H417" s="104" t="e">
        <f t="shared" si="78"/>
        <v>#DIV/0!</v>
      </c>
    </row>
    <row r="418" spans="1:8" x14ac:dyDescent="0.25">
      <c r="A418" s="117" t="s">
        <v>416</v>
      </c>
      <c r="B418" s="216" t="s">
        <v>58</v>
      </c>
      <c r="C418" s="279"/>
      <c r="D418" s="99" t="s">
        <v>44</v>
      </c>
      <c r="E418" s="99">
        <v>1040</v>
      </c>
      <c r="F418" s="100" t="e">
        <f>'ZHU Rate Build Up'!H204</f>
        <v>#DIV/0!</v>
      </c>
      <c r="G418" s="101" t="s">
        <v>40</v>
      </c>
      <c r="H418" s="104" t="e">
        <f t="shared" si="78"/>
        <v>#DIV/0!</v>
      </c>
    </row>
    <row r="419" spans="1:8" ht="16.5" thickBot="1" x14ac:dyDescent="0.3">
      <c r="A419" s="106"/>
      <c r="B419" s="107" t="s">
        <v>59</v>
      </c>
      <c r="C419" s="280"/>
      <c r="D419" s="108"/>
      <c r="E419" s="109"/>
      <c r="F419" s="108"/>
      <c r="G419" s="108"/>
      <c r="H419" s="110" t="e">
        <f>SUM(H412:H418)</f>
        <v>#DIV/0!</v>
      </c>
    </row>
    <row r="420" spans="1:8" ht="16.5" thickTop="1" x14ac:dyDescent="0.25">
      <c r="B420" s="213"/>
      <c r="C420" s="217"/>
      <c r="D420" s="214"/>
      <c r="E420" s="214"/>
      <c r="F420" s="214"/>
      <c r="G420" s="214"/>
      <c r="H420" s="215"/>
    </row>
    <row r="421" spans="1:8" ht="16.5" thickBot="1" x14ac:dyDescent="0.3">
      <c r="A421" s="242" t="s">
        <v>840</v>
      </c>
      <c r="B421" s="80"/>
      <c r="C421" s="243"/>
      <c r="H421" s="83"/>
    </row>
    <row r="422" spans="1:8" ht="48" thickBot="1" x14ac:dyDescent="0.3">
      <c r="A422" s="84" t="s">
        <v>27</v>
      </c>
      <c r="B422" s="85" t="s">
        <v>28</v>
      </c>
      <c r="C422" s="86" t="s">
        <v>29</v>
      </c>
      <c r="D422" s="87" t="s">
        <v>30</v>
      </c>
      <c r="E422" s="88" t="s">
        <v>31</v>
      </c>
      <c r="F422" s="87" t="s">
        <v>32</v>
      </c>
      <c r="G422" s="87" t="s">
        <v>33</v>
      </c>
      <c r="H422" s="89" t="s">
        <v>34</v>
      </c>
    </row>
    <row r="423" spans="1:8" x14ac:dyDescent="0.25">
      <c r="A423" s="90" t="s">
        <v>417</v>
      </c>
      <c r="B423" s="245" t="s">
        <v>37</v>
      </c>
      <c r="C423" s="279" t="s">
        <v>157</v>
      </c>
      <c r="D423" s="92" t="s">
        <v>39</v>
      </c>
      <c r="E423" s="93">
        <v>12</v>
      </c>
      <c r="F423" s="94" t="s">
        <v>40</v>
      </c>
      <c r="G423" s="95" t="e">
        <f>'ZID Rate Build Up'!H203</f>
        <v>#DIV/0!</v>
      </c>
      <c r="H423" s="118" t="e">
        <f>E423*G423</f>
        <v>#DIV/0!</v>
      </c>
    </row>
    <row r="424" spans="1:8" x14ac:dyDescent="0.25">
      <c r="A424" s="90" t="s">
        <v>418</v>
      </c>
      <c r="B424" s="216" t="s">
        <v>43</v>
      </c>
      <c r="C424" s="279"/>
      <c r="D424" s="98" t="s">
        <v>44</v>
      </c>
      <c r="E424" s="99">
        <v>80</v>
      </c>
      <c r="F424" s="100" t="e">
        <f>'ZID Rate Build Up'!H204</f>
        <v>#DIV/0!</v>
      </c>
      <c r="G424" s="101" t="s">
        <v>40</v>
      </c>
      <c r="H424" s="104" t="e">
        <f>E424*F424</f>
        <v>#DIV/0!</v>
      </c>
    </row>
    <row r="425" spans="1:8" x14ac:dyDescent="0.25">
      <c r="A425" s="90" t="s">
        <v>419</v>
      </c>
      <c r="B425" s="216" t="s">
        <v>47</v>
      </c>
      <c r="C425" s="279"/>
      <c r="D425" s="98" t="s">
        <v>48</v>
      </c>
      <c r="E425" s="99">
        <v>16</v>
      </c>
      <c r="F425" s="100" t="e">
        <f>'ZID Rate Build Up'!K204</f>
        <v>#DIV/0!</v>
      </c>
      <c r="G425" s="101" t="s">
        <v>40</v>
      </c>
      <c r="H425" s="104" t="e">
        <f t="shared" ref="H425:H429" si="80">E425*F425</f>
        <v>#DIV/0!</v>
      </c>
    </row>
    <row r="426" spans="1:8" x14ac:dyDescent="0.25">
      <c r="A426" s="90" t="s">
        <v>420</v>
      </c>
      <c r="B426" s="216" t="s">
        <v>51</v>
      </c>
      <c r="C426" s="279"/>
      <c r="D426" s="98" t="s">
        <v>48</v>
      </c>
      <c r="E426" s="99">
        <v>16</v>
      </c>
      <c r="F426" s="100" t="e">
        <f>'ZID Rate Build Up'!H204</f>
        <v>#DIV/0!</v>
      </c>
      <c r="G426" s="101" t="s">
        <v>40</v>
      </c>
      <c r="H426" s="104" t="e">
        <f t="shared" ref="H426" si="81">E426*F426</f>
        <v>#DIV/0!</v>
      </c>
    </row>
    <row r="427" spans="1:8" x14ac:dyDescent="0.25">
      <c r="A427" s="90" t="s">
        <v>421</v>
      </c>
      <c r="B427" s="216" t="s">
        <v>54</v>
      </c>
      <c r="C427" s="279"/>
      <c r="D427" s="98" t="s">
        <v>44</v>
      </c>
      <c r="E427" s="99">
        <v>80</v>
      </c>
      <c r="F427" s="100" t="e">
        <f>'ZID Rate Build Up'!H204</f>
        <v>#DIV/0!</v>
      </c>
      <c r="G427" s="101" t="s">
        <v>40</v>
      </c>
      <c r="H427" s="104" t="e">
        <f t="shared" si="80"/>
        <v>#DIV/0!</v>
      </c>
    </row>
    <row r="428" spans="1:8" x14ac:dyDescent="0.25">
      <c r="A428" s="90" t="s">
        <v>422</v>
      </c>
      <c r="B428" s="216" t="s">
        <v>56</v>
      </c>
      <c r="C428" s="279"/>
      <c r="D428" s="99" t="s">
        <v>44</v>
      </c>
      <c r="E428" s="99">
        <v>48</v>
      </c>
      <c r="F428" s="100" t="e">
        <f>'ZID Rate Build Up'!H204</f>
        <v>#DIV/0!</v>
      </c>
      <c r="G428" s="101" t="s">
        <v>40</v>
      </c>
      <c r="H428" s="104" t="e">
        <f t="shared" si="80"/>
        <v>#DIV/0!</v>
      </c>
    </row>
    <row r="429" spans="1:8" x14ac:dyDescent="0.25">
      <c r="A429" s="90" t="s">
        <v>423</v>
      </c>
      <c r="B429" s="216" t="s">
        <v>58</v>
      </c>
      <c r="C429" s="279"/>
      <c r="D429" s="99" t="s">
        <v>44</v>
      </c>
      <c r="E429" s="99">
        <v>1040</v>
      </c>
      <c r="F429" s="100" t="e">
        <f>'ZID Rate Build Up'!H204</f>
        <v>#DIV/0!</v>
      </c>
      <c r="G429" s="101" t="s">
        <v>40</v>
      </c>
      <c r="H429" s="104" t="e">
        <f t="shared" si="80"/>
        <v>#DIV/0!</v>
      </c>
    </row>
    <row r="430" spans="1:8" ht="16.5" thickBot="1" x14ac:dyDescent="0.3">
      <c r="A430" s="106"/>
      <c r="B430" s="113" t="s">
        <v>59</v>
      </c>
      <c r="C430" s="280"/>
      <c r="D430" s="108"/>
      <c r="E430" s="109"/>
      <c r="F430" s="108"/>
      <c r="G430" s="108"/>
      <c r="H430" s="110" t="e">
        <f>SUM(H423:H429)</f>
        <v>#DIV/0!</v>
      </c>
    </row>
    <row r="431" spans="1:8" ht="16.5" thickTop="1" x14ac:dyDescent="0.25">
      <c r="A431" s="90" t="s">
        <v>424</v>
      </c>
      <c r="B431" s="216" t="s">
        <v>37</v>
      </c>
      <c r="C431" s="279" t="s">
        <v>165</v>
      </c>
      <c r="D431" s="98" t="s">
        <v>39</v>
      </c>
      <c r="E431" s="99">
        <v>12</v>
      </c>
      <c r="F431" s="101" t="s">
        <v>40</v>
      </c>
      <c r="G431" s="100" t="e">
        <f>'ZKC Rate Build Up'!H203</f>
        <v>#DIV/0!</v>
      </c>
      <c r="H431" s="104" t="e">
        <f>E431*G431</f>
        <v>#DIV/0!</v>
      </c>
    </row>
    <row r="432" spans="1:8" x14ac:dyDescent="0.25">
      <c r="A432" s="90" t="s">
        <v>425</v>
      </c>
      <c r="B432" s="216" t="s">
        <v>43</v>
      </c>
      <c r="C432" s="279"/>
      <c r="D432" s="98" t="s">
        <v>44</v>
      </c>
      <c r="E432" s="99">
        <v>80</v>
      </c>
      <c r="F432" s="100" t="e">
        <f>'ZKC Rate Build Up'!H204</f>
        <v>#DIV/0!</v>
      </c>
      <c r="G432" s="101" t="s">
        <v>40</v>
      </c>
      <c r="H432" s="104" t="e">
        <f>E432*F432</f>
        <v>#DIV/0!</v>
      </c>
    </row>
    <row r="433" spans="1:8" x14ac:dyDescent="0.25">
      <c r="A433" s="90" t="s">
        <v>426</v>
      </c>
      <c r="B433" s="216" t="s">
        <v>47</v>
      </c>
      <c r="C433" s="279"/>
      <c r="D433" s="98" t="s">
        <v>48</v>
      </c>
      <c r="E433" s="99">
        <v>16</v>
      </c>
      <c r="F433" s="100" t="e">
        <f>'ZKC Rate Build Up'!K204</f>
        <v>#DIV/0!</v>
      </c>
      <c r="G433" s="101" t="s">
        <v>40</v>
      </c>
      <c r="H433" s="104" t="e">
        <f t="shared" ref="H433:H437" si="82">E433*F433</f>
        <v>#DIV/0!</v>
      </c>
    </row>
    <row r="434" spans="1:8" x14ac:dyDescent="0.25">
      <c r="A434" s="90" t="s">
        <v>427</v>
      </c>
      <c r="B434" s="216" t="s">
        <v>51</v>
      </c>
      <c r="C434" s="279"/>
      <c r="D434" s="98" t="s">
        <v>48</v>
      </c>
      <c r="E434" s="99">
        <v>16</v>
      </c>
      <c r="F434" s="100" t="e">
        <f>'ZKC Rate Build Up'!H204</f>
        <v>#DIV/0!</v>
      </c>
      <c r="G434" s="101" t="s">
        <v>40</v>
      </c>
      <c r="H434" s="104" t="e">
        <f t="shared" ref="H434" si="83">E434*F434</f>
        <v>#DIV/0!</v>
      </c>
    </row>
    <row r="435" spans="1:8" x14ac:dyDescent="0.25">
      <c r="A435" s="90" t="s">
        <v>428</v>
      </c>
      <c r="B435" s="216" t="s">
        <v>54</v>
      </c>
      <c r="C435" s="279"/>
      <c r="D435" s="98" t="s">
        <v>44</v>
      </c>
      <c r="E435" s="99">
        <v>80</v>
      </c>
      <c r="F435" s="100" t="e">
        <f>'ZKC Rate Build Up'!H204</f>
        <v>#DIV/0!</v>
      </c>
      <c r="G435" s="101" t="s">
        <v>40</v>
      </c>
      <c r="H435" s="104" t="e">
        <f t="shared" si="82"/>
        <v>#DIV/0!</v>
      </c>
    </row>
    <row r="436" spans="1:8" x14ac:dyDescent="0.25">
      <c r="A436" s="90" t="s">
        <v>429</v>
      </c>
      <c r="B436" s="216" t="s">
        <v>56</v>
      </c>
      <c r="C436" s="279"/>
      <c r="D436" s="99" t="s">
        <v>44</v>
      </c>
      <c r="E436" s="99">
        <v>48</v>
      </c>
      <c r="F436" s="100" t="e">
        <f>'ZKC Rate Build Up'!H204</f>
        <v>#DIV/0!</v>
      </c>
      <c r="G436" s="101" t="s">
        <v>40</v>
      </c>
      <c r="H436" s="104" t="e">
        <f t="shared" si="82"/>
        <v>#DIV/0!</v>
      </c>
    </row>
    <row r="437" spans="1:8" x14ac:dyDescent="0.25">
      <c r="A437" s="90" t="s">
        <v>430</v>
      </c>
      <c r="B437" s="216" t="s">
        <v>58</v>
      </c>
      <c r="C437" s="279"/>
      <c r="D437" s="99" t="s">
        <v>44</v>
      </c>
      <c r="E437" s="99">
        <v>1040</v>
      </c>
      <c r="F437" s="100" t="e">
        <f>'ZKC Rate Build Up'!H204</f>
        <v>#DIV/0!</v>
      </c>
      <c r="G437" s="101" t="s">
        <v>40</v>
      </c>
      <c r="H437" s="104" t="e">
        <f t="shared" si="82"/>
        <v>#DIV/0!</v>
      </c>
    </row>
    <row r="438" spans="1:8" ht="16.5" thickBot="1" x14ac:dyDescent="0.3">
      <c r="A438" s="106"/>
      <c r="B438" s="113" t="s">
        <v>59</v>
      </c>
      <c r="C438" s="280"/>
      <c r="D438" s="108"/>
      <c r="E438" s="109"/>
      <c r="F438" s="108"/>
      <c r="G438" s="108"/>
      <c r="H438" s="110" t="e">
        <f>SUM(H431:H437)</f>
        <v>#DIV/0!</v>
      </c>
    </row>
    <row r="439" spans="1:8" ht="16.5" thickTop="1" x14ac:dyDescent="0.25">
      <c r="A439" s="90" t="s">
        <v>431</v>
      </c>
      <c r="B439" s="216" t="s">
        <v>37</v>
      </c>
      <c r="C439" s="279" t="s">
        <v>173</v>
      </c>
      <c r="D439" s="98" t="s">
        <v>39</v>
      </c>
      <c r="E439" s="99">
        <v>12</v>
      </c>
      <c r="F439" s="101" t="s">
        <v>40</v>
      </c>
      <c r="G439" s="100" t="e">
        <f>'ZMP Rate Build Up'!H203</f>
        <v>#DIV/0!</v>
      </c>
      <c r="H439" s="104" t="e">
        <f>E439*G439</f>
        <v>#DIV/0!</v>
      </c>
    </row>
    <row r="440" spans="1:8" x14ac:dyDescent="0.25">
      <c r="A440" s="90" t="s">
        <v>432</v>
      </c>
      <c r="B440" s="216" t="s">
        <v>43</v>
      </c>
      <c r="C440" s="279"/>
      <c r="D440" s="98" t="s">
        <v>44</v>
      </c>
      <c r="E440" s="99">
        <v>80</v>
      </c>
      <c r="F440" s="100" t="e">
        <f>'ZMP Rate Build Up'!H204</f>
        <v>#DIV/0!</v>
      </c>
      <c r="G440" s="101" t="s">
        <v>40</v>
      </c>
      <c r="H440" s="104" t="e">
        <f>E440*F440</f>
        <v>#DIV/0!</v>
      </c>
    </row>
    <row r="441" spans="1:8" x14ac:dyDescent="0.25">
      <c r="A441" s="90" t="s">
        <v>433</v>
      </c>
      <c r="B441" s="216" t="s">
        <v>47</v>
      </c>
      <c r="C441" s="279"/>
      <c r="D441" s="98" t="s">
        <v>48</v>
      </c>
      <c r="E441" s="99">
        <v>16</v>
      </c>
      <c r="F441" s="100" t="e">
        <f>'ZMP Rate Build Up'!K204</f>
        <v>#DIV/0!</v>
      </c>
      <c r="G441" s="101" t="s">
        <v>40</v>
      </c>
      <c r="H441" s="104" t="e">
        <f t="shared" ref="H441:H445" si="84">E441*F441</f>
        <v>#DIV/0!</v>
      </c>
    </row>
    <row r="442" spans="1:8" x14ac:dyDescent="0.25">
      <c r="A442" s="90" t="s">
        <v>434</v>
      </c>
      <c r="B442" s="216" t="s">
        <v>51</v>
      </c>
      <c r="C442" s="279"/>
      <c r="D442" s="98" t="s">
        <v>48</v>
      </c>
      <c r="E442" s="99">
        <v>16</v>
      </c>
      <c r="F442" s="100" t="e">
        <f>'ZMP Rate Build Up'!H204</f>
        <v>#DIV/0!</v>
      </c>
      <c r="G442" s="101" t="s">
        <v>40</v>
      </c>
      <c r="H442" s="104" t="e">
        <f t="shared" ref="H442" si="85">E442*F442</f>
        <v>#DIV/0!</v>
      </c>
    </row>
    <row r="443" spans="1:8" x14ac:dyDescent="0.25">
      <c r="A443" s="90" t="s">
        <v>435</v>
      </c>
      <c r="B443" s="216" t="s">
        <v>54</v>
      </c>
      <c r="C443" s="279"/>
      <c r="D443" s="98" t="s">
        <v>44</v>
      </c>
      <c r="E443" s="99">
        <v>80</v>
      </c>
      <c r="F443" s="100" t="e">
        <f>'ZMP Rate Build Up'!H204</f>
        <v>#DIV/0!</v>
      </c>
      <c r="G443" s="101" t="s">
        <v>40</v>
      </c>
      <c r="H443" s="104" t="e">
        <f t="shared" si="84"/>
        <v>#DIV/0!</v>
      </c>
    </row>
    <row r="444" spans="1:8" x14ac:dyDescent="0.25">
      <c r="A444" s="90" t="s">
        <v>436</v>
      </c>
      <c r="B444" s="216" t="s">
        <v>56</v>
      </c>
      <c r="C444" s="279"/>
      <c r="D444" s="99" t="s">
        <v>44</v>
      </c>
      <c r="E444" s="99">
        <v>48</v>
      </c>
      <c r="F444" s="100" t="e">
        <f>'ZMP Rate Build Up'!H204</f>
        <v>#DIV/0!</v>
      </c>
      <c r="G444" s="101" t="s">
        <v>40</v>
      </c>
      <c r="H444" s="104" t="e">
        <f t="shared" si="84"/>
        <v>#DIV/0!</v>
      </c>
    </row>
    <row r="445" spans="1:8" x14ac:dyDescent="0.25">
      <c r="A445" s="90" t="s">
        <v>437</v>
      </c>
      <c r="B445" s="216" t="s">
        <v>58</v>
      </c>
      <c r="C445" s="279"/>
      <c r="D445" s="99" t="s">
        <v>44</v>
      </c>
      <c r="E445" s="99">
        <v>1040</v>
      </c>
      <c r="F445" s="100" t="e">
        <f>'ZMP Rate Build Up'!H204</f>
        <v>#DIV/0!</v>
      </c>
      <c r="G445" s="101" t="s">
        <v>40</v>
      </c>
      <c r="H445" s="104" t="e">
        <f t="shared" si="84"/>
        <v>#DIV/0!</v>
      </c>
    </row>
    <row r="446" spans="1:8" ht="16.5" thickBot="1" x14ac:dyDescent="0.3">
      <c r="A446" s="106"/>
      <c r="B446" s="113" t="s">
        <v>59</v>
      </c>
      <c r="C446" s="280"/>
      <c r="D446" s="108"/>
      <c r="E446" s="109"/>
      <c r="F446" s="108"/>
      <c r="G446" s="108"/>
      <c r="H446" s="110" t="e">
        <f>SUM(H439:H445)</f>
        <v>#DIV/0!</v>
      </c>
    </row>
    <row r="447" spans="1:8" ht="16.5" thickTop="1" x14ac:dyDescent="0.25">
      <c r="A447" s="90" t="s">
        <v>438</v>
      </c>
      <c r="B447" s="216" t="s">
        <v>37</v>
      </c>
      <c r="C447" s="279" t="s">
        <v>181</v>
      </c>
      <c r="D447" s="98" t="s">
        <v>39</v>
      </c>
      <c r="E447" s="99">
        <v>12</v>
      </c>
      <c r="F447" s="101" t="s">
        <v>40</v>
      </c>
      <c r="G447" s="100" t="e">
        <f>'ZOB Rate Build Up'!H203</f>
        <v>#DIV/0!</v>
      </c>
      <c r="H447" s="104" t="e">
        <f>E447*G447</f>
        <v>#DIV/0!</v>
      </c>
    </row>
    <row r="448" spans="1:8" x14ac:dyDescent="0.25">
      <c r="A448" s="90" t="s">
        <v>439</v>
      </c>
      <c r="B448" s="216" t="s">
        <v>43</v>
      </c>
      <c r="C448" s="279"/>
      <c r="D448" s="98" t="s">
        <v>44</v>
      </c>
      <c r="E448" s="99">
        <v>80</v>
      </c>
      <c r="F448" s="100" t="e">
        <f>'ZOB Rate Build Up'!H204</f>
        <v>#DIV/0!</v>
      </c>
      <c r="G448" s="101" t="s">
        <v>40</v>
      </c>
      <c r="H448" s="104" t="e">
        <f>E448*F448</f>
        <v>#DIV/0!</v>
      </c>
    </row>
    <row r="449" spans="1:8" x14ac:dyDescent="0.25">
      <c r="A449" s="90" t="s">
        <v>440</v>
      </c>
      <c r="B449" s="216" t="s">
        <v>47</v>
      </c>
      <c r="C449" s="279"/>
      <c r="D449" s="98" t="s">
        <v>48</v>
      </c>
      <c r="E449" s="99">
        <v>16</v>
      </c>
      <c r="F449" s="100" t="e">
        <f>'ZOB Rate Build Up'!K204</f>
        <v>#DIV/0!</v>
      </c>
      <c r="G449" s="101" t="s">
        <v>40</v>
      </c>
      <c r="H449" s="104" t="e">
        <f t="shared" ref="H449:H453" si="86">E449*F449</f>
        <v>#DIV/0!</v>
      </c>
    </row>
    <row r="450" spans="1:8" x14ac:dyDescent="0.25">
      <c r="A450" s="90" t="s">
        <v>441</v>
      </c>
      <c r="B450" s="216" t="s">
        <v>51</v>
      </c>
      <c r="C450" s="279"/>
      <c r="D450" s="98" t="s">
        <v>48</v>
      </c>
      <c r="E450" s="99">
        <v>16</v>
      </c>
      <c r="F450" s="100" t="e">
        <f>'ZOB Rate Build Up'!H204</f>
        <v>#DIV/0!</v>
      </c>
      <c r="G450" s="101" t="s">
        <v>40</v>
      </c>
      <c r="H450" s="104" t="e">
        <f t="shared" ref="H450" si="87">E450*F450</f>
        <v>#DIV/0!</v>
      </c>
    </row>
    <row r="451" spans="1:8" x14ac:dyDescent="0.25">
      <c r="A451" s="90" t="s">
        <v>442</v>
      </c>
      <c r="B451" s="216" t="s">
        <v>54</v>
      </c>
      <c r="C451" s="279"/>
      <c r="D451" s="98" t="s">
        <v>44</v>
      </c>
      <c r="E451" s="99">
        <v>80</v>
      </c>
      <c r="F451" s="100" t="e">
        <f>'ZOB Rate Build Up'!H204</f>
        <v>#DIV/0!</v>
      </c>
      <c r="G451" s="101" t="s">
        <v>40</v>
      </c>
      <c r="H451" s="104" t="e">
        <f t="shared" si="86"/>
        <v>#DIV/0!</v>
      </c>
    </row>
    <row r="452" spans="1:8" x14ac:dyDescent="0.25">
      <c r="A452" s="90" t="s">
        <v>443</v>
      </c>
      <c r="B452" s="216" t="s">
        <v>56</v>
      </c>
      <c r="C452" s="279"/>
      <c r="D452" s="99" t="s">
        <v>44</v>
      </c>
      <c r="E452" s="99">
        <v>48</v>
      </c>
      <c r="F452" s="100" t="e">
        <f>'ZOB Rate Build Up'!H204</f>
        <v>#DIV/0!</v>
      </c>
      <c r="G452" s="101" t="s">
        <v>40</v>
      </c>
      <c r="H452" s="104" t="e">
        <f t="shared" si="86"/>
        <v>#DIV/0!</v>
      </c>
    </row>
    <row r="453" spans="1:8" x14ac:dyDescent="0.25">
      <c r="A453" s="90" t="s">
        <v>444</v>
      </c>
      <c r="B453" s="216" t="s">
        <v>58</v>
      </c>
      <c r="C453" s="279"/>
      <c r="D453" s="99" t="s">
        <v>44</v>
      </c>
      <c r="E453" s="99">
        <v>1040</v>
      </c>
      <c r="F453" s="100" t="e">
        <f>'ZOB Rate Build Up'!H204</f>
        <v>#DIV/0!</v>
      </c>
      <c r="G453" s="101" t="s">
        <v>40</v>
      </c>
      <c r="H453" s="104" t="e">
        <f t="shared" si="86"/>
        <v>#DIV/0!</v>
      </c>
    </row>
    <row r="454" spans="1:8" ht="16.5" thickBot="1" x14ac:dyDescent="0.3">
      <c r="A454" s="106"/>
      <c r="B454" s="107" t="s">
        <v>59</v>
      </c>
      <c r="C454" s="280"/>
      <c r="D454" s="108"/>
      <c r="E454" s="109"/>
      <c r="F454" s="108"/>
      <c r="G454" s="108"/>
      <c r="H454" s="110" t="e">
        <f>SUM(H447:H453)</f>
        <v>#DIV/0!</v>
      </c>
    </row>
    <row r="455" spans="1:8" ht="17.25" thickTop="1" thickBot="1" x14ac:dyDescent="0.3"/>
    <row r="456" spans="1:8" ht="48" thickBot="1" x14ac:dyDescent="0.3">
      <c r="A456" s="220" t="s">
        <v>27</v>
      </c>
      <c r="B456" s="221" t="s">
        <v>28</v>
      </c>
      <c r="C456" s="222" t="s">
        <v>29</v>
      </c>
      <c r="D456" s="222" t="s">
        <v>30</v>
      </c>
      <c r="E456" s="88" t="s">
        <v>31</v>
      </c>
      <c r="F456" s="222" t="s">
        <v>32</v>
      </c>
      <c r="G456" s="222" t="s">
        <v>33</v>
      </c>
      <c r="H456" s="223" t="s">
        <v>34</v>
      </c>
    </row>
    <row r="457" spans="1:8" ht="16.5" thickBot="1" x14ac:dyDescent="0.3">
      <c r="A457" s="251" t="s">
        <v>445</v>
      </c>
      <c r="B457" s="225" t="s">
        <v>37</v>
      </c>
      <c r="C457" s="281"/>
      <c r="D457" s="226" t="s">
        <v>39</v>
      </c>
      <c r="E457" s="254" t="s">
        <v>40</v>
      </c>
      <c r="F457" s="226" t="s">
        <v>40</v>
      </c>
      <c r="G457" s="228" t="e">
        <f>H457/12</f>
        <v>#DIV/0!</v>
      </c>
      <c r="H457" s="250" t="e">
        <f t="shared" ref="H457:H463" si="88">H313+H321+H329+H337+H345+H353+H364+H372+H380+H388+H396+H404+H412+H423+H431+H439+H447</f>
        <v>#DIV/0!</v>
      </c>
    </row>
    <row r="458" spans="1:8" ht="16.5" thickBot="1" x14ac:dyDescent="0.3">
      <c r="A458" s="251" t="s">
        <v>446</v>
      </c>
      <c r="B458" s="225" t="s">
        <v>43</v>
      </c>
      <c r="C458" s="281"/>
      <c r="D458" s="226" t="s">
        <v>44</v>
      </c>
      <c r="E458" s="226" t="s">
        <v>40</v>
      </c>
      <c r="F458" s="226" t="s">
        <v>40</v>
      </c>
      <c r="G458" s="255" t="s">
        <v>40</v>
      </c>
      <c r="H458" s="250" t="e">
        <f t="shared" si="88"/>
        <v>#DIV/0!</v>
      </c>
    </row>
    <row r="459" spans="1:8" ht="16.5" thickBot="1" x14ac:dyDescent="0.3">
      <c r="A459" s="251" t="s">
        <v>447</v>
      </c>
      <c r="B459" s="225" t="s">
        <v>47</v>
      </c>
      <c r="C459" s="281"/>
      <c r="D459" s="226" t="s">
        <v>48</v>
      </c>
      <c r="E459" s="226" t="s">
        <v>40</v>
      </c>
      <c r="F459" s="226" t="s">
        <v>40</v>
      </c>
      <c r="G459" s="255" t="s">
        <v>40</v>
      </c>
      <c r="H459" s="250" t="e">
        <f t="shared" si="88"/>
        <v>#DIV/0!</v>
      </c>
    </row>
    <row r="460" spans="1:8" ht="16.5" thickBot="1" x14ac:dyDescent="0.3">
      <c r="A460" s="251" t="s">
        <v>448</v>
      </c>
      <c r="B460" s="225" t="s">
        <v>51</v>
      </c>
      <c r="C460" s="281"/>
      <c r="D460" s="226" t="s">
        <v>48</v>
      </c>
      <c r="E460" s="226" t="s">
        <v>40</v>
      </c>
      <c r="F460" s="226" t="s">
        <v>40</v>
      </c>
      <c r="G460" s="255" t="s">
        <v>40</v>
      </c>
      <c r="H460" s="250" t="e">
        <f t="shared" si="88"/>
        <v>#DIV/0!</v>
      </c>
    </row>
    <row r="461" spans="1:8" ht="16.5" thickBot="1" x14ac:dyDescent="0.3">
      <c r="A461" s="251" t="s">
        <v>449</v>
      </c>
      <c r="B461" s="225" t="s">
        <v>54</v>
      </c>
      <c r="C461" s="281"/>
      <c r="D461" s="226" t="s">
        <v>44</v>
      </c>
      <c r="E461" s="226" t="s">
        <v>40</v>
      </c>
      <c r="F461" s="226" t="s">
        <v>40</v>
      </c>
      <c r="G461" s="255" t="s">
        <v>40</v>
      </c>
      <c r="H461" s="250" t="e">
        <f t="shared" si="88"/>
        <v>#DIV/0!</v>
      </c>
    </row>
    <row r="462" spans="1:8" ht="16.5" thickBot="1" x14ac:dyDescent="0.3">
      <c r="A462" s="251" t="s">
        <v>450</v>
      </c>
      <c r="B462" s="225" t="s">
        <v>56</v>
      </c>
      <c r="C462" s="281"/>
      <c r="D462" s="229" t="s">
        <v>44</v>
      </c>
      <c r="E462" s="226" t="s">
        <v>40</v>
      </c>
      <c r="F462" s="226" t="s">
        <v>40</v>
      </c>
      <c r="G462" s="226" t="s">
        <v>40</v>
      </c>
      <c r="H462" s="250" t="e">
        <f t="shared" si="88"/>
        <v>#DIV/0!</v>
      </c>
    </row>
    <row r="463" spans="1:8" x14ac:dyDescent="0.25">
      <c r="A463" s="251" t="s">
        <v>451</v>
      </c>
      <c r="B463" s="225" t="s">
        <v>58</v>
      </c>
      <c r="C463" s="281"/>
      <c r="D463" s="229" t="s">
        <v>44</v>
      </c>
      <c r="E463" s="226" t="s">
        <v>40</v>
      </c>
      <c r="F463" s="226" t="s">
        <v>40</v>
      </c>
      <c r="G463" s="226" t="s">
        <v>40</v>
      </c>
      <c r="H463" s="250" t="e">
        <f t="shared" si="88"/>
        <v>#DIV/0!</v>
      </c>
    </row>
    <row r="464" spans="1:8" ht="16.5" thickBot="1" x14ac:dyDescent="0.3">
      <c r="A464" s="251" t="s">
        <v>452</v>
      </c>
      <c r="B464" s="233" t="s">
        <v>59</v>
      </c>
      <c r="C464" s="282"/>
      <c r="D464" s="252"/>
      <c r="E464" s="252"/>
      <c r="F464" s="252"/>
      <c r="G464" s="252"/>
      <c r="H464" s="236" t="e">
        <f>SUM(H457:H463)</f>
        <v>#DIV/0!</v>
      </c>
    </row>
    <row r="465" spans="1:8" x14ac:dyDescent="0.25">
      <c r="A465" s="237"/>
      <c r="B465" s="238"/>
      <c r="C465" s="239"/>
      <c r="D465" s="256"/>
      <c r="E465" s="256"/>
      <c r="F465" s="256"/>
      <c r="G465" s="256"/>
      <c r="H465" s="241"/>
    </row>
    <row r="466" spans="1:8" ht="16.5" thickBot="1" x14ac:dyDescent="0.3">
      <c r="A466" s="242" t="s">
        <v>841</v>
      </c>
      <c r="B466" s="80"/>
      <c r="C466" s="243"/>
      <c r="H466" s="257" t="s">
        <v>453</v>
      </c>
    </row>
    <row r="467" spans="1:8" ht="48" thickBot="1" x14ac:dyDescent="0.3">
      <c r="A467" s="84" t="s">
        <v>27</v>
      </c>
      <c r="B467" s="85" t="s">
        <v>28</v>
      </c>
      <c r="C467" s="86" t="s">
        <v>29</v>
      </c>
      <c r="D467" s="87" t="s">
        <v>30</v>
      </c>
      <c r="E467" s="88" t="s">
        <v>31</v>
      </c>
      <c r="F467" s="87" t="s">
        <v>32</v>
      </c>
      <c r="G467" s="87" t="s">
        <v>33</v>
      </c>
      <c r="H467" s="89" t="s">
        <v>34</v>
      </c>
    </row>
    <row r="468" spans="1:8" x14ac:dyDescent="0.25">
      <c r="A468" s="90" t="s">
        <v>454</v>
      </c>
      <c r="B468" s="91" t="s">
        <v>37</v>
      </c>
      <c r="C468" s="279" t="s">
        <v>38</v>
      </c>
      <c r="D468" s="92" t="s">
        <v>39</v>
      </c>
      <c r="E468" s="93">
        <v>12</v>
      </c>
      <c r="F468" s="94" t="s">
        <v>40</v>
      </c>
      <c r="G468" s="95" t="e">
        <f>'C90 Rate Build Up'!H271</f>
        <v>#DIV/0!</v>
      </c>
      <c r="H468" s="118" t="e">
        <f>E468*G468</f>
        <v>#DIV/0!</v>
      </c>
    </row>
    <row r="469" spans="1:8" x14ac:dyDescent="0.25">
      <c r="A469" s="90" t="s">
        <v>455</v>
      </c>
      <c r="B469" s="97" t="s">
        <v>43</v>
      </c>
      <c r="C469" s="279"/>
      <c r="D469" s="98" t="s">
        <v>44</v>
      </c>
      <c r="E469" s="99">
        <v>80</v>
      </c>
      <c r="F469" s="100" t="e">
        <f>'C90 Rate Build Up'!$H$272</f>
        <v>#DIV/0!</v>
      </c>
      <c r="G469" s="101" t="s">
        <v>40</v>
      </c>
      <c r="H469" s="104" t="e">
        <f>E469*F469</f>
        <v>#DIV/0!</v>
      </c>
    </row>
    <row r="470" spans="1:8" x14ac:dyDescent="0.25">
      <c r="A470" s="90" t="s">
        <v>456</v>
      </c>
      <c r="B470" s="97" t="s">
        <v>47</v>
      </c>
      <c r="C470" s="279"/>
      <c r="D470" s="98" t="s">
        <v>48</v>
      </c>
      <c r="E470" s="99">
        <v>16</v>
      </c>
      <c r="F470" s="100" t="e">
        <f>'C90 Rate Build Up'!$K$272</f>
        <v>#DIV/0!</v>
      </c>
      <c r="G470" s="101" t="s">
        <v>40</v>
      </c>
      <c r="H470" s="104" t="e">
        <f t="shared" ref="H470:H474" si="89">E470*F470</f>
        <v>#DIV/0!</v>
      </c>
    </row>
    <row r="471" spans="1:8" x14ac:dyDescent="0.25">
      <c r="A471" s="90" t="s">
        <v>457</v>
      </c>
      <c r="B471" s="216" t="s">
        <v>51</v>
      </c>
      <c r="C471" s="279"/>
      <c r="D471" s="98" t="s">
        <v>48</v>
      </c>
      <c r="E471" s="99">
        <v>16</v>
      </c>
      <c r="F471" s="100" t="e">
        <f>'C90 Rate Build Up'!$H$272</f>
        <v>#DIV/0!</v>
      </c>
      <c r="G471" s="101" t="s">
        <v>40</v>
      </c>
      <c r="H471" s="104" t="e">
        <f t="shared" ref="H471" si="90">E471*F471</f>
        <v>#DIV/0!</v>
      </c>
    </row>
    <row r="472" spans="1:8" x14ac:dyDescent="0.25">
      <c r="A472" s="90" t="s">
        <v>458</v>
      </c>
      <c r="B472" s="97" t="s">
        <v>54</v>
      </c>
      <c r="C472" s="279"/>
      <c r="D472" s="98" t="s">
        <v>44</v>
      </c>
      <c r="E472" s="99">
        <v>80</v>
      </c>
      <c r="F472" s="100" t="e">
        <f>'C90 Rate Build Up'!$H$272</f>
        <v>#DIV/0!</v>
      </c>
      <c r="G472" s="101" t="s">
        <v>40</v>
      </c>
      <c r="H472" s="104" t="e">
        <f t="shared" si="89"/>
        <v>#DIV/0!</v>
      </c>
    </row>
    <row r="473" spans="1:8" x14ac:dyDescent="0.25">
      <c r="A473" s="90" t="s">
        <v>459</v>
      </c>
      <c r="B473" s="97" t="s">
        <v>56</v>
      </c>
      <c r="C473" s="279"/>
      <c r="D473" s="99" t="s">
        <v>44</v>
      </c>
      <c r="E473" s="99">
        <v>48</v>
      </c>
      <c r="F473" s="100" t="e">
        <f>'C90 Rate Build Up'!$H$272</f>
        <v>#DIV/0!</v>
      </c>
      <c r="G473" s="101" t="s">
        <v>40</v>
      </c>
      <c r="H473" s="104" t="e">
        <f t="shared" si="89"/>
        <v>#DIV/0!</v>
      </c>
    </row>
    <row r="474" spans="1:8" x14ac:dyDescent="0.25">
      <c r="A474" s="90" t="s">
        <v>460</v>
      </c>
      <c r="B474" s="105" t="s">
        <v>58</v>
      </c>
      <c r="C474" s="279"/>
      <c r="D474" s="99" t="s">
        <v>44</v>
      </c>
      <c r="E474" s="99">
        <v>1040</v>
      </c>
      <c r="F474" s="100" t="e">
        <f>'C90 Rate Build Up'!$H$272</f>
        <v>#DIV/0!</v>
      </c>
      <c r="G474" s="101" t="s">
        <v>40</v>
      </c>
      <c r="H474" s="104" t="e">
        <f t="shared" si="89"/>
        <v>#DIV/0!</v>
      </c>
    </row>
    <row r="475" spans="1:8" ht="16.5" thickBot="1" x14ac:dyDescent="0.3">
      <c r="A475" s="106"/>
      <c r="B475" s="113" t="s">
        <v>59</v>
      </c>
      <c r="C475" s="283"/>
      <c r="D475" s="108"/>
      <c r="E475" s="109"/>
      <c r="F475" s="108"/>
      <c r="G475" s="108"/>
      <c r="H475" s="110" t="e">
        <f>SUM(H468:H474)</f>
        <v>#DIV/0!</v>
      </c>
    </row>
    <row r="476" spans="1:8" ht="16.5" thickTop="1" x14ac:dyDescent="0.25">
      <c r="A476" s="90" t="s">
        <v>461</v>
      </c>
      <c r="B476" s="216" t="s">
        <v>37</v>
      </c>
      <c r="C476" s="279" t="s">
        <v>61</v>
      </c>
      <c r="D476" s="98" t="s">
        <v>39</v>
      </c>
      <c r="E476" s="99">
        <v>12</v>
      </c>
      <c r="F476" s="101" t="s">
        <v>40</v>
      </c>
      <c r="G476" s="100" t="e">
        <f>'D10 Rate Build Up'!H271</f>
        <v>#DIV/0!</v>
      </c>
      <c r="H476" s="104" t="e">
        <f>E476*G476</f>
        <v>#DIV/0!</v>
      </c>
    </row>
    <row r="477" spans="1:8" x14ac:dyDescent="0.25">
      <c r="A477" s="90" t="s">
        <v>462</v>
      </c>
      <c r="B477" s="216" t="s">
        <v>43</v>
      </c>
      <c r="C477" s="279"/>
      <c r="D477" s="98" t="s">
        <v>44</v>
      </c>
      <c r="E477" s="99">
        <v>80</v>
      </c>
      <c r="F477" s="100" t="e">
        <f>'D10 Rate Build Up'!H272</f>
        <v>#DIV/0!</v>
      </c>
      <c r="G477" s="101" t="s">
        <v>40</v>
      </c>
      <c r="H477" s="104" t="e">
        <f>E477*F477</f>
        <v>#DIV/0!</v>
      </c>
    </row>
    <row r="478" spans="1:8" x14ac:dyDescent="0.25">
      <c r="A478" s="90" t="s">
        <v>463</v>
      </c>
      <c r="B478" s="216" t="s">
        <v>47</v>
      </c>
      <c r="C478" s="279"/>
      <c r="D478" s="98" t="s">
        <v>48</v>
      </c>
      <c r="E478" s="99">
        <v>16</v>
      </c>
      <c r="F478" s="100" t="e">
        <f>'D10 Rate Build Up'!K272</f>
        <v>#DIV/0!</v>
      </c>
      <c r="G478" s="101" t="s">
        <v>40</v>
      </c>
      <c r="H478" s="104" t="e">
        <f t="shared" ref="H478:H482" si="91">E478*F478</f>
        <v>#DIV/0!</v>
      </c>
    </row>
    <row r="479" spans="1:8" x14ac:dyDescent="0.25">
      <c r="A479" s="90" t="s">
        <v>464</v>
      </c>
      <c r="B479" s="216" t="s">
        <v>51</v>
      </c>
      <c r="C479" s="279"/>
      <c r="D479" s="98" t="s">
        <v>48</v>
      </c>
      <c r="E479" s="99">
        <v>16</v>
      </c>
      <c r="F479" s="100" t="e">
        <f>'D10 Rate Build Up'!H272</f>
        <v>#DIV/0!</v>
      </c>
      <c r="G479" s="101" t="s">
        <v>40</v>
      </c>
      <c r="H479" s="104" t="e">
        <f t="shared" ref="H479" si="92">E479*F479</f>
        <v>#DIV/0!</v>
      </c>
    </row>
    <row r="480" spans="1:8" x14ac:dyDescent="0.25">
      <c r="A480" s="90" t="s">
        <v>465</v>
      </c>
      <c r="B480" s="216" t="s">
        <v>54</v>
      </c>
      <c r="C480" s="279"/>
      <c r="D480" s="98" t="s">
        <v>44</v>
      </c>
      <c r="E480" s="99">
        <v>80</v>
      </c>
      <c r="F480" s="100" t="e">
        <f>'D10 Rate Build Up'!H272</f>
        <v>#DIV/0!</v>
      </c>
      <c r="G480" s="101" t="s">
        <v>40</v>
      </c>
      <c r="H480" s="104" t="e">
        <f t="shared" si="91"/>
        <v>#DIV/0!</v>
      </c>
    </row>
    <row r="481" spans="1:8" x14ac:dyDescent="0.25">
      <c r="A481" s="90" t="s">
        <v>466</v>
      </c>
      <c r="B481" s="216" t="s">
        <v>56</v>
      </c>
      <c r="C481" s="279"/>
      <c r="D481" s="99" t="s">
        <v>44</v>
      </c>
      <c r="E481" s="99">
        <v>48</v>
      </c>
      <c r="F481" s="100" t="e">
        <f>'D10 Rate Build Up'!H272</f>
        <v>#DIV/0!</v>
      </c>
      <c r="G481" s="101" t="s">
        <v>40</v>
      </c>
      <c r="H481" s="104" t="e">
        <f t="shared" si="91"/>
        <v>#DIV/0!</v>
      </c>
    </row>
    <row r="482" spans="1:8" x14ac:dyDescent="0.25">
      <c r="A482" s="90" t="s">
        <v>467</v>
      </c>
      <c r="B482" s="216" t="s">
        <v>58</v>
      </c>
      <c r="C482" s="279"/>
      <c r="D482" s="99" t="s">
        <v>44</v>
      </c>
      <c r="E482" s="99">
        <v>1040</v>
      </c>
      <c r="F482" s="100" t="e">
        <f>'D10 Rate Build Up'!H272</f>
        <v>#DIV/0!</v>
      </c>
      <c r="G482" s="101" t="s">
        <v>40</v>
      </c>
      <c r="H482" s="104" t="e">
        <f t="shared" si="91"/>
        <v>#DIV/0!</v>
      </c>
    </row>
    <row r="483" spans="1:8" ht="16.5" thickBot="1" x14ac:dyDescent="0.3">
      <c r="A483" s="106"/>
      <c r="B483" s="113" t="s">
        <v>59</v>
      </c>
      <c r="C483" s="280"/>
      <c r="D483" s="108"/>
      <c r="E483" s="109"/>
      <c r="F483" s="108"/>
      <c r="G483" s="108"/>
      <c r="H483" s="110" t="e">
        <f>SUM(H476:H482)</f>
        <v>#DIV/0!</v>
      </c>
    </row>
    <row r="484" spans="1:8" ht="16.5" thickTop="1" x14ac:dyDescent="0.25">
      <c r="A484" s="90" t="s">
        <v>468</v>
      </c>
      <c r="B484" s="216" t="s">
        <v>37</v>
      </c>
      <c r="C484" s="279" t="s">
        <v>69</v>
      </c>
      <c r="D484" s="98" t="s">
        <v>39</v>
      </c>
      <c r="E484" s="99">
        <v>12</v>
      </c>
      <c r="F484" s="101" t="s">
        <v>40</v>
      </c>
      <c r="G484" s="100" t="e">
        <f>'DFW ATCT-E Rate Build Up'!H271</f>
        <v>#DIV/0!</v>
      </c>
      <c r="H484" s="104" t="e">
        <f>E484*G484</f>
        <v>#DIV/0!</v>
      </c>
    </row>
    <row r="485" spans="1:8" x14ac:dyDescent="0.25">
      <c r="A485" s="90" t="s">
        <v>469</v>
      </c>
      <c r="B485" s="216" t="s">
        <v>43</v>
      </c>
      <c r="C485" s="279"/>
      <c r="D485" s="98" t="s">
        <v>44</v>
      </c>
      <c r="E485" s="99">
        <v>80</v>
      </c>
      <c r="F485" s="100" t="e">
        <f>'DFW ATCT-E Rate Build Up'!H272</f>
        <v>#DIV/0!</v>
      </c>
      <c r="G485" s="101" t="s">
        <v>40</v>
      </c>
      <c r="H485" s="104" t="e">
        <f>E485*F485</f>
        <v>#DIV/0!</v>
      </c>
    </row>
    <row r="486" spans="1:8" x14ac:dyDescent="0.25">
      <c r="A486" s="90" t="s">
        <v>470</v>
      </c>
      <c r="B486" s="216" t="s">
        <v>47</v>
      </c>
      <c r="C486" s="279"/>
      <c r="D486" s="98" t="s">
        <v>48</v>
      </c>
      <c r="E486" s="99">
        <v>16</v>
      </c>
      <c r="F486" s="100" t="e">
        <f>'DFW ATCT-E Rate Build Up'!K272</f>
        <v>#DIV/0!</v>
      </c>
      <c r="G486" s="101" t="s">
        <v>40</v>
      </c>
      <c r="H486" s="104" t="e">
        <f t="shared" ref="H486:H490" si="93">E486*F486</f>
        <v>#DIV/0!</v>
      </c>
    </row>
    <row r="487" spans="1:8" x14ac:dyDescent="0.25">
      <c r="A487" s="90" t="s">
        <v>471</v>
      </c>
      <c r="B487" s="216" t="s">
        <v>51</v>
      </c>
      <c r="C487" s="279"/>
      <c r="D487" s="98" t="s">
        <v>48</v>
      </c>
      <c r="E487" s="99">
        <v>16</v>
      </c>
      <c r="F487" s="100" t="e">
        <f>'DFW ATCT-E Rate Build Up'!H272</f>
        <v>#DIV/0!</v>
      </c>
      <c r="G487" s="101" t="s">
        <v>40</v>
      </c>
      <c r="H487" s="104" t="e">
        <f t="shared" ref="H487" si="94">E487*F487</f>
        <v>#DIV/0!</v>
      </c>
    </row>
    <row r="488" spans="1:8" x14ac:dyDescent="0.25">
      <c r="A488" s="90" t="s">
        <v>472</v>
      </c>
      <c r="B488" s="216" t="s">
        <v>54</v>
      </c>
      <c r="C488" s="279"/>
      <c r="D488" s="98" t="s">
        <v>44</v>
      </c>
      <c r="E488" s="99">
        <v>80</v>
      </c>
      <c r="F488" s="100" t="e">
        <f>'DFW ATCT-E Rate Build Up'!H272</f>
        <v>#DIV/0!</v>
      </c>
      <c r="G488" s="101" t="s">
        <v>40</v>
      </c>
      <c r="H488" s="104" t="e">
        <f t="shared" si="93"/>
        <v>#DIV/0!</v>
      </c>
    </row>
    <row r="489" spans="1:8" x14ac:dyDescent="0.25">
      <c r="A489" s="90" t="s">
        <v>473</v>
      </c>
      <c r="B489" s="216" t="s">
        <v>56</v>
      </c>
      <c r="C489" s="279"/>
      <c r="D489" s="99" t="s">
        <v>44</v>
      </c>
      <c r="E489" s="99">
        <v>48</v>
      </c>
      <c r="F489" s="100" t="e">
        <f>'DFW ATCT-E Rate Build Up'!H272</f>
        <v>#DIV/0!</v>
      </c>
      <c r="G489" s="101" t="s">
        <v>40</v>
      </c>
      <c r="H489" s="104" t="e">
        <f t="shared" si="93"/>
        <v>#DIV/0!</v>
      </c>
    </row>
    <row r="490" spans="1:8" x14ac:dyDescent="0.25">
      <c r="A490" s="90" t="s">
        <v>474</v>
      </c>
      <c r="B490" s="216" t="s">
        <v>58</v>
      </c>
      <c r="C490" s="279"/>
      <c r="D490" s="99" t="s">
        <v>44</v>
      </c>
      <c r="E490" s="99">
        <v>1040</v>
      </c>
      <c r="F490" s="100" t="e">
        <f>'DFW ATCT-E Rate Build Up'!H272</f>
        <v>#DIV/0!</v>
      </c>
      <c r="G490" s="101" t="s">
        <v>40</v>
      </c>
      <c r="H490" s="104" t="e">
        <f t="shared" si="93"/>
        <v>#DIV/0!</v>
      </c>
    </row>
    <row r="491" spans="1:8" ht="16.5" thickBot="1" x14ac:dyDescent="0.3">
      <c r="A491" s="106"/>
      <c r="B491" s="113" t="s">
        <v>59</v>
      </c>
      <c r="C491" s="280"/>
      <c r="D491" s="108"/>
      <c r="E491" s="109"/>
      <c r="F491" s="108"/>
      <c r="G491" s="108"/>
      <c r="H491" s="110" t="e">
        <f>SUM(H484:H490)</f>
        <v>#DIV/0!</v>
      </c>
    </row>
    <row r="492" spans="1:8" ht="16.5" thickTop="1" x14ac:dyDescent="0.25">
      <c r="A492" s="90" t="s">
        <v>475</v>
      </c>
      <c r="B492" s="216" t="s">
        <v>37</v>
      </c>
      <c r="C492" s="279" t="s">
        <v>77</v>
      </c>
      <c r="D492" s="98" t="s">
        <v>39</v>
      </c>
      <c r="E492" s="99">
        <v>12</v>
      </c>
      <c r="F492" s="101" t="s">
        <v>40</v>
      </c>
      <c r="G492" s="100" t="e">
        <f>'DFW ATCT-W Rate Build Up'!H271</f>
        <v>#DIV/0!</v>
      </c>
      <c r="H492" s="104" t="e">
        <f>E492*G492</f>
        <v>#DIV/0!</v>
      </c>
    </row>
    <row r="493" spans="1:8" x14ac:dyDescent="0.25">
      <c r="A493" s="90" t="s">
        <v>476</v>
      </c>
      <c r="B493" s="216" t="s">
        <v>43</v>
      </c>
      <c r="C493" s="279"/>
      <c r="D493" s="98" t="s">
        <v>44</v>
      </c>
      <c r="E493" s="99">
        <v>80</v>
      </c>
      <c r="F493" s="100" t="e">
        <f>'DFW ATCT-W Rate Build Up'!H272</f>
        <v>#DIV/0!</v>
      </c>
      <c r="G493" s="101" t="s">
        <v>40</v>
      </c>
      <c r="H493" s="104" t="e">
        <f>E493*F493</f>
        <v>#DIV/0!</v>
      </c>
    </row>
    <row r="494" spans="1:8" x14ac:dyDescent="0.25">
      <c r="A494" s="90" t="s">
        <v>477</v>
      </c>
      <c r="B494" s="216" t="s">
        <v>47</v>
      </c>
      <c r="C494" s="279"/>
      <c r="D494" s="98" t="s">
        <v>48</v>
      </c>
      <c r="E494" s="99">
        <v>16</v>
      </c>
      <c r="F494" s="100" t="e">
        <f>'DFW ATCT-W Rate Build Up'!K272</f>
        <v>#DIV/0!</v>
      </c>
      <c r="G494" s="101" t="s">
        <v>40</v>
      </c>
      <c r="H494" s="104" t="e">
        <f t="shared" ref="H494:H498" si="95">E494*F494</f>
        <v>#DIV/0!</v>
      </c>
    </row>
    <row r="495" spans="1:8" x14ac:dyDescent="0.25">
      <c r="A495" s="90" t="s">
        <v>478</v>
      </c>
      <c r="B495" s="216" t="s">
        <v>51</v>
      </c>
      <c r="C495" s="279"/>
      <c r="D495" s="98" t="s">
        <v>48</v>
      </c>
      <c r="E495" s="99">
        <v>16</v>
      </c>
      <c r="F495" s="100" t="e">
        <f>'DFW ATCT-W Rate Build Up'!H272</f>
        <v>#DIV/0!</v>
      </c>
      <c r="G495" s="101" t="s">
        <v>40</v>
      </c>
      <c r="H495" s="104" t="e">
        <f t="shared" ref="H495" si="96">E495*F495</f>
        <v>#DIV/0!</v>
      </c>
    </row>
    <row r="496" spans="1:8" x14ac:dyDescent="0.25">
      <c r="A496" s="90" t="s">
        <v>479</v>
      </c>
      <c r="B496" s="216" t="s">
        <v>54</v>
      </c>
      <c r="C496" s="279"/>
      <c r="D496" s="98" t="s">
        <v>44</v>
      </c>
      <c r="E496" s="99">
        <v>80</v>
      </c>
      <c r="F496" s="100" t="e">
        <f>'DFW ATCT-W Rate Build Up'!H272</f>
        <v>#DIV/0!</v>
      </c>
      <c r="G496" s="101" t="s">
        <v>40</v>
      </c>
      <c r="H496" s="104" t="e">
        <f t="shared" si="95"/>
        <v>#DIV/0!</v>
      </c>
    </row>
    <row r="497" spans="1:8" x14ac:dyDescent="0.25">
      <c r="A497" s="90" t="s">
        <v>480</v>
      </c>
      <c r="B497" s="216" t="s">
        <v>56</v>
      </c>
      <c r="C497" s="279"/>
      <c r="D497" s="99" t="s">
        <v>44</v>
      </c>
      <c r="E497" s="99">
        <v>48</v>
      </c>
      <c r="F497" s="100" t="e">
        <f>'DFW ATCT-W Rate Build Up'!H272</f>
        <v>#DIV/0!</v>
      </c>
      <c r="G497" s="101" t="s">
        <v>40</v>
      </c>
      <c r="H497" s="104" t="e">
        <f t="shared" si="95"/>
        <v>#DIV/0!</v>
      </c>
    </row>
    <row r="498" spans="1:8" x14ac:dyDescent="0.25">
      <c r="A498" s="90" t="s">
        <v>481</v>
      </c>
      <c r="B498" s="216" t="s">
        <v>58</v>
      </c>
      <c r="C498" s="279"/>
      <c r="D498" s="99" t="s">
        <v>44</v>
      </c>
      <c r="E498" s="99">
        <v>1040</v>
      </c>
      <c r="F498" s="100" t="e">
        <f>'DFW ATCT-W Rate Build Up'!H272</f>
        <v>#DIV/0!</v>
      </c>
      <c r="G498" s="101" t="s">
        <v>40</v>
      </c>
      <c r="H498" s="104" t="e">
        <f t="shared" si="95"/>
        <v>#DIV/0!</v>
      </c>
    </row>
    <row r="499" spans="1:8" ht="16.5" thickBot="1" x14ac:dyDescent="0.3">
      <c r="A499" s="106"/>
      <c r="B499" s="113" t="s">
        <v>59</v>
      </c>
      <c r="C499" s="280"/>
      <c r="D499" s="108"/>
      <c r="E499" s="109"/>
      <c r="F499" s="108"/>
      <c r="G499" s="108"/>
      <c r="H499" s="110" t="e">
        <f>SUM(H492:H498)</f>
        <v>#DIV/0!</v>
      </c>
    </row>
    <row r="500" spans="1:8" ht="16.5" thickTop="1" x14ac:dyDescent="0.25">
      <c r="A500" s="114">
        <v>30051</v>
      </c>
      <c r="B500" s="216" t="s">
        <v>37</v>
      </c>
      <c r="C500" s="279" t="s">
        <v>85</v>
      </c>
      <c r="D500" s="98" t="s">
        <v>39</v>
      </c>
      <c r="E500" s="99">
        <v>12</v>
      </c>
      <c r="F500" s="101" t="s">
        <v>40</v>
      </c>
      <c r="G500" s="100" t="e">
        <f>'DTW Rate Build Up'!H271</f>
        <v>#DIV/0!</v>
      </c>
      <c r="H500" s="104" t="e">
        <f>E500*G500</f>
        <v>#DIV/0!</v>
      </c>
    </row>
    <row r="501" spans="1:8" x14ac:dyDescent="0.25">
      <c r="A501" s="115">
        <v>30052</v>
      </c>
      <c r="B501" s="216" t="s">
        <v>43</v>
      </c>
      <c r="C501" s="279"/>
      <c r="D501" s="98" t="s">
        <v>44</v>
      </c>
      <c r="E501" s="99">
        <v>80</v>
      </c>
      <c r="F501" s="100" t="e">
        <f>'DTW Rate Build Up'!H272</f>
        <v>#DIV/0!</v>
      </c>
      <c r="G501" s="101" t="s">
        <v>40</v>
      </c>
      <c r="H501" s="104" t="e">
        <f>E501*F501</f>
        <v>#DIV/0!</v>
      </c>
    </row>
    <row r="502" spans="1:8" x14ac:dyDescent="0.25">
      <c r="A502" s="115">
        <v>30053</v>
      </c>
      <c r="B502" s="216" t="s">
        <v>47</v>
      </c>
      <c r="C502" s="279"/>
      <c r="D502" s="98" t="s">
        <v>48</v>
      </c>
      <c r="E502" s="99">
        <v>16</v>
      </c>
      <c r="F502" s="100" t="e">
        <f>'DTW Rate Build Up'!K272</f>
        <v>#DIV/0!</v>
      </c>
      <c r="G502" s="101" t="s">
        <v>40</v>
      </c>
      <c r="H502" s="104" t="e">
        <f t="shared" ref="H502:H506" si="97">E502*F502</f>
        <v>#DIV/0!</v>
      </c>
    </row>
    <row r="503" spans="1:8" x14ac:dyDescent="0.25">
      <c r="A503" s="114">
        <v>30054</v>
      </c>
      <c r="B503" s="216" t="s">
        <v>51</v>
      </c>
      <c r="C503" s="279"/>
      <c r="D503" s="98" t="s">
        <v>48</v>
      </c>
      <c r="E503" s="99">
        <v>16</v>
      </c>
      <c r="F503" s="100" t="e">
        <f>'DTW Rate Build Up'!H272</f>
        <v>#DIV/0!</v>
      </c>
      <c r="G503" s="101" t="s">
        <v>40</v>
      </c>
      <c r="H503" s="104" t="e">
        <f t="shared" ref="H503" si="98">E503*F503</f>
        <v>#DIV/0!</v>
      </c>
    </row>
    <row r="504" spans="1:8" x14ac:dyDescent="0.25">
      <c r="A504" s="115">
        <v>30055</v>
      </c>
      <c r="B504" s="216" t="s">
        <v>54</v>
      </c>
      <c r="C504" s="279"/>
      <c r="D504" s="98" t="s">
        <v>44</v>
      </c>
      <c r="E504" s="99">
        <v>80</v>
      </c>
      <c r="F504" s="100" t="e">
        <f>'DTW Rate Build Up'!H272</f>
        <v>#DIV/0!</v>
      </c>
      <c r="G504" s="101" t="s">
        <v>40</v>
      </c>
      <c r="H504" s="104" t="e">
        <f t="shared" si="97"/>
        <v>#DIV/0!</v>
      </c>
    </row>
    <row r="505" spans="1:8" x14ac:dyDescent="0.25">
      <c r="A505" s="115">
        <v>30056</v>
      </c>
      <c r="B505" s="216" t="s">
        <v>56</v>
      </c>
      <c r="C505" s="279"/>
      <c r="D505" s="99" t="s">
        <v>44</v>
      </c>
      <c r="E505" s="99">
        <v>48</v>
      </c>
      <c r="F505" s="100" t="e">
        <f>'DTW Rate Build Up'!H272</f>
        <v>#DIV/0!</v>
      </c>
      <c r="G505" s="101" t="s">
        <v>40</v>
      </c>
      <c r="H505" s="104" t="e">
        <f t="shared" si="97"/>
        <v>#DIV/0!</v>
      </c>
    </row>
    <row r="506" spans="1:8" x14ac:dyDescent="0.25">
      <c r="A506" s="114">
        <v>30057</v>
      </c>
      <c r="B506" s="216" t="s">
        <v>58</v>
      </c>
      <c r="C506" s="279"/>
      <c r="D506" s="99" t="s">
        <v>44</v>
      </c>
      <c r="E506" s="99">
        <v>1040</v>
      </c>
      <c r="F506" s="100" t="e">
        <f>'DTW Rate Build Up'!H272</f>
        <v>#DIV/0!</v>
      </c>
      <c r="G506" s="101" t="s">
        <v>40</v>
      </c>
      <c r="H506" s="104" t="e">
        <f t="shared" si="97"/>
        <v>#DIV/0!</v>
      </c>
    </row>
    <row r="507" spans="1:8" ht="16.5" thickBot="1" x14ac:dyDescent="0.3">
      <c r="A507" s="106"/>
      <c r="B507" s="258" t="s">
        <v>59</v>
      </c>
      <c r="C507" s="280"/>
      <c r="D507" s="259"/>
      <c r="E507" s="109"/>
      <c r="F507" s="108"/>
      <c r="G507" s="108"/>
      <c r="H507" s="110" t="e">
        <f>SUM(H500:H506)</f>
        <v>#DIV/0!</v>
      </c>
    </row>
    <row r="508" spans="1:8" ht="16.5" thickTop="1" x14ac:dyDescent="0.25">
      <c r="A508" s="114">
        <v>30061</v>
      </c>
      <c r="B508" s="216" t="s">
        <v>37</v>
      </c>
      <c r="C508" s="279" t="s">
        <v>93</v>
      </c>
      <c r="D508" s="98" t="s">
        <v>39</v>
      </c>
      <c r="E508" s="99">
        <v>12</v>
      </c>
      <c r="F508" s="101" t="s">
        <v>40</v>
      </c>
      <c r="G508" s="100" t="e">
        <f>'I90 TRACON Rate Build Up'!H271</f>
        <v>#DIV/0!</v>
      </c>
      <c r="H508" s="104" t="e">
        <f>E508*G508</f>
        <v>#DIV/0!</v>
      </c>
    </row>
    <row r="509" spans="1:8" x14ac:dyDescent="0.25">
      <c r="A509" s="115">
        <v>30062</v>
      </c>
      <c r="B509" s="216" t="s">
        <v>43</v>
      </c>
      <c r="C509" s="279"/>
      <c r="D509" s="98" t="s">
        <v>44</v>
      </c>
      <c r="E509" s="99">
        <v>80</v>
      </c>
      <c r="F509" s="100" t="e">
        <f>'I90 TRACON Rate Build Up'!H272</f>
        <v>#DIV/0!</v>
      </c>
      <c r="G509" s="101" t="s">
        <v>40</v>
      </c>
      <c r="H509" s="104" t="e">
        <f>E509*F509</f>
        <v>#DIV/0!</v>
      </c>
    </row>
    <row r="510" spans="1:8" x14ac:dyDescent="0.25">
      <c r="A510" s="115">
        <v>30063</v>
      </c>
      <c r="B510" s="216" t="s">
        <v>47</v>
      </c>
      <c r="C510" s="279"/>
      <c r="D510" s="98" t="s">
        <v>48</v>
      </c>
      <c r="E510" s="99">
        <v>16</v>
      </c>
      <c r="F510" s="100" t="e">
        <f>'I90 TRACON Rate Build Up'!K272</f>
        <v>#DIV/0!</v>
      </c>
      <c r="G510" s="101" t="s">
        <v>40</v>
      </c>
      <c r="H510" s="104" t="e">
        <f t="shared" ref="H510:H514" si="99">E510*F510</f>
        <v>#DIV/0!</v>
      </c>
    </row>
    <row r="511" spans="1:8" x14ac:dyDescent="0.25">
      <c r="A511" s="114">
        <v>30064</v>
      </c>
      <c r="B511" s="216" t="s">
        <v>51</v>
      </c>
      <c r="C511" s="279"/>
      <c r="D511" s="98" t="s">
        <v>48</v>
      </c>
      <c r="E511" s="99">
        <v>16</v>
      </c>
      <c r="F511" s="100" t="e">
        <f>'I90 TRACON Rate Build Up'!H272</f>
        <v>#DIV/0!</v>
      </c>
      <c r="G511" s="101" t="s">
        <v>40</v>
      </c>
      <c r="H511" s="104" t="e">
        <f t="shared" ref="H511" si="100">E511*F511</f>
        <v>#DIV/0!</v>
      </c>
    </row>
    <row r="512" spans="1:8" x14ac:dyDescent="0.25">
      <c r="A512" s="115">
        <v>30065</v>
      </c>
      <c r="B512" s="216" t="s">
        <v>54</v>
      </c>
      <c r="C512" s="279"/>
      <c r="D512" s="98" t="s">
        <v>44</v>
      </c>
      <c r="E512" s="99">
        <v>80</v>
      </c>
      <c r="F512" s="100" t="e">
        <f>'I90 TRACON Rate Build Up'!H272</f>
        <v>#DIV/0!</v>
      </c>
      <c r="G512" s="101" t="s">
        <v>40</v>
      </c>
      <c r="H512" s="104" t="e">
        <f t="shared" si="99"/>
        <v>#DIV/0!</v>
      </c>
    </row>
    <row r="513" spans="1:8" x14ac:dyDescent="0.25">
      <c r="A513" s="115">
        <v>30066</v>
      </c>
      <c r="B513" s="216" t="s">
        <v>56</v>
      </c>
      <c r="C513" s="279"/>
      <c r="D513" s="99" t="s">
        <v>44</v>
      </c>
      <c r="E513" s="99">
        <v>48</v>
      </c>
      <c r="F513" s="100" t="e">
        <f>'I90 TRACON Rate Build Up'!H272</f>
        <v>#DIV/0!</v>
      </c>
      <c r="G513" s="101" t="s">
        <v>40</v>
      </c>
      <c r="H513" s="104" t="e">
        <f t="shared" si="99"/>
        <v>#DIV/0!</v>
      </c>
    </row>
    <row r="514" spans="1:8" x14ac:dyDescent="0.25">
      <c r="A514" s="114">
        <v>30067</v>
      </c>
      <c r="B514" s="216" t="s">
        <v>58</v>
      </c>
      <c r="C514" s="279"/>
      <c r="D514" s="99" t="s">
        <v>44</v>
      </c>
      <c r="E514" s="99">
        <v>1040</v>
      </c>
      <c r="F514" s="100" t="e">
        <f>'I90 TRACON Rate Build Up'!H272</f>
        <v>#DIV/0!</v>
      </c>
      <c r="G514" s="101" t="s">
        <v>40</v>
      </c>
      <c r="H514" s="104" t="e">
        <f t="shared" si="99"/>
        <v>#DIV/0!</v>
      </c>
    </row>
    <row r="515" spans="1:8" ht="16.5" thickBot="1" x14ac:dyDescent="0.3">
      <c r="A515" s="116"/>
      <c r="B515" s="107" t="s">
        <v>59</v>
      </c>
      <c r="C515" s="280"/>
      <c r="D515" s="108"/>
      <c r="E515" s="109"/>
      <c r="F515" s="108"/>
      <c r="G515" s="108"/>
      <c r="H515" s="110" t="e">
        <f>SUM(H508:H514)</f>
        <v>#DIV/0!</v>
      </c>
    </row>
    <row r="516" spans="1:8" x14ac:dyDescent="0.25">
      <c r="B516" s="213"/>
      <c r="C516" s="217"/>
      <c r="D516" s="214"/>
      <c r="E516" s="214"/>
      <c r="F516" s="214"/>
      <c r="G516" s="214"/>
      <c r="H516" s="215"/>
    </row>
    <row r="517" spans="1:8" ht="16.5" thickBot="1" x14ac:dyDescent="0.3">
      <c r="A517" s="242" t="s">
        <v>841</v>
      </c>
      <c r="B517" s="80"/>
      <c r="C517" s="243"/>
      <c r="H517" s="83"/>
    </row>
    <row r="518" spans="1:8" ht="48" thickBot="1" x14ac:dyDescent="0.3">
      <c r="A518" s="84" t="s">
        <v>27</v>
      </c>
      <c r="B518" s="85" t="s">
        <v>28</v>
      </c>
      <c r="C518" s="86" t="s">
        <v>29</v>
      </c>
      <c r="D518" s="87" t="s">
        <v>30</v>
      </c>
      <c r="E518" s="88" t="s">
        <v>31</v>
      </c>
      <c r="F518" s="87" t="s">
        <v>32</v>
      </c>
      <c r="G518" s="87" t="s">
        <v>33</v>
      </c>
      <c r="H518" s="89" t="s">
        <v>34</v>
      </c>
    </row>
    <row r="519" spans="1:8" x14ac:dyDescent="0.25">
      <c r="A519" s="90" t="s">
        <v>482</v>
      </c>
      <c r="B519" s="245" t="s">
        <v>37</v>
      </c>
      <c r="C519" s="279" t="s">
        <v>101</v>
      </c>
      <c r="D519" s="92" t="s">
        <v>39</v>
      </c>
      <c r="E519" s="93">
        <v>12</v>
      </c>
      <c r="F519" s="94" t="s">
        <v>40</v>
      </c>
      <c r="G519" s="95" t="e">
        <f>'IAH ATCT Rate Build Up'!H271</f>
        <v>#DIV/0!</v>
      </c>
      <c r="H519" s="118" t="e">
        <f>E519*G519</f>
        <v>#DIV/0!</v>
      </c>
    </row>
    <row r="520" spans="1:8" x14ac:dyDescent="0.25">
      <c r="A520" s="90" t="s">
        <v>483</v>
      </c>
      <c r="B520" s="216" t="s">
        <v>43</v>
      </c>
      <c r="C520" s="279"/>
      <c r="D520" s="98" t="s">
        <v>44</v>
      </c>
      <c r="E520" s="99">
        <v>80</v>
      </c>
      <c r="F520" s="100" t="e">
        <f>'IAH ATCT Rate Build Up'!H272</f>
        <v>#DIV/0!</v>
      </c>
      <c r="G520" s="101" t="s">
        <v>40</v>
      </c>
      <c r="H520" s="104" t="e">
        <f>E520*F520</f>
        <v>#DIV/0!</v>
      </c>
    </row>
    <row r="521" spans="1:8" x14ac:dyDescent="0.25">
      <c r="A521" s="90" t="s">
        <v>484</v>
      </c>
      <c r="B521" s="216" t="s">
        <v>47</v>
      </c>
      <c r="C521" s="279"/>
      <c r="D521" s="98" t="s">
        <v>48</v>
      </c>
      <c r="E521" s="99">
        <v>16</v>
      </c>
      <c r="F521" s="100" t="e">
        <f>'IAH ATCT Rate Build Up'!K272</f>
        <v>#DIV/0!</v>
      </c>
      <c r="G521" s="101" t="s">
        <v>40</v>
      </c>
      <c r="H521" s="104" t="e">
        <f t="shared" ref="H521:H525" si="101">E521*F521</f>
        <v>#DIV/0!</v>
      </c>
    </row>
    <row r="522" spans="1:8" x14ac:dyDescent="0.25">
      <c r="A522" s="90" t="s">
        <v>485</v>
      </c>
      <c r="B522" s="216" t="s">
        <v>51</v>
      </c>
      <c r="C522" s="279"/>
      <c r="D522" s="98" t="s">
        <v>48</v>
      </c>
      <c r="E522" s="99">
        <v>16</v>
      </c>
      <c r="F522" s="100" t="e">
        <f>'IAH ATCT Rate Build Up'!H272</f>
        <v>#DIV/0!</v>
      </c>
      <c r="G522" s="101" t="s">
        <v>40</v>
      </c>
      <c r="H522" s="104" t="e">
        <f t="shared" ref="H522" si="102">E522*F522</f>
        <v>#DIV/0!</v>
      </c>
    </row>
    <row r="523" spans="1:8" x14ac:dyDescent="0.25">
      <c r="A523" s="90" t="s">
        <v>486</v>
      </c>
      <c r="B523" s="216" t="s">
        <v>54</v>
      </c>
      <c r="C523" s="279"/>
      <c r="D523" s="98" t="s">
        <v>44</v>
      </c>
      <c r="E523" s="99">
        <v>80</v>
      </c>
      <c r="F523" s="100" t="e">
        <f>'IAH ATCT Rate Build Up'!H272</f>
        <v>#DIV/0!</v>
      </c>
      <c r="G523" s="101" t="s">
        <v>40</v>
      </c>
      <c r="H523" s="104" t="e">
        <f t="shared" si="101"/>
        <v>#DIV/0!</v>
      </c>
    </row>
    <row r="524" spans="1:8" x14ac:dyDescent="0.25">
      <c r="A524" s="90" t="s">
        <v>487</v>
      </c>
      <c r="B524" s="216" t="s">
        <v>56</v>
      </c>
      <c r="C524" s="279"/>
      <c r="D524" s="99" t="s">
        <v>44</v>
      </c>
      <c r="E524" s="99">
        <v>48</v>
      </c>
      <c r="F524" s="100" t="e">
        <f>'IAH ATCT Rate Build Up'!H272</f>
        <v>#DIV/0!</v>
      </c>
      <c r="G524" s="101" t="s">
        <v>40</v>
      </c>
      <c r="H524" s="104" t="e">
        <f t="shared" si="101"/>
        <v>#DIV/0!</v>
      </c>
    </row>
    <row r="525" spans="1:8" x14ac:dyDescent="0.25">
      <c r="A525" s="90" t="s">
        <v>488</v>
      </c>
      <c r="B525" s="216" t="s">
        <v>58</v>
      </c>
      <c r="C525" s="279"/>
      <c r="D525" s="99" t="s">
        <v>44</v>
      </c>
      <c r="E525" s="99">
        <v>1040</v>
      </c>
      <c r="F525" s="100" t="e">
        <f>'IAH ATCT Rate Build Up'!H272</f>
        <v>#DIV/0!</v>
      </c>
      <c r="G525" s="101" t="s">
        <v>40</v>
      </c>
      <c r="H525" s="104" t="e">
        <f t="shared" si="101"/>
        <v>#DIV/0!</v>
      </c>
    </row>
    <row r="526" spans="1:8" ht="16.5" thickBot="1" x14ac:dyDescent="0.3">
      <c r="A526" s="106"/>
      <c r="B526" s="113" t="s">
        <v>59</v>
      </c>
      <c r="C526" s="280"/>
      <c r="D526" s="108"/>
      <c r="E526" s="109"/>
      <c r="F526" s="108"/>
      <c r="G526" s="108"/>
      <c r="H526" s="110" t="e">
        <f>SUM(H519:H525)</f>
        <v>#DIV/0!</v>
      </c>
    </row>
    <row r="527" spans="1:8" ht="16.5" thickTop="1" x14ac:dyDescent="0.25">
      <c r="A527" s="90" t="s">
        <v>489</v>
      </c>
      <c r="B527" s="216" t="s">
        <v>37</v>
      </c>
      <c r="C527" s="279" t="s">
        <v>109</v>
      </c>
      <c r="D527" s="98" t="s">
        <v>39</v>
      </c>
      <c r="E527" s="99">
        <v>12</v>
      </c>
      <c r="F527" s="101" t="s">
        <v>40</v>
      </c>
      <c r="G527" s="100" t="e">
        <f>'MSP ATCT Rate Build Up'!H271</f>
        <v>#DIV/0!</v>
      </c>
      <c r="H527" s="104" t="e">
        <f>E527*G527</f>
        <v>#DIV/0!</v>
      </c>
    </row>
    <row r="528" spans="1:8" x14ac:dyDescent="0.25">
      <c r="A528" s="90" t="s">
        <v>490</v>
      </c>
      <c r="B528" s="216" t="s">
        <v>43</v>
      </c>
      <c r="C528" s="279"/>
      <c r="D528" s="98" t="s">
        <v>44</v>
      </c>
      <c r="E528" s="99">
        <v>80</v>
      </c>
      <c r="F528" s="100" t="e">
        <f>'MSP ATCT Rate Build Up'!H272</f>
        <v>#DIV/0!</v>
      </c>
      <c r="G528" s="101" t="s">
        <v>40</v>
      </c>
      <c r="H528" s="104" t="e">
        <f>E528*F528</f>
        <v>#DIV/0!</v>
      </c>
    </row>
    <row r="529" spans="1:8" x14ac:dyDescent="0.25">
      <c r="A529" s="90" t="s">
        <v>491</v>
      </c>
      <c r="B529" s="216" t="s">
        <v>47</v>
      </c>
      <c r="C529" s="279"/>
      <c r="D529" s="98" t="s">
        <v>48</v>
      </c>
      <c r="E529" s="99">
        <v>16</v>
      </c>
      <c r="F529" s="100" t="e">
        <f>'MSP ATCT Rate Build Up'!K272</f>
        <v>#DIV/0!</v>
      </c>
      <c r="G529" s="101" t="s">
        <v>40</v>
      </c>
      <c r="H529" s="104" t="e">
        <f t="shared" ref="H529:H533" si="103">E529*F529</f>
        <v>#DIV/0!</v>
      </c>
    </row>
    <row r="530" spans="1:8" x14ac:dyDescent="0.25">
      <c r="A530" s="90" t="s">
        <v>492</v>
      </c>
      <c r="B530" s="216" t="s">
        <v>51</v>
      </c>
      <c r="C530" s="279"/>
      <c r="D530" s="98" t="s">
        <v>48</v>
      </c>
      <c r="E530" s="99">
        <v>16</v>
      </c>
      <c r="F530" s="100" t="e">
        <f>'MSP ATCT Rate Build Up'!H272</f>
        <v>#DIV/0!</v>
      </c>
      <c r="G530" s="101" t="s">
        <v>40</v>
      </c>
      <c r="H530" s="104" t="e">
        <f t="shared" ref="H530" si="104">E530*F530</f>
        <v>#DIV/0!</v>
      </c>
    </row>
    <row r="531" spans="1:8" x14ac:dyDescent="0.25">
      <c r="A531" s="90" t="s">
        <v>493</v>
      </c>
      <c r="B531" s="216" t="s">
        <v>54</v>
      </c>
      <c r="C531" s="279"/>
      <c r="D531" s="98" t="s">
        <v>44</v>
      </c>
      <c r="E531" s="99">
        <v>80</v>
      </c>
      <c r="F531" s="100" t="e">
        <f>'MSP ATCT Rate Build Up'!H272</f>
        <v>#DIV/0!</v>
      </c>
      <c r="G531" s="101" t="s">
        <v>40</v>
      </c>
      <c r="H531" s="104" t="e">
        <f t="shared" si="103"/>
        <v>#DIV/0!</v>
      </c>
    </row>
    <row r="532" spans="1:8" x14ac:dyDescent="0.25">
      <c r="A532" s="90" t="s">
        <v>494</v>
      </c>
      <c r="B532" s="216" t="s">
        <v>56</v>
      </c>
      <c r="C532" s="279"/>
      <c r="D532" s="99" t="s">
        <v>44</v>
      </c>
      <c r="E532" s="99">
        <v>48</v>
      </c>
      <c r="F532" s="100" t="e">
        <f>'MSP ATCT Rate Build Up'!H272</f>
        <v>#DIV/0!</v>
      </c>
      <c r="G532" s="101" t="s">
        <v>40</v>
      </c>
      <c r="H532" s="104" t="e">
        <f t="shared" si="103"/>
        <v>#DIV/0!</v>
      </c>
    </row>
    <row r="533" spans="1:8" x14ac:dyDescent="0.25">
      <c r="A533" s="90" t="s">
        <v>495</v>
      </c>
      <c r="B533" s="216" t="s">
        <v>58</v>
      </c>
      <c r="C533" s="279"/>
      <c r="D533" s="99" t="s">
        <v>44</v>
      </c>
      <c r="E533" s="99">
        <v>1040</v>
      </c>
      <c r="F533" s="100" t="e">
        <f>'MSP ATCT Rate Build Up'!H272</f>
        <v>#DIV/0!</v>
      </c>
      <c r="G533" s="101" t="s">
        <v>40</v>
      </c>
      <c r="H533" s="104" t="e">
        <f t="shared" si="103"/>
        <v>#DIV/0!</v>
      </c>
    </row>
    <row r="534" spans="1:8" ht="16.5" thickBot="1" x14ac:dyDescent="0.3">
      <c r="A534" s="106"/>
      <c r="B534" s="113" t="s">
        <v>59</v>
      </c>
      <c r="C534" s="280"/>
      <c r="D534" s="108"/>
      <c r="E534" s="109"/>
      <c r="F534" s="108"/>
      <c r="G534" s="108"/>
      <c r="H534" s="110" t="e">
        <f>SUM(H527:H533)</f>
        <v>#DIV/0!</v>
      </c>
    </row>
    <row r="535" spans="1:8" ht="16.5" thickTop="1" x14ac:dyDescent="0.25">
      <c r="A535" s="90" t="s">
        <v>496</v>
      </c>
      <c r="B535" s="216" t="s">
        <v>37</v>
      </c>
      <c r="C535" s="279" t="s">
        <v>117</v>
      </c>
      <c r="D535" s="98" t="s">
        <v>39</v>
      </c>
      <c r="E535" s="99">
        <v>12</v>
      </c>
      <c r="F535" s="101" t="s">
        <v>40</v>
      </c>
      <c r="G535" s="100" t="e">
        <f>'ORD ATCT Rate Build Up'!H271</f>
        <v>#DIV/0!</v>
      </c>
      <c r="H535" s="104" t="e">
        <f>E535*G535</f>
        <v>#DIV/0!</v>
      </c>
    </row>
    <row r="536" spans="1:8" x14ac:dyDescent="0.25">
      <c r="A536" s="90" t="s">
        <v>497</v>
      </c>
      <c r="B536" s="216" t="s">
        <v>43</v>
      </c>
      <c r="C536" s="279"/>
      <c r="D536" s="98" t="s">
        <v>44</v>
      </c>
      <c r="E536" s="99">
        <v>80</v>
      </c>
      <c r="F536" s="100" t="e">
        <f>'ORD ATCT Rate Build Up'!H272</f>
        <v>#DIV/0!</v>
      </c>
      <c r="G536" s="101" t="s">
        <v>40</v>
      </c>
      <c r="H536" s="104" t="e">
        <f>E536*F536</f>
        <v>#DIV/0!</v>
      </c>
    </row>
    <row r="537" spans="1:8" x14ac:dyDescent="0.25">
      <c r="A537" s="90" t="s">
        <v>498</v>
      </c>
      <c r="B537" s="216" t="s">
        <v>47</v>
      </c>
      <c r="C537" s="279"/>
      <c r="D537" s="98" t="s">
        <v>48</v>
      </c>
      <c r="E537" s="99">
        <v>16</v>
      </c>
      <c r="F537" s="100" t="e">
        <f>'ORD ATCT Rate Build Up'!K272</f>
        <v>#DIV/0!</v>
      </c>
      <c r="G537" s="101" t="s">
        <v>40</v>
      </c>
      <c r="H537" s="104" t="e">
        <f t="shared" ref="H537:H541" si="105">E537*F537</f>
        <v>#DIV/0!</v>
      </c>
    </row>
    <row r="538" spans="1:8" x14ac:dyDescent="0.25">
      <c r="A538" s="90" t="s">
        <v>499</v>
      </c>
      <c r="B538" s="216"/>
      <c r="C538" s="279"/>
      <c r="D538" s="98" t="s">
        <v>48</v>
      </c>
      <c r="E538" s="99">
        <v>16</v>
      </c>
      <c r="F538" s="100" t="e">
        <f>'ORD ATCT Rate Build Up'!H272</f>
        <v>#DIV/0!</v>
      </c>
      <c r="G538" s="101" t="s">
        <v>40</v>
      </c>
      <c r="H538" s="104" t="e">
        <f t="shared" ref="H538" si="106">E538*F538</f>
        <v>#DIV/0!</v>
      </c>
    </row>
    <row r="539" spans="1:8" x14ac:dyDescent="0.25">
      <c r="A539" s="90" t="s">
        <v>500</v>
      </c>
      <c r="B539" s="216" t="s">
        <v>54</v>
      </c>
      <c r="C539" s="279"/>
      <c r="D539" s="98" t="s">
        <v>44</v>
      </c>
      <c r="E539" s="99">
        <v>80</v>
      </c>
      <c r="F539" s="100" t="e">
        <f>'ORD ATCT Rate Build Up'!H272</f>
        <v>#DIV/0!</v>
      </c>
      <c r="G539" s="101" t="s">
        <v>40</v>
      </c>
      <c r="H539" s="104" t="e">
        <f t="shared" si="105"/>
        <v>#DIV/0!</v>
      </c>
    </row>
    <row r="540" spans="1:8" x14ac:dyDescent="0.25">
      <c r="A540" s="90" t="s">
        <v>501</v>
      </c>
      <c r="B540" s="216" t="s">
        <v>56</v>
      </c>
      <c r="C540" s="279"/>
      <c r="D540" s="99" t="s">
        <v>44</v>
      </c>
      <c r="E540" s="99">
        <v>48</v>
      </c>
      <c r="F540" s="100" t="e">
        <f>'ORD ATCT Rate Build Up'!H272</f>
        <v>#DIV/0!</v>
      </c>
      <c r="G540" s="101" t="s">
        <v>40</v>
      </c>
      <c r="H540" s="104" t="e">
        <f t="shared" si="105"/>
        <v>#DIV/0!</v>
      </c>
    </row>
    <row r="541" spans="1:8" x14ac:dyDescent="0.25">
      <c r="A541" s="90" t="s">
        <v>502</v>
      </c>
      <c r="B541" s="216" t="s">
        <v>58</v>
      </c>
      <c r="C541" s="279"/>
      <c r="D541" s="99" t="s">
        <v>44</v>
      </c>
      <c r="E541" s="99">
        <v>1040</v>
      </c>
      <c r="F541" s="100" t="e">
        <f>'ORD ATCT Rate Build Up'!H272</f>
        <v>#DIV/0!</v>
      </c>
      <c r="G541" s="101" t="s">
        <v>40</v>
      </c>
      <c r="H541" s="104" t="e">
        <f t="shared" si="105"/>
        <v>#DIV/0!</v>
      </c>
    </row>
    <row r="542" spans="1:8" ht="16.5" thickBot="1" x14ac:dyDescent="0.3">
      <c r="A542" s="106"/>
      <c r="B542" s="113" t="s">
        <v>59</v>
      </c>
      <c r="C542" s="280"/>
      <c r="D542" s="108"/>
      <c r="E542" s="109"/>
      <c r="F542" s="108"/>
      <c r="G542" s="108"/>
      <c r="H542" s="110" t="e">
        <f>SUM(H535:H541)</f>
        <v>#DIV/0!</v>
      </c>
    </row>
    <row r="543" spans="1:8" ht="16.5" thickTop="1" x14ac:dyDescent="0.25">
      <c r="A543" s="90" t="s">
        <v>503</v>
      </c>
      <c r="B543" s="216" t="s">
        <v>37</v>
      </c>
      <c r="C543" s="279" t="s">
        <v>125</v>
      </c>
      <c r="D543" s="98" t="s">
        <v>39</v>
      </c>
      <c r="E543" s="99">
        <v>12</v>
      </c>
      <c r="F543" s="101" t="s">
        <v>40</v>
      </c>
      <c r="G543" s="100" t="e">
        <f>'ZAB ARTCC Rate Build Up'!H271</f>
        <v>#DIV/0!</v>
      </c>
      <c r="H543" s="104" t="e">
        <f>E543*G543</f>
        <v>#DIV/0!</v>
      </c>
    </row>
    <row r="544" spans="1:8" x14ac:dyDescent="0.25">
      <c r="A544" s="90" t="s">
        <v>504</v>
      </c>
      <c r="B544" s="216" t="s">
        <v>43</v>
      </c>
      <c r="C544" s="279"/>
      <c r="D544" s="98" t="s">
        <v>44</v>
      </c>
      <c r="E544" s="99">
        <v>80</v>
      </c>
      <c r="F544" s="100" t="e">
        <f>'ZAB ARTCC Rate Build Up'!H272</f>
        <v>#DIV/0!</v>
      </c>
      <c r="G544" s="101" t="s">
        <v>40</v>
      </c>
      <c r="H544" s="104" t="e">
        <f>E544*F544</f>
        <v>#DIV/0!</v>
      </c>
    </row>
    <row r="545" spans="1:8" x14ac:dyDescent="0.25">
      <c r="A545" s="90" t="s">
        <v>505</v>
      </c>
      <c r="B545" s="216" t="s">
        <v>47</v>
      </c>
      <c r="C545" s="279"/>
      <c r="D545" s="98" t="s">
        <v>48</v>
      </c>
      <c r="E545" s="99">
        <v>16</v>
      </c>
      <c r="F545" s="100" t="e">
        <f>'ZAB ARTCC Rate Build Up'!K272</f>
        <v>#DIV/0!</v>
      </c>
      <c r="G545" s="101" t="s">
        <v>40</v>
      </c>
      <c r="H545" s="104" t="e">
        <f t="shared" ref="H545:H549" si="107">E545*F545</f>
        <v>#DIV/0!</v>
      </c>
    </row>
    <row r="546" spans="1:8" x14ac:dyDescent="0.25">
      <c r="A546" s="90" t="s">
        <v>506</v>
      </c>
      <c r="B546" s="216" t="s">
        <v>51</v>
      </c>
      <c r="C546" s="279"/>
      <c r="D546" s="98" t="s">
        <v>48</v>
      </c>
      <c r="E546" s="99">
        <v>16</v>
      </c>
      <c r="F546" s="100" t="e">
        <f>'ZAB ARTCC Rate Build Up'!H272</f>
        <v>#DIV/0!</v>
      </c>
      <c r="G546" s="101" t="s">
        <v>40</v>
      </c>
      <c r="H546" s="104" t="e">
        <f t="shared" ref="H546" si="108">E546*F546</f>
        <v>#DIV/0!</v>
      </c>
    </row>
    <row r="547" spans="1:8" x14ac:dyDescent="0.25">
      <c r="A547" s="90" t="s">
        <v>507</v>
      </c>
      <c r="B547" s="216" t="s">
        <v>54</v>
      </c>
      <c r="C547" s="279"/>
      <c r="D547" s="98" t="s">
        <v>44</v>
      </c>
      <c r="E547" s="99">
        <v>80</v>
      </c>
      <c r="F547" s="100" t="e">
        <f>'ZAB ARTCC Rate Build Up'!H272</f>
        <v>#DIV/0!</v>
      </c>
      <c r="G547" s="101" t="s">
        <v>40</v>
      </c>
      <c r="H547" s="104" t="e">
        <f t="shared" si="107"/>
        <v>#DIV/0!</v>
      </c>
    </row>
    <row r="548" spans="1:8" x14ac:dyDescent="0.25">
      <c r="A548" s="90" t="s">
        <v>508</v>
      </c>
      <c r="B548" s="216" t="s">
        <v>56</v>
      </c>
      <c r="C548" s="279"/>
      <c r="D548" s="99" t="s">
        <v>44</v>
      </c>
      <c r="E548" s="99">
        <v>48</v>
      </c>
      <c r="F548" s="100" t="e">
        <f>'ZAB ARTCC Rate Build Up'!H272</f>
        <v>#DIV/0!</v>
      </c>
      <c r="G548" s="101" t="s">
        <v>40</v>
      </c>
      <c r="H548" s="104" t="e">
        <f t="shared" si="107"/>
        <v>#DIV/0!</v>
      </c>
    </row>
    <row r="549" spans="1:8" x14ac:dyDescent="0.25">
      <c r="A549" s="90" t="s">
        <v>509</v>
      </c>
      <c r="B549" s="216" t="s">
        <v>58</v>
      </c>
      <c r="C549" s="279"/>
      <c r="D549" s="99" t="s">
        <v>44</v>
      </c>
      <c r="E549" s="99">
        <v>1040</v>
      </c>
      <c r="F549" s="100" t="e">
        <f>'ZAB ARTCC Rate Build Up'!H272</f>
        <v>#DIV/0!</v>
      </c>
      <c r="G549" s="101" t="s">
        <v>40</v>
      </c>
      <c r="H549" s="104" t="e">
        <f t="shared" si="107"/>
        <v>#DIV/0!</v>
      </c>
    </row>
    <row r="550" spans="1:8" ht="16.5" thickBot="1" x14ac:dyDescent="0.3">
      <c r="A550" s="106"/>
      <c r="B550" s="113" t="s">
        <v>59</v>
      </c>
      <c r="C550" s="280"/>
      <c r="D550" s="108"/>
      <c r="E550" s="109"/>
      <c r="F550" s="108"/>
      <c r="G550" s="108"/>
      <c r="H550" s="110" t="e">
        <f>SUM(H543:H549)</f>
        <v>#DIV/0!</v>
      </c>
    </row>
    <row r="551" spans="1:8" ht="16.5" thickTop="1" x14ac:dyDescent="0.25">
      <c r="A551" s="90" t="s">
        <v>510</v>
      </c>
      <c r="B551" s="216" t="s">
        <v>37</v>
      </c>
      <c r="C551" s="279" t="s">
        <v>133</v>
      </c>
      <c r="D551" s="98" t="s">
        <v>39</v>
      </c>
      <c r="E551" s="99">
        <v>12</v>
      </c>
      <c r="F551" s="101" t="s">
        <v>40</v>
      </c>
      <c r="G551" s="100" t="e">
        <f>'ZAU Rate Build Up'!H271</f>
        <v>#DIV/0!</v>
      </c>
      <c r="H551" s="104" t="e">
        <f>E551*G551</f>
        <v>#DIV/0!</v>
      </c>
    </row>
    <row r="552" spans="1:8" x14ac:dyDescent="0.25">
      <c r="A552" s="90" t="s">
        <v>511</v>
      </c>
      <c r="B552" s="216" t="s">
        <v>43</v>
      </c>
      <c r="C552" s="279"/>
      <c r="D552" s="98" t="s">
        <v>44</v>
      </c>
      <c r="E552" s="99">
        <v>80</v>
      </c>
      <c r="F552" s="100" t="e">
        <f>'ZAU Rate Build Up'!H272</f>
        <v>#DIV/0!</v>
      </c>
      <c r="G552" s="101" t="s">
        <v>40</v>
      </c>
      <c r="H552" s="104" t="e">
        <f>E552*F552</f>
        <v>#DIV/0!</v>
      </c>
    </row>
    <row r="553" spans="1:8" x14ac:dyDescent="0.25">
      <c r="A553" s="90" t="s">
        <v>512</v>
      </c>
      <c r="B553" s="216" t="s">
        <v>47</v>
      </c>
      <c r="C553" s="279"/>
      <c r="D553" s="98" t="s">
        <v>48</v>
      </c>
      <c r="E553" s="99">
        <v>16</v>
      </c>
      <c r="F553" s="100" t="e">
        <f>'ZAU Rate Build Up'!K272</f>
        <v>#DIV/0!</v>
      </c>
      <c r="G553" s="101" t="s">
        <v>40</v>
      </c>
      <c r="H553" s="104" t="e">
        <f t="shared" ref="H553:H557" si="109">E553*F553</f>
        <v>#DIV/0!</v>
      </c>
    </row>
    <row r="554" spans="1:8" x14ac:dyDescent="0.25">
      <c r="A554" s="90" t="s">
        <v>513</v>
      </c>
      <c r="B554" s="216" t="s">
        <v>51</v>
      </c>
      <c r="C554" s="279"/>
      <c r="D554" s="98" t="s">
        <v>48</v>
      </c>
      <c r="E554" s="99">
        <v>16</v>
      </c>
      <c r="F554" s="100" t="e">
        <f>'ZAU Rate Build Up'!H272</f>
        <v>#DIV/0!</v>
      </c>
      <c r="G554" s="101" t="s">
        <v>40</v>
      </c>
      <c r="H554" s="104" t="e">
        <f t="shared" ref="H554" si="110">E554*F554</f>
        <v>#DIV/0!</v>
      </c>
    </row>
    <row r="555" spans="1:8" x14ac:dyDescent="0.25">
      <c r="A555" s="90" t="s">
        <v>514</v>
      </c>
      <c r="B555" s="216" t="s">
        <v>54</v>
      </c>
      <c r="C555" s="279"/>
      <c r="D555" s="98" t="s">
        <v>44</v>
      </c>
      <c r="E555" s="99">
        <v>80</v>
      </c>
      <c r="F555" s="100" t="e">
        <f>'ZAU Rate Build Up'!H272</f>
        <v>#DIV/0!</v>
      </c>
      <c r="G555" s="101" t="s">
        <v>40</v>
      </c>
      <c r="H555" s="104" t="e">
        <f t="shared" si="109"/>
        <v>#DIV/0!</v>
      </c>
    </row>
    <row r="556" spans="1:8" x14ac:dyDescent="0.25">
      <c r="A556" s="90" t="s">
        <v>515</v>
      </c>
      <c r="B556" s="216" t="s">
        <v>56</v>
      </c>
      <c r="C556" s="279"/>
      <c r="D556" s="99" t="s">
        <v>44</v>
      </c>
      <c r="E556" s="99">
        <v>48</v>
      </c>
      <c r="F556" s="100" t="e">
        <f>'ZAU Rate Build Up'!H272</f>
        <v>#DIV/0!</v>
      </c>
      <c r="G556" s="101" t="s">
        <v>40</v>
      </c>
      <c r="H556" s="104" t="e">
        <f t="shared" si="109"/>
        <v>#DIV/0!</v>
      </c>
    </row>
    <row r="557" spans="1:8" x14ac:dyDescent="0.25">
      <c r="A557" s="90" t="s">
        <v>516</v>
      </c>
      <c r="B557" s="216" t="s">
        <v>58</v>
      </c>
      <c r="C557" s="279"/>
      <c r="D557" s="99" t="s">
        <v>44</v>
      </c>
      <c r="E557" s="99">
        <v>1040</v>
      </c>
      <c r="F557" s="100" t="e">
        <f>'ZAU Rate Build Up'!H272</f>
        <v>#DIV/0!</v>
      </c>
      <c r="G557" s="101" t="s">
        <v>40</v>
      </c>
      <c r="H557" s="104" t="e">
        <f t="shared" si="109"/>
        <v>#DIV/0!</v>
      </c>
    </row>
    <row r="558" spans="1:8" ht="16.5" thickBot="1" x14ac:dyDescent="0.3">
      <c r="A558" s="106"/>
      <c r="B558" s="113" t="s">
        <v>59</v>
      </c>
      <c r="C558" s="280"/>
      <c r="D558" s="108"/>
      <c r="E558" s="109"/>
      <c r="F558" s="108"/>
      <c r="G558" s="108"/>
      <c r="H558" s="110" t="e">
        <f>SUM(H551:H557)</f>
        <v>#DIV/0!</v>
      </c>
    </row>
    <row r="559" spans="1:8" ht="16.5" thickTop="1" x14ac:dyDescent="0.25">
      <c r="A559" s="90" t="s">
        <v>517</v>
      </c>
      <c r="B559" s="216" t="s">
        <v>37</v>
      </c>
      <c r="C559" s="279" t="s">
        <v>141</v>
      </c>
      <c r="D559" s="98" t="s">
        <v>39</v>
      </c>
      <c r="E559" s="99">
        <v>12</v>
      </c>
      <c r="F559" s="101" t="s">
        <v>40</v>
      </c>
      <c r="G559" s="100" t="e">
        <f>'ZFW Rate Build Up'!H271</f>
        <v>#DIV/0!</v>
      </c>
      <c r="H559" s="104" t="e">
        <f>E559*G559</f>
        <v>#DIV/0!</v>
      </c>
    </row>
    <row r="560" spans="1:8" x14ac:dyDescent="0.25">
      <c r="A560" s="90" t="s">
        <v>518</v>
      </c>
      <c r="B560" s="216" t="s">
        <v>43</v>
      </c>
      <c r="C560" s="279"/>
      <c r="D560" s="98" t="s">
        <v>44</v>
      </c>
      <c r="E560" s="99">
        <v>80</v>
      </c>
      <c r="F560" s="100" t="e">
        <f>'ZFW Rate Build Up'!H272</f>
        <v>#DIV/0!</v>
      </c>
      <c r="G560" s="101" t="s">
        <v>40</v>
      </c>
      <c r="H560" s="104" t="e">
        <f>E560*F560</f>
        <v>#DIV/0!</v>
      </c>
    </row>
    <row r="561" spans="1:8" x14ac:dyDescent="0.25">
      <c r="A561" s="90" t="s">
        <v>519</v>
      </c>
      <c r="B561" s="216" t="s">
        <v>47</v>
      </c>
      <c r="C561" s="279"/>
      <c r="D561" s="98" t="s">
        <v>48</v>
      </c>
      <c r="E561" s="99">
        <v>16</v>
      </c>
      <c r="F561" s="100" t="e">
        <f>'ZFW Rate Build Up'!K272</f>
        <v>#DIV/0!</v>
      </c>
      <c r="G561" s="101" t="s">
        <v>40</v>
      </c>
      <c r="H561" s="104" t="e">
        <f t="shared" ref="H561:H565" si="111">E561*F561</f>
        <v>#DIV/0!</v>
      </c>
    </row>
    <row r="562" spans="1:8" x14ac:dyDescent="0.25">
      <c r="A562" s="90" t="s">
        <v>520</v>
      </c>
      <c r="B562" s="216" t="s">
        <v>51</v>
      </c>
      <c r="C562" s="279"/>
      <c r="D562" s="98" t="s">
        <v>48</v>
      </c>
      <c r="E562" s="99">
        <v>16</v>
      </c>
      <c r="F562" s="100" t="e">
        <f>'ZFW Rate Build Up'!H272</f>
        <v>#DIV/0!</v>
      </c>
      <c r="G562" s="101" t="s">
        <v>40</v>
      </c>
      <c r="H562" s="104" t="e">
        <f t="shared" ref="H562" si="112">E562*F562</f>
        <v>#DIV/0!</v>
      </c>
    </row>
    <row r="563" spans="1:8" x14ac:dyDescent="0.25">
      <c r="A563" s="90" t="s">
        <v>521</v>
      </c>
      <c r="B563" s="216" t="s">
        <v>54</v>
      </c>
      <c r="C563" s="279"/>
      <c r="D563" s="98" t="s">
        <v>44</v>
      </c>
      <c r="E563" s="99">
        <v>80</v>
      </c>
      <c r="F563" s="100" t="e">
        <f>'ZFW Rate Build Up'!H272</f>
        <v>#DIV/0!</v>
      </c>
      <c r="G563" s="101" t="s">
        <v>40</v>
      </c>
      <c r="H563" s="104" t="e">
        <f t="shared" si="111"/>
        <v>#DIV/0!</v>
      </c>
    </row>
    <row r="564" spans="1:8" x14ac:dyDescent="0.25">
      <c r="A564" s="90" t="s">
        <v>522</v>
      </c>
      <c r="B564" s="216" t="s">
        <v>56</v>
      </c>
      <c r="C564" s="279"/>
      <c r="D564" s="99" t="s">
        <v>44</v>
      </c>
      <c r="E564" s="99">
        <v>48</v>
      </c>
      <c r="F564" s="100" t="e">
        <f>'ZFW Rate Build Up'!H272</f>
        <v>#DIV/0!</v>
      </c>
      <c r="G564" s="101" t="s">
        <v>40</v>
      </c>
      <c r="H564" s="104" t="e">
        <f t="shared" si="111"/>
        <v>#DIV/0!</v>
      </c>
    </row>
    <row r="565" spans="1:8" x14ac:dyDescent="0.25">
      <c r="A565" s="90" t="s">
        <v>523</v>
      </c>
      <c r="B565" s="216" t="s">
        <v>58</v>
      </c>
      <c r="C565" s="279"/>
      <c r="D565" s="99" t="s">
        <v>44</v>
      </c>
      <c r="E565" s="99">
        <v>1040</v>
      </c>
      <c r="F565" s="100" t="e">
        <f>'ZFW Rate Build Up'!H272</f>
        <v>#DIV/0!</v>
      </c>
      <c r="G565" s="101" t="s">
        <v>40</v>
      </c>
      <c r="H565" s="104" t="e">
        <f t="shared" si="111"/>
        <v>#DIV/0!</v>
      </c>
    </row>
    <row r="566" spans="1:8" ht="16.5" thickBot="1" x14ac:dyDescent="0.3">
      <c r="A566" s="106"/>
      <c r="B566" s="258" t="s">
        <v>59</v>
      </c>
      <c r="C566" s="280"/>
      <c r="D566" s="259"/>
      <c r="E566" s="109"/>
      <c r="F566" s="108"/>
      <c r="G566" s="108"/>
      <c r="H566" s="110" t="e">
        <f>SUM(H559:H565)</f>
        <v>#DIV/0!</v>
      </c>
    </row>
    <row r="567" spans="1:8" ht="16.5" thickTop="1" x14ac:dyDescent="0.25">
      <c r="A567" s="90" t="s">
        <v>524</v>
      </c>
      <c r="B567" s="216" t="s">
        <v>37</v>
      </c>
      <c r="C567" s="279" t="s">
        <v>149</v>
      </c>
      <c r="D567" s="98" t="s">
        <v>39</v>
      </c>
      <c r="E567" s="99">
        <v>12</v>
      </c>
      <c r="F567" s="101" t="s">
        <v>40</v>
      </c>
      <c r="G567" s="100" t="e">
        <f>'ZHU Rate Build Up'!H271</f>
        <v>#DIV/0!</v>
      </c>
      <c r="H567" s="104" t="e">
        <f>E567*G567</f>
        <v>#DIV/0!</v>
      </c>
    </row>
    <row r="568" spans="1:8" x14ac:dyDescent="0.25">
      <c r="A568" s="90" t="s">
        <v>525</v>
      </c>
      <c r="B568" s="216" t="s">
        <v>43</v>
      </c>
      <c r="C568" s="279"/>
      <c r="D568" s="98" t="s">
        <v>44</v>
      </c>
      <c r="E568" s="99">
        <v>80</v>
      </c>
      <c r="F568" s="100" t="e">
        <f>'ZHU Rate Build Up'!H272</f>
        <v>#DIV/0!</v>
      </c>
      <c r="G568" s="101" t="s">
        <v>40</v>
      </c>
      <c r="H568" s="104" t="e">
        <f>E568*F568</f>
        <v>#DIV/0!</v>
      </c>
    </row>
    <row r="569" spans="1:8" x14ac:dyDescent="0.25">
      <c r="A569" s="90" t="s">
        <v>526</v>
      </c>
      <c r="B569" s="216" t="s">
        <v>47</v>
      </c>
      <c r="C569" s="279"/>
      <c r="D569" s="98" t="s">
        <v>48</v>
      </c>
      <c r="E569" s="99">
        <v>16</v>
      </c>
      <c r="F569" s="100" t="e">
        <f>'ZHU Rate Build Up'!K272</f>
        <v>#DIV/0!</v>
      </c>
      <c r="G569" s="101" t="s">
        <v>40</v>
      </c>
      <c r="H569" s="104" t="e">
        <f t="shared" ref="H569:H573" si="113">E569*F569</f>
        <v>#DIV/0!</v>
      </c>
    </row>
    <row r="570" spans="1:8" x14ac:dyDescent="0.25">
      <c r="A570" s="90" t="s">
        <v>527</v>
      </c>
      <c r="B570" s="216" t="s">
        <v>51</v>
      </c>
      <c r="C570" s="279"/>
      <c r="D570" s="98" t="s">
        <v>48</v>
      </c>
      <c r="E570" s="99">
        <v>16</v>
      </c>
      <c r="F570" s="100" t="e">
        <f>'ZHU Rate Build Up'!H272</f>
        <v>#DIV/0!</v>
      </c>
      <c r="G570" s="101" t="s">
        <v>40</v>
      </c>
      <c r="H570" s="104" t="e">
        <f t="shared" ref="H570" si="114">E570*F570</f>
        <v>#DIV/0!</v>
      </c>
    </row>
    <row r="571" spans="1:8" x14ac:dyDescent="0.25">
      <c r="A571" s="90" t="s">
        <v>528</v>
      </c>
      <c r="B571" s="216" t="s">
        <v>54</v>
      </c>
      <c r="C571" s="279"/>
      <c r="D571" s="98" t="s">
        <v>44</v>
      </c>
      <c r="E571" s="99">
        <v>80</v>
      </c>
      <c r="F571" s="100" t="e">
        <f>'ZHU Rate Build Up'!H272</f>
        <v>#DIV/0!</v>
      </c>
      <c r="G571" s="101" t="s">
        <v>40</v>
      </c>
      <c r="H571" s="104" t="e">
        <f t="shared" si="113"/>
        <v>#DIV/0!</v>
      </c>
    </row>
    <row r="572" spans="1:8" x14ac:dyDescent="0.25">
      <c r="A572" s="90" t="s">
        <v>529</v>
      </c>
      <c r="B572" s="216" t="s">
        <v>56</v>
      </c>
      <c r="C572" s="279"/>
      <c r="D572" s="99" t="s">
        <v>44</v>
      </c>
      <c r="E572" s="99">
        <v>48</v>
      </c>
      <c r="F572" s="100" t="e">
        <f>'ZHU Rate Build Up'!H272</f>
        <v>#DIV/0!</v>
      </c>
      <c r="G572" s="101" t="s">
        <v>40</v>
      </c>
      <c r="H572" s="104" t="e">
        <f t="shared" si="113"/>
        <v>#DIV/0!</v>
      </c>
    </row>
    <row r="573" spans="1:8" x14ac:dyDescent="0.25">
      <c r="A573" s="90" t="s">
        <v>530</v>
      </c>
      <c r="B573" s="216" t="s">
        <v>58</v>
      </c>
      <c r="C573" s="279"/>
      <c r="D573" s="99" t="s">
        <v>44</v>
      </c>
      <c r="E573" s="99">
        <v>1040</v>
      </c>
      <c r="F573" s="100" t="e">
        <f>'ZHU Rate Build Up'!H272</f>
        <v>#DIV/0!</v>
      </c>
      <c r="G573" s="101" t="s">
        <v>40</v>
      </c>
      <c r="H573" s="104" t="e">
        <f t="shared" si="113"/>
        <v>#DIV/0!</v>
      </c>
    </row>
    <row r="574" spans="1:8" ht="16.5" thickBot="1" x14ac:dyDescent="0.3">
      <c r="A574" s="116"/>
      <c r="B574" s="107" t="s">
        <v>59</v>
      </c>
      <c r="C574" s="280"/>
      <c r="D574" s="108"/>
      <c r="E574" s="109"/>
      <c r="F574" s="108"/>
      <c r="G574" s="108"/>
      <c r="H574" s="110" t="e">
        <f>SUM(H567:H573)</f>
        <v>#DIV/0!</v>
      </c>
    </row>
    <row r="575" spans="1:8" x14ac:dyDescent="0.25">
      <c r="B575" s="213"/>
      <c r="C575" s="217"/>
      <c r="D575" s="214"/>
      <c r="E575" s="214"/>
      <c r="F575" s="214"/>
      <c r="G575" s="214"/>
      <c r="H575" s="215"/>
    </row>
    <row r="576" spans="1:8" ht="16.5" thickBot="1" x14ac:dyDescent="0.3">
      <c r="A576" s="242" t="s">
        <v>841</v>
      </c>
      <c r="B576" s="80"/>
      <c r="C576" s="243"/>
      <c r="H576" s="83"/>
    </row>
    <row r="577" spans="1:8" ht="48" thickBot="1" x14ac:dyDescent="0.3">
      <c r="A577" s="84" t="s">
        <v>27</v>
      </c>
      <c r="B577" s="85" t="s">
        <v>28</v>
      </c>
      <c r="C577" s="86" t="s">
        <v>29</v>
      </c>
      <c r="D577" s="87" t="s">
        <v>30</v>
      </c>
      <c r="E577" s="88" t="s">
        <v>31</v>
      </c>
      <c r="F577" s="87" t="s">
        <v>32</v>
      </c>
      <c r="G577" s="87" t="s">
        <v>33</v>
      </c>
      <c r="H577" s="89" t="s">
        <v>34</v>
      </c>
    </row>
    <row r="578" spans="1:8" x14ac:dyDescent="0.25">
      <c r="A578" s="90" t="s">
        <v>531</v>
      </c>
      <c r="B578" s="245" t="s">
        <v>37</v>
      </c>
      <c r="C578" s="279" t="s">
        <v>157</v>
      </c>
      <c r="D578" s="92" t="s">
        <v>39</v>
      </c>
      <c r="E578" s="93">
        <v>12</v>
      </c>
      <c r="F578" s="94" t="s">
        <v>40</v>
      </c>
      <c r="G578" s="95" t="e">
        <f>'ZID Rate Build Up'!H271</f>
        <v>#DIV/0!</v>
      </c>
      <c r="H578" s="118" t="e">
        <f>E578*G578</f>
        <v>#DIV/0!</v>
      </c>
    </row>
    <row r="579" spans="1:8" x14ac:dyDescent="0.25">
      <c r="A579" s="90" t="s">
        <v>532</v>
      </c>
      <c r="B579" s="216" t="s">
        <v>43</v>
      </c>
      <c r="C579" s="279"/>
      <c r="D579" s="98" t="s">
        <v>44</v>
      </c>
      <c r="E579" s="99">
        <v>80</v>
      </c>
      <c r="F579" s="100" t="e">
        <f>'ZID Rate Build Up'!H272</f>
        <v>#DIV/0!</v>
      </c>
      <c r="G579" s="101" t="s">
        <v>40</v>
      </c>
      <c r="H579" s="104" t="e">
        <f>E579*F579</f>
        <v>#DIV/0!</v>
      </c>
    </row>
    <row r="580" spans="1:8" x14ac:dyDescent="0.25">
      <c r="A580" s="90" t="s">
        <v>533</v>
      </c>
      <c r="B580" s="216" t="s">
        <v>47</v>
      </c>
      <c r="C580" s="279"/>
      <c r="D580" s="98" t="s">
        <v>48</v>
      </c>
      <c r="E580" s="99">
        <v>16</v>
      </c>
      <c r="F580" s="100" t="e">
        <f>'ZID Rate Build Up'!K272</f>
        <v>#DIV/0!</v>
      </c>
      <c r="G580" s="101" t="s">
        <v>40</v>
      </c>
      <c r="H580" s="104" t="e">
        <f t="shared" ref="H580:H584" si="115">E580*F580</f>
        <v>#DIV/0!</v>
      </c>
    </row>
    <row r="581" spans="1:8" x14ac:dyDescent="0.25">
      <c r="A581" s="90" t="s">
        <v>534</v>
      </c>
      <c r="B581" s="216" t="s">
        <v>51</v>
      </c>
      <c r="C581" s="279"/>
      <c r="D581" s="98" t="s">
        <v>48</v>
      </c>
      <c r="E581" s="99">
        <v>16</v>
      </c>
      <c r="F581" s="100" t="e">
        <f>'ZID Rate Build Up'!H272</f>
        <v>#DIV/0!</v>
      </c>
      <c r="G581" s="101" t="s">
        <v>40</v>
      </c>
      <c r="H581" s="104" t="e">
        <f t="shared" ref="H581" si="116">E581*F581</f>
        <v>#DIV/0!</v>
      </c>
    </row>
    <row r="582" spans="1:8" x14ac:dyDescent="0.25">
      <c r="A582" s="90" t="s">
        <v>535</v>
      </c>
      <c r="B582" s="216" t="s">
        <v>54</v>
      </c>
      <c r="C582" s="279"/>
      <c r="D582" s="98" t="s">
        <v>44</v>
      </c>
      <c r="E582" s="99">
        <v>80</v>
      </c>
      <c r="F582" s="100" t="e">
        <f>'ZID Rate Build Up'!H272</f>
        <v>#DIV/0!</v>
      </c>
      <c r="G582" s="101" t="s">
        <v>40</v>
      </c>
      <c r="H582" s="104" t="e">
        <f t="shared" si="115"/>
        <v>#DIV/0!</v>
      </c>
    </row>
    <row r="583" spans="1:8" x14ac:dyDescent="0.25">
      <c r="A583" s="90" t="s">
        <v>536</v>
      </c>
      <c r="B583" s="216" t="s">
        <v>56</v>
      </c>
      <c r="C583" s="279"/>
      <c r="D583" s="99" t="s">
        <v>44</v>
      </c>
      <c r="E583" s="99">
        <v>48</v>
      </c>
      <c r="F583" s="100" t="e">
        <f>'ZID Rate Build Up'!H272</f>
        <v>#DIV/0!</v>
      </c>
      <c r="G583" s="101" t="s">
        <v>40</v>
      </c>
      <c r="H583" s="104" t="e">
        <f t="shared" si="115"/>
        <v>#DIV/0!</v>
      </c>
    </row>
    <row r="584" spans="1:8" x14ac:dyDescent="0.25">
      <c r="A584" s="90" t="s">
        <v>537</v>
      </c>
      <c r="B584" s="216" t="s">
        <v>58</v>
      </c>
      <c r="C584" s="279"/>
      <c r="D584" s="99" t="s">
        <v>44</v>
      </c>
      <c r="E584" s="99">
        <v>1040</v>
      </c>
      <c r="F584" s="100" t="e">
        <f>'ZID Rate Build Up'!H272</f>
        <v>#DIV/0!</v>
      </c>
      <c r="G584" s="101" t="s">
        <v>40</v>
      </c>
      <c r="H584" s="104" t="e">
        <f t="shared" si="115"/>
        <v>#DIV/0!</v>
      </c>
    </row>
    <row r="585" spans="1:8" ht="16.5" thickBot="1" x14ac:dyDescent="0.3">
      <c r="A585" s="106"/>
      <c r="B585" s="113" t="s">
        <v>59</v>
      </c>
      <c r="C585" s="280"/>
      <c r="D585" s="108"/>
      <c r="E585" s="109"/>
      <c r="F585" s="108"/>
      <c r="G585" s="108"/>
      <c r="H585" s="110" t="e">
        <f>SUM(H578:H584)</f>
        <v>#DIV/0!</v>
      </c>
    </row>
    <row r="586" spans="1:8" ht="16.5" thickTop="1" x14ac:dyDescent="0.25">
      <c r="A586" s="90" t="s">
        <v>538</v>
      </c>
      <c r="B586" s="216" t="s">
        <v>37</v>
      </c>
      <c r="C586" s="279" t="s">
        <v>165</v>
      </c>
      <c r="D586" s="98" t="s">
        <v>39</v>
      </c>
      <c r="E586" s="99">
        <v>12</v>
      </c>
      <c r="F586" s="101" t="s">
        <v>40</v>
      </c>
      <c r="G586" s="100" t="e">
        <f>'ZKC Rate Build Up'!H271</f>
        <v>#DIV/0!</v>
      </c>
      <c r="H586" s="104" t="e">
        <f>E586*G586</f>
        <v>#DIV/0!</v>
      </c>
    </row>
    <row r="587" spans="1:8" x14ac:dyDescent="0.25">
      <c r="A587" s="90" t="s">
        <v>539</v>
      </c>
      <c r="B587" s="216" t="s">
        <v>43</v>
      </c>
      <c r="C587" s="279"/>
      <c r="D587" s="98" t="s">
        <v>44</v>
      </c>
      <c r="E587" s="99">
        <v>80</v>
      </c>
      <c r="F587" s="100" t="e">
        <f>'ZKC Rate Build Up'!H272</f>
        <v>#DIV/0!</v>
      </c>
      <c r="G587" s="101" t="s">
        <v>40</v>
      </c>
      <c r="H587" s="104" t="e">
        <f>E587*F587</f>
        <v>#DIV/0!</v>
      </c>
    </row>
    <row r="588" spans="1:8" x14ac:dyDescent="0.25">
      <c r="A588" s="90" t="s">
        <v>540</v>
      </c>
      <c r="B588" s="216" t="s">
        <v>47</v>
      </c>
      <c r="C588" s="279"/>
      <c r="D588" s="98" t="s">
        <v>48</v>
      </c>
      <c r="E588" s="99">
        <v>16</v>
      </c>
      <c r="F588" s="100" t="e">
        <f>'ZKC Rate Build Up'!K272</f>
        <v>#DIV/0!</v>
      </c>
      <c r="G588" s="101" t="s">
        <v>40</v>
      </c>
      <c r="H588" s="104" t="e">
        <f t="shared" ref="H588:H592" si="117">E588*F588</f>
        <v>#DIV/0!</v>
      </c>
    </row>
    <row r="589" spans="1:8" x14ac:dyDescent="0.25">
      <c r="A589" s="90" t="s">
        <v>541</v>
      </c>
      <c r="B589" s="216" t="s">
        <v>51</v>
      </c>
      <c r="C589" s="279"/>
      <c r="D589" s="98" t="s">
        <v>48</v>
      </c>
      <c r="E589" s="99">
        <v>16</v>
      </c>
      <c r="F589" s="100" t="e">
        <f>'ZKC Rate Build Up'!H272</f>
        <v>#DIV/0!</v>
      </c>
      <c r="G589" s="101" t="s">
        <v>40</v>
      </c>
      <c r="H589" s="104" t="e">
        <f t="shared" ref="H589" si="118">E589*F589</f>
        <v>#DIV/0!</v>
      </c>
    </row>
    <row r="590" spans="1:8" x14ac:dyDescent="0.25">
      <c r="A590" s="90" t="s">
        <v>542</v>
      </c>
      <c r="B590" s="216" t="s">
        <v>54</v>
      </c>
      <c r="C590" s="279"/>
      <c r="D590" s="98" t="s">
        <v>44</v>
      </c>
      <c r="E590" s="99">
        <v>80</v>
      </c>
      <c r="F590" s="100" t="e">
        <f>'ZKC Rate Build Up'!H272</f>
        <v>#DIV/0!</v>
      </c>
      <c r="G590" s="101" t="s">
        <v>40</v>
      </c>
      <c r="H590" s="104" t="e">
        <f t="shared" si="117"/>
        <v>#DIV/0!</v>
      </c>
    </row>
    <row r="591" spans="1:8" x14ac:dyDescent="0.25">
      <c r="A591" s="90" t="s">
        <v>543</v>
      </c>
      <c r="B591" s="216" t="s">
        <v>56</v>
      </c>
      <c r="C591" s="279"/>
      <c r="D591" s="99" t="s">
        <v>44</v>
      </c>
      <c r="E591" s="99">
        <v>48</v>
      </c>
      <c r="F591" s="100" t="e">
        <f>'ZKC Rate Build Up'!H272</f>
        <v>#DIV/0!</v>
      </c>
      <c r="G591" s="101" t="s">
        <v>40</v>
      </c>
      <c r="H591" s="104" t="e">
        <f t="shared" si="117"/>
        <v>#DIV/0!</v>
      </c>
    </row>
    <row r="592" spans="1:8" x14ac:dyDescent="0.25">
      <c r="A592" s="90" t="s">
        <v>544</v>
      </c>
      <c r="B592" s="216" t="s">
        <v>58</v>
      </c>
      <c r="C592" s="279"/>
      <c r="D592" s="99" t="s">
        <v>44</v>
      </c>
      <c r="E592" s="99">
        <v>1040</v>
      </c>
      <c r="F592" s="100" t="e">
        <f>'ZKC Rate Build Up'!H272</f>
        <v>#DIV/0!</v>
      </c>
      <c r="G592" s="101" t="s">
        <v>40</v>
      </c>
      <c r="H592" s="104" t="e">
        <f t="shared" si="117"/>
        <v>#DIV/0!</v>
      </c>
    </row>
    <row r="593" spans="1:8" ht="16.5" thickBot="1" x14ac:dyDescent="0.3">
      <c r="A593" s="106"/>
      <c r="B593" s="113" t="s">
        <v>59</v>
      </c>
      <c r="C593" s="280"/>
      <c r="D593" s="108"/>
      <c r="E593" s="109"/>
      <c r="F593" s="108"/>
      <c r="G593" s="108"/>
      <c r="H593" s="110" t="e">
        <f>SUM(H586:H592)</f>
        <v>#DIV/0!</v>
      </c>
    </row>
    <row r="594" spans="1:8" ht="16.5" thickTop="1" x14ac:dyDescent="0.25">
      <c r="A594" s="90" t="s">
        <v>545</v>
      </c>
      <c r="B594" s="216" t="s">
        <v>37</v>
      </c>
      <c r="C594" s="279" t="s">
        <v>173</v>
      </c>
      <c r="D594" s="98" t="s">
        <v>39</v>
      </c>
      <c r="E594" s="99">
        <v>12</v>
      </c>
      <c r="F594" s="101" t="s">
        <v>40</v>
      </c>
      <c r="G594" s="100" t="e">
        <f>'ZMP Rate Build Up'!H271</f>
        <v>#DIV/0!</v>
      </c>
      <c r="H594" s="104" t="e">
        <f>E594*G594</f>
        <v>#DIV/0!</v>
      </c>
    </row>
    <row r="595" spans="1:8" x14ac:dyDescent="0.25">
      <c r="A595" s="90" t="s">
        <v>546</v>
      </c>
      <c r="B595" s="216" t="s">
        <v>43</v>
      </c>
      <c r="C595" s="279"/>
      <c r="D595" s="98" t="s">
        <v>44</v>
      </c>
      <c r="E595" s="99">
        <v>80</v>
      </c>
      <c r="F595" s="100" t="e">
        <f>'ZMP Rate Build Up'!H272</f>
        <v>#DIV/0!</v>
      </c>
      <c r="G595" s="101" t="s">
        <v>40</v>
      </c>
      <c r="H595" s="104" t="e">
        <f>E595*F595</f>
        <v>#DIV/0!</v>
      </c>
    </row>
    <row r="596" spans="1:8" x14ac:dyDescent="0.25">
      <c r="A596" s="90" t="s">
        <v>547</v>
      </c>
      <c r="B596" s="216" t="s">
        <v>47</v>
      </c>
      <c r="C596" s="279"/>
      <c r="D596" s="98" t="s">
        <v>48</v>
      </c>
      <c r="E596" s="99">
        <v>16</v>
      </c>
      <c r="F596" s="100" t="e">
        <f>'ZMP Rate Build Up'!K272</f>
        <v>#DIV/0!</v>
      </c>
      <c r="G596" s="101" t="s">
        <v>40</v>
      </c>
      <c r="H596" s="104" t="e">
        <f t="shared" ref="H596:H600" si="119">E596*F596</f>
        <v>#DIV/0!</v>
      </c>
    </row>
    <row r="597" spans="1:8" x14ac:dyDescent="0.25">
      <c r="A597" s="90" t="s">
        <v>548</v>
      </c>
      <c r="B597" s="216" t="s">
        <v>51</v>
      </c>
      <c r="C597" s="279"/>
      <c r="D597" s="98" t="s">
        <v>48</v>
      </c>
      <c r="E597" s="99">
        <v>16</v>
      </c>
      <c r="F597" s="100" t="e">
        <f>'ZMP Rate Build Up'!H272</f>
        <v>#DIV/0!</v>
      </c>
      <c r="G597" s="101" t="s">
        <v>40</v>
      </c>
      <c r="H597" s="104" t="e">
        <f t="shared" ref="H597" si="120">E597*F597</f>
        <v>#DIV/0!</v>
      </c>
    </row>
    <row r="598" spans="1:8" x14ac:dyDescent="0.25">
      <c r="A598" s="90" t="s">
        <v>549</v>
      </c>
      <c r="B598" s="216" t="s">
        <v>54</v>
      </c>
      <c r="C598" s="279"/>
      <c r="D598" s="98" t="s">
        <v>44</v>
      </c>
      <c r="E598" s="99">
        <v>80</v>
      </c>
      <c r="F598" s="100" t="e">
        <f>'ZMP Rate Build Up'!H272</f>
        <v>#DIV/0!</v>
      </c>
      <c r="G598" s="101" t="s">
        <v>40</v>
      </c>
      <c r="H598" s="104" t="e">
        <f t="shared" si="119"/>
        <v>#DIV/0!</v>
      </c>
    </row>
    <row r="599" spans="1:8" x14ac:dyDescent="0.25">
      <c r="A599" s="90" t="s">
        <v>550</v>
      </c>
      <c r="B599" s="216" t="s">
        <v>56</v>
      </c>
      <c r="C599" s="279"/>
      <c r="D599" s="99" t="s">
        <v>44</v>
      </c>
      <c r="E599" s="99">
        <v>48</v>
      </c>
      <c r="F599" s="100" t="e">
        <f>'ZMP Rate Build Up'!H272</f>
        <v>#DIV/0!</v>
      </c>
      <c r="G599" s="101" t="s">
        <v>40</v>
      </c>
      <c r="H599" s="104" t="e">
        <f t="shared" si="119"/>
        <v>#DIV/0!</v>
      </c>
    </row>
    <row r="600" spans="1:8" x14ac:dyDescent="0.25">
      <c r="A600" s="90" t="s">
        <v>551</v>
      </c>
      <c r="B600" s="216" t="s">
        <v>58</v>
      </c>
      <c r="C600" s="279"/>
      <c r="D600" s="99" t="s">
        <v>44</v>
      </c>
      <c r="E600" s="99">
        <v>1040</v>
      </c>
      <c r="F600" s="100" t="e">
        <f>'ZMP Rate Build Up'!H272</f>
        <v>#DIV/0!</v>
      </c>
      <c r="G600" s="101" t="s">
        <v>40</v>
      </c>
      <c r="H600" s="104" t="e">
        <f t="shared" si="119"/>
        <v>#DIV/0!</v>
      </c>
    </row>
    <row r="601" spans="1:8" ht="16.5" thickBot="1" x14ac:dyDescent="0.3">
      <c r="A601" s="106"/>
      <c r="B601" s="113" t="s">
        <v>59</v>
      </c>
      <c r="C601" s="280"/>
      <c r="D601" s="108"/>
      <c r="E601" s="109"/>
      <c r="F601" s="108"/>
      <c r="G601" s="108"/>
      <c r="H601" s="110" t="e">
        <f>SUM(H594:H600)</f>
        <v>#DIV/0!</v>
      </c>
    </row>
    <row r="602" spans="1:8" ht="16.5" thickTop="1" x14ac:dyDescent="0.25">
      <c r="A602" s="90" t="s">
        <v>552</v>
      </c>
      <c r="B602" s="216" t="s">
        <v>37</v>
      </c>
      <c r="C602" s="279" t="s">
        <v>181</v>
      </c>
      <c r="D602" s="98" t="s">
        <v>39</v>
      </c>
      <c r="E602" s="99">
        <v>12</v>
      </c>
      <c r="F602" s="101" t="s">
        <v>40</v>
      </c>
      <c r="G602" s="100" t="e">
        <f>'ZOB Rate Build Up'!H271</f>
        <v>#DIV/0!</v>
      </c>
      <c r="H602" s="104" t="e">
        <f>E602*G602</f>
        <v>#DIV/0!</v>
      </c>
    </row>
    <row r="603" spans="1:8" x14ac:dyDescent="0.25">
      <c r="A603" s="90" t="s">
        <v>553</v>
      </c>
      <c r="B603" s="216" t="s">
        <v>43</v>
      </c>
      <c r="C603" s="279"/>
      <c r="D603" s="98" t="s">
        <v>44</v>
      </c>
      <c r="E603" s="99">
        <v>80</v>
      </c>
      <c r="F603" s="100" t="e">
        <f>'ZOB Rate Build Up'!H272</f>
        <v>#DIV/0!</v>
      </c>
      <c r="G603" s="101" t="s">
        <v>40</v>
      </c>
      <c r="H603" s="104" t="e">
        <f>E603*F603</f>
        <v>#DIV/0!</v>
      </c>
    </row>
    <row r="604" spans="1:8" x14ac:dyDescent="0.25">
      <c r="A604" s="90" t="s">
        <v>554</v>
      </c>
      <c r="B604" s="216" t="s">
        <v>47</v>
      </c>
      <c r="C604" s="279"/>
      <c r="D604" s="98" t="s">
        <v>48</v>
      </c>
      <c r="E604" s="99">
        <v>16</v>
      </c>
      <c r="F604" s="100" t="e">
        <f>'ZOB Rate Build Up'!K272</f>
        <v>#DIV/0!</v>
      </c>
      <c r="G604" s="101" t="s">
        <v>40</v>
      </c>
      <c r="H604" s="104" t="e">
        <f t="shared" ref="H604:H608" si="121">E604*F604</f>
        <v>#DIV/0!</v>
      </c>
    </row>
    <row r="605" spans="1:8" x14ac:dyDescent="0.25">
      <c r="A605" s="90" t="s">
        <v>555</v>
      </c>
      <c r="B605" s="216" t="s">
        <v>51</v>
      </c>
      <c r="C605" s="279"/>
      <c r="D605" s="98" t="s">
        <v>48</v>
      </c>
      <c r="E605" s="99">
        <v>16</v>
      </c>
      <c r="F605" s="100" t="e">
        <f>'ZOB Rate Build Up'!H272</f>
        <v>#DIV/0!</v>
      </c>
      <c r="G605" s="101" t="s">
        <v>40</v>
      </c>
      <c r="H605" s="104" t="e">
        <f t="shared" ref="H605" si="122">E605*F605</f>
        <v>#DIV/0!</v>
      </c>
    </row>
    <row r="606" spans="1:8" x14ac:dyDescent="0.25">
      <c r="A606" s="90" t="s">
        <v>556</v>
      </c>
      <c r="B606" s="216" t="s">
        <v>54</v>
      </c>
      <c r="C606" s="279"/>
      <c r="D606" s="98" t="s">
        <v>44</v>
      </c>
      <c r="E606" s="99">
        <v>80</v>
      </c>
      <c r="F606" s="100" t="e">
        <f>'ZOB Rate Build Up'!H272</f>
        <v>#DIV/0!</v>
      </c>
      <c r="G606" s="101" t="s">
        <v>40</v>
      </c>
      <c r="H606" s="104" t="e">
        <f t="shared" si="121"/>
        <v>#DIV/0!</v>
      </c>
    </row>
    <row r="607" spans="1:8" x14ac:dyDescent="0.25">
      <c r="A607" s="90" t="s">
        <v>557</v>
      </c>
      <c r="B607" s="216" t="s">
        <v>56</v>
      </c>
      <c r="C607" s="279"/>
      <c r="D607" s="99" t="s">
        <v>44</v>
      </c>
      <c r="E607" s="99">
        <v>48</v>
      </c>
      <c r="F607" s="100" t="e">
        <f>'ZOB Rate Build Up'!H272</f>
        <v>#DIV/0!</v>
      </c>
      <c r="G607" s="101" t="s">
        <v>40</v>
      </c>
      <c r="H607" s="104" t="e">
        <f t="shared" si="121"/>
        <v>#DIV/0!</v>
      </c>
    </row>
    <row r="608" spans="1:8" x14ac:dyDescent="0.25">
      <c r="A608" s="90" t="s">
        <v>558</v>
      </c>
      <c r="B608" s="216" t="s">
        <v>58</v>
      </c>
      <c r="C608" s="279"/>
      <c r="D608" s="99" t="s">
        <v>44</v>
      </c>
      <c r="E608" s="99">
        <v>1040</v>
      </c>
      <c r="F608" s="100" t="e">
        <f>'ZOB Rate Build Up'!H272</f>
        <v>#DIV/0!</v>
      </c>
      <c r="G608" s="101" t="s">
        <v>40</v>
      </c>
      <c r="H608" s="104" t="e">
        <f t="shared" si="121"/>
        <v>#DIV/0!</v>
      </c>
    </row>
    <row r="609" spans="1:9" ht="16.5" thickBot="1" x14ac:dyDescent="0.3">
      <c r="A609" s="106"/>
      <c r="B609" s="107" t="s">
        <v>59</v>
      </c>
      <c r="C609" s="280"/>
      <c r="D609" s="108"/>
      <c r="E609" s="109"/>
      <c r="F609" s="108"/>
      <c r="G609" s="108"/>
      <c r="H609" s="110" t="e">
        <f>SUM(H602:H608)</f>
        <v>#DIV/0!</v>
      </c>
    </row>
    <row r="610" spans="1:9" ht="17.25" thickTop="1" thickBot="1" x14ac:dyDescent="0.3"/>
    <row r="611" spans="1:9" ht="48" thickBot="1" x14ac:dyDescent="0.3">
      <c r="A611" s="220" t="s">
        <v>27</v>
      </c>
      <c r="B611" s="221" t="s">
        <v>28</v>
      </c>
      <c r="C611" s="222" t="s">
        <v>29</v>
      </c>
      <c r="D611" s="222" t="s">
        <v>30</v>
      </c>
      <c r="E611" s="88" t="s">
        <v>31</v>
      </c>
      <c r="F611" s="222" t="s">
        <v>32</v>
      </c>
      <c r="G611" s="222" t="s">
        <v>33</v>
      </c>
      <c r="H611" s="260" t="s">
        <v>34</v>
      </c>
    </row>
    <row r="612" spans="1:9" ht="16.5" thickBot="1" x14ac:dyDescent="0.3">
      <c r="A612" s="246" t="s">
        <v>559</v>
      </c>
      <c r="B612" s="247" t="s">
        <v>37</v>
      </c>
      <c r="C612" s="286"/>
      <c r="D612" s="248" t="s">
        <v>39</v>
      </c>
      <c r="E612" s="261" t="s">
        <v>40</v>
      </c>
      <c r="F612" s="248" t="s">
        <v>40</v>
      </c>
      <c r="G612" s="249" t="e">
        <f>H612/12</f>
        <v>#DIV/0!</v>
      </c>
      <c r="H612" s="250" t="e">
        <f t="shared" ref="H612:H618" si="123">H468+H476+H484+H492+H500+H508+H519+H527+H535+H543+H551+H559+H567+H578+H586+H594+H602</f>
        <v>#DIV/0!</v>
      </c>
    </row>
    <row r="613" spans="1:9" ht="16.5" thickBot="1" x14ac:dyDescent="0.3">
      <c r="A613" s="251" t="s">
        <v>560</v>
      </c>
      <c r="B613" s="225" t="s">
        <v>43</v>
      </c>
      <c r="C613" s="281"/>
      <c r="D613" s="226" t="s">
        <v>44</v>
      </c>
      <c r="E613" s="226" t="s">
        <v>40</v>
      </c>
      <c r="F613" s="226" t="s">
        <v>40</v>
      </c>
      <c r="G613" s="255" t="s">
        <v>40</v>
      </c>
      <c r="H613" s="250" t="e">
        <f t="shared" si="123"/>
        <v>#DIV/0!</v>
      </c>
    </row>
    <row r="614" spans="1:9" ht="16.5" thickBot="1" x14ac:dyDescent="0.3">
      <c r="A614" s="251" t="s">
        <v>561</v>
      </c>
      <c r="B614" s="225" t="s">
        <v>47</v>
      </c>
      <c r="C614" s="281"/>
      <c r="D614" s="226" t="s">
        <v>48</v>
      </c>
      <c r="E614" s="226" t="s">
        <v>40</v>
      </c>
      <c r="F614" s="226" t="s">
        <v>40</v>
      </c>
      <c r="G614" s="255" t="s">
        <v>40</v>
      </c>
      <c r="H614" s="250" t="e">
        <f t="shared" si="123"/>
        <v>#DIV/0!</v>
      </c>
    </row>
    <row r="615" spans="1:9" ht="16.5" thickBot="1" x14ac:dyDescent="0.3">
      <c r="A615" s="251" t="s">
        <v>562</v>
      </c>
      <c r="B615" s="225" t="s">
        <v>51</v>
      </c>
      <c r="C615" s="281"/>
      <c r="D615" s="226" t="s">
        <v>44</v>
      </c>
      <c r="E615" s="226" t="s">
        <v>40</v>
      </c>
      <c r="F615" s="226" t="s">
        <v>40</v>
      </c>
      <c r="G615" s="255" t="s">
        <v>40</v>
      </c>
      <c r="H615" s="250" t="e">
        <f t="shared" si="123"/>
        <v>#DIV/0!</v>
      </c>
    </row>
    <row r="616" spans="1:9" ht="16.5" thickBot="1" x14ac:dyDescent="0.3">
      <c r="A616" s="251" t="s">
        <v>563</v>
      </c>
      <c r="B616" s="225" t="s">
        <v>54</v>
      </c>
      <c r="C616" s="281"/>
      <c r="D616" s="226" t="s">
        <v>44</v>
      </c>
      <c r="E616" s="226" t="s">
        <v>40</v>
      </c>
      <c r="F616" s="226" t="s">
        <v>40</v>
      </c>
      <c r="G616" s="255" t="s">
        <v>40</v>
      </c>
      <c r="H616" s="250" t="e">
        <f t="shared" si="123"/>
        <v>#DIV/0!</v>
      </c>
    </row>
    <row r="617" spans="1:9" ht="16.5" thickBot="1" x14ac:dyDescent="0.3">
      <c r="A617" s="251" t="s">
        <v>564</v>
      </c>
      <c r="B617" s="225" t="s">
        <v>56</v>
      </c>
      <c r="C617" s="281"/>
      <c r="D617" s="229" t="s">
        <v>44</v>
      </c>
      <c r="E617" s="226" t="s">
        <v>40</v>
      </c>
      <c r="F617" s="226" t="s">
        <v>40</v>
      </c>
      <c r="G617" s="226" t="s">
        <v>40</v>
      </c>
      <c r="H617" s="250" t="e">
        <f t="shared" si="123"/>
        <v>#DIV/0!</v>
      </c>
    </row>
    <row r="618" spans="1:9" x14ac:dyDescent="0.25">
      <c r="A618" s="251" t="s">
        <v>565</v>
      </c>
      <c r="B618" s="225" t="s">
        <v>58</v>
      </c>
      <c r="C618" s="281"/>
      <c r="D618" s="229" t="s">
        <v>44</v>
      </c>
      <c r="E618" s="226" t="s">
        <v>40</v>
      </c>
      <c r="F618" s="226" t="s">
        <v>40</v>
      </c>
      <c r="G618" s="226" t="s">
        <v>40</v>
      </c>
      <c r="H618" s="250" t="e">
        <f t="shared" si="123"/>
        <v>#DIV/0!</v>
      </c>
    </row>
    <row r="619" spans="1:9" ht="16.5" thickBot="1" x14ac:dyDescent="0.3">
      <c r="A619" s="232" t="s">
        <v>566</v>
      </c>
      <c r="B619" s="233" t="s">
        <v>59</v>
      </c>
      <c r="C619" s="282"/>
      <c r="D619" s="252"/>
      <c r="E619" s="252"/>
      <c r="F619" s="252"/>
      <c r="G619" s="252"/>
      <c r="H619" s="236" t="e">
        <f>SUM(H612:H618)</f>
        <v>#DIV/0!</v>
      </c>
    </row>
    <row r="620" spans="1:9" x14ac:dyDescent="0.25">
      <c r="A620" s="237"/>
      <c r="B620" s="238"/>
      <c r="C620" s="239"/>
      <c r="D620" s="256"/>
      <c r="E620" s="256"/>
      <c r="F620" s="256"/>
      <c r="G620" s="256"/>
      <c r="H620" s="241"/>
      <c r="I620" s="237"/>
    </row>
    <row r="621" spans="1:9" ht="16.5" thickBot="1" x14ac:dyDescent="0.3">
      <c r="A621" s="242" t="s">
        <v>842</v>
      </c>
      <c r="B621" s="80"/>
      <c r="C621" s="243"/>
      <c r="H621" s="244" t="s">
        <v>567</v>
      </c>
    </row>
    <row r="622" spans="1:9" ht="48" thickBot="1" x14ac:dyDescent="0.3">
      <c r="A622" s="84" t="s">
        <v>27</v>
      </c>
      <c r="B622" s="85" t="s">
        <v>28</v>
      </c>
      <c r="C622" s="86" t="s">
        <v>29</v>
      </c>
      <c r="D622" s="87" t="s">
        <v>30</v>
      </c>
      <c r="E622" s="88" t="s">
        <v>31</v>
      </c>
      <c r="F622" s="87" t="s">
        <v>32</v>
      </c>
      <c r="G622" s="87" t="s">
        <v>33</v>
      </c>
      <c r="H622" s="89" t="s">
        <v>34</v>
      </c>
    </row>
    <row r="623" spans="1:9" x14ac:dyDescent="0.25">
      <c r="A623" s="90" t="s">
        <v>568</v>
      </c>
      <c r="B623" s="91" t="s">
        <v>37</v>
      </c>
      <c r="C623" s="279" t="s">
        <v>38</v>
      </c>
      <c r="D623" s="92" t="s">
        <v>39</v>
      </c>
      <c r="E623" s="93">
        <v>12</v>
      </c>
      <c r="F623" s="94" t="s">
        <v>40</v>
      </c>
      <c r="G623" s="95" t="e">
        <f>'C90 Rate Build Up'!H339</f>
        <v>#DIV/0!</v>
      </c>
      <c r="H623" s="118" t="e">
        <f>E623*G623</f>
        <v>#DIV/0!</v>
      </c>
    </row>
    <row r="624" spans="1:9" x14ac:dyDescent="0.25">
      <c r="A624" s="90" t="s">
        <v>569</v>
      </c>
      <c r="B624" s="97" t="s">
        <v>43</v>
      </c>
      <c r="C624" s="279"/>
      <c r="D624" s="98" t="s">
        <v>44</v>
      </c>
      <c r="E624" s="99">
        <v>80</v>
      </c>
      <c r="F624" s="100" t="e">
        <f>'C90 Rate Build Up'!$H$340</f>
        <v>#DIV/0!</v>
      </c>
      <c r="G624" s="101" t="s">
        <v>40</v>
      </c>
      <c r="H624" s="104" t="e">
        <f>E624*F624</f>
        <v>#DIV/0!</v>
      </c>
    </row>
    <row r="625" spans="1:8" x14ac:dyDescent="0.25">
      <c r="A625" s="90" t="s">
        <v>570</v>
      </c>
      <c r="B625" s="97" t="s">
        <v>47</v>
      </c>
      <c r="C625" s="279"/>
      <c r="D625" s="98" t="s">
        <v>48</v>
      </c>
      <c r="E625" s="99">
        <v>16</v>
      </c>
      <c r="F625" s="100" t="e">
        <f>'C90 Rate Build Up'!$K$340</f>
        <v>#DIV/0!</v>
      </c>
      <c r="G625" s="101" t="s">
        <v>40</v>
      </c>
      <c r="H625" s="104" t="e">
        <f t="shared" ref="H625:H629" si="124">E625*F625</f>
        <v>#DIV/0!</v>
      </c>
    </row>
    <row r="626" spans="1:8" x14ac:dyDescent="0.25">
      <c r="A626" s="90" t="s">
        <v>571</v>
      </c>
      <c r="B626" s="216" t="s">
        <v>51</v>
      </c>
      <c r="C626" s="279"/>
      <c r="D626" s="98" t="s">
        <v>48</v>
      </c>
      <c r="E626" s="99">
        <v>16</v>
      </c>
      <c r="F626" s="100" t="e">
        <f>'C90 Rate Build Up'!$H$340</f>
        <v>#DIV/0!</v>
      </c>
      <c r="G626" s="101" t="s">
        <v>40</v>
      </c>
      <c r="H626" s="104" t="e">
        <f t="shared" ref="H626" si="125">E626*F626</f>
        <v>#DIV/0!</v>
      </c>
    </row>
    <row r="627" spans="1:8" x14ac:dyDescent="0.25">
      <c r="A627" s="90" t="s">
        <v>572</v>
      </c>
      <c r="B627" s="97" t="s">
        <v>54</v>
      </c>
      <c r="C627" s="279"/>
      <c r="D627" s="98" t="s">
        <v>44</v>
      </c>
      <c r="E627" s="99">
        <v>80</v>
      </c>
      <c r="F627" s="100" t="e">
        <f>'C90 Rate Build Up'!$H$340</f>
        <v>#DIV/0!</v>
      </c>
      <c r="G627" s="101" t="s">
        <v>40</v>
      </c>
      <c r="H627" s="104" t="e">
        <f t="shared" si="124"/>
        <v>#DIV/0!</v>
      </c>
    </row>
    <row r="628" spans="1:8" x14ac:dyDescent="0.25">
      <c r="A628" s="90" t="s">
        <v>573</v>
      </c>
      <c r="B628" s="97" t="s">
        <v>56</v>
      </c>
      <c r="C628" s="279"/>
      <c r="D628" s="99" t="s">
        <v>44</v>
      </c>
      <c r="E628" s="99">
        <v>48</v>
      </c>
      <c r="F628" s="100" t="e">
        <f>'C90 Rate Build Up'!$H$340</f>
        <v>#DIV/0!</v>
      </c>
      <c r="G628" s="101" t="s">
        <v>40</v>
      </c>
      <c r="H628" s="104" t="e">
        <f t="shared" si="124"/>
        <v>#DIV/0!</v>
      </c>
    </row>
    <row r="629" spans="1:8" x14ac:dyDescent="0.25">
      <c r="A629" s="90" t="s">
        <v>574</v>
      </c>
      <c r="B629" s="105" t="s">
        <v>58</v>
      </c>
      <c r="C629" s="279"/>
      <c r="D629" s="99" t="s">
        <v>44</v>
      </c>
      <c r="E629" s="99">
        <v>1040</v>
      </c>
      <c r="F629" s="100" t="e">
        <f>'C90 Rate Build Up'!$H$340</f>
        <v>#DIV/0!</v>
      </c>
      <c r="G629" s="101" t="s">
        <v>40</v>
      </c>
      <c r="H629" s="104" t="e">
        <f t="shared" si="124"/>
        <v>#DIV/0!</v>
      </c>
    </row>
    <row r="630" spans="1:8" ht="16.5" thickBot="1" x14ac:dyDescent="0.3">
      <c r="A630" s="106"/>
      <c r="B630" s="113" t="s">
        <v>59</v>
      </c>
      <c r="C630" s="283"/>
      <c r="D630" s="108"/>
      <c r="E630" s="109"/>
      <c r="F630" s="108"/>
      <c r="G630" s="108"/>
      <c r="H630" s="110" t="e">
        <f>SUM(H623:H629)</f>
        <v>#DIV/0!</v>
      </c>
    </row>
    <row r="631" spans="1:8" ht="16.5" thickTop="1" x14ac:dyDescent="0.25">
      <c r="A631" s="90" t="s">
        <v>575</v>
      </c>
      <c r="B631" s="216" t="s">
        <v>37</v>
      </c>
      <c r="C631" s="279" t="s">
        <v>61</v>
      </c>
      <c r="D631" s="98" t="s">
        <v>39</v>
      </c>
      <c r="E631" s="99">
        <v>12</v>
      </c>
      <c r="F631" s="101" t="s">
        <v>40</v>
      </c>
      <c r="G631" s="100" t="e">
        <f>'D10 Rate Build Up'!H339</f>
        <v>#DIV/0!</v>
      </c>
      <c r="H631" s="104" t="e">
        <f>E631*G631</f>
        <v>#DIV/0!</v>
      </c>
    </row>
    <row r="632" spans="1:8" x14ac:dyDescent="0.25">
      <c r="A632" s="90" t="s">
        <v>576</v>
      </c>
      <c r="B632" s="216" t="s">
        <v>43</v>
      </c>
      <c r="C632" s="279"/>
      <c r="D632" s="98" t="s">
        <v>44</v>
      </c>
      <c r="E632" s="99">
        <v>80</v>
      </c>
      <c r="F632" s="100" t="e">
        <f>'D10 Rate Build Up'!H340</f>
        <v>#DIV/0!</v>
      </c>
      <c r="G632" s="101" t="s">
        <v>40</v>
      </c>
      <c r="H632" s="104" t="e">
        <f>E632*F632</f>
        <v>#DIV/0!</v>
      </c>
    </row>
    <row r="633" spans="1:8" x14ac:dyDescent="0.25">
      <c r="A633" s="90" t="s">
        <v>577</v>
      </c>
      <c r="B633" s="216" t="s">
        <v>47</v>
      </c>
      <c r="C633" s="279"/>
      <c r="D633" s="98" t="s">
        <v>48</v>
      </c>
      <c r="E633" s="99">
        <v>16</v>
      </c>
      <c r="F633" s="100" t="e">
        <f>'D10 Rate Build Up'!K340</f>
        <v>#DIV/0!</v>
      </c>
      <c r="G633" s="101" t="s">
        <v>40</v>
      </c>
      <c r="H633" s="104" t="e">
        <f t="shared" ref="H633:H637" si="126">E633*F633</f>
        <v>#DIV/0!</v>
      </c>
    </row>
    <row r="634" spans="1:8" x14ac:dyDescent="0.25">
      <c r="A634" s="90" t="s">
        <v>578</v>
      </c>
      <c r="B634" s="216" t="s">
        <v>51</v>
      </c>
      <c r="C634" s="279"/>
      <c r="D634" s="98" t="s">
        <v>48</v>
      </c>
      <c r="E634" s="99">
        <v>16</v>
      </c>
      <c r="F634" s="100" t="e">
        <f>'D10 Rate Build Up'!H340</f>
        <v>#DIV/0!</v>
      </c>
      <c r="G634" s="101" t="s">
        <v>40</v>
      </c>
      <c r="H634" s="104" t="e">
        <f t="shared" ref="H634" si="127">E634*F634</f>
        <v>#DIV/0!</v>
      </c>
    </row>
    <row r="635" spans="1:8" x14ac:dyDescent="0.25">
      <c r="A635" s="90" t="s">
        <v>579</v>
      </c>
      <c r="B635" s="216" t="s">
        <v>54</v>
      </c>
      <c r="C635" s="279"/>
      <c r="D635" s="98" t="s">
        <v>44</v>
      </c>
      <c r="E635" s="99">
        <v>80</v>
      </c>
      <c r="F635" s="100" t="e">
        <f>'D10 Rate Build Up'!H340</f>
        <v>#DIV/0!</v>
      </c>
      <c r="G635" s="101" t="s">
        <v>40</v>
      </c>
      <c r="H635" s="104" t="e">
        <f t="shared" si="126"/>
        <v>#DIV/0!</v>
      </c>
    </row>
    <row r="636" spans="1:8" x14ac:dyDescent="0.25">
      <c r="A636" s="90" t="s">
        <v>580</v>
      </c>
      <c r="B636" s="216" t="s">
        <v>56</v>
      </c>
      <c r="C636" s="279"/>
      <c r="D636" s="99" t="s">
        <v>44</v>
      </c>
      <c r="E636" s="99">
        <v>48</v>
      </c>
      <c r="F636" s="100" t="e">
        <f>'D10 Rate Build Up'!H340</f>
        <v>#DIV/0!</v>
      </c>
      <c r="G636" s="101" t="s">
        <v>40</v>
      </c>
      <c r="H636" s="104" t="e">
        <f t="shared" si="126"/>
        <v>#DIV/0!</v>
      </c>
    </row>
    <row r="637" spans="1:8" x14ac:dyDescent="0.25">
      <c r="A637" s="90" t="s">
        <v>581</v>
      </c>
      <c r="B637" s="216" t="s">
        <v>58</v>
      </c>
      <c r="C637" s="279"/>
      <c r="D637" s="99" t="s">
        <v>44</v>
      </c>
      <c r="E637" s="99">
        <v>1040</v>
      </c>
      <c r="F637" s="100" t="e">
        <f>'D10 Rate Build Up'!H340</f>
        <v>#DIV/0!</v>
      </c>
      <c r="G637" s="101" t="s">
        <v>40</v>
      </c>
      <c r="H637" s="104" t="e">
        <f t="shared" si="126"/>
        <v>#DIV/0!</v>
      </c>
    </row>
    <row r="638" spans="1:8" ht="16.5" thickBot="1" x14ac:dyDescent="0.3">
      <c r="A638" s="106"/>
      <c r="B638" s="113" t="s">
        <v>59</v>
      </c>
      <c r="C638" s="280"/>
      <c r="D638" s="108"/>
      <c r="E638" s="109"/>
      <c r="F638" s="108"/>
      <c r="G638" s="108"/>
      <c r="H638" s="110" t="e">
        <f>SUM(H631:H637)</f>
        <v>#DIV/0!</v>
      </c>
    </row>
    <row r="639" spans="1:8" ht="16.5" thickTop="1" x14ac:dyDescent="0.25">
      <c r="A639" s="90" t="s">
        <v>582</v>
      </c>
      <c r="B639" s="216" t="s">
        <v>37</v>
      </c>
      <c r="C639" s="279" t="s">
        <v>69</v>
      </c>
      <c r="D639" s="98" t="s">
        <v>39</v>
      </c>
      <c r="E639" s="99">
        <v>12</v>
      </c>
      <c r="F639" s="101" t="s">
        <v>40</v>
      </c>
      <c r="G639" s="100" t="e">
        <f>'DFW ATCT-E Rate Build Up'!H339</f>
        <v>#DIV/0!</v>
      </c>
      <c r="H639" s="104" t="e">
        <f>E639*G639</f>
        <v>#DIV/0!</v>
      </c>
    </row>
    <row r="640" spans="1:8" x14ac:dyDescent="0.25">
      <c r="A640" s="90" t="s">
        <v>583</v>
      </c>
      <c r="B640" s="216" t="s">
        <v>43</v>
      </c>
      <c r="C640" s="279"/>
      <c r="D640" s="98" t="s">
        <v>44</v>
      </c>
      <c r="E640" s="99">
        <v>80</v>
      </c>
      <c r="F640" s="100" t="e">
        <f>'DFW ATCT-E Rate Build Up'!H340</f>
        <v>#DIV/0!</v>
      </c>
      <c r="G640" s="101" t="s">
        <v>40</v>
      </c>
      <c r="H640" s="104" t="e">
        <f>E640*F640</f>
        <v>#DIV/0!</v>
      </c>
    </row>
    <row r="641" spans="1:8" x14ac:dyDescent="0.25">
      <c r="A641" s="90" t="s">
        <v>584</v>
      </c>
      <c r="B641" s="216" t="s">
        <v>47</v>
      </c>
      <c r="C641" s="279"/>
      <c r="D641" s="98" t="s">
        <v>48</v>
      </c>
      <c r="E641" s="99">
        <v>16</v>
      </c>
      <c r="F641" s="100" t="e">
        <f>'DFW ATCT-E Rate Build Up'!K340</f>
        <v>#DIV/0!</v>
      </c>
      <c r="G641" s="101" t="s">
        <v>40</v>
      </c>
      <c r="H641" s="104" t="e">
        <f t="shared" ref="H641:H645" si="128">E641*F641</f>
        <v>#DIV/0!</v>
      </c>
    </row>
    <row r="642" spans="1:8" x14ac:dyDescent="0.25">
      <c r="A642" s="90" t="s">
        <v>585</v>
      </c>
      <c r="B642" s="216" t="s">
        <v>51</v>
      </c>
      <c r="C642" s="279"/>
      <c r="D642" s="98" t="s">
        <v>48</v>
      </c>
      <c r="E642" s="99">
        <v>16</v>
      </c>
      <c r="F642" s="100" t="e">
        <f>'DFW ATCT-E Rate Build Up'!H340</f>
        <v>#DIV/0!</v>
      </c>
      <c r="G642" s="101" t="s">
        <v>40</v>
      </c>
      <c r="H642" s="104" t="e">
        <f t="shared" ref="H642" si="129">E642*F642</f>
        <v>#DIV/0!</v>
      </c>
    </row>
    <row r="643" spans="1:8" x14ac:dyDescent="0.25">
      <c r="A643" s="90" t="s">
        <v>586</v>
      </c>
      <c r="B643" s="216" t="s">
        <v>54</v>
      </c>
      <c r="C643" s="279"/>
      <c r="D643" s="98" t="s">
        <v>44</v>
      </c>
      <c r="E643" s="99">
        <v>80</v>
      </c>
      <c r="F643" s="100" t="e">
        <f>'DFW ATCT-E Rate Build Up'!H340</f>
        <v>#DIV/0!</v>
      </c>
      <c r="G643" s="101" t="s">
        <v>40</v>
      </c>
      <c r="H643" s="104" t="e">
        <f t="shared" si="128"/>
        <v>#DIV/0!</v>
      </c>
    </row>
    <row r="644" spans="1:8" x14ac:dyDescent="0.25">
      <c r="A644" s="90" t="s">
        <v>587</v>
      </c>
      <c r="B644" s="216" t="s">
        <v>56</v>
      </c>
      <c r="C644" s="279"/>
      <c r="D644" s="99" t="s">
        <v>44</v>
      </c>
      <c r="E644" s="99">
        <v>48</v>
      </c>
      <c r="F644" s="100" t="e">
        <f>'DFW ATCT-E Rate Build Up'!H340</f>
        <v>#DIV/0!</v>
      </c>
      <c r="G644" s="101" t="s">
        <v>40</v>
      </c>
      <c r="H644" s="104" t="e">
        <f t="shared" si="128"/>
        <v>#DIV/0!</v>
      </c>
    </row>
    <row r="645" spans="1:8" x14ac:dyDescent="0.25">
      <c r="A645" s="90" t="s">
        <v>588</v>
      </c>
      <c r="B645" s="216" t="s">
        <v>58</v>
      </c>
      <c r="C645" s="279"/>
      <c r="D645" s="99" t="s">
        <v>44</v>
      </c>
      <c r="E645" s="99">
        <v>1040</v>
      </c>
      <c r="F645" s="100" t="e">
        <f>'DFW ATCT-E Rate Build Up'!H340</f>
        <v>#DIV/0!</v>
      </c>
      <c r="G645" s="101" t="s">
        <v>40</v>
      </c>
      <c r="H645" s="104" t="e">
        <f t="shared" si="128"/>
        <v>#DIV/0!</v>
      </c>
    </row>
    <row r="646" spans="1:8" ht="16.5" thickBot="1" x14ac:dyDescent="0.3">
      <c r="A646" s="106"/>
      <c r="B646" s="113" t="s">
        <v>59</v>
      </c>
      <c r="C646" s="280"/>
      <c r="D646" s="108"/>
      <c r="E646" s="109"/>
      <c r="F646" s="108"/>
      <c r="G646" s="108"/>
      <c r="H646" s="110" t="e">
        <f>SUM(H639:H645)</f>
        <v>#DIV/0!</v>
      </c>
    </row>
    <row r="647" spans="1:8" ht="16.5" thickTop="1" x14ac:dyDescent="0.25">
      <c r="A647" s="90" t="s">
        <v>589</v>
      </c>
      <c r="B647" s="216" t="s">
        <v>37</v>
      </c>
      <c r="C647" s="279" t="s">
        <v>77</v>
      </c>
      <c r="D647" s="98" t="s">
        <v>39</v>
      </c>
      <c r="E647" s="99">
        <v>12</v>
      </c>
      <c r="F647" s="101" t="s">
        <v>40</v>
      </c>
      <c r="G647" s="100" t="e">
        <f>'DFW ATCT-W Rate Build Up'!H339</f>
        <v>#DIV/0!</v>
      </c>
      <c r="H647" s="104" t="e">
        <f>E647*G647</f>
        <v>#DIV/0!</v>
      </c>
    </row>
    <row r="648" spans="1:8" x14ac:dyDescent="0.25">
      <c r="A648" s="90" t="s">
        <v>590</v>
      </c>
      <c r="B648" s="216" t="s">
        <v>43</v>
      </c>
      <c r="C648" s="279"/>
      <c r="D648" s="98" t="s">
        <v>44</v>
      </c>
      <c r="E648" s="99">
        <v>80</v>
      </c>
      <c r="F648" s="100" t="e">
        <f>'DFW ATCT-W Rate Build Up'!H340</f>
        <v>#DIV/0!</v>
      </c>
      <c r="G648" s="101" t="s">
        <v>40</v>
      </c>
      <c r="H648" s="104" t="e">
        <f>E648*F648</f>
        <v>#DIV/0!</v>
      </c>
    </row>
    <row r="649" spans="1:8" x14ac:dyDescent="0.25">
      <c r="A649" s="90" t="s">
        <v>591</v>
      </c>
      <c r="B649" s="216" t="s">
        <v>47</v>
      </c>
      <c r="C649" s="279"/>
      <c r="D649" s="98" t="s">
        <v>48</v>
      </c>
      <c r="E649" s="99">
        <v>16</v>
      </c>
      <c r="F649" s="100" t="e">
        <f>'DFW ATCT-W Rate Build Up'!K340</f>
        <v>#DIV/0!</v>
      </c>
      <c r="G649" s="101" t="s">
        <v>40</v>
      </c>
      <c r="H649" s="104" t="e">
        <f t="shared" ref="H649:H653" si="130">E649*F649</f>
        <v>#DIV/0!</v>
      </c>
    </row>
    <row r="650" spans="1:8" x14ac:dyDescent="0.25">
      <c r="A650" s="90" t="s">
        <v>592</v>
      </c>
      <c r="B650" s="216" t="s">
        <v>51</v>
      </c>
      <c r="C650" s="279"/>
      <c r="D650" s="98" t="s">
        <v>48</v>
      </c>
      <c r="E650" s="99">
        <v>16</v>
      </c>
      <c r="F650" s="100" t="e">
        <f>'DFW ATCT-W Rate Build Up'!H340</f>
        <v>#DIV/0!</v>
      </c>
      <c r="G650" s="101" t="s">
        <v>40</v>
      </c>
      <c r="H650" s="104" t="e">
        <f t="shared" ref="H650" si="131">E650*F650</f>
        <v>#DIV/0!</v>
      </c>
    </row>
    <row r="651" spans="1:8" x14ac:dyDescent="0.25">
      <c r="A651" s="90" t="s">
        <v>593</v>
      </c>
      <c r="B651" s="216" t="s">
        <v>54</v>
      </c>
      <c r="C651" s="279"/>
      <c r="D651" s="98" t="s">
        <v>44</v>
      </c>
      <c r="E651" s="99">
        <v>80</v>
      </c>
      <c r="F651" s="100" t="e">
        <f>'DFW ATCT-W Rate Build Up'!H340</f>
        <v>#DIV/0!</v>
      </c>
      <c r="G651" s="101" t="s">
        <v>40</v>
      </c>
      <c r="H651" s="104" t="e">
        <f t="shared" si="130"/>
        <v>#DIV/0!</v>
      </c>
    </row>
    <row r="652" spans="1:8" x14ac:dyDescent="0.25">
      <c r="A652" s="90" t="s">
        <v>594</v>
      </c>
      <c r="B652" s="216" t="s">
        <v>56</v>
      </c>
      <c r="C652" s="279"/>
      <c r="D652" s="99" t="s">
        <v>44</v>
      </c>
      <c r="E652" s="99">
        <v>48</v>
      </c>
      <c r="F652" s="100" t="e">
        <f>'DFW ATCT-W Rate Build Up'!H340</f>
        <v>#DIV/0!</v>
      </c>
      <c r="G652" s="101" t="s">
        <v>40</v>
      </c>
      <c r="H652" s="104" t="e">
        <f t="shared" si="130"/>
        <v>#DIV/0!</v>
      </c>
    </row>
    <row r="653" spans="1:8" x14ac:dyDescent="0.25">
      <c r="A653" s="90" t="s">
        <v>595</v>
      </c>
      <c r="B653" s="216" t="s">
        <v>58</v>
      </c>
      <c r="C653" s="279"/>
      <c r="D653" s="99" t="s">
        <v>44</v>
      </c>
      <c r="E653" s="99">
        <v>1040</v>
      </c>
      <c r="F653" s="100" t="e">
        <f>'DFW ATCT-W Rate Build Up'!H340</f>
        <v>#DIV/0!</v>
      </c>
      <c r="G653" s="101" t="s">
        <v>40</v>
      </c>
      <c r="H653" s="104" t="e">
        <f t="shared" si="130"/>
        <v>#DIV/0!</v>
      </c>
    </row>
    <row r="654" spans="1:8" ht="16.5" thickBot="1" x14ac:dyDescent="0.3">
      <c r="A654" s="106"/>
      <c r="B654" s="113" t="s">
        <v>59</v>
      </c>
      <c r="C654" s="280"/>
      <c r="D654" s="108"/>
      <c r="E654" s="109"/>
      <c r="F654" s="108"/>
      <c r="G654" s="108"/>
      <c r="H654" s="110" t="e">
        <f>SUM(H647:H653)</f>
        <v>#DIV/0!</v>
      </c>
    </row>
    <row r="655" spans="1:8" ht="16.5" thickTop="1" x14ac:dyDescent="0.25">
      <c r="A655" s="114">
        <v>40051</v>
      </c>
      <c r="B655" s="216" t="s">
        <v>37</v>
      </c>
      <c r="C655" s="279" t="s">
        <v>85</v>
      </c>
      <c r="D655" s="98" t="s">
        <v>39</v>
      </c>
      <c r="E655" s="99">
        <v>12</v>
      </c>
      <c r="F655" s="101" t="s">
        <v>40</v>
      </c>
      <c r="G655" s="100" t="e">
        <f>'DTW Rate Build Up'!H339</f>
        <v>#DIV/0!</v>
      </c>
      <c r="H655" s="104" t="e">
        <f>E655*G655</f>
        <v>#DIV/0!</v>
      </c>
    </row>
    <row r="656" spans="1:8" x14ac:dyDescent="0.25">
      <c r="A656" s="115">
        <v>40052</v>
      </c>
      <c r="B656" s="216" t="s">
        <v>43</v>
      </c>
      <c r="C656" s="279"/>
      <c r="D656" s="98" t="s">
        <v>44</v>
      </c>
      <c r="E656" s="99">
        <v>80</v>
      </c>
      <c r="F656" s="100" t="e">
        <f>'DTW Rate Build Up'!H340</f>
        <v>#DIV/0!</v>
      </c>
      <c r="G656" s="101" t="s">
        <v>40</v>
      </c>
      <c r="H656" s="104" t="e">
        <f>E656*F656</f>
        <v>#DIV/0!</v>
      </c>
    </row>
    <row r="657" spans="1:8" x14ac:dyDescent="0.25">
      <c r="A657" s="115">
        <v>40053</v>
      </c>
      <c r="B657" s="216" t="s">
        <v>47</v>
      </c>
      <c r="C657" s="279"/>
      <c r="D657" s="98" t="s">
        <v>48</v>
      </c>
      <c r="E657" s="99">
        <v>16</v>
      </c>
      <c r="F657" s="100" t="e">
        <f>'DTW Rate Build Up'!K340</f>
        <v>#DIV/0!</v>
      </c>
      <c r="G657" s="101" t="s">
        <v>40</v>
      </c>
      <c r="H657" s="104" t="e">
        <f t="shared" ref="H657:H661" si="132">E657*F657</f>
        <v>#DIV/0!</v>
      </c>
    </row>
    <row r="658" spans="1:8" x14ac:dyDescent="0.25">
      <c r="A658" s="114">
        <v>40054</v>
      </c>
      <c r="B658" s="216" t="s">
        <v>51</v>
      </c>
      <c r="C658" s="279"/>
      <c r="D658" s="98" t="s">
        <v>48</v>
      </c>
      <c r="E658" s="99">
        <v>16</v>
      </c>
      <c r="F658" s="100" t="e">
        <f>'DTW Rate Build Up'!H340</f>
        <v>#DIV/0!</v>
      </c>
      <c r="G658" s="101" t="s">
        <v>40</v>
      </c>
      <c r="H658" s="104" t="e">
        <f t="shared" ref="H658" si="133">E658*F658</f>
        <v>#DIV/0!</v>
      </c>
    </row>
    <row r="659" spans="1:8" x14ac:dyDescent="0.25">
      <c r="A659" s="115">
        <v>40055</v>
      </c>
      <c r="B659" s="216" t="s">
        <v>54</v>
      </c>
      <c r="C659" s="279"/>
      <c r="D659" s="98" t="s">
        <v>44</v>
      </c>
      <c r="E659" s="99">
        <v>80</v>
      </c>
      <c r="F659" s="100" t="e">
        <f>'DTW Rate Build Up'!H340</f>
        <v>#DIV/0!</v>
      </c>
      <c r="G659" s="101" t="s">
        <v>40</v>
      </c>
      <c r="H659" s="104" t="e">
        <f t="shared" si="132"/>
        <v>#DIV/0!</v>
      </c>
    </row>
    <row r="660" spans="1:8" x14ac:dyDescent="0.25">
      <c r="A660" s="115">
        <v>40056</v>
      </c>
      <c r="B660" s="216" t="s">
        <v>56</v>
      </c>
      <c r="C660" s="279"/>
      <c r="D660" s="99" t="s">
        <v>44</v>
      </c>
      <c r="E660" s="99">
        <v>48</v>
      </c>
      <c r="F660" s="100" t="e">
        <f>'DTW Rate Build Up'!H340</f>
        <v>#DIV/0!</v>
      </c>
      <c r="G660" s="101" t="s">
        <v>40</v>
      </c>
      <c r="H660" s="104" t="e">
        <f t="shared" si="132"/>
        <v>#DIV/0!</v>
      </c>
    </row>
    <row r="661" spans="1:8" x14ac:dyDescent="0.25">
      <c r="A661" s="114">
        <v>40057</v>
      </c>
      <c r="B661" s="216" t="s">
        <v>58</v>
      </c>
      <c r="C661" s="279"/>
      <c r="D661" s="99" t="s">
        <v>44</v>
      </c>
      <c r="E661" s="99">
        <v>1040</v>
      </c>
      <c r="F661" s="100" t="e">
        <f>'DTW Rate Build Up'!H340</f>
        <v>#DIV/0!</v>
      </c>
      <c r="G661" s="101" t="s">
        <v>40</v>
      </c>
      <c r="H661" s="104" t="e">
        <f t="shared" si="132"/>
        <v>#DIV/0!</v>
      </c>
    </row>
    <row r="662" spans="1:8" ht="16.5" thickBot="1" x14ac:dyDescent="0.3">
      <c r="A662" s="106"/>
      <c r="B662" s="113" t="s">
        <v>59</v>
      </c>
      <c r="C662" s="280"/>
      <c r="D662" s="108"/>
      <c r="E662" s="109"/>
      <c r="F662" s="108"/>
      <c r="G662" s="108"/>
      <c r="H662" s="110" t="e">
        <f>SUM(H655:H661)</f>
        <v>#DIV/0!</v>
      </c>
    </row>
    <row r="663" spans="1:8" ht="16.5" thickTop="1" x14ac:dyDescent="0.25">
      <c r="A663" s="117" t="s">
        <v>596</v>
      </c>
      <c r="B663" s="216" t="s">
        <v>37</v>
      </c>
      <c r="C663" s="279" t="s">
        <v>93</v>
      </c>
      <c r="D663" s="98" t="s">
        <v>39</v>
      </c>
      <c r="E663" s="99">
        <v>12</v>
      </c>
      <c r="F663" s="101" t="s">
        <v>40</v>
      </c>
      <c r="G663" s="100" t="e">
        <f>'I90 TRACON Rate Build Up'!H339</f>
        <v>#DIV/0!</v>
      </c>
      <c r="H663" s="104" t="e">
        <f>E663*G663</f>
        <v>#DIV/0!</v>
      </c>
    </row>
    <row r="664" spans="1:8" x14ac:dyDescent="0.25">
      <c r="A664" s="90" t="s">
        <v>597</v>
      </c>
      <c r="B664" s="216" t="s">
        <v>43</v>
      </c>
      <c r="C664" s="279"/>
      <c r="D664" s="98" t="s">
        <v>44</v>
      </c>
      <c r="E664" s="99">
        <v>80</v>
      </c>
      <c r="F664" s="100" t="e">
        <f>'I90 TRACON Rate Build Up'!H340</f>
        <v>#DIV/0!</v>
      </c>
      <c r="G664" s="101" t="s">
        <v>40</v>
      </c>
      <c r="H664" s="104" t="e">
        <f>E664*F664</f>
        <v>#DIV/0!</v>
      </c>
    </row>
    <row r="665" spans="1:8" x14ac:dyDescent="0.25">
      <c r="A665" s="90" t="s">
        <v>598</v>
      </c>
      <c r="B665" s="216" t="s">
        <v>47</v>
      </c>
      <c r="C665" s="279"/>
      <c r="D665" s="98" t="s">
        <v>48</v>
      </c>
      <c r="E665" s="99">
        <v>16</v>
      </c>
      <c r="F665" s="100" t="e">
        <f>'I90 TRACON Rate Build Up'!K340</f>
        <v>#DIV/0!</v>
      </c>
      <c r="G665" s="101" t="s">
        <v>40</v>
      </c>
      <c r="H665" s="104" t="e">
        <f t="shared" ref="H665:H669" si="134">E665*F665</f>
        <v>#DIV/0!</v>
      </c>
    </row>
    <row r="666" spans="1:8" x14ac:dyDescent="0.25">
      <c r="A666" s="117" t="s">
        <v>599</v>
      </c>
      <c r="B666" s="216" t="s">
        <v>51</v>
      </c>
      <c r="C666" s="279"/>
      <c r="D666" s="98" t="s">
        <v>48</v>
      </c>
      <c r="E666" s="99">
        <v>16</v>
      </c>
      <c r="F666" s="100" t="e">
        <f>'I90 TRACON Rate Build Up'!H340</f>
        <v>#DIV/0!</v>
      </c>
      <c r="G666" s="101" t="s">
        <v>40</v>
      </c>
      <c r="H666" s="104" t="e">
        <f t="shared" ref="H666" si="135">E666*F666</f>
        <v>#DIV/0!</v>
      </c>
    </row>
    <row r="667" spans="1:8" x14ac:dyDescent="0.25">
      <c r="A667" s="90" t="s">
        <v>600</v>
      </c>
      <c r="B667" s="216" t="s">
        <v>54</v>
      </c>
      <c r="C667" s="279"/>
      <c r="D667" s="98" t="s">
        <v>44</v>
      </c>
      <c r="E667" s="99">
        <v>80</v>
      </c>
      <c r="F667" s="100" t="e">
        <f>'I90 TRACON Rate Build Up'!H340</f>
        <v>#DIV/0!</v>
      </c>
      <c r="G667" s="101" t="s">
        <v>40</v>
      </c>
      <c r="H667" s="104" t="e">
        <f t="shared" si="134"/>
        <v>#DIV/0!</v>
      </c>
    </row>
    <row r="668" spans="1:8" x14ac:dyDescent="0.25">
      <c r="A668" s="90" t="s">
        <v>601</v>
      </c>
      <c r="B668" s="216" t="s">
        <v>56</v>
      </c>
      <c r="C668" s="279"/>
      <c r="D668" s="99" t="s">
        <v>44</v>
      </c>
      <c r="E668" s="99">
        <v>48</v>
      </c>
      <c r="F668" s="100" t="e">
        <f>'I90 TRACON Rate Build Up'!H340</f>
        <v>#DIV/0!</v>
      </c>
      <c r="G668" s="101" t="s">
        <v>40</v>
      </c>
      <c r="H668" s="104" t="e">
        <f t="shared" si="134"/>
        <v>#DIV/0!</v>
      </c>
    </row>
    <row r="669" spans="1:8" x14ac:dyDescent="0.25">
      <c r="A669" s="117" t="s">
        <v>602</v>
      </c>
      <c r="B669" s="216" t="s">
        <v>58</v>
      </c>
      <c r="C669" s="279"/>
      <c r="D669" s="99" t="s">
        <v>44</v>
      </c>
      <c r="E669" s="99">
        <v>1040</v>
      </c>
      <c r="F669" s="100" t="e">
        <f>'I90 TRACON Rate Build Up'!H340</f>
        <v>#DIV/0!</v>
      </c>
      <c r="G669" s="101" t="s">
        <v>40</v>
      </c>
      <c r="H669" s="104" t="e">
        <f t="shared" si="134"/>
        <v>#DIV/0!</v>
      </c>
    </row>
    <row r="670" spans="1:8" ht="16.5" thickBot="1" x14ac:dyDescent="0.3">
      <c r="A670" s="106"/>
      <c r="B670" s="107" t="s">
        <v>59</v>
      </c>
      <c r="C670" s="280"/>
      <c r="D670" s="108"/>
      <c r="E670" s="109"/>
      <c r="F670" s="108"/>
      <c r="G670" s="108"/>
      <c r="H670" s="110" t="e">
        <f>SUM(H663:H669)</f>
        <v>#DIV/0!</v>
      </c>
    </row>
    <row r="671" spans="1:8" ht="16.5" thickTop="1" x14ac:dyDescent="0.25">
      <c r="B671" s="213"/>
      <c r="C671" s="217"/>
      <c r="D671" s="214"/>
      <c r="E671" s="214"/>
      <c r="F671" s="214"/>
      <c r="G671" s="214"/>
      <c r="H671" s="215"/>
    </row>
    <row r="672" spans="1:8" ht="16.5" thickBot="1" x14ac:dyDescent="0.3">
      <c r="A672" s="242" t="s">
        <v>842</v>
      </c>
      <c r="B672" s="80"/>
      <c r="C672" s="243"/>
      <c r="H672" s="83"/>
    </row>
    <row r="673" spans="1:8" ht="48" thickBot="1" x14ac:dyDescent="0.3">
      <c r="A673" s="84" t="s">
        <v>27</v>
      </c>
      <c r="B673" s="85" t="s">
        <v>28</v>
      </c>
      <c r="C673" s="86" t="s">
        <v>29</v>
      </c>
      <c r="D673" s="87" t="s">
        <v>30</v>
      </c>
      <c r="E673" s="88" t="s">
        <v>31</v>
      </c>
      <c r="F673" s="87" t="s">
        <v>32</v>
      </c>
      <c r="G673" s="87" t="s">
        <v>33</v>
      </c>
      <c r="H673" s="89" t="s">
        <v>34</v>
      </c>
    </row>
    <row r="674" spans="1:8" x14ac:dyDescent="0.25">
      <c r="A674" s="90" t="s">
        <v>603</v>
      </c>
      <c r="B674" s="245" t="s">
        <v>37</v>
      </c>
      <c r="C674" s="279" t="s">
        <v>101</v>
      </c>
      <c r="D674" s="92" t="s">
        <v>39</v>
      </c>
      <c r="E674" s="93">
        <v>12</v>
      </c>
      <c r="F674" s="94" t="s">
        <v>40</v>
      </c>
      <c r="G674" s="95" t="e">
        <f>'IAH ATCT Rate Build Up'!H339</f>
        <v>#DIV/0!</v>
      </c>
      <c r="H674" s="118" t="e">
        <f>E674*G674</f>
        <v>#DIV/0!</v>
      </c>
    </row>
    <row r="675" spans="1:8" x14ac:dyDescent="0.25">
      <c r="A675" s="90" t="s">
        <v>604</v>
      </c>
      <c r="B675" s="216" t="s">
        <v>43</v>
      </c>
      <c r="C675" s="279"/>
      <c r="D675" s="98" t="s">
        <v>44</v>
      </c>
      <c r="E675" s="99">
        <v>80</v>
      </c>
      <c r="F675" s="100" t="e">
        <f>'IAH ATCT Rate Build Up'!H340</f>
        <v>#DIV/0!</v>
      </c>
      <c r="G675" s="101" t="s">
        <v>40</v>
      </c>
      <c r="H675" s="104" t="e">
        <f>E675*F675</f>
        <v>#DIV/0!</v>
      </c>
    </row>
    <row r="676" spans="1:8" x14ac:dyDescent="0.25">
      <c r="A676" s="90" t="s">
        <v>605</v>
      </c>
      <c r="B676" s="216" t="s">
        <v>47</v>
      </c>
      <c r="C676" s="279"/>
      <c r="D676" s="98" t="s">
        <v>48</v>
      </c>
      <c r="E676" s="99">
        <v>16</v>
      </c>
      <c r="F676" s="100" t="e">
        <f>'IAH ATCT Rate Build Up'!K340</f>
        <v>#DIV/0!</v>
      </c>
      <c r="G676" s="101" t="s">
        <v>40</v>
      </c>
      <c r="H676" s="104" t="e">
        <f t="shared" ref="H676:H680" si="136">E676*F676</f>
        <v>#DIV/0!</v>
      </c>
    </row>
    <row r="677" spans="1:8" x14ac:dyDescent="0.25">
      <c r="A677" s="90" t="s">
        <v>606</v>
      </c>
      <c r="B677" s="216" t="s">
        <v>51</v>
      </c>
      <c r="C677" s="279"/>
      <c r="D677" s="98" t="s">
        <v>48</v>
      </c>
      <c r="E677" s="99">
        <v>16</v>
      </c>
      <c r="F677" s="100" t="e">
        <f>'IAH ATCT Rate Build Up'!H340</f>
        <v>#DIV/0!</v>
      </c>
      <c r="G677" s="101" t="s">
        <v>40</v>
      </c>
      <c r="H677" s="104" t="e">
        <f t="shared" ref="H677" si="137">E677*F677</f>
        <v>#DIV/0!</v>
      </c>
    </row>
    <row r="678" spans="1:8" x14ac:dyDescent="0.25">
      <c r="A678" s="90" t="s">
        <v>607</v>
      </c>
      <c r="B678" s="216" t="s">
        <v>54</v>
      </c>
      <c r="C678" s="279"/>
      <c r="D678" s="98" t="s">
        <v>44</v>
      </c>
      <c r="E678" s="99">
        <v>80</v>
      </c>
      <c r="F678" s="100" t="e">
        <f>'IAH ATCT Rate Build Up'!H340</f>
        <v>#DIV/0!</v>
      </c>
      <c r="G678" s="101" t="s">
        <v>40</v>
      </c>
      <c r="H678" s="104" t="e">
        <f t="shared" si="136"/>
        <v>#DIV/0!</v>
      </c>
    </row>
    <row r="679" spans="1:8" x14ac:dyDescent="0.25">
      <c r="A679" s="90" t="s">
        <v>608</v>
      </c>
      <c r="B679" s="216" t="s">
        <v>56</v>
      </c>
      <c r="C679" s="279"/>
      <c r="D679" s="99" t="s">
        <v>44</v>
      </c>
      <c r="E679" s="99">
        <v>48</v>
      </c>
      <c r="F679" s="100" t="e">
        <f>'IAH ATCT Rate Build Up'!H340</f>
        <v>#DIV/0!</v>
      </c>
      <c r="G679" s="101" t="s">
        <v>40</v>
      </c>
      <c r="H679" s="104" t="e">
        <f t="shared" si="136"/>
        <v>#DIV/0!</v>
      </c>
    </row>
    <row r="680" spans="1:8" x14ac:dyDescent="0.25">
      <c r="A680" s="90" t="s">
        <v>609</v>
      </c>
      <c r="B680" s="216" t="s">
        <v>58</v>
      </c>
      <c r="C680" s="279"/>
      <c r="D680" s="99" t="s">
        <v>44</v>
      </c>
      <c r="E680" s="99">
        <v>1040</v>
      </c>
      <c r="F680" s="100" t="e">
        <f>'IAH ATCT Rate Build Up'!H340</f>
        <v>#DIV/0!</v>
      </c>
      <c r="G680" s="101" t="s">
        <v>40</v>
      </c>
      <c r="H680" s="104" t="e">
        <f t="shared" si="136"/>
        <v>#DIV/0!</v>
      </c>
    </row>
    <row r="681" spans="1:8" ht="16.5" thickBot="1" x14ac:dyDescent="0.3">
      <c r="A681" s="106"/>
      <c r="B681" s="113" t="s">
        <v>59</v>
      </c>
      <c r="C681" s="280"/>
      <c r="D681" s="108"/>
      <c r="E681" s="109"/>
      <c r="F681" s="108"/>
      <c r="G681" s="108"/>
      <c r="H681" s="110" t="e">
        <f>SUM(H674:H680)</f>
        <v>#DIV/0!</v>
      </c>
    </row>
    <row r="682" spans="1:8" ht="16.5" thickTop="1" x14ac:dyDescent="0.25">
      <c r="A682" s="90" t="s">
        <v>610</v>
      </c>
      <c r="B682" s="216" t="s">
        <v>37</v>
      </c>
      <c r="C682" s="279" t="s">
        <v>109</v>
      </c>
      <c r="D682" s="98" t="s">
        <v>39</v>
      </c>
      <c r="E682" s="99">
        <v>12</v>
      </c>
      <c r="F682" s="101" t="s">
        <v>40</v>
      </c>
      <c r="G682" s="100" t="e">
        <f>'MSP ATCT Rate Build Up'!H339</f>
        <v>#DIV/0!</v>
      </c>
      <c r="H682" s="104" t="e">
        <f>E682*G682</f>
        <v>#DIV/0!</v>
      </c>
    </row>
    <row r="683" spans="1:8" x14ac:dyDescent="0.25">
      <c r="A683" s="90" t="s">
        <v>611</v>
      </c>
      <c r="B683" s="216" t="s">
        <v>43</v>
      </c>
      <c r="C683" s="279"/>
      <c r="D683" s="98" t="s">
        <v>44</v>
      </c>
      <c r="E683" s="99">
        <v>80</v>
      </c>
      <c r="F683" s="100" t="e">
        <f>'MSP ATCT Rate Build Up'!H340</f>
        <v>#DIV/0!</v>
      </c>
      <c r="G683" s="101" t="s">
        <v>40</v>
      </c>
      <c r="H683" s="104" t="e">
        <f>E683*F683</f>
        <v>#DIV/0!</v>
      </c>
    </row>
    <row r="684" spans="1:8" x14ac:dyDescent="0.25">
      <c r="A684" s="90" t="s">
        <v>612</v>
      </c>
      <c r="B684" s="216" t="s">
        <v>47</v>
      </c>
      <c r="C684" s="279"/>
      <c r="D684" s="98" t="s">
        <v>48</v>
      </c>
      <c r="E684" s="99">
        <v>16</v>
      </c>
      <c r="F684" s="100" t="e">
        <f>'MSP ATCT Rate Build Up'!K340</f>
        <v>#DIV/0!</v>
      </c>
      <c r="G684" s="101" t="s">
        <v>40</v>
      </c>
      <c r="H684" s="104" t="e">
        <f t="shared" ref="H684:H688" si="138">E684*F684</f>
        <v>#DIV/0!</v>
      </c>
    </row>
    <row r="685" spans="1:8" x14ac:dyDescent="0.25">
      <c r="A685" s="90" t="s">
        <v>613</v>
      </c>
      <c r="B685" s="216" t="s">
        <v>51</v>
      </c>
      <c r="C685" s="279"/>
      <c r="D685" s="98" t="s">
        <v>48</v>
      </c>
      <c r="E685" s="99">
        <v>16</v>
      </c>
      <c r="F685" s="100" t="e">
        <f>'MSP ATCT Rate Build Up'!H340</f>
        <v>#DIV/0!</v>
      </c>
      <c r="G685" s="101" t="s">
        <v>40</v>
      </c>
      <c r="H685" s="104" t="e">
        <f t="shared" ref="H685" si="139">E685*F685</f>
        <v>#DIV/0!</v>
      </c>
    </row>
    <row r="686" spans="1:8" x14ac:dyDescent="0.25">
      <c r="A686" s="90" t="s">
        <v>614</v>
      </c>
      <c r="B686" s="216" t="s">
        <v>54</v>
      </c>
      <c r="C686" s="279"/>
      <c r="D686" s="98" t="s">
        <v>44</v>
      </c>
      <c r="E686" s="99">
        <v>80</v>
      </c>
      <c r="F686" s="100" t="e">
        <f>'MSP ATCT Rate Build Up'!H340</f>
        <v>#DIV/0!</v>
      </c>
      <c r="G686" s="101" t="s">
        <v>40</v>
      </c>
      <c r="H686" s="104" t="e">
        <f t="shared" si="138"/>
        <v>#DIV/0!</v>
      </c>
    </row>
    <row r="687" spans="1:8" x14ac:dyDescent="0.25">
      <c r="A687" s="90" t="s">
        <v>615</v>
      </c>
      <c r="B687" s="216" t="s">
        <v>56</v>
      </c>
      <c r="C687" s="279"/>
      <c r="D687" s="99" t="s">
        <v>44</v>
      </c>
      <c r="E687" s="99">
        <v>48</v>
      </c>
      <c r="F687" s="100" t="e">
        <f>'MSP ATCT Rate Build Up'!H340</f>
        <v>#DIV/0!</v>
      </c>
      <c r="G687" s="101" t="s">
        <v>40</v>
      </c>
      <c r="H687" s="104" t="e">
        <f t="shared" si="138"/>
        <v>#DIV/0!</v>
      </c>
    </row>
    <row r="688" spans="1:8" x14ac:dyDescent="0.25">
      <c r="A688" s="90" t="s">
        <v>616</v>
      </c>
      <c r="B688" s="216" t="s">
        <v>58</v>
      </c>
      <c r="C688" s="279"/>
      <c r="D688" s="99" t="s">
        <v>44</v>
      </c>
      <c r="E688" s="99">
        <v>1040</v>
      </c>
      <c r="F688" s="100" t="e">
        <f>'MSP ATCT Rate Build Up'!H340</f>
        <v>#DIV/0!</v>
      </c>
      <c r="G688" s="101" t="s">
        <v>40</v>
      </c>
      <c r="H688" s="104" t="e">
        <f t="shared" si="138"/>
        <v>#DIV/0!</v>
      </c>
    </row>
    <row r="689" spans="1:8" ht="16.5" thickBot="1" x14ac:dyDescent="0.3">
      <c r="A689" s="106"/>
      <c r="B689" s="113" t="s">
        <v>59</v>
      </c>
      <c r="C689" s="280"/>
      <c r="D689" s="108"/>
      <c r="E689" s="109"/>
      <c r="F689" s="108"/>
      <c r="G689" s="108"/>
      <c r="H689" s="110" t="e">
        <f>SUM(H682:H688)</f>
        <v>#DIV/0!</v>
      </c>
    </row>
    <row r="690" spans="1:8" ht="16.5" thickTop="1" x14ac:dyDescent="0.25">
      <c r="A690" s="90" t="s">
        <v>617</v>
      </c>
      <c r="B690" s="216" t="s">
        <v>37</v>
      </c>
      <c r="C690" s="279" t="s">
        <v>117</v>
      </c>
      <c r="D690" s="98" t="s">
        <v>39</v>
      </c>
      <c r="E690" s="99">
        <v>12</v>
      </c>
      <c r="F690" s="101" t="s">
        <v>40</v>
      </c>
      <c r="G690" s="100" t="e">
        <f>'ORD ATCT Rate Build Up'!H339</f>
        <v>#DIV/0!</v>
      </c>
      <c r="H690" s="104" t="e">
        <f>E690*G690</f>
        <v>#DIV/0!</v>
      </c>
    </row>
    <row r="691" spans="1:8" x14ac:dyDescent="0.25">
      <c r="A691" s="90" t="s">
        <v>618</v>
      </c>
      <c r="B691" s="216" t="s">
        <v>43</v>
      </c>
      <c r="C691" s="279"/>
      <c r="D691" s="98" t="s">
        <v>44</v>
      </c>
      <c r="E691" s="99">
        <v>80</v>
      </c>
      <c r="F691" s="100" t="e">
        <f>'ORD ATCT Rate Build Up'!H340</f>
        <v>#DIV/0!</v>
      </c>
      <c r="G691" s="101" t="s">
        <v>40</v>
      </c>
      <c r="H691" s="104" t="e">
        <f>E691*F691</f>
        <v>#DIV/0!</v>
      </c>
    </row>
    <row r="692" spans="1:8" x14ac:dyDescent="0.25">
      <c r="A692" s="90" t="s">
        <v>619</v>
      </c>
      <c r="B692" s="216" t="s">
        <v>47</v>
      </c>
      <c r="C692" s="279"/>
      <c r="D692" s="98" t="s">
        <v>48</v>
      </c>
      <c r="E692" s="99">
        <v>16</v>
      </c>
      <c r="F692" s="100" t="e">
        <f>'ORD ATCT Rate Build Up'!K340</f>
        <v>#DIV/0!</v>
      </c>
      <c r="G692" s="101" t="s">
        <v>40</v>
      </c>
      <c r="H692" s="104" t="e">
        <f t="shared" ref="H692:H696" si="140">E692*F692</f>
        <v>#DIV/0!</v>
      </c>
    </row>
    <row r="693" spans="1:8" x14ac:dyDescent="0.25">
      <c r="A693" s="90" t="s">
        <v>620</v>
      </c>
      <c r="B693" s="216" t="s">
        <v>51</v>
      </c>
      <c r="C693" s="279"/>
      <c r="D693" s="98" t="s">
        <v>48</v>
      </c>
      <c r="E693" s="99">
        <v>16</v>
      </c>
      <c r="F693" s="100" t="e">
        <f>'ORD ATCT Rate Build Up'!H340</f>
        <v>#DIV/0!</v>
      </c>
      <c r="G693" s="101" t="s">
        <v>40</v>
      </c>
      <c r="H693" s="104" t="e">
        <f t="shared" ref="H693" si="141">E693*F693</f>
        <v>#DIV/0!</v>
      </c>
    </row>
    <row r="694" spans="1:8" x14ac:dyDescent="0.25">
      <c r="A694" s="90" t="s">
        <v>621</v>
      </c>
      <c r="B694" s="216" t="s">
        <v>54</v>
      </c>
      <c r="C694" s="279"/>
      <c r="D694" s="98" t="s">
        <v>44</v>
      </c>
      <c r="E694" s="99">
        <v>80</v>
      </c>
      <c r="F694" s="100" t="e">
        <f>'ORD ATCT Rate Build Up'!H340</f>
        <v>#DIV/0!</v>
      </c>
      <c r="G694" s="101" t="s">
        <v>40</v>
      </c>
      <c r="H694" s="104" t="e">
        <f t="shared" si="140"/>
        <v>#DIV/0!</v>
      </c>
    </row>
    <row r="695" spans="1:8" x14ac:dyDescent="0.25">
      <c r="A695" s="90" t="s">
        <v>622</v>
      </c>
      <c r="B695" s="216" t="s">
        <v>56</v>
      </c>
      <c r="C695" s="279"/>
      <c r="D695" s="99" t="s">
        <v>44</v>
      </c>
      <c r="E695" s="99">
        <v>48</v>
      </c>
      <c r="F695" s="100" t="e">
        <f>'ORD ATCT Rate Build Up'!H340</f>
        <v>#DIV/0!</v>
      </c>
      <c r="G695" s="101" t="s">
        <v>40</v>
      </c>
      <c r="H695" s="104" t="e">
        <f t="shared" si="140"/>
        <v>#DIV/0!</v>
      </c>
    </row>
    <row r="696" spans="1:8" x14ac:dyDescent="0.25">
      <c r="A696" s="90" t="s">
        <v>623</v>
      </c>
      <c r="B696" s="216" t="s">
        <v>58</v>
      </c>
      <c r="C696" s="279"/>
      <c r="D696" s="99" t="s">
        <v>44</v>
      </c>
      <c r="E696" s="99">
        <v>1040</v>
      </c>
      <c r="F696" s="100" t="e">
        <f>'ORD ATCT Rate Build Up'!H340</f>
        <v>#DIV/0!</v>
      </c>
      <c r="G696" s="101" t="s">
        <v>40</v>
      </c>
      <c r="H696" s="104" t="e">
        <f t="shared" si="140"/>
        <v>#DIV/0!</v>
      </c>
    </row>
    <row r="697" spans="1:8" ht="16.5" thickBot="1" x14ac:dyDescent="0.3">
      <c r="A697" s="106"/>
      <c r="B697" s="113" t="s">
        <v>59</v>
      </c>
      <c r="C697" s="280"/>
      <c r="D697" s="108"/>
      <c r="E697" s="109"/>
      <c r="F697" s="108"/>
      <c r="G697" s="108"/>
      <c r="H697" s="110" t="e">
        <f>SUM(H690:H696)</f>
        <v>#DIV/0!</v>
      </c>
    </row>
    <row r="698" spans="1:8" ht="16.5" thickTop="1" x14ac:dyDescent="0.25">
      <c r="A698" s="90" t="s">
        <v>624</v>
      </c>
      <c r="B698" s="216" t="s">
        <v>37</v>
      </c>
      <c r="C698" s="279" t="s">
        <v>125</v>
      </c>
      <c r="D698" s="98" t="s">
        <v>39</v>
      </c>
      <c r="E698" s="99">
        <v>12</v>
      </c>
      <c r="F698" s="101" t="s">
        <v>40</v>
      </c>
      <c r="G698" s="100" t="e">
        <f>'ZAB ARTCC Rate Build Up'!H339</f>
        <v>#DIV/0!</v>
      </c>
      <c r="H698" s="104" t="e">
        <f>E698*G698</f>
        <v>#DIV/0!</v>
      </c>
    </row>
    <row r="699" spans="1:8" x14ac:dyDescent="0.25">
      <c r="A699" s="90" t="s">
        <v>625</v>
      </c>
      <c r="B699" s="216" t="s">
        <v>43</v>
      </c>
      <c r="C699" s="279"/>
      <c r="D699" s="98" t="s">
        <v>44</v>
      </c>
      <c r="E699" s="99">
        <v>80</v>
      </c>
      <c r="F699" s="100" t="e">
        <f>'ZAB ARTCC Rate Build Up'!H340</f>
        <v>#DIV/0!</v>
      </c>
      <c r="G699" s="101" t="s">
        <v>40</v>
      </c>
      <c r="H699" s="104" t="e">
        <f>E699*F699</f>
        <v>#DIV/0!</v>
      </c>
    </row>
    <row r="700" spans="1:8" x14ac:dyDescent="0.25">
      <c r="A700" s="90" t="s">
        <v>626</v>
      </c>
      <c r="B700" s="216" t="s">
        <v>47</v>
      </c>
      <c r="C700" s="279"/>
      <c r="D700" s="98" t="s">
        <v>48</v>
      </c>
      <c r="E700" s="99">
        <v>16</v>
      </c>
      <c r="F700" s="100" t="e">
        <f>'ZAB ARTCC Rate Build Up'!K340</f>
        <v>#DIV/0!</v>
      </c>
      <c r="G700" s="101" t="s">
        <v>40</v>
      </c>
      <c r="H700" s="104" t="e">
        <f t="shared" ref="H700:H704" si="142">E700*F700</f>
        <v>#DIV/0!</v>
      </c>
    </row>
    <row r="701" spans="1:8" x14ac:dyDescent="0.25">
      <c r="A701" s="90" t="s">
        <v>627</v>
      </c>
      <c r="B701" s="216" t="s">
        <v>51</v>
      </c>
      <c r="C701" s="279"/>
      <c r="D701" s="98" t="s">
        <v>48</v>
      </c>
      <c r="E701" s="99">
        <v>16</v>
      </c>
      <c r="F701" s="100" t="e">
        <f>'ZAB ARTCC Rate Build Up'!H340</f>
        <v>#DIV/0!</v>
      </c>
      <c r="G701" s="101" t="s">
        <v>40</v>
      </c>
      <c r="H701" s="104" t="e">
        <f t="shared" ref="H701" si="143">E701*F701</f>
        <v>#DIV/0!</v>
      </c>
    </row>
    <row r="702" spans="1:8" x14ac:dyDescent="0.25">
      <c r="A702" s="90" t="s">
        <v>628</v>
      </c>
      <c r="B702" s="216" t="s">
        <v>54</v>
      </c>
      <c r="C702" s="279"/>
      <c r="D702" s="98" t="s">
        <v>44</v>
      </c>
      <c r="E702" s="99">
        <v>80</v>
      </c>
      <c r="F702" s="100" t="e">
        <f>'ZAB ARTCC Rate Build Up'!H340</f>
        <v>#DIV/0!</v>
      </c>
      <c r="G702" s="101" t="s">
        <v>40</v>
      </c>
      <c r="H702" s="104" t="e">
        <f t="shared" si="142"/>
        <v>#DIV/0!</v>
      </c>
    </row>
    <row r="703" spans="1:8" x14ac:dyDescent="0.25">
      <c r="A703" s="90" t="s">
        <v>629</v>
      </c>
      <c r="B703" s="216" t="s">
        <v>56</v>
      </c>
      <c r="C703" s="279"/>
      <c r="D703" s="99" t="s">
        <v>44</v>
      </c>
      <c r="E703" s="99">
        <v>48</v>
      </c>
      <c r="F703" s="100" t="e">
        <f>'ZAB ARTCC Rate Build Up'!H340</f>
        <v>#DIV/0!</v>
      </c>
      <c r="G703" s="101" t="s">
        <v>40</v>
      </c>
      <c r="H703" s="104" t="e">
        <f t="shared" si="142"/>
        <v>#DIV/0!</v>
      </c>
    </row>
    <row r="704" spans="1:8" x14ac:dyDescent="0.25">
      <c r="A704" s="90" t="s">
        <v>630</v>
      </c>
      <c r="B704" s="216" t="s">
        <v>58</v>
      </c>
      <c r="C704" s="279"/>
      <c r="D704" s="99" t="s">
        <v>44</v>
      </c>
      <c r="E704" s="99">
        <v>1040</v>
      </c>
      <c r="F704" s="100" t="e">
        <f>'ZAB ARTCC Rate Build Up'!H340</f>
        <v>#DIV/0!</v>
      </c>
      <c r="G704" s="101" t="s">
        <v>40</v>
      </c>
      <c r="H704" s="104" t="e">
        <f t="shared" si="142"/>
        <v>#DIV/0!</v>
      </c>
    </row>
    <row r="705" spans="1:8" ht="16.5" thickBot="1" x14ac:dyDescent="0.3">
      <c r="A705" s="106"/>
      <c r="B705" s="113" t="s">
        <v>59</v>
      </c>
      <c r="C705" s="280"/>
      <c r="D705" s="108"/>
      <c r="E705" s="109"/>
      <c r="F705" s="108"/>
      <c r="G705" s="108"/>
      <c r="H705" s="110" t="e">
        <f>SUM(H698:H704)</f>
        <v>#DIV/0!</v>
      </c>
    </row>
    <row r="706" spans="1:8" ht="16.5" thickTop="1" x14ac:dyDescent="0.25">
      <c r="A706" s="90" t="s">
        <v>631</v>
      </c>
      <c r="B706" s="216" t="s">
        <v>37</v>
      </c>
      <c r="C706" s="279" t="s">
        <v>133</v>
      </c>
      <c r="D706" s="98" t="s">
        <v>39</v>
      </c>
      <c r="E706" s="99">
        <v>12</v>
      </c>
      <c r="F706" s="101" t="s">
        <v>40</v>
      </c>
      <c r="G706" s="100" t="e">
        <f>'ZAU Rate Build Up'!H339</f>
        <v>#DIV/0!</v>
      </c>
      <c r="H706" s="104" t="e">
        <f>E706*G706</f>
        <v>#DIV/0!</v>
      </c>
    </row>
    <row r="707" spans="1:8" x14ac:dyDescent="0.25">
      <c r="A707" s="90" t="s">
        <v>632</v>
      </c>
      <c r="B707" s="216" t="s">
        <v>43</v>
      </c>
      <c r="C707" s="279"/>
      <c r="D707" s="98" t="s">
        <v>44</v>
      </c>
      <c r="E707" s="99">
        <v>80</v>
      </c>
      <c r="F707" s="100" t="e">
        <f>'ZAU Rate Build Up'!H340</f>
        <v>#DIV/0!</v>
      </c>
      <c r="G707" s="101" t="s">
        <v>40</v>
      </c>
      <c r="H707" s="104" t="e">
        <f>E707*F707</f>
        <v>#DIV/0!</v>
      </c>
    </row>
    <row r="708" spans="1:8" x14ac:dyDescent="0.25">
      <c r="A708" s="90" t="s">
        <v>633</v>
      </c>
      <c r="B708" s="216" t="s">
        <v>47</v>
      </c>
      <c r="C708" s="279"/>
      <c r="D708" s="98" t="s">
        <v>48</v>
      </c>
      <c r="E708" s="99">
        <v>16</v>
      </c>
      <c r="F708" s="100" t="e">
        <f>'ZAU Rate Build Up'!K340</f>
        <v>#DIV/0!</v>
      </c>
      <c r="G708" s="101" t="s">
        <v>40</v>
      </c>
      <c r="H708" s="104" t="e">
        <f t="shared" ref="H708:H712" si="144">E708*F708</f>
        <v>#DIV/0!</v>
      </c>
    </row>
    <row r="709" spans="1:8" x14ac:dyDescent="0.25">
      <c r="A709" s="90" t="s">
        <v>634</v>
      </c>
      <c r="B709" s="216" t="s">
        <v>51</v>
      </c>
      <c r="C709" s="279"/>
      <c r="D709" s="98" t="s">
        <v>48</v>
      </c>
      <c r="E709" s="99">
        <v>16</v>
      </c>
      <c r="F709" s="100" t="e">
        <f>'ZAU Rate Build Up'!H340</f>
        <v>#DIV/0!</v>
      </c>
      <c r="G709" s="101" t="s">
        <v>40</v>
      </c>
      <c r="H709" s="104" t="e">
        <f t="shared" ref="H709" si="145">E709*F709</f>
        <v>#DIV/0!</v>
      </c>
    </row>
    <row r="710" spans="1:8" x14ac:dyDescent="0.25">
      <c r="A710" s="90" t="s">
        <v>635</v>
      </c>
      <c r="B710" s="216" t="s">
        <v>54</v>
      </c>
      <c r="C710" s="279"/>
      <c r="D710" s="98" t="s">
        <v>44</v>
      </c>
      <c r="E710" s="99">
        <v>80</v>
      </c>
      <c r="F710" s="100" t="e">
        <f>'ZAU Rate Build Up'!H340</f>
        <v>#DIV/0!</v>
      </c>
      <c r="G710" s="101" t="s">
        <v>40</v>
      </c>
      <c r="H710" s="104" t="e">
        <f t="shared" si="144"/>
        <v>#DIV/0!</v>
      </c>
    </row>
    <row r="711" spans="1:8" x14ac:dyDescent="0.25">
      <c r="A711" s="90" t="s">
        <v>636</v>
      </c>
      <c r="B711" s="216" t="s">
        <v>56</v>
      </c>
      <c r="C711" s="279"/>
      <c r="D711" s="99" t="s">
        <v>44</v>
      </c>
      <c r="E711" s="99">
        <v>48</v>
      </c>
      <c r="F711" s="100" t="e">
        <f>'ZAU Rate Build Up'!H340</f>
        <v>#DIV/0!</v>
      </c>
      <c r="G711" s="101" t="s">
        <v>40</v>
      </c>
      <c r="H711" s="104" t="e">
        <f t="shared" si="144"/>
        <v>#DIV/0!</v>
      </c>
    </row>
    <row r="712" spans="1:8" x14ac:dyDescent="0.25">
      <c r="A712" s="90" t="s">
        <v>637</v>
      </c>
      <c r="B712" s="216" t="s">
        <v>58</v>
      </c>
      <c r="C712" s="279"/>
      <c r="D712" s="99" t="s">
        <v>44</v>
      </c>
      <c r="E712" s="99">
        <v>1040</v>
      </c>
      <c r="F712" s="100" t="e">
        <f>'ZAU Rate Build Up'!H340</f>
        <v>#DIV/0!</v>
      </c>
      <c r="G712" s="101" t="s">
        <v>40</v>
      </c>
      <c r="H712" s="104" t="e">
        <f t="shared" si="144"/>
        <v>#DIV/0!</v>
      </c>
    </row>
    <row r="713" spans="1:8" ht="16.5" thickBot="1" x14ac:dyDescent="0.3">
      <c r="A713" s="106"/>
      <c r="B713" s="113" t="s">
        <v>59</v>
      </c>
      <c r="C713" s="280"/>
      <c r="D713" s="108"/>
      <c r="E713" s="109"/>
      <c r="F713" s="108"/>
      <c r="G713" s="108"/>
      <c r="H713" s="110" t="e">
        <f>SUM(H706:H712)</f>
        <v>#DIV/0!</v>
      </c>
    </row>
    <row r="714" spans="1:8" ht="16.5" thickTop="1" x14ac:dyDescent="0.25">
      <c r="A714" s="90" t="s">
        <v>638</v>
      </c>
      <c r="B714" s="216" t="s">
        <v>37</v>
      </c>
      <c r="C714" s="279" t="s">
        <v>141</v>
      </c>
      <c r="D714" s="98" t="s">
        <v>39</v>
      </c>
      <c r="E714" s="99">
        <v>12</v>
      </c>
      <c r="F714" s="101" t="s">
        <v>40</v>
      </c>
      <c r="G714" s="100" t="e">
        <f>'ZFW Rate Build Up'!H339</f>
        <v>#DIV/0!</v>
      </c>
      <c r="H714" s="104" t="e">
        <f>E714*G714</f>
        <v>#DIV/0!</v>
      </c>
    </row>
    <row r="715" spans="1:8" x14ac:dyDescent="0.25">
      <c r="A715" s="90" t="s">
        <v>639</v>
      </c>
      <c r="B715" s="216" t="s">
        <v>43</v>
      </c>
      <c r="C715" s="279"/>
      <c r="D715" s="98" t="s">
        <v>44</v>
      </c>
      <c r="E715" s="99">
        <v>80</v>
      </c>
      <c r="F715" s="100" t="e">
        <f>'ZFW Rate Build Up'!H340</f>
        <v>#DIV/0!</v>
      </c>
      <c r="G715" s="101" t="s">
        <v>40</v>
      </c>
      <c r="H715" s="104" t="e">
        <f>E715*F715</f>
        <v>#DIV/0!</v>
      </c>
    </row>
    <row r="716" spans="1:8" x14ac:dyDescent="0.25">
      <c r="A716" s="90" t="s">
        <v>640</v>
      </c>
      <c r="B716" s="216" t="s">
        <v>47</v>
      </c>
      <c r="C716" s="279"/>
      <c r="D716" s="98" t="s">
        <v>48</v>
      </c>
      <c r="E716" s="99">
        <v>16</v>
      </c>
      <c r="F716" s="100" t="e">
        <f>'ZFW Rate Build Up'!K340</f>
        <v>#DIV/0!</v>
      </c>
      <c r="G716" s="101" t="s">
        <v>40</v>
      </c>
      <c r="H716" s="104" t="e">
        <f t="shared" ref="H716:H720" si="146">E716*F716</f>
        <v>#DIV/0!</v>
      </c>
    </row>
    <row r="717" spans="1:8" x14ac:dyDescent="0.25">
      <c r="A717" s="90" t="s">
        <v>641</v>
      </c>
      <c r="B717" s="216" t="s">
        <v>51</v>
      </c>
      <c r="C717" s="279"/>
      <c r="D717" s="98" t="s">
        <v>48</v>
      </c>
      <c r="E717" s="99">
        <v>16</v>
      </c>
      <c r="F717" s="100" t="e">
        <f>'ZFW Rate Build Up'!H340</f>
        <v>#DIV/0!</v>
      </c>
      <c r="G717" s="101" t="s">
        <v>40</v>
      </c>
      <c r="H717" s="104" t="e">
        <f t="shared" ref="H717" si="147">E717*F717</f>
        <v>#DIV/0!</v>
      </c>
    </row>
    <row r="718" spans="1:8" x14ac:dyDescent="0.25">
      <c r="A718" s="90" t="s">
        <v>642</v>
      </c>
      <c r="B718" s="216" t="s">
        <v>54</v>
      </c>
      <c r="C718" s="279"/>
      <c r="D718" s="98" t="s">
        <v>44</v>
      </c>
      <c r="E718" s="99">
        <v>80</v>
      </c>
      <c r="F718" s="100" t="e">
        <f>'ZFW Rate Build Up'!H340</f>
        <v>#DIV/0!</v>
      </c>
      <c r="G718" s="101" t="s">
        <v>40</v>
      </c>
      <c r="H718" s="104" t="e">
        <f t="shared" si="146"/>
        <v>#DIV/0!</v>
      </c>
    </row>
    <row r="719" spans="1:8" x14ac:dyDescent="0.25">
      <c r="A719" s="90" t="s">
        <v>643</v>
      </c>
      <c r="B719" s="216" t="s">
        <v>56</v>
      </c>
      <c r="C719" s="279"/>
      <c r="D719" s="99" t="s">
        <v>44</v>
      </c>
      <c r="E719" s="99">
        <v>48</v>
      </c>
      <c r="F719" s="100" t="e">
        <f>'ZFW Rate Build Up'!H340</f>
        <v>#DIV/0!</v>
      </c>
      <c r="G719" s="101" t="s">
        <v>40</v>
      </c>
      <c r="H719" s="104" t="e">
        <f t="shared" si="146"/>
        <v>#DIV/0!</v>
      </c>
    </row>
    <row r="720" spans="1:8" x14ac:dyDescent="0.25">
      <c r="A720" s="90" t="s">
        <v>644</v>
      </c>
      <c r="B720" s="216" t="s">
        <v>58</v>
      </c>
      <c r="C720" s="279"/>
      <c r="D720" s="99" t="s">
        <v>44</v>
      </c>
      <c r="E720" s="99">
        <v>1040</v>
      </c>
      <c r="F720" s="100" t="e">
        <f>'ZFW Rate Build Up'!H340</f>
        <v>#DIV/0!</v>
      </c>
      <c r="G720" s="101" t="s">
        <v>40</v>
      </c>
      <c r="H720" s="104" t="e">
        <f t="shared" si="146"/>
        <v>#DIV/0!</v>
      </c>
    </row>
    <row r="721" spans="1:8" ht="16.5" thickBot="1" x14ac:dyDescent="0.3">
      <c r="A721" s="106"/>
      <c r="B721" s="113" t="s">
        <v>59</v>
      </c>
      <c r="C721" s="280"/>
      <c r="D721" s="108"/>
      <c r="E721" s="109"/>
      <c r="F721" s="108"/>
      <c r="G721" s="108"/>
      <c r="H721" s="110" t="e">
        <f>SUM(H714:H720)</f>
        <v>#DIV/0!</v>
      </c>
    </row>
    <row r="722" spans="1:8" ht="16.5" thickTop="1" x14ac:dyDescent="0.25">
      <c r="A722" s="90" t="s">
        <v>645</v>
      </c>
      <c r="B722" s="216" t="s">
        <v>37</v>
      </c>
      <c r="C722" s="279" t="s">
        <v>149</v>
      </c>
      <c r="D722" s="98" t="s">
        <v>39</v>
      </c>
      <c r="E722" s="99">
        <v>12</v>
      </c>
      <c r="F722" s="101" t="s">
        <v>40</v>
      </c>
      <c r="G722" s="100" t="e">
        <f>'ZHU Rate Build Up'!H339</f>
        <v>#DIV/0!</v>
      </c>
      <c r="H722" s="104" t="e">
        <f>E722*G722</f>
        <v>#DIV/0!</v>
      </c>
    </row>
    <row r="723" spans="1:8" x14ac:dyDescent="0.25">
      <c r="A723" s="90" t="s">
        <v>646</v>
      </c>
      <c r="B723" s="216" t="s">
        <v>43</v>
      </c>
      <c r="C723" s="279"/>
      <c r="D723" s="98" t="s">
        <v>44</v>
      </c>
      <c r="E723" s="99">
        <v>80</v>
      </c>
      <c r="F723" s="100" t="e">
        <f>'ZHU Rate Build Up'!H340</f>
        <v>#DIV/0!</v>
      </c>
      <c r="G723" s="101" t="s">
        <v>40</v>
      </c>
      <c r="H723" s="104" t="e">
        <f>E723*F723</f>
        <v>#DIV/0!</v>
      </c>
    </row>
    <row r="724" spans="1:8" x14ac:dyDescent="0.25">
      <c r="A724" s="90" t="s">
        <v>647</v>
      </c>
      <c r="B724" s="216" t="s">
        <v>47</v>
      </c>
      <c r="C724" s="279"/>
      <c r="D724" s="98" t="s">
        <v>48</v>
      </c>
      <c r="E724" s="99">
        <v>16</v>
      </c>
      <c r="F724" s="100" t="e">
        <f>'ZHU Rate Build Up'!K340</f>
        <v>#DIV/0!</v>
      </c>
      <c r="G724" s="101" t="s">
        <v>40</v>
      </c>
      <c r="H724" s="104" t="e">
        <f t="shared" ref="H724:H728" si="148">E724*F724</f>
        <v>#DIV/0!</v>
      </c>
    </row>
    <row r="725" spans="1:8" x14ac:dyDescent="0.25">
      <c r="A725" s="90" t="s">
        <v>648</v>
      </c>
      <c r="B725" s="216" t="s">
        <v>51</v>
      </c>
      <c r="C725" s="279"/>
      <c r="D725" s="98" t="s">
        <v>48</v>
      </c>
      <c r="E725" s="99">
        <v>16</v>
      </c>
      <c r="F725" s="100" t="e">
        <f>'ZHU Rate Build Up'!H340</f>
        <v>#DIV/0!</v>
      </c>
      <c r="G725" s="101" t="s">
        <v>40</v>
      </c>
      <c r="H725" s="104" t="e">
        <f t="shared" ref="H725" si="149">E725*F725</f>
        <v>#DIV/0!</v>
      </c>
    </row>
    <row r="726" spans="1:8" x14ac:dyDescent="0.25">
      <c r="A726" s="90" t="s">
        <v>649</v>
      </c>
      <c r="B726" s="216" t="s">
        <v>54</v>
      </c>
      <c r="C726" s="279"/>
      <c r="D726" s="98" t="s">
        <v>44</v>
      </c>
      <c r="E726" s="99">
        <v>80</v>
      </c>
      <c r="F726" s="100" t="e">
        <f>'ZHU Rate Build Up'!H340</f>
        <v>#DIV/0!</v>
      </c>
      <c r="G726" s="101" t="s">
        <v>40</v>
      </c>
      <c r="H726" s="104" t="e">
        <f t="shared" si="148"/>
        <v>#DIV/0!</v>
      </c>
    </row>
    <row r="727" spans="1:8" x14ac:dyDescent="0.25">
      <c r="A727" s="90" t="s">
        <v>650</v>
      </c>
      <c r="B727" s="216" t="s">
        <v>56</v>
      </c>
      <c r="C727" s="279"/>
      <c r="D727" s="99" t="s">
        <v>44</v>
      </c>
      <c r="E727" s="99">
        <v>48</v>
      </c>
      <c r="F727" s="100" t="e">
        <f>'ZHU Rate Build Up'!H340</f>
        <v>#DIV/0!</v>
      </c>
      <c r="G727" s="101" t="s">
        <v>40</v>
      </c>
      <c r="H727" s="104" t="e">
        <f t="shared" si="148"/>
        <v>#DIV/0!</v>
      </c>
    </row>
    <row r="728" spans="1:8" x14ac:dyDescent="0.25">
      <c r="A728" s="90" t="s">
        <v>651</v>
      </c>
      <c r="B728" s="216" t="s">
        <v>58</v>
      </c>
      <c r="C728" s="279"/>
      <c r="D728" s="99" t="s">
        <v>44</v>
      </c>
      <c r="E728" s="99">
        <v>1040</v>
      </c>
      <c r="F728" s="100" t="e">
        <f>'ZHU Rate Build Up'!H340</f>
        <v>#DIV/0!</v>
      </c>
      <c r="G728" s="101" t="s">
        <v>40</v>
      </c>
      <c r="H728" s="104" t="e">
        <f t="shared" si="148"/>
        <v>#DIV/0!</v>
      </c>
    </row>
    <row r="729" spans="1:8" ht="16.5" thickBot="1" x14ac:dyDescent="0.3">
      <c r="A729" s="106"/>
      <c r="B729" s="107" t="s">
        <v>59</v>
      </c>
      <c r="C729" s="280"/>
      <c r="D729" s="108"/>
      <c r="E729" s="109"/>
      <c r="F729" s="108"/>
      <c r="G729" s="108"/>
      <c r="H729" s="110" t="e">
        <f>SUM(H722:H728)</f>
        <v>#DIV/0!</v>
      </c>
    </row>
    <row r="730" spans="1:8" ht="16.5" thickTop="1" x14ac:dyDescent="0.25">
      <c r="B730" s="213"/>
      <c r="C730" s="217"/>
      <c r="D730" s="214"/>
      <c r="E730" s="214"/>
      <c r="F730" s="214"/>
      <c r="G730" s="214"/>
      <c r="H730" s="215"/>
    </row>
    <row r="731" spans="1:8" ht="16.5" thickBot="1" x14ac:dyDescent="0.3">
      <c r="A731" s="242" t="s">
        <v>842</v>
      </c>
      <c r="B731" s="80"/>
      <c r="C731" s="243"/>
      <c r="H731" s="83"/>
    </row>
    <row r="732" spans="1:8" ht="48" thickBot="1" x14ac:dyDescent="0.3">
      <c r="A732" s="84" t="s">
        <v>27</v>
      </c>
      <c r="B732" s="85" t="s">
        <v>28</v>
      </c>
      <c r="C732" s="86" t="s">
        <v>29</v>
      </c>
      <c r="D732" s="87" t="s">
        <v>30</v>
      </c>
      <c r="E732" s="88" t="s">
        <v>31</v>
      </c>
      <c r="F732" s="87" t="s">
        <v>32</v>
      </c>
      <c r="G732" s="87" t="s">
        <v>33</v>
      </c>
      <c r="H732" s="89" t="s">
        <v>34</v>
      </c>
    </row>
    <row r="733" spans="1:8" x14ac:dyDescent="0.25">
      <c r="A733" s="90" t="s">
        <v>652</v>
      </c>
      <c r="B733" s="245" t="s">
        <v>37</v>
      </c>
      <c r="C733" s="279" t="s">
        <v>157</v>
      </c>
      <c r="D733" s="92" t="s">
        <v>39</v>
      </c>
      <c r="E733" s="93">
        <v>12</v>
      </c>
      <c r="F733" s="94" t="s">
        <v>40</v>
      </c>
      <c r="G733" s="95" t="e">
        <f>'ZID Rate Build Up'!H339</f>
        <v>#DIV/0!</v>
      </c>
      <c r="H733" s="118" t="e">
        <f>E733*G733</f>
        <v>#DIV/0!</v>
      </c>
    </row>
    <row r="734" spans="1:8" x14ac:dyDescent="0.25">
      <c r="A734" s="90" t="s">
        <v>653</v>
      </c>
      <c r="B734" s="216" t="s">
        <v>43</v>
      </c>
      <c r="C734" s="279"/>
      <c r="D734" s="98" t="s">
        <v>44</v>
      </c>
      <c r="E734" s="99">
        <v>80</v>
      </c>
      <c r="F734" s="100" t="e">
        <f>'ZID Rate Build Up'!H340</f>
        <v>#DIV/0!</v>
      </c>
      <c r="G734" s="101" t="s">
        <v>40</v>
      </c>
      <c r="H734" s="104" t="e">
        <f>E734*F734</f>
        <v>#DIV/0!</v>
      </c>
    </row>
    <row r="735" spans="1:8" x14ac:dyDescent="0.25">
      <c r="A735" s="90" t="s">
        <v>654</v>
      </c>
      <c r="B735" s="216" t="s">
        <v>47</v>
      </c>
      <c r="C735" s="279"/>
      <c r="D735" s="98" t="s">
        <v>48</v>
      </c>
      <c r="E735" s="99">
        <v>16</v>
      </c>
      <c r="F735" s="100" t="e">
        <f>'ZID Rate Build Up'!K340</f>
        <v>#DIV/0!</v>
      </c>
      <c r="G735" s="101" t="s">
        <v>40</v>
      </c>
      <c r="H735" s="104" t="e">
        <f t="shared" ref="H735:H739" si="150">E735*F735</f>
        <v>#DIV/0!</v>
      </c>
    </row>
    <row r="736" spans="1:8" x14ac:dyDescent="0.25">
      <c r="A736" s="90" t="s">
        <v>655</v>
      </c>
      <c r="B736" s="216" t="s">
        <v>51</v>
      </c>
      <c r="C736" s="279"/>
      <c r="D736" s="98" t="s">
        <v>48</v>
      </c>
      <c r="E736" s="99">
        <v>16</v>
      </c>
      <c r="F736" s="100" t="e">
        <f>'ZID Rate Build Up'!H340</f>
        <v>#DIV/0!</v>
      </c>
      <c r="G736" s="101" t="s">
        <v>40</v>
      </c>
      <c r="H736" s="104" t="e">
        <f t="shared" ref="H736" si="151">E736*F736</f>
        <v>#DIV/0!</v>
      </c>
    </row>
    <row r="737" spans="1:8" x14ac:dyDescent="0.25">
      <c r="A737" s="90" t="s">
        <v>656</v>
      </c>
      <c r="B737" s="216" t="s">
        <v>54</v>
      </c>
      <c r="C737" s="279"/>
      <c r="D737" s="98" t="s">
        <v>44</v>
      </c>
      <c r="E737" s="99">
        <v>80</v>
      </c>
      <c r="F737" s="100" t="e">
        <f>'ZID Rate Build Up'!H340</f>
        <v>#DIV/0!</v>
      </c>
      <c r="G737" s="101" t="s">
        <v>40</v>
      </c>
      <c r="H737" s="104" t="e">
        <f t="shared" si="150"/>
        <v>#DIV/0!</v>
      </c>
    </row>
    <row r="738" spans="1:8" x14ac:dyDescent="0.25">
      <c r="A738" s="90" t="s">
        <v>657</v>
      </c>
      <c r="B738" s="216" t="s">
        <v>56</v>
      </c>
      <c r="C738" s="279"/>
      <c r="D738" s="99" t="s">
        <v>44</v>
      </c>
      <c r="E738" s="99">
        <v>48</v>
      </c>
      <c r="F738" s="100" t="e">
        <f>'ZID Rate Build Up'!H340</f>
        <v>#DIV/0!</v>
      </c>
      <c r="G738" s="101" t="s">
        <v>40</v>
      </c>
      <c r="H738" s="104" t="e">
        <f t="shared" si="150"/>
        <v>#DIV/0!</v>
      </c>
    </row>
    <row r="739" spans="1:8" x14ac:dyDescent="0.25">
      <c r="A739" s="90" t="s">
        <v>658</v>
      </c>
      <c r="B739" s="216" t="s">
        <v>58</v>
      </c>
      <c r="C739" s="279"/>
      <c r="D739" s="99" t="s">
        <v>44</v>
      </c>
      <c r="E739" s="99">
        <v>1040</v>
      </c>
      <c r="F739" s="100" t="e">
        <f>'ZID Rate Build Up'!H340</f>
        <v>#DIV/0!</v>
      </c>
      <c r="G739" s="101" t="s">
        <v>40</v>
      </c>
      <c r="H739" s="104" t="e">
        <f t="shared" si="150"/>
        <v>#DIV/0!</v>
      </c>
    </row>
    <row r="740" spans="1:8" ht="16.5" thickBot="1" x14ac:dyDescent="0.3">
      <c r="A740" s="106"/>
      <c r="B740" s="113" t="s">
        <v>59</v>
      </c>
      <c r="C740" s="280"/>
      <c r="D740" s="108"/>
      <c r="E740" s="109"/>
      <c r="F740" s="108"/>
      <c r="G740" s="108"/>
      <c r="H740" s="110" t="e">
        <f>SUM(H733:H739)</f>
        <v>#DIV/0!</v>
      </c>
    </row>
    <row r="741" spans="1:8" ht="16.5" thickTop="1" x14ac:dyDescent="0.25">
      <c r="A741" s="90" t="s">
        <v>659</v>
      </c>
      <c r="B741" s="216" t="s">
        <v>37</v>
      </c>
      <c r="C741" s="279" t="s">
        <v>165</v>
      </c>
      <c r="D741" s="98" t="s">
        <v>39</v>
      </c>
      <c r="E741" s="99">
        <v>12</v>
      </c>
      <c r="F741" s="101" t="s">
        <v>40</v>
      </c>
      <c r="G741" s="100" t="e">
        <f>'ZKC Rate Build Up'!H339</f>
        <v>#DIV/0!</v>
      </c>
      <c r="H741" s="104" t="e">
        <f>E741*G741</f>
        <v>#DIV/0!</v>
      </c>
    </row>
    <row r="742" spans="1:8" x14ac:dyDescent="0.25">
      <c r="A742" s="90" t="s">
        <v>660</v>
      </c>
      <c r="B742" s="216" t="s">
        <v>43</v>
      </c>
      <c r="C742" s="279"/>
      <c r="D742" s="98" t="s">
        <v>44</v>
      </c>
      <c r="E742" s="99">
        <v>80</v>
      </c>
      <c r="F742" s="100" t="e">
        <f>'ZKC Rate Build Up'!H340</f>
        <v>#DIV/0!</v>
      </c>
      <c r="G742" s="101" t="s">
        <v>40</v>
      </c>
      <c r="H742" s="104" t="e">
        <f>E742*F742</f>
        <v>#DIV/0!</v>
      </c>
    </row>
    <row r="743" spans="1:8" x14ac:dyDescent="0.25">
      <c r="A743" s="90" t="s">
        <v>661</v>
      </c>
      <c r="B743" s="216" t="s">
        <v>47</v>
      </c>
      <c r="C743" s="279"/>
      <c r="D743" s="98" t="s">
        <v>48</v>
      </c>
      <c r="E743" s="99">
        <v>16</v>
      </c>
      <c r="F743" s="100" t="e">
        <f>'ZKC Rate Build Up'!K340</f>
        <v>#DIV/0!</v>
      </c>
      <c r="G743" s="101" t="s">
        <v>40</v>
      </c>
      <c r="H743" s="104" t="e">
        <f t="shared" ref="H743:H747" si="152">E743*F743</f>
        <v>#DIV/0!</v>
      </c>
    </row>
    <row r="744" spans="1:8" x14ac:dyDescent="0.25">
      <c r="A744" s="90" t="s">
        <v>662</v>
      </c>
      <c r="B744" s="216" t="s">
        <v>51</v>
      </c>
      <c r="C744" s="279"/>
      <c r="D744" s="98" t="s">
        <v>48</v>
      </c>
      <c r="E744" s="99">
        <v>16</v>
      </c>
      <c r="F744" s="100" t="e">
        <f>'ZKC Rate Build Up'!H340</f>
        <v>#DIV/0!</v>
      </c>
      <c r="G744" s="101" t="s">
        <v>40</v>
      </c>
      <c r="H744" s="104" t="e">
        <f t="shared" ref="H744" si="153">E744*F744</f>
        <v>#DIV/0!</v>
      </c>
    </row>
    <row r="745" spans="1:8" x14ac:dyDescent="0.25">
      <c r="A745" s="90" t="s">
        <v>663</v>
      </c>
      <c r="B745" s="216" t="s">
        <v>54</v>
      </c>
      <c r="C745" s="279"/>
      <c r="D745" s="98" t="s">
        <v>44</v>
      </c>
      <c r="E745" s="99">
        <v>80</v>
      </c>
      <c r="F745" s="100" t="e">
        <f>'ZKC Rate Build Up'!H340</f>
        <v>#DIV/0!</v>
      </c>
      <c r="G745" s="101" t="s">
        <v>40</v>
      </c>
      <c r="H745" s="104" t="e">
        <f t="shared" si="152"/>
        <v>#DIV/0!</v>
      </c>
    </row>
    <row r="746" spans="1:8" x14ac:dyDescent="0.25">
      <c r="A746" s="90" t="s">
        <v>664</v>
      </c>
      <c r="B746" s="216" t="s">
        <v>56</v>
      </c>
      <c r="C746" s="279"/>
      <c r="D746" s="99" t="s">
        <v>44</v>
      </c>
      <c r="E746" s="99">
        <v>48</v>
      </c>
      <c r="F746" s="100" t="e">
        <f>'ZKC Rate Build Up'!H340</f>
        <v>#DIV/0!</v>
      </c>
      <c r="G746" s="101" t="s">
        <v>40</v>
      </c>
      <c r="H746" s="104" t="e">
        <f t="shared" si="152"/>
        <v>#DIV/0!</v>
      </c>
    </row>
    <row r="747" spans="1:8" x14ac:dyDescent="0.25">
      <c r="A747" s="90" t="s">
        <v>665</v>
      </c>
      <c r="B747" s="216" t="s">
        <v>58</v>
      </c>
      <c r="C747" s="279"/>
      <c r="D747" s="99" t="s">
        <v>44</v>
      </c>
      <c r="E747" s="99">
        <v>1040</v>
      </c>
      <c r="F747" s="100" t="e">
        <f>'ZKC Rate Build Up'!H340</f>
        <v>#DIV/0!</v>
      </c>
      <c r="G747" s="101" t="s">
        <v>40</v>
      </c>
      <c r="H747" s="104" t="e">
        <f t="shared" si="152"/>
        <v>#DIV/0!</v>
      </c>
    </row>
    <row r="748" spans="1:8" ht="16.5" thickBot="1" x14ac:dyDescent="0.3">
      <c r="A748" s="106"/>
      <c r="B748" s="113" t="s">
        <v>59</v>
      </c>
      <c r="C748" s="280"/>
      <c r="D748" s="108"/>
      <c r="E748" s="109"/>
      <c r="F748" s="108"/>
      <c r="G748" s="108"/>
      <c r="H748" s="110" t="e">
        <f>SUM(H741:H747)</f>
        <v>#DIV/0!</v>
      </c>
    </row>
    <row r="749" spans="1:8" ht="16.5" thickTop="1" x14ac:dyDescent="0.25">
      <c r="A749" s="90" t="s">
        <v>666</v>
      </c>
      <c r="B749" s="216" t="s">
        <v>37</v>
      </c>
      <c r="C749" s="279" t="s">
        <v>173</v>
      </c>
      <c r="D749" s="98" t="s">
        <v>39</v>
      </c>
      <c r="E749" s="99">
        <v>12</v>
      </c>
      <c r="F749" s="101" t="s">
        <v>40</v>
      </c>
      <c r="G749" s="100" t="e">
        <f>'ZMP Rate Build Up'!H339</f>
        <v>#DIV/0!</v>
      </c>
      <c r="H749" s="104" t="e">
        <f>E749*G749</f>
        <v>#DIV/0!</v>
      </c>
    </row>
    <row r="750" spans="1:8" x14ac:dyDescent="0.25">
      <c r="A750" s="90" t="s">
        <v>667</v>
      </c>
      <c r="B750" s="216" t="s">
        <v>43</v>
      </c>
      <c r="C750" s="279"/>
      <c r="D750" s="98" t="s">
        <v>44</v>
      </c>
      <c r="E750" s="99">
        <v>80</v>
      </c>
      <c r="F750" s="100" t="e">
        <f>'ZMP Rate Build Up'!H340</f>
        <v>#DIV/0!</v>
      </c>
      <c r="G750" s="101" t="s">
        <v>40</v>
      </c>
      <c r="H750" s="104" t="e">
        <f>E750*F750</f>
        <v>#DIV/0!</v>
      </c>
    </row>
    <row r="751" spans="1:8" x14ac:dyDescent="0.25">
      <c r="A751" s="90" t="s">
        <v>668</v>
      </c>
      <c r="B751" s="216" t="s">
        <v>47</v>
      </c>
      <c r="C751" s="279"/>
      <c r="D751" s="98" t="s">
        <v>48</v>
      </c>
      <c r="E751" s="99">
        <v>16</v>
      </c>
      <c r="F751" s="100" t="e">
        <f>'ZMP Rate Build Up'!K340</f>
        <v>#DIV/0!</v>
      </c>
      <c r="G751" s="101" t="s">
        <v>40</v>
      </c>
      <c r="H751" s="104" t="e">
        <f t="shared" ref="H751:H755" si="154">E751*F751</f>
        <v>#DIV/0!</v>
      </c>
    </row>
    <row r="752" spans="1:8" x14ac:dyDescent="0.25">
      <c r="A752" s="90" t="s">
        <v>669</v>
      </c>
      <c r="B752" s="216" t="s">
        <v>51</v>
      </c>
      <c r="C752" s="279"/>
      <c r="D752" s="98" t="s">
        <v>48</v>
      </c>
      <c r="E752" s="99">
        <v>16</v>
      </c>
      <c r="F752" s="100" t="e">
        <f>'ZMP Rate Build Up'!H340</f>
        <v>#DIV/0!</v>
      </c>
      <c r="G752" s="101" t="s">
        <v>40</v>
      </c>
      <c r="H752" s="104" t="e">
        <f t="shared" ref="H752" si="155">E752*F752</f>
        <v>#DIV/0!</v>
      </c>
    </row>
    <row r="753" spans="1:8" x14ac:dyDescent="0.25">
      <c r="A753" s="90" t="s">
        <v>670</v>
      </c>
      <c r="B753" s="216" t="s">
        <v>54</v>
      </c>
      <c r="C753" s="279"/>
      <c r="D753" s="98" t="s">
        <v>44</v>
      </c>
      <c r="E753" s="99">
        <v>80</v>
      </c>
      <c r="F753" s="100" t="e">
        <f>'ZMP Rate Build Up'!H340</f>
        <v>#DIV/0!</v>
      </c>
      <c r="G753" s="101" t="s">
        <v>40</v>
      </c>
      <c r="H753" s="104" t="e">
        <f t="shared" si="154"/>
        <v>#DIV/0!</v>
      </c>
    </row>
    <row r="754" spans="1:8" x14ac:dyDescent="0.25">
      <c r="A754" s="90" t="s">
        <v>671</v>
      </c>
      <c r="B754" s="216" t="s">
        <v>56</v>
      </c>
      <c r="C754" s="279"/>
      <c r="D754" s="99" t="s">
        <v>44</v>
      </c>
      <c r="E754" s="99">
        <v>48</v>
      </c>
      <c r="F754" s="100" t="e">
        <f>'ZMP Rate Build Up'!H340</f>
        <v>#DIV/0!</v>
      </c>
      <c r="G754" s="101" t="s">
        <v>40</v>
      </c>
      <c r="H754" s="104" t="e">
        <f t="shared" si="154"/>
        <v>#DIV/0!</v>
      </c>
    </row>
    <row r="755" spans="1:8" x14ac:dyDescent="0.25">
      <c r="A755" s="90" t="s">
        <v>672</v>
      </c>
      <c r="B755" s="216" t="s">
        <v>58</v>
      </c>
      <c r="C755" s="279"/>
      <c r="D755" s="99" t="s">
        <v>44</v>
      </c>
      <c r="E755" s="99">
        <v>1040</v>
      </c>
      <c r="F755" s="100" t="e">
        <f>'ZMP Rate Build Up'!H340</f>
        <v>#DIV/0!</v>
      </c>
      <c r="G755" s="101" t="s">
        <v>40</v>
      </c>
      <c r="H755" s="104" t="e">
        <f t="shared" si="154"/>
        <v>#DIV/0!</v>
      </c>
    </row>
    <row r="756" spans="1:8" ht="16.5" thickBot="1" x14ac:dyDescent="0.3">
      <c r="A756" s="106"/>
      <c r="B756" s="113" t="s">
        <v>59</v>
      </c>
      <c r="C756" s="280"/>
      <c r="D756" s="108"/>
      <c r="E756" s="109"/>
      <c r="F756" s="108"/>
      <c r="G756" s="108"/>
      <c r="H756" s="110" t="e">
        <f>SUM(H749:H755)</f>
        <v>#DIV/0!</v>
      </c>
    </row>
    <row r="757" spans="1:8" ht="16.5" thickTop="1" x14ac:dyDescent="0.25">
      <c r="A757" s="90" t="s">
        <v>673</v>
      </c>
      <c r="B757" s="216" t="s">
        <v>37</v>
      </c>
      <c r="C757" s="279" t="s">
        <v>181</v>
      </c>
      <c r="D757" s="98" t="s">
        <v>39</v>
      </c>
      <c r="E757" s="99">
        <v>12</v>
      </c>
      <c r="F757" s="101" t="s">
        <v>40</v>
      </c>
      <c r="G757" s="100" t="e">
        <f>'ZOB Rate Build Up'!H339</f>
        <v>#DIV/0!</v>
      </c>
      <c r="H757" s="104" t="e">
        <f>E757*G757</f>
        <v>#DIV/0!</v>
      </c>
    </row>
    <row r="758" spans="1:8" x14ac:dyDescent="0.25">
      <c r="A758" s="90" t="s">
        <v>674</v>
      </c>
      <c r="B758" s="216" t="s">
        <v>43</v>
      </c>
      <c r="C758" s="279"/>
      <c r="D758" s="98" t="s">
        <v>44</v>
      </c>
      <c r="E758" s="99">
        <v>80</v>
      </c>
      <c r="F758" s="100" t="e">
        <f>'ZOB Rate Build Up'!H340</f>
        <v>#DIV/0!</v>
      </c>
      <c r="G758" s="101" t="s">
        <v>40</v>
      </c>
      <c r="H758" s="104" t="e">
        <f>E758*F758</f>
        <v>#DIV/0!</v>
      </c>
    </row>
    <row r="759" spans="1:8" x14ac:dyDescent="0.25">
      <c r="A759" s="90" t="s">
        <v>675</v>
      </c>
      <c r="B759" s="216" t="s">
        <v>47</v>
      </c>
      <c r="C759" s="279"/>
      <c r="D759" s="98" t="s">
        <v>48</v>
      </c>
      <c r="E759" s="99">
        <v>16</v>
      </c>
      <c r="F759" s="100" t="e">
        <f>'ZOB Rate Build Up'!K340</f>
        <v>#DIV/0!</v>
      </c>
      <c r="G759" s="101" t="s">
        <v>40</v>
      </c>
      <c r="H759" s="104" t="e">
        <f t="shared" ref="H759:H763" si="156">E759*F759</f>
        <v>#DIV/0!</v>
      </c>
    </row>
    <row r="760" spans="1:8" x14ac:dyDescent="0.25">
      <c r="A760" s="90" t="s">
        <v>676</v>
      </c>
      <c r="B760" s="216" t="s">
        <v>51</v>
      </c>
      <c r="C760" s="279"/>
      <c r="D760" s="98" t="s">
        <v>48</v>
      </c>
      <c r="E760" s="99">
        <v>16</v>
      </c>
      <c r="F760" s="100" t="e">
        <f>'ZOB Rate Build Up'!H340</f>
        <v>#DIV/0!</v>
      </c>
      <c r="G760" s="101" t="s">
        <v>40</v>
      </c>
      <c r="H760" s="104" t="e">
        <f t="shared" ref="H760" si="157">E760*F760</f>
        <v>#DIV/0!</v>
      </c>
    </row>
    <row r="761" spans="1:8" x14ac:dyDescent="0.25">
      <c r="A761" s="90" t="s">
        <v>677</v>
      </c>
      <c r="B761" s="216" t="s">
        <v>54</v>
      </c>
      <c r="C761" s="279"/>
      <c r="D761" s="98" t="s">
        <v>44</v>
      </c>
      <c r="E761" s="99">
        <v>80</v>
      </c>
      <c r="F761" s="100" t="e">
        <f>'ZOB Rate Build Up'!H340</f>
        <v>#DIV/0!</v>
      </c>
      <c r="G761" s="101" t="s">
        <v>40</v>
      </c>
      <c r="H761" s="104" t="e">
        <f t="shared" si="156"/>
        <v>#DIV/0!</v>
      </c>
    </row>
    <row r="762" spans="1:8" x14ac:dyDescent="0.25">
      <c r="A762" s="90" t="s">
        <v>678</v>
      </c>
      <c r="B762" s="216" t="s">
        <v>56</v>
      </c>
      <c r="C762" s="279"/>
      <c r="D762" s="99" t="s">
        <v>44</v>
      </c>
      <c r="E762" s="99">
        <v>48</v>
      </c>
      <c r="F762" s="100" t="e">
        <f>'ZOB Rate Build Up'!H340</f>
        <v>#DIV/0!</v>
      </c>
      <c r="G762" s="101" t="s">
        <v>40</v>
      </c>
      <c r="H762" s="104" t="e">
        <f t="shared" si="156"/>
        <v>#DIV/0!</v>
      </c>
    </row>
    <row r="763" spans="1:8" x14ac:dyDescent="0.25">
      <c r="A763" s="90" t="s">
        <v>679</v>
      </c>
      <c r="B763" s="216" t="s">
        <v>58</v>
      </c>
      <c r="C763" s="279"/>
      <c r="D763" s="99" t="s">
        <v>44</v>
      </c>
      <c r="E763" s="99">
        <v>1040</v>
      </c>
      <c r="F763" s="100" t="e">
        <f>'ZOB Rate Build Up'!H340</f>
        <v>#DIV/0!</v>
      </c>
      <c r="G763" s="101" t="s">
        <v>40</v>
      </c>
      <c r="H763" s="104" t="e">
        <f t="shared" si="156"/>
        <v>#DIV/0!</v>
      </c>
    </row>
    <row r="764" spans="1:8" ht="16.5" thickBot="1" x14ac:dyDescent="0.3">
      <c r="A764" s="106"/>
      <c r="B764" s="107" t="s">
        <v>59</v>
      </c>
      <c r="C764" s="280"/>
      <c r="D764" s="108"/>
      <c r="E764" s="109"/>
      <c r="F764" s="108"/>
      <c r="G764" s="108"/>
      <c r="H764" s="110" t="e">
        <f>SUM(H757:H763)</f>
        <v>#DIV/0!</v>
      </c>
    </row>
    <row r="765" spans="1:8" ht="17.25" thickTop="1" thickBot="1" x14ac:dyDescent="0.3"/>
    <row r="766" spans="1:8" ht="48" thickBot="1" x14ac:dyDescent="0.3">
      <c r="A766" s="220" t="s">
        <v>27</v>
      </c>
      <c r="B766" s="221" t="s">
        <v>28</v>
      </c>
      <c r="C766" s="222" t="s">
        <v>29</v>
      </c>
      <c r="D766" s="222" t="s">
        <v>30</v>
      </c>
      <c r="E766" s="88" t="s">
        <v>31</v>
      </c>
      <c r="F766" s="222" t="s">
        <v>32</v>
      </c>
      <c r="G766" s="222" t="s">
        <v>33</v>
      </c>
      <c r="H766" s="223" t="s">
        <v>34</v>
      </c>
    </row>
    <row r="767" spans="1:8" ht="16.5" thickBot="1" x14ac:dyDescent="0.3">
      <c r="A767" s="246" t="s">
        <v>680</v>
      </c>
      <c r="B767" s="247" t="s">
        <v>37</v>
      </c>
      <c r="C767" s="286" t="s">
        <v>681</v>
      </c>
      <c r="D767" s="248" t="s">
        <v>39</v>
      </c>
      <c r="E767" s="261" t="s">
        <v>40</v>
      </c>
      <c r="F767" s="248" t="s">
        <v>40</v>
      </c>
      <c r="G767" s="249" t="e">
        <f>H767/12</f>
        <v>#DIV/0!</v>
      </c>
      <c r="H767" s="250" t="e">
        <f t="shared" ref="H767:H773" si="158">H623+H631+H639+H647+H655+H663+H674+H682+H690+H698+H706+H714+H722+H733+H741+H749+H757</f>
        <v>#DIV/0!</v>
      </c>
    </row>
    <row r="768" spans="1:8" ht="16.5" thickBot="1" x14ac:dyDescent="0.3">
      <c r="A768" s="251" t="s">
        <v>682</v>
      </c>
      <c r="B768" s="225" t="s">
        <v>43</v>
      </c>
      <c r="C768" s="281"/>
      <c r="D768" s="226" t="s">
        <v>44</v>
      </c>
      <c r="E768" s="226" t="s">
        <v>40</v>
      </c>
      <c r="F768" s="226" t="s">
        <v>40</v>
      </c>
      <c r="G768" s="248" t="s">
        <v>40</v>
      </c>
      <c r="H768" s="250" t="e">
        <f t="shared" si="158"/>
        <v>#DIV/0!</v>
      </c>
    </row>
    <row r="769" spans="1:8" ht="16.5" thickBot="1" x14ac:dyDescent="0.3">
      <c r="A769" s="251" t="s">
        <v>683</v>
      </c>
      <c r="B769" s="225" t="s">
        <v>47</v>
      </c>
      <c r="C769" s="281"/>
      <c r="D769" s="226" t="s">
        <v>48</v>
      </c>
      <c r="E769" s="226" t="s">
        <v>40</v>
      </c>
      <c r="F769" s="226" t="s">
        <v>40</v>
      </c>
      <c r="G769" s="248" t="s">
        <v>40</v>
      </c>
      <c r="H769" s="250" t="e">
        <f t="shared" si="158"/>
        <v>#DIV/0!</v>
      </c>
    </row>
    <row r="770" spans="1:8" ht="16.5" thickBot="1" x14ac:dyDescent="0.3">
      <c r="A770" s="251" t="s">
        <v>684</v>
      </c>
      <c r="B770" s="225" t="s">
        <v>51</v>
      </c>
      <c r="C770" s="281"/>
      <c r="D770" s="226" t="s">
        <v>44</v>
      </c>
      <c r="E770" s="226" t="s">
        <v>40</v>
      </c>
      <c r="F770" s="226" t="s">
        <v>40</v>
      </c>
      <c r="G770" s="248" t="s">
        <v>40</v>
      </c>
      <c r="H770" s="250" t="e">
        <f t="shared" si="158"/>
        <v>#DIV/0!</v>
      </c>
    </row>
    <row r="771" spans="1:8" ht="16.5" thickBot="1" x14ac:dyDescent="0.3">
      <c r="A771" s="251" t="s">
        <v>685</v>
      </c>
      <c r="B771" s="225" t="s">
        <v>54</v>
      </c>
      <c r="C771" s="281"/>
      <c r="D771" s="226" t="s">
        <v>44</v>
      </c>
      <c r="E771" s="226" t="s">
        <v>40</v>
      </c>
      <c r="F771" s="226" t="s">
        <v>40</v>
      </c>
      <c r="G771" s="248" t="s">
        <v>40</v>
      </c>
      <c r="H771" s="250" t="e">
        <f t="shared" si="158"/>
        <v>#DIV/0!</v>
      </c>
    </row>
    <row r="772" spans="1:8" ht="16.5" thickBot="1" x14ac:dyDescent="0.3">
      <c r="A772" s="251" t="s">
        <v>686</v>
      </c>
      <c r="B772" s="225" t="s">
        <v>56</v>
      </c>
      <c r="C772" s="281"/>
      <c r="D772" s="229" t="s">
        <v>44</v>
      </c>
      <c r="E772" s="226" t="s">
        <v>40</v>
      </c>
      <c r="F772" s="226" t="s">
        <v>40</v>
      </c>
      <c r="G772" s="226" t="s">
        <v>40</v>
      </c>
      <c r="H772" s="250" t="e">
        <f t="shared" si="158"/>
        <v>#DIV/0!</v>
      </c>
    </row>
    <row r="773" spans="1:8" x14ac:dyDescent="0.25">
      <c r="A773" s="251" t="s">
        <v>687</v>
      </c>
      <c r="B773" s="225" t="s">
        <v>58</v>
      </c>
      <c r="C773" s="281"/>
      <c r="D773" s="229" t="s">
        <v>44</v>
      </c>
      <c r="E773" s="226" t="s">
        <v>40</v>
      </c>
      <c r="F773" s="226" t="s">
        <v>40</v>
      </c>
      <c r="G773" s="226" t="s">
        <v>40</v>
      </c>
      <c r="H773" s="250" t="e">
        <f t="shared" si="158"/>
        <v>#DIV/0!</v>
      </c>
    </row>
    <row r="774" spans="1:8" ht="16.5" thickBot="1" x14ac:dyDescent="0.3">
      <c r="A774" s="232" t="s">
        <v>688</v>
      </c>
      <c r="B774" s="233" t="s">
        <v>59</v>
      </c>
      <c r="C774" s="282"/>
      <c r="D774" s="252"/>
      <c r="E774" s="252"/>
      <c r="F774" s="252"/>
      <c r="G774" s="252"/>
      <c r="H774" s="236" t="e">
        <f>SUM(H767:H773)</f>
        <v>#DIV/0!</v>
      </c>
    </row>
    <row r="775" spans="1:8" x14ac:dyDescent="0.25">
      <c r="A775" s="237"/>
      <c r="B775" s="238"/>
      <c r="C775" s="239"/>
      <c r="D775" s="256"/>
      <c r="E775" s="256"/>
      <c r="F775" s="256"/>
      <c r="G775" s="256"/>
      <c r="H775" s="241"/>
    </row>
    <row r="776" spans="1:8" x14ac:dyDescent="0.25">
      <c r="A776" s="237"/>
      <c r="B776" s="238"/>
      <c r="C776" s="239"/>
      <c r="D776" s="256"/>
      <c r="E776" s="256"/>
      <c r="F776" s="256"/>
      <c r="G776" s="256"/>
      <c r="H776" s="241"/>
    </row>
    <row r="777" spans="1:8" ht="16.5" thickBot="1" x14ac:dyDescent="0.3">
      <c r="A777" s="79" t="s">
        <v>689</v>
      </c>
      <c r="B777" s="80"/>
      <c r="C777" s="243"/>
      <c r="H777" s="83"/>
    </row>
    <row r="778" spans="1:8" ht="48.75" thickTop="1" thickBot="1" x14ac:dyDescent="0.3">
      <c r="A778" s="262" t="s">
        <v>27</v>
      </c>
      <c r="B778" s="263" t="s">
        <v>28</v>
      </c>
      <c r="C778" s="264" t="s">
        <v>29</v>
      </c>
      <c r="D778" s="265" t="s">
        <v>30</v>
      </c>
      <c r="E778" s="88" t="s">
        <v>31</v>
      </c>
      <c r="F778" s="266" t="s">
        <v>32</v>
      </c>
      <c r="G778" s="267" t="s">
        <v>690</v>
      </c>
      <c r="H778" s="268" t="s">
        <v>691</v>
      </c>
    </row>
    <row r="779" spans="1:8" x14ac:dyDescent="0.25">
      <c r="A779" s="117" t="s">
        <v>188</v>
      </c>
      <c r="B779" s="245" t="s">
        <v>37</v>
      </c>
      <c r="C779" s="284" t="s">
        <v>692</v>
      </c>
      <c r="D779" s="92" t="s">
        <v>39</v>
      </c>
      <c r="E779" s="94" t="s">
        <v>40</v>
      </c>
      <c r="F779" s="94" t="s">
        <v>40</v>
      </c>
      <c r="G779" s="94" t="s">
        <v>40</v>
      </c>
      <c r="H779" s="269" t="e">
        <f>H767+H612+H457+H147+H302</f>
        <v>#DIV/0!</v>
      </c>
    </row>
    <row r="780" spans="1:8" x14ac:dyDescent="0.25">
      <c r="A780" s="90" t="s">
        <v>190</v>
      </c>
      <c r="B780" s="216" t="s">
        <v>43</v>
      </c>
      <c r="C780" s="284"/>
      <c r="D780" s="98" t="s">
        <v>48</v>
      </c>
      <c r="E780" s="101" t="s">
        <v>40</v>
      </c>
      <c r="F780" s="101" t="s">
        <v>40</v>
      </c>
      <c r="G780" s="101" t="s">
        <v>40</v>
      </c>
      <c r="H780" s="270" t="e">
        <f>H768+H613+H458+H148+H303</f>
        <v>#DIV/0!</v>
      </c>
    </row>
    <row r="781" spans="1:8" x14ac:dyDescent="0.25">
      <c r="A781" s="90" t="s">
        <v>191</v>
      </c>
      <c r="B781" s="216" t="s">
        <v>47</v>
      </c>
      <c r="C781" s="284"/>
      <c r="D781" s="98" t="s">
        <v>48</v>
      </c>
      <c r="E781" s="101" t="s">
        <v>40</v>
      </c>
      <c r="F781" s="101" t="s">
        <v>40</v>
      </c>
      <c r="G781" s="101" t="s">
        <v>40</v>
      </c>
      <c r="H781" s="270" t="e">
        <f t="shared" ref="H781:H785" si="159">H769+H614+H459+H149+H304</f>
        <v>#DIV/0!</v>
      </c>
    </row>
    <row r="782" spans="1:8" x14ac:dyDescent="0.25">
      <c r="A782" s="90" t="s">
        <v>192</v>
      </c>
      <c r="B782" s="216" t="s">
        <v>51</v>
      </c>
      <c r="C782" s="284"/>
      <c r="D782" s="98" t="s">
        <v>48</v>
      </c>
      <c r="E782" s="101" t="s">
        <v>40</v>
      </c>
      <c r="F782" s="101" t="s">
        <v>40</v>
      </c>
      <c r="G782" s="101" t="s">
        <v>40</v>
      </c>
      <c r="H782" s="270" t="e">
        <f t="shared" si="159"/>
        <v>#DIV/0!</v>
      </c>
    </row>
    <row r="783" spans="1:8" ht="14.25" customHeight="1" x14ac:dyDescent="0.25">
      <c r="A783" s="90" t="s">
        <v>193</v>
      </c>
      <c r="B783" s="216" t="s">
        <v>54</v>
      </c>
      <c r="C783" s="284"/>
      <c r="D783" s="98" t="s">
        <v>48</v>
      </c>
      <c r="E783" s="101" t="s">
        <v>40</v>
      </c>
      <c r="F783" s="101" t="s">
        <v>40</v>
      </c>
      <c r="G783" s="101" t="s">
        <v>40</v>
      </c>
      <c r="H783" s="270" t="e">
        <f t="shared" si="159"/>
        <v>#DIV/0!</v>
      </c>
    </row>
    <row r="784" spans="1:8" x14ac:dyDescent="0.25">
      <c r="A784" s="90" t="s">
        <v>194</v>
      </c>
      <c r="B784" s="216" t="s">
        <v>56</v>
      </c>
      <c r="C784" s="284"/>
      <c r="D784" s="98" t="s">
        <v>48</v>
      </c>
      <c r="E784" s="101" t="s">
        <v>40</v>
      </c>
      <c r="F784" s="101" t="s">
        <v>40</v>
      </c>
      <c r="G784" s="101" t="s">
        <v>40</v>
      </c>
      <c r="H784" s="270" t="e">
        <f t="shared" si="159"/>
        <v>#DIV/0!</v>
      </c>
    </row>
    <row r="785" spans="1:9" x14ac:dyDescent="0.25">
      <c r="A785" s="90" t="s">
        <v>195</v>
      </c>
      <c r="B785" s="216" t="s">
        <v>58</v>
      </c>
      <c r="C785" s="284"/>
      <c r="D785" s="98" t="s">
        <v>44</v>
      </c>
      <c r="E785" s="101" t="s">
        <v>40</v>
      </c>
      <c r="F785" s="101" t="s">
        <v>40</v>
      </c>
      <c r="G785" s="101" t="s">
        <v>40</v>
      </c>
      <c r="H785" s="270" t="e">
        <f t="shared" si="159"/>
        <v>#DIV/0!</v>
      </c>
    </row>
    <row r="786" spans="1:9" ht="16.5" thickBot="1" x14ac:dyDescent="0.3">
      <c r="A786" s="106"/>
      <c r="B786" s="113" t="s">
        <v>691</v>
      </c>
      <c r="C786" s="285"/>
      <c r="D786" s="271"/>
      <c r="E786" s="272"/>
      <c r="F786" s="273"/>
      <c r="G786" s="273"/>
      <c r="H786" s="274" t="e">
        <f>SUM(H779:H785)</f>
        <v>#DIV/0!</v>
      </c>
    </row>
    <row r="787" spans="1:9" ht="16.5" thickTop="1" x14ac:dyDescent="0.25">
      <c r="A787" s="275"/>
      <c r="B787" s="80"/>
      <c r="C787" s="243"/>
      <c r="H787" s="83"/>
      <c r="I787" s="275"/>
    </row>
  </sheetData>
  <sheetProtection selectLockedCells="1"/>
  <mergeCells count="91">
    <mergeCell ref="C674:C681"/>
    <mergeCell ref="C682:C689"/>
    <mergeCell ref="C690:C697"/>
    <mergeCell ref="C268:C275"/>
    <mergeCell ref="C276:C283"/>
    <mergeCell ref="C423:C430"/>
    <mergeCell ref="C431:C438"/>
    <mergeCell ref="C578:C585"/>
    <mergeCell ref="C586:C593"/>
    <mergeCell ref="C468:C475"/>
    <mergeCell ref="C476:C483"/>
    <mergeCell ref="C623:C630"/>
    <mergeCell ref="C631:C638"/>
    <mergeCell ref="C380:C387"/>
    <mergeCell ref="C527:C534"/>
    <mergeCell ref="C508:C515"/>
    <mergeCell ref="C292:C299"/>
    <mergeCell ref="C302:C309"/>
    <mergeCell ref="C313:C320"/>
    <mergeCell ref="C321:C328"/>
    <mergeCell ref="C241:C248"/>
    <mergeCell ref="C249:C256"/>
    <mergeCell ref="C257:C264"/>
    <mergeCell ref="C284:C291"/>
    <mergeCell ref="C54:C61"/>
    <mergeCell ref="C62:C69"/>
    <mergeCell ref="C70:C77"/>
    <mergeCell ref="C113:C120"/>
    <mergeCell ref="C121:C128"/>
    <mergeCell ref="C3:C10"/>
    <mergeCell ref="C757:C764"/>
    <mergeCell ref="C767:C774"/>
    <mergeCell ref="C655:C662"/>
    <mergeCell ref="C663:C670"/>
    <mergeCell ref="C698:C705"/>
    <mergeCell ref="C612:C619"/>
    <mergeCell ref="C639:C646"/>
    <mergeCell ref="C647:C654"/>
    <mergeCell ref="C567:C574"/>
    <mergeCell ref="C594:C601"/>
    <mergeCell ref="C602:C609"/>
    <mergeCell ref="C559:C566"/>
    <mergeCell ref="C484:C491"/>
    <mergeCell ref="C492:C499"/>
    <mergeCell ref="C500:C507"/>
    <mergeCell ref="C779:C786"/>
    <mergeCell ref="C706:C713"/>
    <mergeCell ref="C714:C721"/>
    <mergeCell ref="C722:C729"/>
    <mergeCell ref="C749:C756"/>
    <mergeCell ref="C733:C740"/>
    <mergeCell ref="C741:C748"/>
    <mergeCell ref="C519:C526"/>
    <mergeCell ref="C535:C542"/>
    <mergeCell ref="C543:C550"/>
    <mergeCell ref="C551:C558"/>
    <mergeCell ref="C439:C446"/>
    <mergeCell ref="C447:C454"/>
    <mergeCell ref="C457:C464"/>
    <mergeCell ref="C388:C395"/>
    <mergeCell ref="C396:C403"/>
    <mergeCell ref="C404:C411"/>
    <mergeCell ref="C412:C419"/>
    <mergeCell ref="C329:C336"/>
    <mergeCell ref="C337:C344"/>
    <mergeCell ref="C345:C352"/>
    <mergeCell ref="C353:C360"/>
    <mergeCell ref="C364:C371"/>
    <mergeCell ref="C372:C379"/>
    <mergeCell ref="C190:C197"/>
    <mergeCell ref="C198:C205"/>
    <mergeCell ref="C233:C240"/>
    <mergeCell ref="C147:C154"/>
    <mergeCell ref="C158:C165"/>
    <mergeCell ref="C166:C173"/>
    <mergeCell ref="C174:C181"/>
    <mergeCell ref="C182:C189"/>
    <mergeCell ref="C209:C216"/>
    <mergeCell ref="C217:C224"/>
    <mergeCell ref="C225:C232"/>
    <mergeCell ref="C129:C136"/>
    <mergeCell ref="C137:C144"/>
    <mergeCell ref="C78:C85"/>
    <mergeCell ref="C86:C93"/>
    <mergeCell ref="C94:C101"/>
    <mergeCell ref="C102:C109"/>
    <mergeCell ref="C11:C18"/>
    <mergeCell ref="C19:C26"/>
    <mergeCell ref="C27:C34"/>
    <mergeCell ref="C35:C42"/>
    <mergeCell ref="C43:C50"/>
  </mergeCells>
  <phoneticPr fontId="5" type="noConversion"/>
  <pageMargins left="0.7" right="0.7" top="0.75" bottom="0.75" header="0.3" footer="0.3"/>
  <pageSetup scale="70" fitToHeight="0" orientation="portrait" verticalDpi="598" r:id="rId1"/>
  <headerFooter>
    <oddHeader>&amp;C&amp;"Times New Roman,Regular"&amp;12PART III - SECTION J
Attachment J.5 WSA Pricing Workbook</oddHeader>
    <oddFooter>&amp;C&amp;P</oddFooter>
  </headerFooter>
  <ignoredErrors>
    <ignoredError sqref="H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Q43"/>
  <sheetViews>
    <sheetView workbookViewId="0">
      <selection activeCell="I13" sqref="I13"/>
    </sheetView>
  </sheetViews>
  <sheetFormatPr defaultColWidth="8.28515625" defaultRowHeight="15.75" x14ac:dyDescent="0.25"/>
  <cols>
    <col min="1" max="1" width="12.7109375" style="139" bestFit="1" customWidth="1"/>
    <col min="2" max="2" width="7.42578125" style="139" bestFit="1" customWidth="1"/>
    <col min="3" max="3" width="16.140625" style="144" bestFit="1" customWidth="1"/>
    <col min="4" max="4" width="18.28515625" style="139" bestFit="1" customWidth="1"/>
    <col min="5" max="5" width="18.42578125" style="120" bestFit="1" customWidth="1"/>
    <col min="6" max="6" width="5.7109375" style="120" bestFit="1" customWidth="1"/>
    <col min="7" max="17" width="20.7109375" style="120" customWidth="1"/>
    <col min="18" max="16384" width="8.28515625" style="120"/>
  </cols>
  <sheetData>
    <row r="1" spans="1:17" x14ac:dyDescent="0.25">
      <c r="A1" s="297" t="s">
        <v>693</v>
      </c>
      <c r="B1" s="298"/>
      <c r="C1" s="298"/>
      <c r="D1" s="298"/>
      <c r="E1" s="298"/>
      <c r="F1" s="299"/>
      <c r="G1" s="300" t="s">
        <v>694</v>
      </c>
      <c r="H1" s="299"/>
      <c r="I1" s="300" t="s">
        <v>835</v>
      </c>
      <c r="J1" s="299"/>
      <c r="K1" s="300" t="s">
        <v>836</v>
      </c>
      <c r="L1" s="299"/>
      <c r="M1" s="300" t="s">
        <v>837</v>
      </c>
      <c r="N1" s="299"/>
      <c r="O1" s="300" t="s">
        <v>843</v>
      </c>
      <c r="P1" s="299"/>
      <c r="Q1" s="287" t="s">
        <v>695</v>
      </c>
    </row>
    <row r="2" spans="1:17" x14ac:dyDescent="0.25">
      <c r="A2" s="121" t="s">
        <v>696</v>
      </c>
      <c r="B2" s="122" t="s">
        <v>697</v>
      </c>
      <c r="C2" s="122" t="s">
        <v>698</v>
      </c>
      <c r="D2" s="122" t="s">
        <v>699</v>
      </c>
      <c r="E2" s="122" t="s">
        <v>700</v>
      </c>
      <c r="F2" s="123" t="s">
        <v>701</v>
      </c>
      <c r="G2" s="121" t="s">
        <v>33</v>
      </c>
      <c r="H2" s="123" t="s">
        <v>34</v>
      </c>
      <c r="I2" s="121" t="s">
        <v>33</v>
      </c>
      <c r="J2" s="123" t="s">
        <v>34</v>
      </c>
      <c r="K2" s="121" t="s">
        <v>33</v>
      </c>
      <c r="L2" s="123" t="s">
        <v>34</v>
      </c>
      <c r="M2" s="121" t="s">
        <v>33</v>
      </c>
      <c r="N2" s="123" t="s">
        <v>34</v>
      </c>
      <c r="O2" s="121" t="s">
        <v>33</v>
      </c>
      <c r="P2" s="123" t="s">
        <v>34</v>
      </c>
      <c r="Q2" s="288"/>
    </row>
    <row r="3" spans="1:17" x14ac:dyDescent="0.25">
      <c r="A3" s="289" t="s">
        <v>702</v>
      </c>
      <c r="B3" s="290"/>
      <c r="C3" s="290"/>
      <c r="D3" s="290"/>
      <c r="E3" s="290"/>
      <c r="F3" s="291"/>
      <c r="G3" s="124"/>
      <c r="H3" s="125"/>
      <c r="I3" s="124"/>
      <c r="J3" s="125"/>
      <c r="K3" s="124"/>
      <c r="L3" s="125"/>
      <c r="M3" s="124"/>
      <c r="N3" s="125"/>
      <c r="O3" s="124"/>
      <c r="P3" s="125"/>
      <c r="Q3" s="126"/>
    </row>
    <row r="4" spans="1:17" hidden="1" x14ac:dyDescent="0.25">
      <c r="A4" s="127" t="s">
        <v>703</v>
      </c>
      <c r="B4" s="128" t="s">
        <v>704</v>
      </c>
      <c r="C4" s="128" t="s">
        <v>704</v>
      </c>
      <c r="D4" s="128">
        <v>1</v>
      </c>
      <c r="E4" s="129" t="s">
        <v>705</v>
      </c>
      <c r="F4" s="130" t="s">
        <v>706</v>
      </c>
      <c r="G4" s="131" t="s">
        <v>707</v>
      </c>
      <c r="H4" s="132" t="s">
        <v>707</v>
      </c>
      <c r="I4" s="131" t="s">
        <v>707</v>
      </c>
      <c r="J4" s="132" t="s">
        <v>707</v>
      </c>
      <c r="K4" s="131" t="s">
        <v>707</v>
      </c>
      <c r="L4" s="132" t="s">
        <v>707</v>
      </c>
      <c r="M4" s="131" t="s">
        <v>707</v>
      </c>
      <c r="N4" s="132" t="s">
        <v>707</v>
      </c>
      <c r="O4" s="131" t="s">
        <v>707</v>
      </c>
      <c r="P4" s="132" t="s">
        <v>707</v>
      </c>
      <c r="Q4" s="132" t="s">
        <v>707</v>
      </c>
    </row>
    <row r="5" spans="1:17" x14ac:dyDescent="0.25">
      <c r="A5" s="127" t="s">
        <v>708</v>
      </c>
      <c r="B5" s="128" t="s">
        <v>709</v>
      </c>
      <c r="C5" s="128" t="s">
        <v>710</v>
      </c>
      <c r="D5" s="128" t="s">
        <v>711</v>
      </c>
      <c r="E5" s="129" t="s">
        <v>712</v>
      </c>
      <c r="F5" s="130" t="s">
        <v>713</v>
      </c>
      <c r="G5" s="131" t="e">
        <f t="shared" ref="G5:G22" si="0">H5/12</f>
        <v>#DIV/0!</v>
      </c>
      <c r="H5" s="133" t="e">
        <f>'SIR Section B Input'!H10</f>
        <v>#DIV/0!</v>
      </c>
      <c r="I5" s="131" t="e">
        <f t="shared" ref="I5:I22" si="1">J5/12</f>
        <v>#DIV/0!</v>
      </c>
      <c r="J5" s="133" t="e">
        <f>'SIR Section B Input'!H165</f>
        <v>#DIV/0!</v>
      </c>
      <c r="K5" s="131" t="e">
        <f t="shared" ref="K5:K23" si="2">L5/12</f>
        <v>#DIV/0!</v>
      </c>
      <c r="L5" s="133" t="e">
        <f>'SIR Section B Input'!H320</f>
        <v>#DIV/0!</v>
      </c>
      <c r="M5" s="131" t="e">
        <f t="shared" ref="M5:M23" si="3">N5/12</f>
        <v>#DIV/0!</v>
      </c>
      <c r="N5" s="133" t="e">
        <f>'SIR Section B Input'!H475</f>
        <v>#DIV/0!</v>
      </c>
      <c r="O5" s="131" t="e">
        <f t="shared" ref="O5:O23" si="4">P5/12</f>
        <v>#DIV/0!</v>
      </c>
      <c r="P5" s="133" t="e">
        <f>'SIR Section B Input'!H630</f>
        <v>#DIV/0!</v>
      </c>
      <c r="Q5" s="132" t="e">
        <f>SUM(H5,J5,L5,N5,P5)</f>
        <v>#DIV/0!</v>
      </c>
    </row>
    <row r="6" spans="1:17" x14ac:dyDescent="0.25">
      <c r="A6" s="127" t="s">
        <v>708</v>
      </c>
      <c r="B6" s="128" t="s">
        <v>714</v>
      </c>
      <c r="C6" s="128" t="s">
        <v>715</v>
      </c>
      <c r="D6" s="128" t="s">
        <v>711</v>
      </c>
      <c r="E6" s="129" t="s">
        <v>716</v>
      </c>
      <c r="F6" s="130" t="s">
        <v>717</v>
      </c>
      <c r="G6" s="131" t="e">
        <f t="shared" si="0"/>
        <v>#DIV/0!</v>
      </c>
      <c r="H6" s="133" t="e">
        <f>'SIR Section B Input'!H18</f>
        <v>#DIV/0!</v>
      </c>
      <c r="I6" s="131" t="e">
        <f t="shared" si="1"/>
        <v>#DIV/0!</v>
      </c>
      <c r="J6" s="133" t="e">
        <f>'SIR Section B Input'!H173</f>
        <v>#DIV/0!</v>
      </c>
      <c r="K6" s="131" t="e">
        <f t="shared" si="2"/>
        <v>#DIV/0!</v>
      </c>
      <c r="L6" s="133" t="e">
        <f>'SIR Section B Input'!H328</f>
        <v>#DIV/0!</v>
      </c>
      <c r="M6" s="131" t="e">
        <f t="shared" si="3"/>
        <v>#DIV/0!</v>
      </c>
      <c r="N6" s="133" t="e">
        <f>'SIR Section B Input'!H483</f>
        <v>#DIV/0!</v>
      </c>
      <c r="O6" s="131" t="e">
        <f t="shared" si="4"/>
        <v>#DIV/0!</v>
      </c>
      <c r="P6" s="133" t="e">
        <f>'SIR Section B Input'!H638</f>
        <v>#DIV/0!</v>
      </c>
      <c r="Q6" s="132" t="e">
        <f t="shared" ref="Q6:Q23" si="5">SUM(H6,J6,L6,N6,P6)</f>
        <v>#DIV/0!</v>
      </c>
    </row>
    <row r="7" spans="1:17" x14ac:dyDescent="0.25">
      <c r="A7" s="127" t="s">
        <v>708</v>
      </c>
      <c r="B7" s="128" t="s">
        <v>714</v>
      </c>
      <c r="C7" s="128" t="s">
        <v>718</v>
      </c>
      <c r="D7" s="128" t="s">
        <v>719</v>
      </c>
      <c r="E7" s="129" t="s">
        <v>716</v>
      </c>
      <c r="F7" s="130" t="s">
        <v>717</v>
      </c>
      <c r="G7" s="131" t="e">
        <f t="shared" si="0"/>
        <v>#DIV/0!</v>
      </c>
      <c r="H7" s="133" t="e">
        <f>'SIR Section B Input'!H26</f>
        <v>#DIV/0!</v>
      </c>
      <c r="I7" s="131" t="e">
        <f t="shared" si="1"/>
        <v>#DIV/0!</v>
      </c>
      <c r="J7" s="133" t="e">
        <f>'SIR Section B Input'!H181</f>
        <v>#DIV/0!</v>
      </c>
      <c r="K7" s="131" t="e">
        <f t="shared" si="2"/>
        <v>#DIV/0!</v>
      </c>
      <c r="L7" s="133" t="e">
        <f>'SIR Section B Input'!H336</f>
        <v>#DIV/0!</v>
      </c>
      <c r="M7" s="131" t="e">
        <f t="shared" si="3"/>
        <v>#DIV/0!</v>
      </c>
      <c r="N7" s="133" t="e">
        <f>'SIR Section B Input'!H491</f>
        <v>#DIV/0!</v>
      </c>
      <c r="O7" s="131" t="e">
        <f t="shared" si="4"/>
        <v>#DIV/0!</v>
      </c>
      <c r="P7" s="133" t="e">
        <f>'SIR Section B Input'!H646</f>
        <v>#DIV/0!</v>
      </c>
      <c r="Q7" s="132" t="e">
        <f t="shared" si="5"/>
        <v>#DIV/0!</v>
      </c>
    </row>
    <row r="8" spans="1:17" x14ac:dyDescent="0.25">
      <c r="A8" s="127" t="s">
        <v>708</v>
      </c>
      <c r="B8" s="128" t="s">
        <v>714</v>
      </c>
      <c r="C8" s="128" t="s">
        <v>718</v>
      </c>
      <c r="D8" s="128" t="s">
        <v>720</v>
      </c>
      <c r="E8" s="129" t="s">
        <v>716</v>
      </c>
      <c r="F8" s="130" t="s">
        <v>717</v>
      </c>
      <c r="G8" s="131" t="e">
        <f t="shared" si="0"/>
        <v>#DIV/0!</v>
      </c>
      <c r="H8" s="133" t="e">
        <f>'SIR Section B Input'!H34</f>
        <v>#DIV/0!</v>
      </c>
      <c r="I8" s="131" t="e">
        <f t="shared" si="1"/>
        <v>#DIV/0!</v>
      </c>
      <c r="J8" s="133" t="e">
        <f>'SIR Section B Input'!H189</f>
        <v>#DIV/0!</v>
      </c>
      <c r="K8" s="131" t="e">
        <f t="shared" si="2"/>
        <v>#DIV/0!</v>
      </c>
      <c r="L8" s="133" t="e">
        <f>'SIR Section B Input'!H344</f>
        <v>#DIV/0!</v>
      </c>
      <c r="M8" s="131" t="e">
        <f t="shared" si="3"/>
        <v>#DIV/0!</v>
      </c>
      <c r="N8" s="133" t="e">
        <f>'SIR Section B Input'!H499</f>
        <v>#DIV/0!</v>
      </c>
      <c r="O8" s="131" t="e">
        <f t="shared" si="4"/>
        <v>#DIV/0!</v>
      </c>
      <c r="P8" s="133" t="e">
        <f>'SIR Section B Input'!H654</f>
        <v>#DIV/0!</v>
      </c>
      <c r="Q8" s="132" t="e">
        <f t="shared" si="5"/>
        <v>#DIV/0!</v>
      </c>
    </row>
    <row r="9" spans="1:17" x14ac:dyDescent="0.25">
      <c r="A9" s="127" t="s">
        <v>708</v>
      </c>
      <c r="B9" s="128" t="s">
        <v>709</v>
      </c>
      <c r="C9" s="128" t="s">
        <v>721</v>
      </c>
      <c r="D9" s="128" t="s">
        <v>722</v>
      </c>
      <c r="E9" s="129" t="s">
        <v>723</v>
      </c>
      <c r="F9" s="130" t="s">
        <v>724</v>
      </c>
      <c r="G9" s="131" t="e">
        <f t="shared" si="0"/>
        <v>#DIV/0!</v>
      </c>
      <c r="H9" s="133" t="e">
        <f>'SIR Section B Input'!H42</f>
        <v>#DIV/0!</v>
      </c>
      <c r="I9" s="131" t="e">
        <f t="shared" si="1"/>
        <v>#DIV/0!</v>
      </c>
      <c r="J9" s="133" t="e">
        <f>'SIR Section B Input'!H197</f>
        <v>#DIV/0!</v>
      </c>
      <c r="K9" s="131" t="e">
        <f t="shared" si="2"/>
        <v>#DIV/0!</v>
      </c>
      <c r="L9" s="133" t="e">
        <f>'SIR Section B Input'!H352</f>
        <v>#DIV/0!</v>
      </c>
      <c r="M9" s="131" t="e">
        <f t="shared" si="3"/>
        <v>#DIV/0!</v>
      </c>
      <c r="N9" s="133" t="e">
        <f>'SIR Section B Input'!H507</f>
        <v>#DIV/0!</v>
      </c>
      <c r="O9" s="131" t="e">
        <f t="shared" si="4"/>
        <v>#DIV/0!</v>
      </c>
      <c r="P9" s="133" t="e">
        <f>'SIR Section B Input'!H662</f>
        <v>#DIV/0!</v>
      </c>
      <c r="Q9" s="132" t="e">
        <f t="shared" si="5"/>
        <v>#DIV/0!</v>
      </c>
    </row>
    <row r="10" spans="1:17" hidden="1" x14ac:dyDescent="0.25">
      <c r="A10" s="127" t="s">
        <v>708</v>
      </c>
      <c r="B10" s="134"/>
      <c r="C10" s="134" t="s">
        <v>725</v>
      </c>
      <c r="D10" s="134" t="s">
        <v>722</v>
      </c>
      <c r="E10" s="135" t="s">
        <v>726</v>
      </c>
      <c r="F10" s="136" t="s">
        <v>727</v>
      </c>
      <c r="G10" s="131"/>
      <c r="H10" s="133"/>
      <c r="I10" s="131"/>
      <c r="J10" s="133"/>
      <c r="K10" s="131"/>
      <c r="L10" s="133"/>
      <c r="M10" s="131"/>
      <c r="N10" s="133"/>
      <c r="O10" s="131"/>
      <c r="P10" s="133"/>
      <c r="Q10" s="132"/>
    </row>
    <row r="11" spans="1:17" x14ac:dyDescent="0.25">
      <c r="A11" s="127" t="s">
        <v>708</v>
      </c>
      <c r="B11" s="128" t="s">
        <v>714</v>
      </c>
      <c r="C11" s="128" t="s">
        <v>728</v>
      </c>
      <c r="D11" s="128" t="s">
        <v>711</v>
      </c>
      <c r="E11" s="129" t="s">
        <v>729</v>
      </c>
      <c r="F11" s="130" t="s">
        <v>717</v>
      </c>
      <c r="G11" s="131" t="e">
        <f t="shared" si="0"/>
        <v>#DIV/0!</v>
      </c>
      <c r="H11" s="133" t="e">
        <f>'SIR Section B Input'!H50</f>
        <v>#DIV/0!</v>
      </c>
      <c r="I11" s="131" t="e">
        <f t="shared" si="1"/>
        <v>#DIV/0!</v>
      </c>
      <c r="J11" s="133" t="e">
        <f>'SIR Section B Input'!H205</f>
        <v>#DIV/0!</v>
      </c>
      <c r="K11" s="131" t="e">
        <f t="shared" si="2"/>
        <v>#DIV/0!</v>
      </c>
      <c r="L11" s="133" t="e">
        <f>'SIR Section B Input'!H360</f>
        <v>#DIV/0!</v>
      </c>
      <c r="M11" s="131" t="e">
        <f t="shared" si="3"/>
        <v>#DIV/0!</v>
      </c>
      <c r="N11" s="133" t="e">
        <f>'SIR Section B Input'!H515</f>
        <v>#DIV/0!</v>
      </c>
      <c r="O11" s="131" t="e">
        <f t="shared" si="4"/>
        <v>#DIV/0!</v>
      </c>
      <c r="P11" s="133" t="e">
        <f>'SIR Section B Input'!H670</f>
        <v>#DIV/0!</v>
      </c>
      <c r="Q11" s="132" t="e">
        <f t="shared" si="5"/>
        <v>#DIV/0!</v>
      </c>
    </row>
    <row r="12" spans="1:17" x14ac:dyDescent="0.25">
      <c r="A12" s="127" t="s">
        <v>708</v>
      </c>
      <c r="B12" s="128" t="s">
        <v>714</v>
      </c>
      <c r="C12" s="128" t="s">
        <v>730</v>
      </c>
      <c r="D12" s="128" t="s">
        <v>722</v>
      </c>
      <c r="E12" s="129" t="s">
        <v>729</v>
      </c>
      <c r="F12" s="130" t="s">
        <v>717</v>
      </c>
      <c r="G12" s="131" t="e">
        <f t="shared" si="0"/>
        <v>#DIV/0!</v>
      </c>
      <c r="H12" s="133" t="e">
        <f>'SIR Section B Input'!H61</f>
        <v>#DIV/0!</v>
      </c>
      <c r="I12" s="131" t="e">
        <f t="shared" si="1"/>
        <v>#DIV/0!</v>
      </c>
      <c r="J12" s="133" t="e">
        <f>'SIR Section B Input'!H216</f>
        <v>#DIV/0!</v>
      </c>
      <c r="K12" s="131" t="e">
        <f t="shared" si="2"/>
        <v>#DIV/0!</v>
      </c>
      <c r="L12" s="133" t="e">
        <f>'SIR Section B Input'!H371</f>
        <v>#DIV/0!</v>
      </c>
      <c r="M12" s="131" t="e">
        <f t="shared" si="3"/>
        <v>#DIV/0!</v>
      </c>
      <c r="N12" s="133" t="e">
        <f>'SIR Section B Input'!H526</f>
        <v>#DIV/0!</v>
      </c>
      <c r="O12" s="131" t="e">
        <f t="shared" si="4"/>
        <v>#DIV/0!</v>
      </c>
      <c r="P12" s="133" t="e">
        <f>'SIR Section B Input'!H681</f>
        <v>#DIV/0!</v>
      </c>
      <c r="Q12" s="132" t="e">
        <f t="shared" si="5"/>
        <v>#DIV/0!</v>
      </c>
    </row>
    <row r="13" spans="1:17" x14ac:dyDescent="0.25">
      <c r="A13" s="127" t="s">
        <v>708</v>
      </c>
      <c r="B13" s="128" t="s">
        <v>709</v>
      </c>
      <c r="C13" s="128" t="s">
        <v>731</v>
      </c>
      <c r="D13" s="128" t="s">
        <v>722</v>
      </c>
      <c r="E13" s="129" t="s">
        <v>732</v>
      </c>
      <c r="F13" s="130" t="s">
        <v>733</v>
      </c>
      <c r="G13" s="131" t="e">
        <f t="shared" si="0"/>
        <v>#DIV/0!</v>
      </c>
      <c r="H13" s="133" t="e">
        <f>'SIR Section B Input'!H69</f>
        <v>#DIV/0!</v>
      </c>
      <c r="I13" s="131" t="e">
        <f t="shared" si="1"/>
        <v>#DIV/0!</v>
      </c>
      <c r="J13" s="133" t="e">
        <f>'SIR Section B Input'!H224</f>
        <v>#DIV/0!</v>
      </c>
      <c r="K13" s="131" t="e">
        <f t="shared" si="2"/>
        <v>#DIV/0!</v>
      </c>
      <c r="L13" s="133" t="e">
        <f>'SIR Section B Input'!H379</f>
        <v>#DIV/0!</v>
      </c>
      <c r="M13" s="131" t="e">
        <f t="shared" si="3"/>
        <v>#DIV/0!</v>
      </c>
      <c r="N13" s="133" t="e">
        <f>'SIR Section B Input'!H534</f>
        <v>#DIV/0!</v>
      </c>
      <c r="O13" s="131" t="e">
        <f t="shared" si="4"/>
        <v>#DIV/0!</v>
      </c>
      <c r="P13" s="133" t="e">
        <f>'SIR Section B Input'!H689</f>
        <v>#DIV/0!</v>
      </c>
      <c r="Q13" s="132" t="e">
        <f t="shared" si="5"/>
        <v>#DIV/0!</v>
      </c>
    </row>
    <row r="14" spans="1:17" x14ac:dyDescent="0.25">
      <c r="A14" s="127" t="s">
        <v>708</v>
      </c>
      <c r="B14" s="128" t="s">
        <v>709</v>
      </c>
      <c r="C14" s="128" t="s">
        <v>734</v>
      </c>
      <c r="D14" s="128" t="s">
        <v>722</v>
      </c>
      <c r="E14" s="129" t="s">
        <v>735</v>
      </c>
      <c r="F14" s="130" t="s">
        <v>713</v>
      </c>
      <c r="G14" s="131" t="e">
        <f t="shared" si="0"/>
        <v>#DIV/0!</v>
      </c>
      <c r="H14" s="133" t="e">
        <f>'SIR Section B Input'!H77</f>
        <v>#DIV/0!</v>
      </c>
      <c r="I14" s="131" t="e">
        <f t="shared" si="1"/>
        <v>#DIV/0!</v>
      </c>
      <c r="J14" s="133" t="e">
        <f>'SIR Section B Input'!H232</f>
        <v>#DIV/0!</v>
      </c>
      <c r="K14" s="131" t="e">
        <f t="shared" si="2"/>
        <v>#DIV/0!</v>
      </c>
      <c r="L14" s="133" t="e">
        <f>'SIR Section B Input'!H387</f>
        <v>#DIV/0!</v>
      </c>
      <c r="M14" s="131" t="e">
        <f t="shared" si="3"/>
        <v>#DIV/0!</v>
      </c>
      <c r="N14" s="133" t="e">
        <f>'SIR Section B Input'!H542</f>
        <v>#DIV/0!</v>
      </c>
      <c r="O14" s="131" t="e">
        <f t="shared" si="4"/>
        <v>#DIV/0!</v>
      </c>
      <c r="P14" s="133" t="e">
        <f>'SIR Section B Input'!H697</f>
        <v>#DIV/0!</v>
      </c>
      <c r="Q14" s="132" t="e">
        <f t="shared" si="5"/>
        <v>#DIV/0!</v>
      </c>
    </row>
    <row r="15" spans="1:17" x14ac:dyDescent="0.25">
      <c r="A15" s="127" t="s">
        <v>708</v>
      </c>
      <c r="B15" s="128" t="s">
        <v>714</v>
      </c>
      <c r="C15" s="128" t="s">
        <v>736</v>
      </c>
      <c r="D15" s="128" t="s">
        <v>737</v>
      </c>
      <c r="E15" s="129" t="s">
        <v>738</v>
      </c>
      <c r="F15" s="130" t="s">
        <v>739</v>
      </c>
      <c r="G15" s="131" t="e">
        <f t="shared" si="0"/>
        <v>#DIV/0!</v>
      </c>
      <c r="H15" s="133" t="e">
        <f>'SIR Section B Input'!H85</f>
        <v>#DIV/0!</v>
      </c>
      <c r="I15" s="131" t="e">
        <f t="shared" si="1"/>
        <v>#DIV/0!</v>
      </c>
      <c r="J15" s="133" t="e">
        <f>'SIR Section B Input'!H240</f>
        <v>#DIV/0!</v>
      </c>
      <c r="K15" s="131" t="e">
        <f t="shared" si="2"/>
        <v>#DIV/0!</v>
      </c>
      <c r="L15" s="133" t="e">
        <f>'SIR Section B Input'!H395</f>
        <v>#DIV/0!</v>
      </c>
      <c r="M15" s="131" t="e">
        <f t="shared" si="3"/>
        <v>#DIV/0!</v>
      </c>
      <c r="N15" s="133" t="e">
        <f>'SIR Section B Input'!H550</f>
        <v>#DIV/0!</v>
      </c>
      <c r="O15" s="131" t="e">
        <f t="shared" si="4"/>
        <v>#DIV/0!</v>
      </c>
      <c r="P15" s="133" t="e">
        <f>'SIR Section B Input'!H705</f>
        <v>#DIV/0!</v>
      </c>
      <c r="Q15" s="132" t="e">
        <f t="shared" si="5"/>
        <v>#DIV/0!</v>
      </c>
    </row>
    <row r="16" spans="1:17" x14ac:dyDescent="0.25">
      <c r="A16" s="127" t="s">
        <v>708</v>
      </c>
      <c r="B16" s="128" t="s">
        <v>709</v>
      </c>
      <c r="C16" s="128" t="s">
        <v>740</v>
      </c>
      <c r="D16" s="128" t="s">
        <v>737</v>
      </c>
      <c r="E16" s="129" t="s">
        <v>741</v>
      </c>
      <c r="F16" s="130" t="s">
        <v>713</v>
      </c>
      <c r="G16" s="131" t="e">
        <f t="shared" si="0"/>
        <v>#DIV/0!</v>
      </c>
      <c r="H16" s="133" t="e">
        <f>'SIR Section B Input'!H93</f>
        <v>#DIV/0!</v>
      </c>
      <c r="I16" s="131" t="e">
        <f t="shared" si="1"/>
        <v>#DIV/0!</v>
      </c>
      <c r="J16" s="133" t="e">
        <f>'SIR Section B Input'!H248</f>
        <v>#DIV/0!</v>
      </c>
      <c r="K16" s="131" t="e">
        <f t="shared" si="2"/>
        <v>#DIV/0!</v>
      </c>
      <c r="L16" s="133" t="e">
        <f>'SIR Section B Input'!H403</f>
        <v>#DIV/0!</v>
      </c>
      <c r="M16" s="131" t="e">
        <f t="shared" si="3"/>
        <v>#DIV/0!</v>
      </c>
      <c r="N16" s="133" t="e">
        <f>'SIR Section B Input'!H558</f>
        <v>#DIV/0!</v>
      </c>
      <c r="O16" s="131" t="e">
        <f t="shared" si="4"/>
        <v>#DIV/0!</v>
      </c>
      <c r="P16" s="133" t="e">
        <f>'SIR Section B Input'!H713</f>
        <v>#DIV/0!</v>
      </c>
      <c r="Q16" s="132" t="e">
        <f t="shared" si="5"/>
        <v>#DIV/0!</v>
      </c>
    </row>
    <row r="17" spans="1:17" x14ac:dyDescent="0.25">
      <c r="A17" s="127" t="s">
        <v>708</v>
      </c>
      <c r="B17" s="128" t="s">
        <v>714</v>
      </c>
      <c r="C17" s="128" t="s">
        <v>742</v>
      </c>
      <c r="D17" s="128" t="s">
        <v>737</v>
      </c>
      <c r="E17" s="129" t="s">
        <v>743</v>
      </c>
      <c r="F17" s="130" t="s">
        <v>717</v>
      </c>
      <c r="G17" s="131" t="e">
        <f t="shared" si="0"/>
        <v>#DIV/0!</v>
      </c>
      <c r="H17" s="133" t="e">
        <f>'SIR Section B Input'!H101</f>
        <v>#DIV/0!</v>
      </c>
      <c r="I17" s="131" t="e">
        <f t="shared" si="1"/>
        <v>#DIV/0!</v>
      </c>
      <c r="J17" s="133" t="e">
        <f>'SIR Section B Input'!H256</f>
        <v>#DIV/0!</v>
      </c>
      <c r="K17" s="131" t="e">
        <f t="shared" si="2"/>
        <v>#DIV/0!</v>
      </c>
      <c r="L17" s="133" t="e">
        <f>'SIR Section B Input'!H411</f>
        <v>#DIV/0!</v>
      </c>
      <c r="M17" s="131" t="e">
        <f t="shared" si="3"/>
        <v>#DIV/0!</v>
      </c>
      <c r="N17" s="133" t="e">
        <f>'SIR Section B Input'!H566</f>
        <v>#DIV/0!</v>
      </c>
      <c r="O17" s="131" t="e">
        <f t="shared" si="4"/>
        <v>#DIV/0!</v>
      </c>
      <c r="P17" s="133" t="e">
        <f>'SIR Section B Input'!H721</f>
        <v>#DIV/0!</v>
      </c>
      <c r="Q17" s="132" t="e">
        <f t="shared" si="5"/>
        <v>#DIV/0!</v>
      </c>
    </row>
    <row r="18" spans="1:17" x14ac:dyDescent="0.25">
      <c r="A18" s="127" t="s">
        <v>708</v>
      </c>
      <c r="B18" s="128" t="s">
        <v>714</v>
      </c>
      <c r="C18" s="128" t="s">
        <v>744</v>
      </c>
      <c r="D18" s="128" t="s">
        <v>737</v>
      </c>
      <c r="E18" s="129" t="s">
        <v>729</v>
      </c>
      <c r="F18" s="130" t="s">
        <v>717</v>
      </c>
      <c r="G18" s="131" t="e">
        <f t="shared" si="0"/>
        <v>#DIV/0!</v>
      </c>
      <c r="H18" s="133" t="e">
        <f>'SIR Section B Input'!H109</f>
        <v>#DIV/0!</v>
      </c>
      <c r="I18" s="131" t="e">
        <f t="shared" si="1"/>
        <v>#DIV/0!</v>
      </c>
      <c r="J18" s="133" t="e">
        <f>'SIR Section B Input'!H264</f>
        <v>#DIV/0!</v>
      </c>
      <c r="K18" s="131" t="e">
        <f t="shared" si="2"/>
        <v>#DIV/0!</v>
      </c>
      <c r="L18" s="133" t="e">
        <f>'SIR Section B Input'!H419</f>
        <v>#DIV/0!</v>
      </c>
      <c r="M18" s="131" t="e">
        <f t="shared" si="3"/>
        <v>#DIV/0!</v>
      </c>
      <c r="N18" s="133" t="e">
        <f>'SIR Section B Input'!H574</f>
        <v>#DIV/0!</v>
      </c>
      <c r="O18" s="131" t="e">
        <f t="shared" si="4"/>
        <v>#DIV/0!</v>
      </c>
      <c r="P18" s="133" t="e">
        <f>'SIR Section B Input'!H729</f>
        <v>#DIV/0!</v>
      </c>
      <c r="Q18" s="132" t="e">
        <f t="shared" si="5"/>
        <v>#DIV/0!</v>
      </c>
    </row>
    <row r="19" spans="1:17" x14ac:dyDescent="0.25">
      <c r="A19" s="127" t="s">
        <v>708</v>
      </c>
      <c r="B19" s="128" t="s">
        <v>709</v>
      </c>
      <c r="C19" s="128" t="s">
        <v>745</v>
      </c>
      <c r="D19" s="128" t="s">
        <v>737</v>
      </c>
      <c r="E19" s="129" t="s">
        <v>746</v>
      </c>
      <c r="F19" s="130" t="s">
        <v>747</v>
      </c>
      <c r="G19" s="131" t="e">
        <f t="shared" si="0"/>
        <v>#DIV/0!</v>
      </c>
      <c r="H19" s="133" t="e">
        <f>'SIR Section B Input'!H120</f>
        <v>#DIV/0!</v>
      </c>
      <c r="I19" s="131" t="e">
        <f t="shared" si="1"/>
        <v>#DIV/0!</v>
      </c>
      <c r="J19" s="133" t="e">
        <f>'SIR Section B Input'!H275</f>
        <v>#DIV/0!</v>
      </c>
      <c r="K19" s="131" t="e">
        <f t="shared" si="2"/>
        <v>#DIV/0!</v>
      </c>
      <c r="L19" s="133" t="e">
        <f>'SIR Section B Input'!H430</f>
        <v>#DIV/0!</v>
      </c>
      <c r="M19" s="131" t="e">
        <f t="shared" si="3"/>
        <v>#DIV/0!</v>
      </c>
      <c r="N19" s="133" t="e">
        <f>'SIR Section B Input'!H585</f>
        <v>#DIV/0!</v>
      </c>
      <c r="O19" s="131" t="e">
        <f t="shared" si="4"/>
        <v>#DIV/0!</v>
      </c>
      <c r="P19" s="133" t="e">
        <f>'SIR Section B Input'!H740</f>
        <v>#DIV/0!</v>
      </c>
      <c r="Q19" s="132" t="e">
        <f t="shared" si="5"/>
        <v>#DIV/0!</v>
      </c>
    </row>
    <row r="20" spans="1:17" x14ac:dyDescent="0.25">
      <c r="A20" s="127" t="s">
        <v>708</v>
      </c>
      <c r="B20" s="128" t="s">
        <v>748</v>
      </c>
      <c r="C20" s="128" t="s">
        <v>749</v>
      </c>
      <c r="D20" s="128" t="s">
        <v>737</v>
      </c>
      <c r="E20" s="129" t="s">
        <v>750</v>
      </c>
      <c r="F20" s="130" t="s">
        <v>751</v>
      </c>
      <c r="G20" s="131" t="e">
        <f t="shared" si="0"/>
        <v>#DIV/0!</v>
      </c>
      <c r="H20" s="133" t="e">
        <f>'SIR Section B Input'!H128</f>
        <v>#DIV/0!</v>
      </c>
      <c r="I20" s="131" t="e">
        <f t="shared" si="1"/>
        <v>#DIV/0!</v>
      </c>
      <c r="J20" s="133" t="e">
        <f>'SIR Section B Input'!H283</f>
        <v>#DIV/0!</v>
      </c>
      <c r="K20" s="131" t="e">
        <f t="shared" si="2"/>
        <v>#DIV/0!</v>
      </c>
      <c r="L20" s="133" t="e">
        <f>'SIR Section B Input'!H438</f>
        <v>#DIV/0!</v>
      </c>
      <c r="M20" s="131" t="e">
        <f t="shared" si="3"/>
        <v>#DIV/0!</v>
      </c>
      <c r="N20" s="133" t="e">
        <f>'SIR Section B Input'!H593</f>
        <v>#DIV/0!</v>
      </c>
      <c r="O20" s="131" t="e">
        <f t="shared" si="4"/>
        <v>#DIV/0!</v>
      </c>
      <c r="P20" s="133" t="e">
        <f>'SIR Section B Input'!H748</f>
        <v>#DIV/0!</v>
      </c>
      <c r="Q20" s="132" t="e">
        <f t="shared" si="5"/>
        <v>#DIV/0!</v>
      </c>
    </row>
    <row r="21" spans="1:17" x14ac:dyDescent="0.25">
      <c r="A21" s="127" t="s">
        <v>708</v>
      </c>
      <c r="B21" s="128" t="s">
        <v>714</v>
      </c>
      <c r="C21" s="128" t="s">
        <v>752</v>
      </c>
      <c r="D21" s="128" t="s">
        <v>737</v>
      </c>
      <c r="E21" s="129" t="s">
        <v>753</v>
      </c>
      <c r="F21" s="130" t="s">
        <v>733</v>
      </c>
      <c r="G21" s="131" t="e">
        <f t="shared" si="0"/>
        <v>#DIV/0!</v>
      </c>
      <c r="H21" s="133" t="e">
        <f>'SIR Section B Input'!H136</f>
        <v>#DIV/0!</v>
      </c>
      <c r="I21" s="131" t="e">
        <f t="shared" si="1"/>
        <v>#DIV/0!</v>
      </c>
      <c r="J21" s="133" t="e">
        <f>'SIR Section B Input'!H291</f>
        <v>#DIV/0!</v>
      </c>
      <c r="K21" s="131" t="e">
        <f t="shared" si="2"/>
        <v>#DIV/0!</v>
      </c>
      <c r="L21" s="133" t="e">
        <f>'SIR Section B Input'!H446</f>
        <v>#DIV/0!</v>
      </c>
      <c r="M21" s="131" t="e">
        <f t="shared" si="3"/>
        <v>#DIV/0!</v>
      </c>
      <c r="N21" s="133" t="e">
        <f>'SIR Section B Input'!H601</f>
        <v>#DIV/0!</v>
      </c>
      <c r="O21" s="131" t="e">
        <f t="shared" si="4"/>
        <v>#DIV/0!</v>
      </c>
      <c r="P21" s="133" t="e">
        <f>'SIR Section B Input'!H756</f>
        <v>#DIV/0!</v>
      </c>
      <c r="Q21" s="132" t="e">
        <f t="shared" si="5"/>
        <v>#DIV/0!</v>
      </c>
    </row>
    <row r="22" spans="1:17" x14ac:dyDescent="0.25">
      <c r="A22" s="127" t="s">
        <v>708</v>
      </c>
      <c r="B22" s="128" t="s">
        <v>709</v>
      </c>
      <c r="C22" s="128" t="s">
        <v>754</v>
      </c>
      <c r="D22" s="128" t="s">
        <v>737</v>
      </c>
      <c r="E22" s="129" t="s">
        <v>755</v>
      </c>
      <c r="F22" s="137" t="s">
        <v>756</v>
      </c>
      <c r="G22" s="131" t="e">
        <f t="shared" si="0"/>
        <v>#DIV/0!</v>
      </c>
      <c r="H22" s="133" t="e">
        <f>'SIR Section B Input'!H144</f>
        <v>#DIV/0!</v>
      </c>
      <c r="I22" s="131" t="e">
        <f t="shared" si="1"/>
        <v>#DIV/0!</v>
      </c>
      <c r="J22" s="133" t="e">
        <f>'SIR Section B Input'!H299</f>
        <v>#DIV/0!</v>
      </c>
      <c r="K22" s="131" t="e">
        <f t="shared" si="2"/>
        <v>#DIV/0!</v>
      </c>
      <c r="L22" s="133" t="e">
        <f>'SIR Section B Input'!H454</f>
        <v>#DIV/0!</v>
      </c>
      <c r="M22" s="131" t="e">
        <f t="shared" si="3"/>
        <v>#DIV/0!</v>
      </c>
      <c r="N22" s="133" t="e">
        <f>'SIR Section B Input'!H609</f>
        <v>#DIV/0!</v>
      </c>
      <c r="O22" s="131" t="e">
        <f t="shared" si="4"/>
        <v>#DIV/0!</v>
      </c>
      <c r="P22" s="133" t="e">
        <f>'SIR Section B Input'!H764</f>
        <v>#DIV/0!</v>
      </c>
      <c r="Q22" s="132" t="e">
        <f t="shared" si="5"/>
        <v>#DIV/0!</v>
      </c>
    </row>
    <row r="23" spans="1:17" ht="16.5" thickBot="1" x14ac:dyDescent="0.3">
      <c r="A23" s="292" t="s">
        <v>757</v>
      </c>
      <c r="B23" s="293"/>
      <c r="C23" s="293"/>
      <c r="D23" s="293"/>
      <c r="E23" s="293"/>
      <c r="F23" s="294"/>
      <c r="G23" s="131" t="e">
        <f>H23/12</f>
        <v>#DIV/0!</v>
      </c>
      <c r="H23" s="138" t="e">
        <f>SUM(H5:H22)</f>
        <v>#DIV/0!</v>
      </c>
      <c r="I23" s="131" t="e">
        <f>J23/12</f>
        <v>#DIV/0!</v>
      </c>
      <c r="J23" s="138" t="e">
        <f>SUM(J4:J22)</f>
        <v>#DIV/0!</v>
      </c>
      <c r="K23" s="131" t="e">
        <f t="shared" si="2"/>
        <v>#DIV/0!</v>
      </c>
      <c r="L23" s="138" t="e">
        <f>SUM(L4:L22)</f>
        <v>#DIV/0!</v>
      </c>
      <c r="M23" s="131" t="e">
        <f t="shared" si="3"/>
        <v>#DIV/0!</v>
      </c>
      <c r="N23" s="138" t="e">
        <f>SUM(N4:N22)</f>
        <v>#DIV/0!</v>
      </c>
      <c r="O23" s="131" t="e">
        <f t="shared" si="4"/>
        <v>#DIV/0!</v>
      </c>
      <c r="P23" s="138" t="e">
        <f>SUM(P4:P22)</f>
        <v>#DIV/0!</v>
      </c>
      <c r="Q23" s="132" t="e">
        <f t="shared" si="5"/>
        <v>#DIV/0!</v>
      </c>
    </row>
    <row r="24" spans="1:17" ht="16.5" thickBot="1" x14ac:dyDescent="0.3">
      <c r="C24" s="140"/>
      <c r="D24" s="140"/>
      <c r="E24" s="140"/>
      <c r="G24" s="141"/>
      <c r="H24" s="141"/>
      <c r="I24" s="141"/>
      <c r="J24" s="141"/>
      <c r="K24" s="295" t="s">
        <v>758</v>
      </c>
      <c r="L24" s="296"/>
      <c r="M24" s="296"/>
      <c r="N24" s="296"/>
      <c r="O24" s="142"/>
      <c r="P24" s="142"/>
      <c r="Q24" s="143" t="e">
        <f>Q23</f>
        <v>#DIV/0!</v>
      </c>
    </row>
    <row r="25" spans="1:17" x14ac:dyDescent="0.25">
      <c r="C25" s="140"/>
      <c r="D25" s="140"/>
      <c r="E25" s="140"/>
    </row>
    <row r="26" spans="1:17" x14ac:dyDescent="0.25">
      <c r="A26" s="120"/>
      <c r="B26" s="120"/>
      <c r="C26" s="120"/>
      <c r="D26" s="120"/>
    </row>
    <row r="27" spans="1:17" x14ac:dyDescent="0.25">
      <c r="A27" s="120"/>
      <c r="B27" s="120"/>
      <c r="C27" s="120"/>
      <c r="D27" s="120"/>
    </row>
    <row r="28" spans="1:17" x14ac:dyDescent="0.25">
      <c r="A28" s="120"/>
      <c r="B28" s="120"/>
      <c r="C28" s="120"/>
      <c r="D28" s="120"/>
    </row>
    <row r="29" spans="1:17" x14ac:dyDescent="0.25">
      <c r="A29" s="120"/>
      <c r="B29" s="120"/>
      <c r="C29" s="120"/>
      <c r="D29" s="120"/>
    </row>
    <row r="30" spans="1:17" x14ac:dyDescent="0.25">
      <c r="A30" s="120"/>
      <c r="B30" s="120"/>
      <c r="C30" s="120"/>
      <c r="D30" s="120"/>
    </row>
    <row r="31" spans="1:17" x14ac:dyDescent="0.25">
      <c r="A31" s="120"/>
      <c r="B31" s="120"/>
      <c r="C31" s="120"/>
      <c r="D31" s="120"/>
    </row>
    <row r="32" spans="1:17" x14ac:dyDescent="0.25">
      <c r="A32" s="120"/>
      <c r="B32" s="120"/>
      <c r="C32" s="120"/>
      <c r="D32" s="120"/>
    </row>
    <row r="33" s="120" customFormat="1" x14ac:dyDescent="0.25"/>
    <row r="34" s="120" customFormat="1" x14ac:dyDescent="0.25"/>
    <row r="35" s="120" customFormat="1" x14ac:dyDescent="0.25"/>
    <row r="36" s="120" customFormat="1" x14ac:dyDescent="0.25"/>
    <row r="37" s="120" customFormat="1" x14ac:dyDescent="0.25"/>
    <row r="38" s="120" customFormat="1" x14ac:dyDescent="0.25"/>
    <row r="39" s="120" customFormat="1" x14ac:dyDescent="0.25"/>
    <row r="40" s="120" customFormat="1" x14ac:dyDescent="0.25"/>
    <row r="41" s="120" customFormat="1" x14ac:dyDescent="0.25"/>
    <row r="42" s="120" customFormat="1" x14ac:dyDescent="0.25"/>
    <row r="43" s="120" customFormat="1" x14ac:dyDescent="0.25"/>
  </sheetData>
  <sheetProtection selectLockedCells="1"/>
  <mergeCells count="10">
    <mergeCell ref="Q1:Q2"/>
    <mergeCell ref="A3:F3"/>
    <mergeCell ref="A23:F23"/>
    <mergeCell ref="K24:N24"/>
    <mergeCell ref="A1:F1"/>
    <mergeCell ref="G1:H1"/>
    <mergeCell ref="I1:J1"/>
    <mergeCell ref="K1:L1"/>
    <mergeCell ref="M1:N1"/>
    <mergeCell ref="O1:P1"/>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J47"/>
  <sheetViews>
    <sheetView workbookViewId="0">
      <selection activeCell="I50" sqref="I50"/>
    </sheetView>
  </sheetViews>
  <sheetFormatPr defaultRowHeight="15.75" x14ac:dyDescent="0.25"/>
  <cols>
    <col min="1" max="1" width="24.28515625" style="120" customWidth="1"/>
    <col min="2" max="4" width="15.28515625" style="120" customWidth="1"/>
    <col min="5" max="6" width="15.5703125" style="120" customWidth="1"/>
    <col min="7" max="8" width="14" style="120" customWidth="1"/>
    <col min="9" max="9" width="14.42578125" style="120" customWidth="1"/>
    <col min="10" max="10" width="18.42578125" style="120" customWidth="1"/>
    <col min="11" max="256" width="9.140625" style="120"/>
    <col min="257" max="257" width="24.28515625" style="120" customWidth="1"/>
    <col min="258" max="260" width="15.28515625" style="120" customWidth="1"/>
    <col min="261" max="262" width="15.5703125" style="120" customWidth="1"/>
    <col min="263" max="264" width="14" style="120" customWidth="1"/>
    <col min="265" max="265" width="14.42578125" style="120" customWidth="1"/>
    <col min="266" max="266" width="18.42578125" style="120" customWidth="1"/>
    <col min="267" max="512" width="9.140625" style="120"/>
    <col min="513" max="513" width="24.28515625" style="120" customWidth="1"/>
    <col min="514" max="516" width="15.28515625" style="120" customWidth="1"/>
    <col min="517" max="518" width="15.5703125" style="120" customWidth="1"/>
    <col min="519" max="520" width="14" style="120" customWidth="1"/>
    <col min="521" max="521" width="14.42578125" style="120" customWidth="1"/>
    <col min="522" max="522" width="18.42578125" style="120" customWidth="1"/>
    <col min="523" max="768" width="9.140625" style="120"/>
    <col min="769" max="769" width="24.28515625" style="120" customWidth="1"/>
    <col min="770" max="772" width="15.28515625" style="120" customWidth="1"/>
    <col min="773" max="774" width="15.5703125" style="120" customWidth="1"/>
    <col min="775" max="776" width="14" style="120" customWidth="1"/>
    <col min="777" max="777" width="14.42578125" style="120" customWidth="1"/>
    <col min="778" max="778" width="18.42578125" style="120" customWidth="1"/>
    <col min="779" max="1024" width="9.140625" style="120"/>
    <col min="1025" max="1025" width="24.28515625" style="120" customWidth="1"/>
    <col min="1026" max="1028" width="15.28515625" style="120" customWidth="1"/>
    <col min="1029" max="1030" width="15.5703125" style="120" customWidth="1"/>
    <col min="1031" max="1032" width="14" style="120" customWidth="1"/>
    <col min="1033" max="1033" width="14.42578125" style="120" customWidth="1"/>
    <col min="1034" max="1034" width="18.42578125" style="120" customWidth="1"/>
    <col min="1035" max="1280" width="9.140625" style="120"/>
    <col min="1281" max="1281" width="24.28515625" style="120" customWidth="1"/>
    <col min="1282" max="1284" width="15.28515625" style="120" customWidth="1"/>
    <col min="1285" max="1286" width="15.5703125" style="120" customWidth="1"/>
    <col min="1287" max="1288" width="14" style="120" customWidth="1"/>
    <col min="1289" max="1289" width="14.42578125" style="120" customWidth="1"/>
    <col min="1290" max="1290" width="18.42578125" style="120" customWidth="1"/>
    <col min="1291" max="1536" width="9.140625" style="120"/>
    <col min="1537" max="1537" width="24.28515625" style="120" customWidth="1"/>
    <col min="1538" max="1540" width="15.28515625" style="120" customWidth="1"/>
    <col min="1541" max="1542" width="15.5703125" style="120" customWidth="1"/>
    <col min="1543" max="1544" width="14" style="120" customWidth="1"/>
    <col min="1545" max="1545" width="14.42578125" style="120" customWidth="1"/>
    <col min="1546" max="1546" width="18.42578125" style="120" customWidth="1"/>
    <col min="1547" max="1792" width="9.140625" style="120"/>
    <col min="1793" max="1793" width="24.28515625" style="120" customWidth="1"/>
    <col min="1794" max="1796" width="15.28515625" style="120" customWidth="1"/>
    <col min="1797" max="1798" width="15.5703125" style="120" customWidth="1"/>
    <col min="1799" max="1800" width="14" style="120" customWidth="1"/>
    <col min="1801" max="1801" width="14.42578125" style="120" customWidth="1"/>
    <col min="1802" max="1802" width="18.42578125" style="120" customWidth="1"/>
    <col min="1803" max="2048" width="9.140625" style="120"/>
    <col min="2049" max="2049" width="24.28515625" style="120" customWidth="1"/>
    <col min="2050" max="2052" width="15.28515625" style="120" customWidth="1"/>
    <col min="2053" max="2054" width="15.5703125" style="120" customWidth="1"/>
    <col min="2055" max="2056" width="14" style="120" customWidth="1"/>
    <col min="2057" max="2057" width="14.42578125" style="120" customWidth="1"/>
    <col min="2058" max="2058" width="18.42578125" style="120" customWidth="1"/>
    <col min="2059" max="2304" width="9.140625" style="120"/>
    <col min="2305" max="2305" width="24.28515625" style="120" customWidth="1"/>
    <col min="2306" max="2308" width="15.28515625" style="120" customWidth="1"/>
    <col min="2309" max="2310" width="15.5703125" style="120" customWidth="1"/>
    <col min="2311" max="2312" width="14" style="120" customWidth="1"/>
    <col min="2313" max="2313" width="14.42578125" style="120" customWidth="1"/>
    <col min="2314" max="2314" width="18.42578125" style="120" customWidth="1"/>
    <col min="2315" max="2560" width="9.140625" style="120"/>
    <col min="2561" max="2561" width="24.28515625" style="120" customWidth="1"/>
    <col min="2562" max="2564" width="15.28515625" style="120" customWidth="1"/>
    <col min="2565" max="2566" width="15.5703125" style="120" customWidth="1"/>
    <col min="2567" max="2568" width="14" style="120" customWidth="1"/>
    <col min="2569" max="2569" width="14.42578125" style="120" customWidth="1"/>
    <col min="2570" max="2570" width="18.42578125" style="120" customWidth="1"/>
    <col min="2571" max="2816" width="9.140625" style="120"/>
    <col min="2817" max="2817" width="24.28515625" style="120" customWidth="1"/>
    <col min="2818" max="2820" width="15.28515625" style="120" customWidth="1"/>
    <col min="2821" max="2822" width="15.5703125" style="120" customWidth="1"/>
    <col min="2823" max="2824" width="14" style="120" customWidth="1"/>
    <col min="2825" max="2825" width="14.42578125" style="120" customWidth="1"/>
    <col min="2826" max="2826" width="18.42578125" style="120" customWidth="1"/>
    <col min="2827" max="3072" width="9.140625" style="120"/>
    <col min="3073" max="3073" width="24.28515625" style="120" customWidth="1"/>
    <col min="3074" max="3076" width="15.28515625" style="120" customWidth="1"/>
    <col min="3077" max="3078" width="15.5703125" style="120" customWidth="1"/>
    <col min="3079" max="3080" width="14" style="120" customWidth="1"/>
    <col min="3081" max="3081" width="14.42578125" style="120" customWidth="1"/>
    <col min="3082" max="3082" width="18.42578125" style="120" customWidth="1"/>
    <col min="3083" max="3328" width="9.140625" style="120"/>
    <col min="3329" max="3329" width="24.28515625" style="120" customWidth="1"/>
    <col min="3330" max="3332" width="15.28515625" style="120" customWidth="1"/>
    <col min="3333" max="3334" width="15.5703125" style="120" customWidth="1"/>
    <col min="3335" max="3336" width="14" style="120" customWidth="1"/>
    <col min="3337" max="3337" width="14.42578125" style="120" customWidth="1"/>
    <col min="3338" max="3338" width="18.42578125" style="120" customWidth="1"/>
    <col min="3339" max="3584" width="9.140625" style="120"/>
    <col min="3585" max="3585" width="24.28515625" style="120" customWidth="1"/>
    <col min="3586" max="3588" width="15.28515625" style="120" customWidth="1"/>
    <col min="3589" max="3590" width="15.5703125" style="120" customWidth="1"/>
    <col min="3591" max="3592" width="14" style="120" customWidth="1"/>
    <col min="3593" max="3593" width="14.42578125" style="120" customWidth="1"/>
    <col min="3594" max="3594" width="18.42578125" style="120" customWidth="1"/>
    <col min="3595" max="3840" width="9.140625" style="120"/>
    <col min="3841" max="3841" width="24.28515625" style="120" customWidth="1"/>
    <col min="3842" max="3844" width="15.28515625" style="120" customWidth="1"/>
    <col min="3845" max="3846" width="15.5703125" style="120" customWidth="1"/>
    <col min="3847" max="3848" width="14" style="120" customWidth="1"/>
    <col min="3849" max="3849" width="14.42578125" style="120" customWidth="1"/>
    <col min="3850" max="3850" width="18.42578125" style="120" customWidth="1"/>
    <col min="3851" max="4096" width="9.140625" style="120"/>
    <col min="4097" max="4097" width="24.28515625" style="120" customWidth="1"/>
    <col min="4098" max="4100" width="15.28515625" style="120" customWidth="1"/>
    <col min="4101" max="4102" width="15.5703125" style="120" customWidth="1"/>
    <col min="4103" max="4104" width="14" style="120" customWidth="1"/>
    <col min="4105" max="4105" width="14.42578125" style="120" customWidth="1"/>
    <col min="4106" max="4106" width="18.42578125" style="120" customWidth="1"/>
    <col min="4107" max="4352" width="9.140625" style="120"/>
    <col min="4353" max="4353" width="24.28515625" style="120" customWidth="1"/>
    <col min="4354" max="4356" width="15.28515625" style="120" customWidth="1"/>
    <col min="4357" max="4358" width="15.5703125" style="120" customWidth="1"/>
    <col min="4359" max="4360" width="14" style="120" customWidth="1"/>
    <col min="4361" max="4361" width="14.42578125" style="120" customWidth="1"/>
    <col min="4362" max="4362" width="18.42578125" style="120" customWidth="1"/>
    <col min="4363" max="4608" width="9.140625" style="120"/>
    <col min="4609" max="4609" width="24.28515625" style="120" customWidth="1"/>
    <col min="4610" max="4612" width="15.28515625" style="120" customWidth="1"/>
    <col min="4613" max="4614" width="15.5703125" style="120" customWidth="1"/>
    <col min="4615" max="4616" width="14" style="120" customWidth="1"/>
    <col min="4617" max="4617" width="14.42578125" style="120" customWidth="1"/>
    <col min="4618" max="4618" width="18.42578125" style="120" customWidth="1"/>
    <col min="4619" max="4864" width="9.140625" style="120"/>
    <col min="4865" max="4865" width="24.28515625" style="120" customWidth="1"/>
    <col min="4866" max="4868" width="15.28515625" style="120" customWidth="1"/>
    <col min="4869" max="4870" width="15.5703125" style="120" customWidth="1"/>
    <col min="4871" max="4872" width="14" style="120" customWidth="1"/>
    <col min="4873" max="4873" width="14.42578125" style="120" customWidth="1"/>
    <col min="4874" max="4874" width="18.42578125" style="120" customWidth="1"/>
    <col min="4875" max="5120" width="9.140625" style="120"/>
    <col min="5121" max="5121" width="24.28515625" style="120" customWidth="1"/>
    <col min="5122" max="5124" width="15.28515625" style="120" customWidth="1"/>
    <col min="5125" max="5126" width="15.5703125" style="120" customWidth="1"/>
    <col min="5127" max="5128" width="14" style="120" customWidth="1"/>
    <col min="5129" max="5129" width="14.42578125" style="120" customWidth="1"/>
    <col min="5130" max="5130" width="18.42578125" style="120" customWidth="1"/>
    <col min="5131" max="5376" width="9.140625" style="120"/>
    <col min="5377" max="5377" width="24.28515625" style="120" customWidth="1"/>
    <col min="5378" max="5380" width="15.28515625" style="120" customWidth="1"/>
    <col min="5381" max="5382" width="15.5703125" style="120" customWidth="1"/>
    <col min="5383" max="5384" width="14" style="120" customWidth="1"/>
    <col min="5385" max="5385" width="14.42578125" style="120" customWidth="1"/>
    <col min="5386" max="5386" width="18.42578125" style="120" customWidth="1"/>
    <col min="5387" max="5632" width="9.140625" style="120"/>
    <col min="5633" max="5633" width="24.28515625" style="120" customWidth="1"/>
    <col min="5634" max="5636" width="15.28515625" style="120" customWidth="1"/>
    <col min="5637" max="5638" width="15.5703125" style="120" customWidth="1"/>
    <col min="5639" max="5640" width="14" style="120" customWidth="1"/>
    <col min="5641" max="5641" width="14.42578125" style="120" customWidth="1"/>
    <col min="5642" max="5642" width="18.42578125" style="120" customWidth="1"/>
    <col min="5643" max="5888" width="9.140625" style="120"/>
    <col min="5889" max="5889" width="24.28515625" style="120" customWidth="1"/>
    <col min="5890" max="5892" width="15.28515625" style="120" customWidth="1"/>
    <col min="5893" max="5894" width="15.5703125" style="120" customWidth="1"/>
    <col min="5895" max="5896" width="14" style="120" customWidth="1"/>
    <col min="5897" max="5897" width="14.42578125" style="120" customWidth="1"/>
    <col min="5898" max="5898" width="18.42578125" style="120" customWidth="1"/>
    <col min="5899" max="6144" width="9.140625" style="120"/>
    <col min="6145" max="6145" width="24.28515625" style="120" customWidth="1"/>
    <col min="6146" max="6148" width="15.28515625" style="120" customWidth="1"/>
    <col min="6149" max="6150" width="15.5703125" style="120" customWidth="1"/>
    <col min="6151" max="6152" width="14" style="120" customWidth="1"/>
    <col min="6153" max="6153" width="14.42578125" style="120" customWidth="1"/>
    <col min="6154" max="6154" width="18.42578125" style="120" customWidth="1"/>
    <col min="6155" max="6400" width="9.140625" style="120"/>
    <col min="6401" max="6401" width="24.28515625" style="120" customWidth="1"/>
    <col min="6402" max="6404" width="15.28515625" style="120" customWidth="1"/>
    <col min="6405" max="6406" width="15.5703125" style="120" customWidth="1"/>
    <col min="6407" max="6408" width="14" style="120" customWidth="1"/>
    <col min="6409" max="6409" width="14.42578125" style="120" customWidth="1"/>
    <col min="6410" max="6410" width="18.42578125" style="120" customWidth="1"/>
    <col min="6411" max="6656" width="9.140625" style="120"/>
    <col min="6657" max="6657" width="24.28515625" style="120" customWidth="1"/>
    <col min="6658" max="6660" width="15.28515625" style="120" customWidth="1"/>
    <col min="6661" max="6662" width="15.5703125" style="120" customWidth="1"/>
    <col min="6663" max="6664" width="14" style="120" customWidth="1"/>
    <col min="6665" max="6665" width="14.42578125" style="120" customWidth="1"/>
    <col min="6666" max="6666" width="18.42578125" style="120" customWidth="1"/>
    <col min="6667" max="6912" width="9.140625" style="120"/>
    <col min="6913" max="6913" width="24.28515625" style="120" customWidth="1"/>
    <col min="6914" max="6916" width="15.28515625" style="120" customWidth="1"/>
    <col min="6917" max="6918" width="15.5703125" style="120" customWidth="1"/>
    <col min="6919" max="6920" width="14" style="120" customWidth="1"/>
    <col min="6921" max="6921" width="14.42578125" style="120" customWidth="1"/>
    <col min="6922" max="6922" width="18.42578125" style="120" customWidth="1"/>
    <col min="6923" max="7168" width="9.140625" style="120"/>
    <col min="7169" max="7169" width="24.28515625" style="120" customWidth="1"/>
    <col min="7170" max="7172" width="15.28515625" style="120" customWidth="1"/>
    <col min="7173" max="7174" width="15.5703125" style="120" customWidth="1"/>
    <col min="7175" max="7176" width="14" style="120" customWidth="1"/>
    <col min="7177" max="7177" width="14.42578125" style="120" customWidth="1"/>
    <col min="7178" max="7178" width="18.42578125" style="120" customWidth="1"/>
    <col min="7179" max="7424" width="9.140625" style="120"/>
    <col min="7425" max="7425" width="24.28515625" style="120" customWidth="1"/>
    <col min="7426" max="7428" width="15.28515625" style="120" customWidth="1"/>
    <col min="7429" max="7430" width="15.5703125" style="120" customWidth="1"/>
    <col min="7431" max="7432" width="14" style="120" customWidth="1"/>
    <col min="7433" max="7433" width="14.42578125" style="120" customWidth="1"/>
    <col min="7434" max="7434" width="18.42578125" style="120" customWidth="1"/>
    <col min="7435" max="7680" width="9.140625" style="120"/>
    <col min="7681" max="7681" width="24.28515625" style="120" customWidth="1"/>
    <col min="7682" max="7684" width="15.28515625" style="120" customWidth="1"/>
    <col min="7685" max="7686" width="15.5703125" style="120" customWidth="1"/>
    <col min="7687" max="7688" width="14" style="120" customWidth="1"/>
    <col min="7689" max="7689" width="14.42578125" style="120" customWidth="1"/>
    <col min="7690" max="7690" width="18.42578125" style="120" customWidth="1"/>
    <col min="7691" max="7936" width="9.140625" style="120"/>
    <col min="7937" max="7937" width="24.28515625" style="120" customWidth="1"/>
    <col min="7938" max="7940" width="15.28515625" style="120" customWidth="1"/>
    <col min="7941" max="7942" width="15.5703125" style="120" customWidth="1"/>
    <col min="7943" max="7944" width="14" style="120" customWidth="1"/>
    <col min="7945" max="7945" width="14.42578125" style="120" customWidth="1"/>
    <col min="7946" max="7946" width="18.42578125" style="120" customWidth="1"/>
    <col min="7947" max="8192" width="9.140625" style="120"/>
    <col min="8193" max="8193" width="24.28515625" style="120" customWidth="1"/>
    <col min="8194" max="8196" width="15.28515625" style="120" customWidth="1"/>
    <col min="8197" max="8198" width="15.5703125" style="120" customWidth="1"/>
    <col min="8199" max="8200" width="14" style="120" customWidth="1"/>
    <col min="8201" max="8201" width="14.42578125" style="120" customWidth="1"/>
    <col min="8202" max="8202" width="18.42578125" style="120" customWidth="1"/>
    <col min="8203" max="8448" width="9.140625" style="120"/>
    <col min="8449" max="8449" width="24.28515625" style="120" customWidth="1"/>
    <col min="8450" max="8452" width="15.28515625" style="120" customWidth="1"/>
    <col min="8453" max="8454" width="15.5703125" style="120" customWidth="1"/>
    <col min="8455" max="8456" width="14" style="120" customWidth="1"/>
    <col min="8457" max="8457" width="14.42578125" style="120" customWidth="1"/>
    <col min="8458" max="8458" width="18.42578125" style="120" customWidth="1"/>
    <col min="8459" max="8704" width="9.140625" style="120"/>
    <col min="8705" max="8705" width="24.28515625" style="120" customWidth="1"/>
    <col min="8706" max="8708" width="15.28515625" style="120" customWidth="1"/>
    <col min="8709" max="8710" width="15.5703125" style="120" customWidth="1"/>
    <col min="8711" max="8712" width="14" style="120" customWidth="1"/>
    <col min="8713" max="8713" width="14.42578125" style="120" customWidth="1"/>
    <col min="8714" max="8714" width="18.42578125" style="120" customWidth="1"/>
    <col min="8715" max="8960" width="9.140625" style="120"/>
    <col min="8961" max="8961" width="24.28515625" style="120" customWidth="1"/>
    <col min="8962" max="8964" width="15.28515625" style="120" customWidth="1"/>
    <col min="8965" max="8966" width="15.5703125" style="120" customWidth="1"/>
    <col min="8967" max="8968" width="14" style="120" customWidth="1"/>
    <col min="8969" max="8969" width="14.42578125" style="120" customWidth="1"/>
    <col min="8970" max="8970" width="18.42578125" style="120" customWidth="1"/>
    <col min="8971" max="9216" width="9.140625" style="120"/>
    <col min="9217" max="9217" width="24.28515625" style="120" customWidth="1"/>
    <col min="9218" max="9220" width="15.28515625" style="120" customWidth="1"/>
    <col min="9221" max="9222" width="15.5703125" style="120" customWidth="1"/>
    <col min="9223" max="9224" width="14" style="120" customWidth="1"/>
    <col min="9225" max="9225" width="14.42578125" style="120" customWidth="1"/>
    <col min="9226" max="9226" width="18.42578125" style="120" customWidth="1"/>
    <col min="9227" max="9472" width="9.140625" style="120"/>
    <col min="9473" max="9473" width="24.28515625" style="120" customWidth="1"/>
    <col min="9474" max="9476" width="15.28515625" style="120" customWidth="1"/>
    <col min="9477" max="9478" width="15.5703125" style="120" customWidth="1"/>
    <col min="9479" max="9480" width="14" style="120" customWidth="1"/>
    <col min="9481" max="9481" width="14.42578125" style="120" customWidth="1"/>
    <col min="9482" max="9482" width="18.42578125" style="120" customWidth="1"/>
    <col min="9483" max="9728" width="9.140625" style="120"/>
    <col min="9729" max="9729" width="24.28515625" style="120" customWidth="1"/>
    <col min="9730" max="9732" width="15.28515625" style="120" customWidth="1"/>
    <col min="9733" max="9734" width="15.5703125" style="120" customWidth="1"/>
    <col min="9735" max="9736" width="14" style="120" customWidth="1"/>
    <col min="9737" max="9737" width="14.42578125" style="120" customWidth="1"/>
    <col min="9738" max="9738" width="18.42578125" style="120" customWidth="1"/>
    <col min="9739" max="9984" width="9.140625" style="120"/>
    <col min="9985" max="9985" width="24.28515625" style="120" customWidth="1"/>
    <col min="9986" max="9988" width="15.28515625" style="120" customWidth="1"/>
    <col min="9989" max="9990" width="15.5703125" style="120" customWidth="1"/>
    <col min="9991" max="9992" width="14" style="120" customWidth="1"/>
    <col min="9993" max="9993" width="14.42578125" style="120" customWidth="1"/>
    <col min="9994" max="9994" width="18.42578125" style="120" customWidth="1"/>
    <col min="9995" max="10240" width="9.140625" style="120"/>
    <col min="10241" max="10241" width="24.28515625" style="120" customWidth="1"/>
    <col min="10242" max="10244" width="15.28515625" style="120" customWidth="1"/>
    <col min="10245" max="10246" width="15.5703125" style="120" customWidth="1"/>
    <col min="10247" max="10248" width="14" style="120" customWidth="1"/>
    <col min="10249" max="10249" width="14.42578125" style="120" customWidth="1"/>
    <col min="10250" max="10250" width="18.42578125" style="120" customWidth="1"/>
    <col min="10251" max="10496" width="9.140625" style="120"/>
    <col min="10497" max="10497" width="24.28515625" style="120" customWidth="1"/>
    <col min="10498" max="10500" width="15.28515625" style="120" customWidth="1"/>
    <col min="10501" max="10502" width="15.5703125" style="120" customWidth="1"/>
    <col min="10503" max="10504" width="14" style="120" customWidth="1"/>
    <col min="10505" max="10505" width="14.42578125" style="120" customWidth="1"/>
    <col min="10506" max="10506" width="18.42578125" style="120" customWidth="1"/>
    <col min="10507" max="10752" width="9.140625" style="120"/>
    <col min="10753" max="10753" width="24.28515625" style="120" customWidth="1"/>
    <col min="10754" max="10756" width="15.28515625" style="120" customWidth="1"/>
    <col min="10757" max="10758" width="15.5703125" style="120" customWidth="1"/>
    <col min="10759" max="10760" width="14" style="120" customWidth="1"/>
    <col min="10761" max="10761" width="14.42578125" style="120" customWidth="1"/>
    <col min="10762" max="10762" width="18.42578125" style="120" customWidth="1"/>
    <col min="10763" max="11008" width="9.140625" style="120"/>
    <col min="11009" max="11009" width="24.28515625" style="120" customWidth="1"/>
    <col min="11010" max="11012" width="15.28515625" style="120" customWidth="1"/>
    <col min="11013" max="11014" width="15.5703125" style="120" customWidth="1"/>
    <col min="11015" max="11016" width="14" style="120" customWidth="1"/>
    <col min="11017" max="11017" width="14.42578125" style="120" customWidth="1"/>
    <col min="11018" max="11018" width="18.42578125" style="120" customWidth="1"/>
    <col min="11019" max="11264" width="9.140625" style="120"/>
    <col min="11265" max="11265" width="24.28515625" style="120" customWidth="1"/>
    <col min="11266" max="11268" width="15.28515625" style="120" customWidth="1"/>
    <col min="11269" max="11270" width="15.5703125" style="120" customWidth="1"/>
    <col min="11271" max="11272" width="14" style="120" customWidth="1"/>
    <col min="11273" max="11273" width="14.42578125" style="120" customWidth="1"/>
    <col min="11274" max="11274" width="18.42578125" style="120" customWidth="1"/>
    <col min="11275" max="11520" width="9.140625" style="120"/>
    <col min="11521" max="11521" width="24.28515625" style="120" customWidth="1"/>
    <col min="11522" max="11524" width="15.28515625" style="120" customWidth="1"/>
    <col min="11525" max="11526" width="15.5703125" style="120" customWidth="1"/>
    <col min="11527" max="11528" width="14" style="120" customWidth="1"/>
    <col min="11529" max="11529" width="14.42578125" style="120" customWidth="1"/>
    <col min="11530" max="11530" width="18.42578125" style="120" customWidth="1"/>
    <col min="11531" max="11776" width="9.140625" style="120"/>
    <col min="11777" max="11777" width="24.28515625" style="120" customWidth="1"/>
    <col min="11778" max="11780" width="15.28515625" style="120" customWidth="1"/>
    <col min="11781" max="11782" width="15.5703125" style="120" customWidth="1"/>
    <col min="11783" max="11784" width="14" style="120" customWidth="1"/>
    <col min="11785" max="11785" width="14.42578125" style="120" customWidth="1"/>
    <col min="11786" max="11786" width="18.42578125" style="120" customWidth="1"/>
    <col min="11787" max="12032" width="9.140625" style="120"/>
    <col min="12033" max="12033" width="24.28515625" style="120" customWidth="1"/>
    <col min="12034" max="12036" width="15.28515625" style="120" customWidth="1"/>
    <col min="12037" max="12038" width="15.5703125" style="120" customWidth="1"/>
    <col min="12039" max="12040" width="14" style="120" customWidth="1"/>
    <col min="12041" max="12041" width="14.42578125" style="120" customWidth="1"/>
    <col min="12042" max="12042" width="18.42578125" style="120" customWidth="1"/>
    <col min="12043" max="12288" width="9.140625" style="120"/>
    <col min="12289" max="12289" width="24.28515625" style="120" customWidth="1"/>
    <col min="12290" max="12292" width="15.28515625" style="120" customWidth="1"/>
    <col min="12293" max="12294" width="15.5703125" style="120" customWidth="1"/>
    <col min="12295" max="12296" width="14" style="120" customWidth="1"/>
    <col min="12297" max="12297" width="14.42578125" style="120" customWidth="1"/>
    <col min="12298" max="12298" width="18.42578125" style="120" customWidth="1"/>
    <col min="12299" max="12544" width="9.140625" style="120"/>
    <col min="12545" max="12545" width="24.28515625" style="120" customWidth="1"/>
    <col min="12546" max="12548" width="15.28515625" style="120" customWidth="1"/>
    <col min="12549" max="12550" width="15.5703125" style="120" customWidth="1"/>
    <col min="12551" max="12552" width="14" style="120" customWidth="1"/>
    <col min="12553" max="12553" width="14.42578125" style="120" customWidth="1"/>
    <col min="12554" max="12554" width="18.42578125" style="120" customWidth="1"/>
    <col min="12555" max="12800" width="9.140625" style="120"/>
    <col min="12801" max="12801" width="24.28515625" style="120" customWidth="1"/>
    <col min="12802" max="12804" width="15.28515625" style="120" customWidth="1"/>
    <col min="12805" max="12806" width="15.5703125" style="120" customWidth="1"/>
    <col min="12807" max="12808" width="14" style="120" customWidth="1"/>
    <col min="12809" max="12809" width="14.42578125" style="120" customWidth="1"/>
    <col min="12810" max="12810" width="18.42578125" style="120" customWidth="1"/>
    <col min="12811" max="13056" width="9.140625" style="120"/>
    <col min="13057" max="13057" width="24.28515625" style="120" customWidth="1"/>
    <col min="13058" max="13060" width="15.28515625" style="120" customWidth="1"/>
    <col min="13061" max="13062" width="15.5703125" style="120" customWidth="1"/>
    <col min="13063" max="13064" width="14" style="120" customWidth="1"/>
    <col min="13065" max="13065" width="14.42578125" style="120" customWidth="1"/>
    <col min="13066" max="13066" width="18.42578125" style="120" customWidth="1"/>
    <col min="13067" max="13312" width="9.140625" style="120"/>
    <col min="13313" max="13313" width="24.28515625" style="120" customWidth="1"/>
    <col min="13314" max="13316" width="15.28515625" style="120" customWidth="1"/>
    <col min="13317" max="13318" width="15.5703125" style="120" customWidth="1"/>
    <col min="13319" max="13320" width="14" style="120" customWidth="1"/>
    <col min="13321" max="13321" width="14.42578125" style="120" customWidth="1"/>
    <col min="13322" max="13322" width="18.42578125" style="120" customWidth="1"/>
    <col min="13323" max="13568" width="9.140625" style="120"/>
    <col min="13569" max="13569" width="24.28515625" style="120" customWidth="1"/>
    <col min="13570" max="13572" width="15.28515625" style="120" customWidth="1"/>
    <col min="13573" max="13574" width="15.5703125" style="120" customWidth="1"/>
    <col min="13575" max="13576" width="14" style="120" customWidth="1"/>
    <col min="13577" max="13577" width="14.42578125" style="120" customWidth="1"/>
    <col min="13578" max="13578" width="18.42578125" style="120" customWidth="1"/>
    <col min="13579" max="13824" width="9.140625" style="120"/>
    <col min="13825" max="13825" width="24.28515625" style="120" customWidth="1"/>
    <col min="13826" max="13828" width="15.28515625" style="120" customWidth="1"/>
    <col min="13829" max="13830" width="15.5703125" style="120" customWidth="1"/>
    <col min="13831" max="13832" width="14" style="120" customWidth="1"/>
    <col min="13833" max="13833" width="14.42578125" style="120" customWidth="1"/>
    <col min="13834" max="13834" width="18.42578125" style="120" customWidth="1"/>
    <col min="13835" max="14080" width="9.140625" style="120"/>
    <col min="14081" max="14081" width="24.28515625" style="120" customWidth="1"/>
    <col min="14082" max="14084" width="15.28515625" style="120" customWidth="1"/>
    <col min="14085" max="14086" width="15.5703125" style="120" customWidth="1"/>
    <col min="14087" max="14088" width="14" style="120" customWidth="1"/>
    <col min="14089" max="14089" width="14.42578125" style="120" customWidth="1"/>
    <col min="14090" max="14090" width="18.42578125" style="120" customWidth="1"/>
    <col min="14091" max="14336" width="9.140625" style="120"/>
    <col min="14337" max="14337" width="24.28515625" style="120" customWidth="1"/>
    <col min="14338" max="14340" width="15.28515625" style="120" customWidth="1"/>
    <col min="14341" max="14342" width="15.5703125" style="120" customWidth="1"/>
    <col min="14343" max="14344" width="14" style="120" customWidth="1"/>
    <col min="14345" max="14345" width="14.42578125" style="120" customWidth="1"/>
    <col min="14346" max="14346" width="18.42578125" style="120" customWidth="1"/>
    <col min="14347" max="14592" width="9.140625" style="120"/>
    <col min="14593" max="14593" width="24.28515625" style="120" customWidth="1"/>
    <col min="14594" max="14596" width="15.28515625" style="120" customWidth="1"/>
    <col min="14597" max="14598" width="15.5703125" style="120" customWidth="1"/>
    <col min="14599" max="14600" width="14" style="120" customWidth="1"/>
    <col min="14601" max="14601" width="14.42578125" style="120" customWidth="1"/>
    <col min="14602" max="14602" width="18.42578125" style="120" customWidth="1"/>
    <col min="14603" max="14848" width="9.140625" style="120"/>
    <col min="14849" max="14849" width="24.28515625" style="120" customWidth="1"/>
    <col min="14850" max="14852" width="15.28515625" style="120" customWidth="1"/>
    <col min="14853" max="14854" width="15.5703125" style="120" customWidth="1"/>
    <col min="14855" max="14856" width="14" style="120" customWidth="1"/>
    <col min="14857" max="14857" width="14.42578125" style="120" customWidth="1"/>
    <col min="14858" max="14858" width="18.42578125" style="120" customWidth="1"/>
    <col min="14859" max="15104" width="9.140625" style="120"/>
    <col min="15105" max="15105" width="24.28515625" style="120" customWidth="1"/>
    <col min="15106" max="15108" width="15.28515625" style="120" customWidth="1"/>
    <col min="15109" max="15110" width="15.5703125" style="120" customWidth="1"/>
    <col min="15111" max="15112" width="14" style="120" customWidth="1"/>
    <col min="15113" max="15113" width="14.42578125" style="120" customWidth="1"/>
    <col min="15114" max="15114" width="18.42578125" style="120" customWidth="1"/>
    <col min="15115" max="15360" width="9.140625" style="120"/>
    <col min="15361" max="15361" width="24.28515625" style="120" customWidth="1"/>
    <col min="15362" max="15364" width="15.28515625" style="120" customWidth="1"/>
    <col min="15365" max="15366" width="15.5703125" style="120" customWidth="1"/>
    <col min="15367" max="15368" width="14" style="120" customWidth="1"/>
    <col min="15369" max="15369" width="14.42578125" style="120" customWidth="1"/>
    <col min="15370" max="15370" width="18.42578125" style="120" customWidth="1"/>
    <col min="15371" max="15616" width="9.140625" style="120"/>
    <col min="15617" max="15617" width="24.28515625" style="120" customWidth="1"/>
    <col min="15618" max="15620" width="15.28515625" style="120" customWidth="1"/>
    <col min="15621" max="15622" width="15.5703125" style="120" customWidth="1"/>
    <col min="15623" max="15624" width="14" style="120" customWidth="1"/>
    <col min="15625" max="15625" width="14.42578125" style="120" customWidth="1"/>
    <col min="15626" max="15626" width="18.42578125" style="120" customWidth="1"/>
    <col min="15627" max="15872" width="9.140625" style="120"/>
    <col min="15873" max="15873" width="24.28515625" style="120" customWidth="1"/>
    <col min="15874" max="15876" width="15.28515625" style="120" customWidth="1"/>
    <col min="15877" max="15878" width="15.5703125" style="120" customWidth="1"/>
    <col min="15879" max="15880" width="14" style="120" customWidth="1"/>
    <col min="15881" max="15881" width="14.42578125" style="120" customWidth="1"/>
    <col min="15882" max="15882" width="18.42578125" style="120" customWidth="1"/>
    <col min="15883" max="16128" width="9.140625" style="120"/>
    <col min="16129" max="16129" width="24.28515625" style="120" customWidth="1"/>
    <col min="16130" max="16132" width="15.28515625" style="120" customWidth="1"/>
    <col min="16133" max="16134" width="15.5703125" style="120" customWidth="1"/>
    <col min="16135" max="16136" width="14" style="120" customWidth="1"/>
    <col min="16137" max="16137" width="14.42578125" style="120" customWidth="1"/>
    <col min="16138" max="16138" width="18.42578125" style="120" customWidth="1"/>
    <col min="16139" max="16384" width="9.140625" style="120"/>
  </cols>
  <sheetData>
    <row r="1" spans="1:10" x14ac:dyDescent="0.25">
      <c r="A1" s="312" t="s">
        <v>759</v>
      </c>
      <c r="B1" s="312"/>
      <c r="C1" s="312"/>
      <c r="D1" s="312"/>
      <c r="E1" s="312"/>
      <c r="F1" s="312"/>
      <c r="G1" s="312"/>
      <c r="H1" s="312"/>
      <c r="I1" s="312"/>
      <c r="J1" s="312"/>
    </row>
    <row r="2" spans="1:10" x14ac:dyDescent="0.25">
      <c r="A2" s="145"/>
      <c r="B2" s="145"/>
      <c r="C2" s="145"/>
      <c r="D2" s="145"/>
      <c r="E2" s="145"/>
      <c r="F2" s="146"/>
      <c r="G2" s="146"/>
      <c r="H2" s="146"/>
      <c r="I2" s="145"/>
      <c r="J2" s="145"/>
    </row>
    <row r="3" spans="1:10" x14ac:dyDescent="0.25">
      <c r="A3" s="313" t="s">
        <v>760</v>
      </c>
      <c r="B3" s="313"/>
      <c r="C3" s="313"/>
      <c r="D3" s="313"/>
      <c r="E3" s="313"/>
      <c r="F3" s="313"/>
      <c r="G3" s="276"/>
      <c r="H3" s="147"/>
      <c r="I3" s="147"/>
      <c r="J3" s="147"/>
    </row>
    <row r="4" spans="1:10" x14ac:dyDescent="0.25">
      <c r="A4" s="313" t="s">
        <v>761</v>
      </c>
      <c r="B4" s="313"/>
      <c r="C4" s="313"/>
      <c r="D4" s="313"/>
      <c r="E4" s="313"/>
      <c r="F4" s="313"/>
      <c r="G4" s="276"/>
      <c r="H4" s="147"/>
      <c r="I4" s="147"/>
      <c r="J4" s="147"/>
    </row>
    <row r="5" spans="1:10" x14ac:dyDescent="0.25">
      <c r="A5" s="313" t="s">
        <v>762</v>
      </c>
      <c r="B5" s="313"/>
      <c r="C5" s="313"/>
      <c r="D5" s="313"/>
      <c r="E5" s="313"/>
      <c r="F5" s="313"/>
      <c r="G5" s="148"/>
      <c r="H5" s="149"/>
      <c r="I5" s="149"/>
      <c r="J5" s="149"/>
    </row>
    <row r="6" spans="1:10" ht="16.5" thickBot="1" x14ac:dyDescent="0.3">
      <c r="A6" s="150"/>
      <c r="B6" s="150"/>
      <c r="C6" s="150"/>
      <c r="D6" s="150"/>
      <c r="E6" s="150"/>
      <c r="F6" s="150"/>
      <c r="G6" s="150"/>
      <c r="H6" s="150"/>
      <c r="I6" s="150"/>
      <c r="J6" s="146"/>
    </row>
    <row r="7" spans="1:10" ht="32.25" customHeight="1" x14ac:dyDescent="0.25">
      <c r="A7" s="314" t="s">
        <v>763</v>
      </c>
      <c r="B7" s="316" t="s">
        <v>764</v>
      </c>
      <c r="C7" s="316" t="s">
        <v>765</v>
      </c>
      <c r="D7" s="316" t="s">
        <v>766</v>
      </c>
      <c r="E7" s="318" t="s">
        <v>767</v>
      </c>
      <c r="F7" s="319"/>
      <c r="G7" s="319"/>
      <c r="H7" s="319"/>
      <c r="I7" s="320"/>
      <c r="J7" s="321" t="s">
        <v>768</v>
      </c>
    </row>
    <row r="8" spans="1:10" ht="48.75" customHeight="1" thickBot="1" x14ac:dyDescent="0.3">
      <c r="A8" s="315"/>
      <c r="B8" s="317"/>
      <c r="C8" s="317"/>
      <c r="D8" s="317"/>
      <c r="E8" s="151" t="s">
        <v>769</v>
      </c>
      <c r="F8" s="152" t="s">
        <v>770</v>
      </c>
      <c r="G8" s="152" t="s">
        <v>771</v>
      </c>
      <c r="H8" s="152" t="s">
        <v>772</v>
      </c>
      <c r="I8" s="153" t="s">
        <v>773</v>
      </c>
      <c r="J8" s="322"/>
    </row>
    <row r="9" spans="1:10" ht="16.5" thickBot="1" x14ac:dyDescent="0.3">
      <c r="A9" s="154"/>
      <c r="B9" s="155"/>
      <c r="C9" s="155"/>
      <c r="D9" s="155"/>
      <c r="E9" s="155"/>
      <c r="F9" s="155"/>
      <c r="G9" s="155"/>
      <c r="H9" s="155"/>
      <c r="I9" s="155"/>
      <c r="J9" s="156"/>
    </row>
    <row r="10" spans="1:10" x14ac:dyDescent="0.25">
      <c r="A10" s="157" t="s">
        <v>774</v>
      </c>
      <c r="B10" s="158">
        <v>27102</v>
      </c>
      <c r="C10" s="159"/>
      <c r="D10" s="160"/>
      <c r="E10" s="161"/>
      <c r="F10" s="162"/>
      <c r="G10" s="163"/>
      <c r="H10" s="163"/>
      <c r="I10" s="164"/>
      <c r="J10" s="165"/>
    </row>
    <row r="11" spans="1:10" x14ac:dyDescent="0.25">
      <c r="A11" s="166"/>
      <c r="B11" s="167"/>
      <c r="C11" s="168"/>
      <c r="D11" s="169"/>
      <c r="E11" s="170"/>
      <c r="F11" s="171"/>
      <c r="G11" s="172"/>
      <c r="H11" s="172"/>
      <c r="I11" s="173"/>
      <c r="J11" s="174"/>
    </row>
    <row r="12" spans="1:10" x14ac:dyDescent="0.25">
      <c r="A12" s="166"/>
      <c r="B12" s="167"/>
      <c r="C12" s="168"/>
      <c r="D12" s="169"/>
      <c r="E12" s="170"/>
      <c r="F12" s="171"/>
      <c r="G12" s="172"/>
      <c r="H12" s="172"/>
      <c r="I12" s="173"/>
      <c r="J12" s="174"/>
    </row>
    <row r="13" spans="1:10" hidden="1" x14ac:dyDescent="0.25">
      <c r="A13" s="166"/>
      <c r="B13" s="167"/>
      <c r="C13" s="168"/>
      <c r="D13" s="169"/>
      <c r="E13" s="170"/>
      <c r="F13" s="171"/>
      <c r="G13" s="172"/>
      <c r="H13" s="172"/>
      <c r="I13" s="173"/>
      <c r="J13" s="174"/>
    </row>
    <row r="14" spans="1:10" hidden="1" x14ac:dyDescent="0.25">
      <c r="A14" s="166"/>
      <c r="B14" s="167"/>
      <c r="C14" s="168"/>
      <c r="D14" s="169"/>
      <c r="E14" s="170"/>
      <c r="F14" s="171"/>
      <c r="G14" s="172"/>
      <c r="H14" s="172"/>
      <c r="I14" s="173"/>
      <c r="J14" s="174"/>
    </row>
    <row r="15" spans="1:10" hidden="1" x14ac:dyDescent="0.25">
      <c r="A15" s="166"/>
      <c r="B15" s="167"/>
      <c r="C15" s="168"/>
      <c r="D15" s="169"/>
      <c r="E15" s="170"/>
      <c r="F15" s="171"/>
      <c r="G15" s="172"/>
      <c r="H15" s="172"/>
      <c r="I15" s="173"/>
      <c r="J15" s="174"/>
    </row>
    <row r="16" spans="1:10" hidden="1" x14ac:dyDescent="0.25">
      <c r="A16" s="166"/>
      <c r="B16" s="167"/>
      <c r="C16" s="168"/>
      <c r="D16" s="169"/>
      <c r="E16" s="170"/>
      <c r="F16" s="171"/>
      <c r="G16" s="172"/>
      <c r="H16" s="172"/>
      <c r="I16" s="173"/>
      <c r="J16" s="174"/>
    </row>
    <row r="17" spans="1:10" hidden="1" x14ac:dyDescent="0.25">
      <c r="A17" s="166"/>
      <c r="B17" s="167"/>
      <c r="C17" s="168"/>
      <c r="D17" s="169"/>
      <c r="E17" s="170"/>
      <c r="F17" s="171"/>
      <c r="G17" s="172"/>
      <c r="H17" s="172"/>
      <c r="I17" s="173"/>
      <c r="J17" s="174"/>
    </row>
    <row r="18" spans="1:10" hidden="1" x14ac:dyDescent="0.25">
      <c r="A18" s="166"/>
      <c r="B18" s="167"/>
      <c r="C18" s="168"/>
      <c r="D18" s="169"/>
      <c r="E18" s="170"/>
      <c r="F18" s="171"/>
      <c r="G18" s="172"/>
      <c r="H18" s="172"/>
      <c r="I18" s="173"/>
      <c r="J18" s="174"/>
    </row>
    <row r="19" spans="1:10" hidden="1" x14ac:dyDescent="0.25">
      <c r="A19" s="166"/>
      <c r="B19" s="167"/>
      <c r="C19" s="168"/>
      <c r="D19" s="169"/>
      <c r="E19" s="170"/>
      <c r="F19" s="171"/>
      <c r="G19" s="172"/>
      <c r="H19" s="172"/>
      <c r="I19" s="173"/>
      <c r="J19" s="174"/>
    </row>
    <row r="20" spans="1:10" hidden="1" x14ac:dyDescent="0.25">
      <c r="A20" s="166"/>
      <c r="B20" s="167"/>
      <c r="C20" s="168"/>
      <c r="D20" s="169"/>
      <c r="E20" s="170"/>
      <c r="F20" s="171"/>
      <c r="G20" s="172"/>
      <c r="H20" s="172"/>
      <c r="I20" s="173"/>
      <c r="J20" s="174"/>
    </row>
    <row r="21" spans="1:10" hidden="1" x14ac:dyDescent="0.25">
      <c r="A21" s="166"/>
      <c r="B21" s="167"/>
      <c r="C21" s="168"/>
      <c r="D21" s="169"/>
      <c r="E21" s="170"/>
      <c r="F21" s="171"/>
      <c r="G21" s="172"/>
      <c r="H21" s="172"/>
      <c r="I21" s="173"/>
      <c r="J21" s="174"/>
    </row>
    <row r="22" spans="1:10" hidden="1" x14ac:dyDescent="0.25">
      <c r="A22" s="166"/>
      <c r="B22" s="167"/>
      <c r="C22" s="168"/>
      <c r="D22" s="169"/>
      <c r="E22" s="170"/>
      <c r="F22" s="171"/>
      <c r="G22" s="172"/>
      <c r="H22" s="172"/>
      <c r="I22" s="173"/>
      <c r="J22" s="174"/>
    </row>
    <row r="23" spans="1:10" hidden="1" x14ac:dyDescent="0.25">
      <c r="A23" s="166"/>
      <c r="B23" s="167"/>
      <c r="C23" s="168"/>
      <c r="D23" s="169"/>
      <c r="E23" s="170"/>
      <c r="F23" s="171"/>
      <c r="G23" s="172"/>
      <c r="H23" s="172"/>
      <c r="I23" s="173"/>
      <c r="J23" s="174"/>
    </row>
    <row r="24" spans="1:10" hidden="1" x14ac:dyDescent="0.25">
      <c r="A24" s="166"/>
      <c r="B24" s="167"/>
      <c r="C24" s="168"/>
      <c r="D24" s="169"/>
      <c r="E24" s="170"/>
      <c r="F24" s="171"/>
      <c r="G24" s="172"/>
      <c r="H24" s="172"/>
      <c r="I24" s="173"/>
      <c r="J24" s="174"/>
    </row>
    <row r="25" spans="1:10" hidden="1" x14ac:dyDescent="0.25">
      <c r="A25" s="166"/>
      <c r="B25" s="167"/>
      <c r="C25" s="168"/>
      <c r="D25" s="169"/>
      <c r="E25" s="170"/>
      <c r="F25" s="171"/>
      <c r="G25" s="172"/>
      <c r="H25" s="172"/>
      <c r="I25" s="173"/>
      <c r="J25" s="174"/>
    </row>
    <row r="26" spans="1:10" hidden="1" x14ac:dyDescent="0.25">
      <c r="A26" s="166"/>
      <c r="B26" s="167"/>
      <c r="C26" s="168"/>
      <c r="D26" s="169"/>
      <c r="E26" s="170"/>
      <c r="F26" s="171"/>
      <c r="G26" s="172"/>
      <c r="H26" s="172"/>
      <c r="I26" s="173"/>
      <c r="J26" s="174"/>
    </row>
    <row r="27" spans="1:10" hidden="1" x14ac:dyDescent="0.25">
      <c r="A27" s="166"/>
      <c r="B27" s="167"/>
      <c r="C27" s="168"/>
      <c r="D27" s="169"/>
      <c r="E27" s="170"/>
      <c r="F27" s="171"/>
      <c r="G27" s="172"/>
      <c r="H27" s="172"/>
      <c r="I27" s="173"/>
      <c r="J27" s="174"/>
    </row>
    <row r="28" spans="1:10" hidden="1" x14ac:dyDescent="0.25">
      <c r="A28" s="166"/>
      <c r="B28" s="167"/>
      <c r="C28" s="168"/>
      <c r="D28" s="169"/>
      <c r="E28" s="170"/>
      <c r="F28" s="171"/>
      <c r="G28" s="172"/>
      <c r="H28" s="172"/>
      <c r="I28" s="173"/>
      <c r="J28" s="174"/>
    </row>
    <row r="29" spans="1:10" hidden="1" x14ac:dyDescent="0.25">
      <c r="A29" s="166"/>
      <c r="B29" s="167"/>
      <c r="C29" s="168"/>
      <c r="D29" s="169"/>
      <c r="E29" s="170"/>
      <c r="F29" s="171"/>
      <c r="G29" s="172"/>
      <c r="H29" s="172"/>
      <c r="I29" s="173"/>
      <c r="J29" s="174"/>
    </row>
    <row r="30" spans="1:10" hidden="1" x14ac:dyDescent="0.25">
      <c r="A30" s="166"/>
      <c r="B30" s="167"/>
      <c r="C30" s="168"/>
      <c r="D30" s="169"/>
      <c r="E30" s="170"/>
      <c r="F30" s="171"/>
      <c r="G30" s="172"/>
      <c r="H30" s="172"/>
      <c r="I30" s="173"/>
      <c r="J30" s="174"/>
    </row>
    <row r="31" spans="1:10" hidden="1" x14ac:dyDescent="0.25">
      <c r="A31" s="166"/>
      <c r="B31" s="167"/>
      <c r="C31" s="168"/>
      <c r="D31" s="169"/>
      <c r="E31" s="170"/>
      <c r="F31" s="171"/>
      <c r="G31" s="172"/>
      <c r="H31" s="172"/>
      <c r="I31" s="173"/>
      <c r="J31" s="174"/>
    </row>
    <row r="32" spans="1:10" hidden="1" x14ac:dyDescent="0.25">
      <c r="A32" s="166"/>
      <c r="B32" s="167"/>
      <c r="C32" s="168"/>
      <c r="D32" s="169"/>
      <c r="E32" s="170"/>
      <c r="F32" s="171"/>
      <c r="G32" s="172"/>
      <c r="H32" s="172"/>
      <c r="I32" s="173"/>
      <c r="J32" s="174"/>
    </row>
    <row r="33" spans="1:10" hidden="1" x14ac:dyDescent="0.25">
      <c r="A33" s="166"/>
      <c r="B33" s="167"/>
      <c r="C33" s="168"/>
      <c r="D33" s="169"/>
      <c r="E33" s="170"/>
      <c r="F33" s="171"/>
      <c r="G33" s="172"/>
      <c r="H33" s="172"/>
      <c r="I33" s="173"/>
      <c r="J33" s="174"/>
    </row>
    <row r="34" spans="1:10" x14ac:dyDescent="0.25">
      <c r="A34" s="166"/>
      <c r="B34" s="167"/>
      <c r="C34" s="168"/>
      <c r="D34" s="169"/>
      <c r="E34" s="170"/>
      <c r="F34" s="171"/>
      <c r="G34" s="172"/>
      <c r="H34" s="172"/>
      <c r="I34" s="173"/>
      <c r="J34" s="174"/>
    </row>
    <row r="35" spans="1:10" x14ac:dyDescent="0.25">
      <c r="A35" s="166"/>
      <c r="B35" s="167"/>
      <c r="C35" s="168"/>
      <c r="D35" s="169"/>
      <c r="E35" s="170"/>
      <c r="F35" s="171"/>
      <c r="G35" s="172"/>
      <c r="H35" s="172"/>
      <c r="I35" s="173"/>
      <c r="J35" s="174"/>
    </row>
    <row r="36" spans="1:10" x14ac:dyDescent="0.25">
      <c r="A36" s="166"/>
      <c r="B36" s="167"/>
      <c r="C36" s="168"/>
      <c r="D36" s="169"/>
      <c r="E36" s="170"/>
      <c r="F36" s="171"/>
      <c r="G36" s="172"/>
      <c r="H36" s="172"/>
      <c r="I36" s="173"/>
      <c r="J36" s="174"/>
    </row>
    <row r="37" spans="1:10" x14ac:dyDescent="0.25">
      <c r="A37" s="166"/>
      <c r="B37" s="167"/>
      <c r="C37" s="168"/>
      <c r="D37" s="169"/>
      <c r="E37" s="170"/>
      <c r="F37" s="171"/>
      <c r="G37" s="172"/>
      <c r="H37" s="172"/>
      <c r="I37" s="173"/>
      <c r="J37" s="174"/>
    </row>
    <row r="38" spans="1:10" x14ac:dyDescent="0.25">
      <c r="A38" s="166"/>
      <c r="B38" s="167"/>
      <c r="C38" s="168"/>
      <c r="D38" s="169"/>
      <c r="E38" s="170"/>
      <c r="F38" s="171"/>
      <c r="G38" s="172"/>
      <c r="H38" s="172"/>
      <c r="I38" s="173"/>
      <c r="J38" s="174"/>
    </row>
    <row r="39" spans="1:10" ht="16.5" thickBot="1" x14ac:dyDescent="0.3">
      <c r="A39" s="175"/>
      <c r="B39" s="176"/>
      <c r="C39" s="177"/>
      <c r="D39" s="178"/>
      <c r="E39" s="179"/>
      <c r="F39" s="180"/>
      <c r="G39" s="181"/>
      <c r="H39" s="181"/>
      <c r="I39" s="182"/>
      <c r="J39" s="183"/>
    </row>
    <row r="40" spans="1:10" ht="16.5" thickBot="1" x14ac:dyDescent="0.3">
      <c r="A40" s="184"/>
      <c r="B40" s="185"/>
      <c r="C40" s="185"/>
      <c r="D40" s="185"/>
      <c r="E40" s="185"/>
      <c r="F40" s="185"/>
      <c r="G40" s="185"/>
      <c r="H40" s="185"/>
      <c r="I40" s="185"/>
      <c r="J40" s="186"/>
    </row>
    <row r="41" spans="1:10" x14ac:dyDescent="0.25">
      <c r="A41" s="301" t="s">
        <v>775</v>
      </c>
      <c r="B41" s="302"/>
      <c r="C41" s="302"/>
      <c r="D41" s="302"/>
      <c r="E41" s="302"/>
      <c r="F41" s="302"/>
      <c r="G41" s="302"/>
      <c r="H41" s="302"/>
      <c r="I41" s="303"/>
      <c r="J41" s="146"/>
    </row>
    <row r="42" spans="1:10" x14ac:dyDescent="0.25">
      <c r="A42" s="304" t="s">
        <v>776</v>
      </c>
      <c r="B42" s="305"/>
      <c r="C42" s="305"/>
      <c r="D42" s="305"/>
      <c r="E42" s="305"/>
      <c r="F42" s="305"/>
      <c r="G42" s="305"/>
      <c r="H42" s="305"/>
      <c r="I42" s="306"/>
      <c r="J42" s="146"/>
    </row>
    <row r="43" spans="1:10" x14ac:dyDescent="0.25">
      <c r="A43" s="304"/>
      <c r="B43" s="305"/>
      <c r="C43" s="305"/>
      <c r="D43" s="305"/>
      <c r="E43" s="305"/>
      <c r="F43" s="305"/>
      <c r="G43" s="305"/>
      <c r="H43" s="305"/>
      <c r="I43" s="306"/>
      <c r="J43" s="146"/>
    </row>
    <row r="44" spans="1:10" x14ac:dyDescent="0.25">
      <c r="A44" s="307" t="s">
        <v>844</v>
      </c>
      <c r="B44" s="305"/>
      <c r="C44" s="305"/>
      <c r="D44" s="305"/>
      <c r="E44" s="305"/>
      <c r="F44" s="305"/>
      <c r="G44" s="305"/>
      <c r="H44" s="305"/>
      <c r="I44" s="306"/>
      <c r="J44" s="146"/>
    </row>
    <row r="45" spans="1:10" ht="16.5" thickBot="1" x14ac:dyDescent="0.3">
      <c r="A45" s="308"/>
      <c r="B45" s="309"/>
      <c r="C45" s="309"/>
      <c r="D45" s="309"/>
      <c r="E45" s="309"/>
      <c r="F45" s="309"/>
      <c r="G45" s="309"/>
      <c r="H45" s="309"/>
      <c r="I45" s="310"/>
      <c r="J45" s="146"/>
    </row>
    <row r="46" spans="1:10" x14ac:dyDescent="0.25">
      <c r="A46" s="311"/>
      <c r="B46" s="311"/>
      <c r="C46" s="311"/>
      <c r="D46" s="311"/>
      <c r="E46" s="311"/>
      <c r="F46" s="311"/>
      <c r="G46" s="311"/>
      <c r="H46" s="311"/>
      <c r="I46" s="311"/>
      <c r="J46" s="146"/>
    </row>
    <row r="47" spans="1:10" x14ac:dyDescent="0.25">
      <c r="A47" s="311"/>
      <c r="B47" s="311"/>
      <c r="C47" s="311"/>
      <c r="D47" s="311"/>
      <c r="E47" s="311"/>
      <c r="F47" s="311"/>
      <c r="G47" s="311"/>
      <c r="H47" s="311"/>
      <c r="I47" s="311"/>
      <c r="J47" s="146"/>
    </row>
  </sheetData>
  <mergeCells count="14">
    <mergeCell ref="A41:I41"/>
    <mergeCell ref="A42:I43"/>
    <mergeCell ref="A44:I45"/>
    <mergeCell ref="A46:I47"/>
    <mergeCell ref="A1:J1"/>
    <mergeCell ref="A3:F3"/>
    <mergeCell ref="A4:F4"/>
    <mergeCell ref="A5:F5"/>
    <mergeCell ref="A7:A8"/>
    <mergeCell ref="B7:B8"/>
    <mergeCell ref="C7:C8"/>
    <mergeCell ref="D7:D8"/>
    <mergeCell ref="E7:I7"/>
    <mergeCell ref="J7:J8"/>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8"/>
  <sheetViews>
    <sheetView workbookViewId="0">
      <selection activeCell="L41" sqref="L41"/>
    </sheetView>
  </sheetViews>
  <sheetFormatPr defaultRowHeight="15.75" x14ac:dyDescent="0.25"/>
  <cols>
    <col min="1" max="1" width="24.7109375" style="120" bestFit="1" customWidth="1"/>
    <col min="2" max="2" width="21.85546875" style="120" customWidth="1"/>
    <col min="3" max="3" width="13.28515625" style="120" customWidth="1"/>
    <col min="4" max="4" width="17.28515625" style="120" customWidth="1"/>
    <col min="5" max="5" width="13.28515625" style="120" customWidth="1"/>
    <col min="6" max="6" width="12.28515625" style="120" customWidth="1"/>
    <col min="7" max="7" width="14.28515625" style="120" customWidth="1"/>
    <col min="8" max="8" width="11.7109375" style="120" customWidth="1"/>
    <col min="9" max="9" width="14.7109375" style="120" customWidth="1"/>
    <col min="10" max="10" width="19.28515625" style="120" customWidth="1"/>
    <col min="11" max="256" width="9.140625" style="120"/>
    <col min="257" max="257" width="24.7109375" style="120" bestFit="1" customWidth="1"/>
    <col min="258" max="258" width="18.7109375" style="120" bestFit="1" customWidth="1"/>
    <col min="259" max="259" width="13.28515625" style="120" customWidth="1"/>
    <col min="260" max="260" width="17.28515625" style="120" customWidth="1"/>
    <col min="261" max="261" width="13.28515625" style="120" customWidth="1"/>
    <col min="262" max="262" width="12.28515625" style="120" customWidth="1"/>
    <col min="263" max="263" width="14.28515625" style="120" customWidth="1"/>
    <col min="264" max="264" width="11.7109375" style="120" customWidth="1"/>
    <col min="265" max="265" width="14.7109375" style="120" customWidth="1"/>
    <col min="266" max="266" width="19.28515625" style="120" customWidth="1"/>
    <col min="267" max="512" width="9.140625" style="120"/>
    <col min="513" max="513" width="24.7109375" style="120" bestFit="1" customWidth="1"/>
    <col min="514" max="514" width="18.7109375" style="120" bestFit="1" customWidth="1"/>
    <col min="515" max="515" width="13.28515625" style="120" customWidth="1"/>
    <col min="516" max="516" width="17.28515625" style="120" customWidth="1"/>
    <col min="517" max="517" width="13.28515625" style="120" customWidth="1"/>
    <col min="518" max="518" width="12.28515625" style="120" customWidth="1"/>
    <col min="519" max="519" width="14.28515625" style="120" customWidth="1"/>
    <col min="520" max="520" width="11.7109375" style="120" customWidth="1"/>
    <col min="521" max="521" width="14.7109375" style="120" customWidth="1"/>
    <col min="522" max="522" width="19.28515625" style="120" customWidth="1"/>
    <col min="523" max="768" width="9.140625" style="120"/>
    <col min="769" max="769" width="24.7109375" style="120" bestFit="1" customWidth="1"/>
    <col min="770" max="770" width="18.7109375" style="120" bestFit="1" customWidth="1"/>
    <col min="771" max="771" width="13.28515625" style="120" customWidth="1"/>
    <col min="772" max="772" width="17.28515625" style="120" customWidth="1"/>
    <col min="773" max="773" width="13.28515625" style="120" customWidth="1"/>
    <col min="774" max="774" width="12.28515625" style="120" customWidth="1"/>
    <col min="775" max="775" width="14.28515625" style="120" customWidth="1"/>
    <col min="776" max="776" width="11.7109375" style="120" customWidth="1"/>
    <col min="777" max="777" width="14.7109375" style="120" customWidth="1"/>
    <col min="778" max="778" width="19.28515625" style="120" customWidth="1"/>
    <col min="779" max="1024" width="9.140625" style="120"/>
    <col min="1025" max="1025" width="24.7109375" style="120" bestFit="1" customWidth="1"/>
    <col min="1026" max="1026" width="18.7109375" style="120" bestFit="1" customWidth="1"/>
    <col min="1027" max="1027" width="13.28515625" style="120" customWidth="1"/>
    <col min="1028" max="1028" width="17.28515625" style="120" customWidth="1"/>
    <col min="1029" max="1029" width="13.28515625" style="120" customWidth="1"/>
    <col min="1030" max="1030" width="12.28515625" style="120" customWidth="1"/>
    <col min="1031" max="1031" width="14.28515625" style="120" customWidth="1"/>
    <col min="1032" max="1032" width="11.7109375" style="120" customWidth="1"/>
    <col min="1033" max="1033" width="14.7109375" style="120" customWidth="1"/>
    <col min="1034" max="1034" width="19.28515625" style="120" customWidth="1"/>
    <col min="1035" max="1280" width="9.140625" style="120"/>
    <col min="1281" max="1281" width="24.7109375" style="120" bestFit="1" customWidth="1"/>
    <col min="1282" max="1282" width="18.7109375" style="120" bestFit="1" customWidth="1"/>
    <col min="1283" max="1283" width="13.28515625" style="120" customWidth="1"/>
    <col min="1284" max="1284" width="17.28515625" style="120" customWidth="1"/>
    <col min="1285" max="1285" width="13.28515625" style="120" customWidth="1"/>
    <col min="1286" max="1286" width="12.28515625" style="120" customWidth="1"/>
    <col min="1287" max="1287" width="14.28515625" style="120" customWidth="1"/>
    <col min="1288" max="1288" width="11.7109375" style="120" customWidth="1"/>
    <col min="1289" max="1289" width="14.7109375" style="120" customWidth="1"/>
    <col min="1290" max="1290" width="19.28515625" style="120" customWidth="1"/>
    <col min="1291" max="1536" width="9.140625" style="120"/>
    <col min="1537" max="1537" width="24.7109375" style="120" bestFit="1" customWidth="1"/>
    <col min="1538" max="1538" width="18.7109375" style="120" bestFit="1" customWidth="1"/>
    <col min="1539" max="1539" width="13.28515625" style="120" customWidth="1"/>
    <col min="1540" max="1540" width="17.28515625" style="120" customWidth="1"/>
    <col min="1541" max="1541" width="13.28515625" style="120" customWidth="1"/>
    <col min="1542" max="1542" width="12.28515625" style="120" customWidth="1"/>
    <col min="1543" max="1543" width="14.28515625" style="120" customWidth="1"/>
    <col min="1544" max="1544" width="11.7109375" style="120" customWidth="1"/>
    <col min="1545" max="1545" width="14.7109375" style="120" customWidth="1"/>
    <col min="1546" max="1546" width="19.28515625" style="120" customWidth="1"/>
    <col min="1547" max="1792" width="9.140625" style="120"/>
    <col min="1793" max="1793" width="24.7109375" style="120" bestFit="1" customWidth="1"/>
    <col min="1794" max="1794" width="18.7109375" style="120" bestFit="1" customWidth="1"/>
    <col min="1795" max="1795" width="13.28515625" style="120" customWidth="1"/>
    <col min="1796" max="1796" width="17.28515625" style="120" customWidth="1"/>
    <col min="1797" max="1797" width="13.28515625" style="120" customWidth="1"/>
    <col min="1798" max="1798" width="12.28515625" style="120" customWidth="1"/>
    <col min="1799" max="1799" width="14.28515625" style="120" customWidth="1"/>
    <col min="1800" max="1800" width="11.7109375" style="120" customWidth="1"/>
    <col min="1801" max="1801" width="14.7109375" style="120" customWidth="1"/>
    <col min="1802" max="1802" width="19.28515625" style="120" customWidth="1"/>
    <col min="1803" max="2048" width="9.140625" style="120"/>
    <col min="2049" max="2049" width="24.7109375" style="120" bestFit="1" customWidth="1"/>
    <col min="2050" max="2050" width="18.7109375" style="120" bestFit="1" customWidth="1"/>
    <col min="2051" max="2051" width="13.28515625" style="120" customWidth="1"/>
    <col min="2052" max="2052" width="17.28515625" style="120" customWidth="1"/>
    <col min="2053" max="2053" width="13.28515625" style="120" customWidth="1"/>
    <col min="2054" max="2054" width="12.28515625" style="120" customWidth="1"/>
    <col min="2055" max="2055" width="14.28515625" style="120" customWidth="1"/>
    <col min="2056" max="2056" width="11.7109375" style="120" customWidth="1"/>
    <col min="2057" max="2057" width="14.7109375" style="120" customWidth="1"/>
    <col min="2058" max="2058" width="19.28515625" style="120" customWidth="1"/>
    <col min="2059" max="2304" width="9.140625" style="120"/>
    <col min="2305" max="2305" width="24.7109375" style="120" bestFit="1" customWidth="1"/>
    <col min="2306" max="2306" width="18.7109375" style="120" bestFit="1" customWidth="1"/>
    <col min="2307" max="2307" width="13.28515625" style="120" customWidth="1"/>
    <col min="2308" max="2308" width="17.28515625" style="120" customWidth="1"/>
    <col min="2309" max="2309" width="13.28515625" style="120" customWidth="1"/>
    <col min="2310" max="2310" width="12.28515625" style="120" customWidth="1"/>
    <col min="2311" max="2311" width="14.28515625" style="120" customWidth="1"/>
    <col min="2312" max="2312" width="11.7109375" style="120" customWidth="1"/>
    <col min="2313" max="2313" width="14.7109375" style="120" customWidth="1"/>
    <col min="2314" max="2314" width="19.28515625" style="120" customWidth="1"/>
    <col min="2315" max="2560" width="9.140625" style="120"/>
    <col min="2561" max="2561" width="24.7109375" style="120" bestFit="1" customWidth="1"/>
    <col min="2562" max="2562" width="18.7109375" style="120" bestFit="1" customWidth="1"/>
    <col min="2563" max="2563" width="13.28515625" style="120" customWidth="1"/>
    <col min="2564" max="2564" width="17.28515625" style="120" customWidth="1"/>
    <col min="2565" max="2565" width="13.28515625" style="120" customWidth="1"/>
    <col min="2566" max="2566" width="12.28515625" style="120" customWidth="1"/>
    <col min="2567" max="2567" width="14.28515625" style="120" customWidth="1"/>
    <col min="2568" max="2568" width="11.7109375" style="120" customWidth="1"/>
    <col min="2569" max="2569" width="14.7109375" style="120" customWidth="1"/>
    <col min="2570" max="2570" width="19.28515625" style="120" customWidth="1"/>
    <col min="2571" max="2816" width="9.140625" style="120"/>
    <col min="2817" max="2817" width="24.7109375" style="120" bestFit="1" customWidth="1"/>
    <col min="2818" max="2818" width="18.7109375" style="120" bestFit="1" customWidth="1"/>
    <col min="2819" max="2819" width="13.28515625" style="120" customWidth="1"/>
    <col min="2820" max="2820" width="17.28515625" style="120" customWidth="1"/>
    <col min="2821" max="2821" width="13.28515625" style="120" customWidth="1"/>
    <col min="2822" max="2822" width="12.28515625" style="120" customWidth="1"/>
    <col min="2823" max="2823" width="14.28515625" style="120" customWidth="1"/>
    <col min="2824" max="2824" width="11.7109375" style="120" customWidth="1"/>
    <col min="2825" max="2825" width="14.7109375" style="120" customWidth="1"/>
    <col min="2826" max="2826" width="19.28515625" style="120" customWidth="1"/>
    <col min="2827" max="3072" width="9.140625" style="120"/>
    <col min="3073" max="3073" width="24.7109375" style="120" bestFit="1" customWidth="1"/>
    <col min="3074" max="3074" width="18.7109375" style="120" bestFit="1" customWidth="1"/>
    <col min="3075" max="3075" width="13.28515625" style="120" customWidth="1"/>
    <col min="3076" max="3076" width="17.28515625" style="120" customWidth="1"/>
    <col min="3077" max="3077" width="13.28515625" style="120" customWidth="1"/>
    <col min="3078" max="3078" width="12.28515625" style="120" customWidth="1"/>
    <col min="3079" max="3079" width="14.28515625" style="120" customWidth="1"/>
    <col min="3080" max="3080" width="11.7109375" style="120" customWidth="1"/>
    <col min="3081" max="3081" width="14.7109375" style="120" customWidth="1"/>
    <col min="3082" max="3082" width="19.28515625" style="120" customWidth="1"/>
    <col min="3083" max="3328" width="9.140625" style="120"/>
    <col min="3329" max="3329" width="24.7109375" style="120" bestFit="1" customWidth="1"/>
    <col min="3330" max="3330" width="18.7109375" style="120" bestFit="1" customWidth="1"/>
    <col min="3331" max="3331" width="13.28515625" style="120" customWidth="1"/>
    <col min="3332" max="3332" width="17.28515625" style="120" customWidth="1"/>
    <col min="3333" max="3333" width="13.28515625" style="120" customWidth="1"/>
    <col min="3334" max="3334" width="12.28515625" style="120" customWidth="1"/>
    <col min="3335" max="3335" width="14.28515625" style="120" customWidth="1"/>
    <col min="3336" max="3336" width="11.7109375" style="120" customWidth="1"/>
    <col min="3337" max="3337" width="14.7109375" style="120" customWidth="1"/>
    <col min="3338" max="3338" width="19.28515625" style="120" customWidth="1"/>
    <col min="3339" max="3584" width="9.140625" style="120"/>
    <col min="3585" max="3585" width="24.7109375" style="120" bestFit="1" customWidth="1"/>
    <col min="3586" max="3586" width="18.7109375" style="120" bestFit="1" customWidth="1"/>
    <col min="3587" max="3587" width="13.28515625" style="120" customWidth="1"/>
    <col min="3588" max="3588" width="17.28515625" style="120" customWidth="1"/>
    <col min="3589" max="3589" width="13.28515625" style="120" customWidth="1"/>
    <col min="3590" max="3590" width="12.28515625" style="120" customWidth="1"/>
    <col min="3591" max="3591" width="14.28515625" style="120" customWidth="1"/>
    <col min="3592" max="3592" width="11.7109375" style="120" customWidth="1"/>
    <col min="3593" max="3593" width="14.7109375" style="120" customWidth="1"/>
    <col min="3594" max="3594" width="19.28515625" style="120" customWidth="1"/>
    <col min="3595" max="3840" width="9.140625" style="120"/>
    <col min="3841" max="3841" width="24.7109375" style="120" bestFit="1" customWidth="1"/>
    <col min="3842" max="3842" width="18.7109375" style="120" bestFit="1" customWidth="1"/>
    <col min="3843" max="3843" width="13.28515625" style="120" customWidth="1"/>
    <col min="3844" max="3844" width="17.28515625" style="120" customWidth="1"/>
    <col min="3845" max="3845" width="13.28515625" style="120" customWidth="1"/>
    <col min="3846" max="3846" width="12.28515625" style="120" customWidth="1"/>
    <col min="3847" max="3847" width="14.28515625" style="120" customWidth="1"/>
    <col min="3848" max="3848" width="11.7109375" style="120" customWidth="1"/>
    <col min="3849" max="3849" width="14.7109375" style="120" customWidth="1"/>
    <col min="3850" max="3850" width="19.28515625" style="120" customWidth="1"/>
    <col min="3851" max="4096" width="9.140625" style="120"/>
    <col min="4097" max="4097" width="24.7109375" style="120" bestFit="1" customWidth="1"/>
    <col min="4098" max="4098" width="18.7109375" style="120" bestFit="1" customWidth="1"/>
    <col min="4099" max="4099" width="13.28515625" style="120" customWidth="1"/>
    <col min="4100" max="4100" width="17.28515625" style="120" customWidth="1"/>
    <col min="4101" max="4101" width="13.28515625" style="120" customWidth="1"/>
    <col min="4102" max="4102" width="12.28515625" style="120" customWidth="1"/>
    <col min="4103" max="4103" width="14.28515625" style="120" customWidth="1"/>
    <col min="4104" max="4104" width="11.7109375" style="120" customWidth="1"/>
    <col min="4105" max="4105" width="14.7109375" style="120" customWidth="1"/>
    <col min="4106" max="4106" width="19.28515625" style="120" customWidth="1"/>
    <col min="4107" max="4352" width="9.140625" style="120"/>
    <col min="4353" max="4353" width="24.7109375" style="120" bestFit="1" customWidth="1"/>
    <col min="4354" max="4354" width="18.7109375" style="120" bestFit="1" customWidth="1"/>
    <col min="4355" max="4355" width="13.28515625" style="120" customWidth="1"/>
    <col min="4356" max="4356" width="17.28515625" style="120" customWidth="1"/>
    <col min="4357" max="4357" width="13.28515625" style="120" customWidth="1"/>
    <col min="4358" max="4358" width="12.28515625" style="120" customWidth="1"/>
    <col min="4359" max="4359" width="14.28515625" style="120" customWidth="1"/>
    <col min="4360" max="4360" width="11.7109375" style="120" customWidth="1"/>
    <col min="4361" max="4361" width="14.7109375" style="120" customWidth="1"/>
    <col min="4362" max="4362" width="19.28515625" style="120" customWidth="1"/>
    <col min="4363" max="4608" width="9.140625" style="120"/>
    <col min="4609" max="4609" width="24.7109375" style="120" bestFit="1" customWidth="1"/>
    <col min="4610" max="4610" width="18.7109375" style="120" bestFit="1" customWidth="1"/>
    <col min="4611" max="4611" width="13.28515625" style="120" customWidth="1"/>
    <col min="4612" max="4612" width="17.28515625" style="120" customWidth="1"/>
    <col min="4613" max="4613" width="13.28515625" style="120" customWidth="1"/>
    <col min="4614" max="4614" width="12.28515625" style="120" customWidth="1"/>
    <col min="4615" max="4615" width="14.28515625" style="120" customWidth="1"/>
    <col min="4616" max="4616" width="11.7109375" style="120" customWidth="1"/>
    <col min="4617" max="4617" width="14.7109375" style="120" customWidth="1"/>
    <col min="4618" max="4618" width="19.28515625" style="120" customWidth="1"/>
    <col min="4619" max="4864" width="9.140625" style="120"/>
    <col min="4865" max="4865" width="24.7109375" style="120" bestFit="1" customWidth="1"/>
    <col min="4866" max="4866" width="18.7109375" style="120" bestFit="1" customWidth="1"/>
    <col min="4867" max="4867" width="13.28515625" style="120" customWidth="1"/>
    <col min="4868" max="4868" width="17.28515625" style="120" customWidth="1"/>
    <col min="4869" max="4869" width="13.28515625" style="120" customWidth="1"/>
    <col min="4870" max="4870" width="12.28515625" style="120" customWidth="1"/>
    <col min="4871" max="4871" width="14.28515625" style="120" customWidth="1"/>
    <col min="4872" max="4872" width="11.7109375" style="120" customWidth="1"/>
    <col min="4873" max="4873" width="14.7109375" style="120" customWidth="1"/>
    <col min="4874" max="4874" width="19.28515625" style="120" customWidth="1"/>
    <col min="4875" max="5120" width="9.140625" style="120"/>
    <col min="5121" max="5121" width="24.7109375" style="120" bestFit="1" customWidth="1"/>
    <col min="5122" max="5122" width="18.7109375" style="120" bestFit="1" customWidth="1"/>
    <col min="5123" max="5123" width="13.28515625" style="120" customWidth="1"/>
    <col min="5124" max="5124" width="17.28515625" style="120" customWidth="1"/>
    <col min="5125" max="5125" width="13.28515625" style="120" customWidth="1"/>
    <col min="5126" max="5126" width="12.28515625" style="120" customWidth="1"/>
    <col min="5127" max="5127" width="14.28515625" style="120" customWidth="1"/>
    <col min="5128" max="5128" width="11.7109375" style="120" customWidth="1"/>
    <col min="5129" max="5129" width="14.7109375" style="120" customWidth="1"/>
    <col min="5130" max="5130" width="19.28515625" style="120" customWidth="1"/>
    <col min="5131" max="5376" width="9.140625" style="120"/>
    <col min="5377" max="5377" width="24.7109375" style="120" bestFit="1" customWidth="1"/>
    <col min="5378" max="5378" width="18.7109375" style="120" bestFit="1" customWidth="1"/>
    <col min="5379" max="5379" width="13.28515625" style="120" customWidth="1"/>
    <col min="5380" max="5380" width="17.28515625" style="120" customWidth="1"/>
    <col min="5381" max="5381" width="13.28515625" style="120" customWidth="1"/>
    <col min="5382" max="5382" width="12.28515625" style="120" customWidth="1"/>
    <col min="5383" max="5383" width="14.28515625" style="120" customWidth="1"/>
    <col min="5384" max="5384" width="11.7109375" style="120" customWidth="1"/>
    <col min="5385" max="5385" width="14.7109375" style="120" customWidth="1"/>
    <col min="5386" max="5386" width="19.28515625" style="120" customWidth="1"/>
    <col min="5387" max="5632" width="9.140625" style="120"/>
    <col min="5633" max="5633" width="24.7109375" style="120" bestFit="1" customWidth="1"/>
    <col min="5634" max="5634" width="18.7109375" style="120" bestFit="1" customWidth="1"/>
    <col min="5635" max="5635" width="13.28515625" style="120" customWidth="1"/>
    <col min="5636" max="5636" width="17.28515625" style="120" customWidth="1"/>
    <col min="5637" max="5637" width="13.28515625" style="120" customWidth="1"/>
    <col min="5638" max="5638" width="12.28515625" style="120" customWidth="1"/>
    <col min="5639" max="5639" width="14.28515625" style="120" customWidth="1"/>
    <col min="5640" max="5640" width="11.7109375" style="120" customWidth="1"/>
    <col min="5641" max="5641" width="14.7109375" style="120" customWidth="1"/>
    <col min="5642" max="5642" width="19.28515625" style="120" customWidth="1"/>
    <col min="5643" max="5888" width="9.140625" style="120"/>
    <col min="5889" max="5889" width="24.7109375" style="120" bestFit="1" customWidth="1"/>
    <col min="5890" max="5890" width="18.7109375" style="120" bestFit="1" customWidth="1"/>
    <col min="5891" max="5891" width="13.28515625" style="120" customWidth="1"/>
    <col min="5892" max="5892" width="17.28515625" style="120" customWidth="1"/>
    <col min="5893" max="5893" width="13.28515625" style="120" customWidth="1"/>
    <col min="5894" max="5894" width="12.28515625" style="120" customWidth="1"/>
    <col min="5895" max="5895" width="14.28515625" style="120" customWidth="1"/>
    <col min="5896" max="5896" width="11.7109375" style="120" customWidth="1"/>
    <col min="5897" max="5897" width="14.7109375" style="120" customWidth="1"/>
    <col min="5898" max="5898" width="19.28515625" style="120" customWidth="1"/>
    <col min="5899" max="6144" width="9.140625" style="120"/>
    <col min="6145" max="6145" width="24.7109375" style="120" bestFit="1" customWidth="1"/>
    <col min="6146" max="6146" width="18.7109375" style="120" bestFit="1" customWidth="1"/>
    <col min="6147" max="6147" width="13.28515625" style="120" customWidth="1"/>
    <col min="6148" max="6148" width="17.28515625" style="120" customWidth="1"/>
    <col min="6149" max="6149" width="13.28515625" style="120" customWidth="1"/>
    <col min="6150" max="6150" width="12.28515625" style="120" customWidth="1"/>
    <col min="6151" max="6151" width="14.28515625" style="120" customWidth="1"/>
    <col min="6152" max="6152" width="11.7109375" style="120" customWidth="1"/>
    <col min="6153" max="6153" width="14.7109375" style="120" customWidth="1"/>
    <col min="6154" max="6154" width="19.28515625" style="120" customWidth="1"/>
    <col min="6155" max="6400" width="9.140625" style="120"/>
    <col min="6401" max="6401" width="24.7109375" style="120" bestFit="1" customWidth="1"/>
    <col min="6402" max="6402" width="18.7109375" style="120" bestFit="1" customWidth="1"/>
    <col min="6403" max="6403" width="13.28515625" style="120" customWidth="1"/>
    <col min="6404" max="6404" width="17.28515625" style="120" customWidth="1"/>
    <col min="6405" max="6405" width="13.28515625" style="120" customWidth="1"/>
    <col min="6406" max="6406" width="12.28515625" style="120" customWidth="1"/>
    <col min="6407" max="6407" width="14.28515625" style="120" customWidth="1"/>
    <col min="6408" max="6408" width="11.7109375" style="120" customWidth="1"/>
    <col min="6409" max="6409" width="14.7109375" style="120" customWidth="1"/>
    <col min="6410" max="6410" width="19.28515625" style="120" customWidth="1"/>
    <col min="6411" max="6656" width="9.140625" style="120"/>
    <col min="6657" max="6657" width="24.7109375" style="120" bestFit="1" customWidth="1"/>
    <col min="6658" max="6658" width="18.7109375" style="120" bestFit="1" customWidth="1"/>
    <col min="6659" max="6659" width="13.28515625" style="120" customWidth="1"/>
    <col min="6660" max="6660" width="17.28515625" style="120" customWidth="1"/>
    <col min="6661" max="6661" width="13.28515625" style="120" customWidth="1"/>
    <col min="6662" max="6662" width="12.28515625" style="120" customWidth="1"/>
    <col min="6663" max="6663" width="14.28515625" style="120" customWidth="1"/>
    <col min="6664" max="6664" width="11.7109375" style="120" customWidth="1"/>
    <col min="6665" max="6665" width="14.7109375" style="120" customWidth="1"/>
    <col min="6666" max="6666" width="19.28515625" style="120" customWidth="1"/>
    <col min="6667" max="6912" width="9.140625" style="120"/>
    <col min="6913" max="6913" width="24.7109375" style="120" bestFit="1" customWidth="1"/>
    <col min="6914" max="6914" width="18.7109375" style="120" bestFit="1" customWidth="1"/>
    <col min="6915" max="6915" width="13.28515625" style="120" customWidth="1"/>
    <col min="6916" max="6916" width="17.28515625" style="120" customWidth="1"/>
    <col min="6917" max="6917" width="13.28515625" style="120" customWidth="1"/>
    <col min="6918" max="6918" width="12.28515625" style="120" customWidth="1"/>
    <col min="6919" max="6919" width="14.28515625" style="120" customWidth="1"/>
    <col min="6920" max="6920" width="11.7109375" style="120" customWidth="1"/>
    <col min="6921" max="6921" width="14.7109375" style="120" customWidth="1"/>
    <col min="6922" max="6922" width="19.28515625" style="120" customWidth="1"/>
    <col min="6923" max="7168" width="9.140625" style="120"/>
    <col min="7169" max="7169" width="24.7109375" style="120" bestFit="1" customWidth="1"/>
    <col min="7170" max="7170" width="18.7109375" style="120" bestFit="1" customWidth="1"/>
    <col min="7171" max="7171" width="13.28515625" style="120" customWidth="1"/>
    <col min="7172" max="7172" width="17.28515625" style="120" customWidth="1"/>
    <col min="7173" max="7173" width="13.28515625" style="120" customWidth="1"/>
    <col min="7174" max="7174" width="12.28515625" style="120" customWidth="1"/>
    <col min="7175" max="7175" width="14.28515625" style="120" customWidth="1"/>
    <col min="7176" max="7176" width="11.7109375" style="120" customWidth="1"/>
    <col min="7177" max="7177" width="14.7109375" style="120" customWidth="1"/>
    <col min="7178" max="7178" width="19.28515625" style="120" customWidth="1"/>
    <col min="7179" max="7424" width="9.140625" style="120"/>
    <col min="7425" max="7425" width="24.7109375" style="120" bestFit="1" customWidth="1"/>
    <col min="7426" max="7426" width="18.7109375" style="120" bestFit="1" customWidth="1"/>
    <col min="7427" max="7427" width="13.28515625" style="120" customWidth="1"/>
    <col min="7428" max="7428" width="17.28515625" style="120" customWidth="1"/>
    <col min="7429" max="7429" width="13.28515625" style="120" customWidth="1"/>
    <col min="7430" max="7430" width="12.28515625" style="120" customWidth="1"/>
    <col min="7431" max="7431" width="14.28515625" style="120" customWidth="1"/>
    <col min="7432" max="7432" width="11.7109375" style="120" customWidth="1"/>
    <col min="7433" max="7433" width="14.7109375" style="120" customWidth="1"/>
    <col min="7434" max="7434" width="19.28515625" style="120" customWidth="1"/>
    <col min="7435" max="7680" width="9.140625" style="120"/>
    <col min="7681" max="7681" width="24.7109375" style="120" bestFit="1" customWidth="1"/>
    <col min="7682" max="7682" width="18.7109375" style="120" bestFit="1" customWidth="1"/>
    <col min="7683" max="7683" width="13.28515625" style="120" customWidth="1"/>
    <col min="7684" max="7684" width="17.28515625" style="120" customWidth="1"/>
    <col min="7685" max="7685" width="13.28515625" style="120" customWidth="1"/>
    <col min="7686" max="7686" width="12.28515625" style="120" customWidth="1"/>
    <col min="7687" max="7687" width="14.28515625" style="120" customWidth="1"/>
    <col min="7688" max="7688" width="11.7109375" style="120" customWidth="1"/>
    <col min="7689" max="7689" width="14.7109375" style="120" customWidth="1"/>
    <col min="7690" max="7690" width="19.28515625" style="120" customWidth="1"/>
    <col min="7691" max="7936" width="9.140625" style="120"/>
    <col min="7937" max="7937" width="24.7109375" style="120" bestFit="1" customWidth="1"/>
    <col min="7938" max="7938" width="18.7109375" style="120" bestFit="1" customWidth="1"/>
    <col min="7939" max="7939" width="13.28515625" style="120" customWidth="1"/>
    <col min="7940" max="7940" width="17.28515625" style="120" customWidth="1"/>
    <col min="7941" max="7941" width="13.28515625" style="120" customWidth="1"/>
    <col min="7942" max="7942" width="12.28515625" style="120" customWidth="1"/>
    <col min="7943" max="7943" width="14.28515625" style="120" customWidth="1"/>
    <col min="7944" max="7944" width="11.7109375" style="120" customWidth="1"/>
    <col min="7945" max="7945" width="14.7109375" style="120" customWidth="1"/>
    <col min="7946" max="7946" width="19.28515625" style="120" customWidth="1"/>
    <col min="7947" max="8192" width="9.140625" style="120"/>
    <col min="8193" max="8193" width="24.7109375" style="120" bestFit="1" customWidth="1"/>
    <col min="8194" max="8194" width="18.7109375" style="120" bestFit="1" customWidth="1"/>
    <col min="8195" max="8195" width="13.28515625" style="120" customWidth="1"/>
    <col min="8196" max="8196" width="17.28515625" style="120" customWidth="1"/>
    <col min="8197" max="8197" width="13.28515625" style="120" customWidth="1"/>
    <col min="8198" max="8198" width="12.28515625" style="120" customWidth="1"/>
    <col min="8199" max="8199" width="14.28515625" style="120" customWidth="1"/>
    <col min="8200" max="8200" width="11.7109375" style="120" customWidth="1"/>
    <col min="8201" max="8201" width="14.7109375" style="120" customWidth="1"/>
    <col min="8202" max="8202" width="19.28515625" style="120" customWidth="1"/>
    <col min="8203" max="8448" width="9.140625" style="120"/>
    <col min="8449" max="8449" width="24.7109375" style="120" bestFit="1" customWidth="1"/>
    <col min="8450" max="8450" width="18.7109375" style="120" bestFit="1" customWidth="1"/>
    <col min="8451" max="8451" width="13.28515625" style="120" customWidth="1"/>
    <col min="8452" max="8452" width="17.28515625" style="120" customWidth="1"/>
    <col min="8453" max="8453" width="13.28515625" style="120" customWidth="1"/>
    <col min="8454" max="8454" width="12.28515625" style="120" customWidth="1"/>
    <col min="8455" max="8455" width="14.28515625" style="120" customWidth="1"/>
    <col min="8456" max="8456" width="11.7109375" style="120" customWidth="1"/>
    <col min="8457" max="8457" width="14.7109375" style="120" customWidth="1"/>
    <col min="8458" max="8458" width="19.28515625" style="120" customWidth="1"/>
    <col min="8459" max="8704" width="9.140625" style="120"/>
    <col min="8705" max="8705" width="24.7109375" style="120" bestFit="1" customWidth="1"/>
    <col min="8706" max="8706" width="18.7109375" style="120" bestFit="1" customWidth="1"/>
    <col min="8707" max="8707" width="13.28515625" style="120" customWidth="1"/>
    <col min="8708" max="8708" width="17.28515625" style="120" customWidth="1"/>
    <col min="8709" max="8709" width="13.28515625" style="120" customWidth="1"/>
    <col min="8710" max="8710" width="12.28515625" style="120" customWidth="1"/>
    <col min="8711" max="8711" width="14.28515625" style="120" customWidth="1"/>
    <col min="8712" max="8712" width="11.7109375" style="120" customWidth="1"/>
    <col min="8713" max="8713" width="14.7109375" style="120" customWidth="1"/>
    <col min="8714" max="8714" width="19.28515625" style="120" customWidth="1"/>
    <col min="8715" max="8960" width="9.140625" style="120"/>
    <col min="8961" max="8961" width="24.7109375" style="120" bestFit="1" customWidth="1"/>
    <col min="8962" max="8962" width="18.7109375" style="120" bestFit="1" customWidth="1"/>
    <col min="8963" max="8963" width="13.28515625" style="120" customWidth="1"/>
    <col min="8964" max="8964" width="17.28515625" style="120" customWidth="1"/>
    <col min="8965" max="8965" width="13.28515625" style="120" customWidth="1"/>
    <col min="8966" max="8966" width="12.28515625" style="120" customWidth="1"/>
    <col min="8967" max="8967" width="14.28515625" style="120" customWidth="1"/>
    <col min="8968" max="8968" width="11.7109375" style="120" customWidth="1"/>
    <col min="8969" max="8969" width="14.7109375" style="120" customWidth="1"/>
    <col min="8970" max="8970" width="19.28515625" style="120" customWidth="1"/>
    <col min="8971" max="9216" width="9.140625" style="120"/>
    <col min="9217" max="9217" width="24.7109375" style="120" bestFit="1" customWidth="1"/>
    <col min="9218" max="9218" width="18.7109375" style="120" bestFit="1" customWidth="1"/>
    <col min="9219" max="9219" width="13.28515625" style="120" customWidth="1"/>
    <col min="9220" max="9220" width="17.28515625" style="120" customWidth="1"/>
    <col min="9221" max="9221" width="13.28515625" style="120" customWidth="1"/>
    <col min="9222" max="9222" width="12.28515625" style="120" customWidth="1"/>
    <col min="9223" max="9223" width="14.28515625" style="120" customWidth="1"/>
    <col min="9224" max="9224" width="11.7109375" style="120" customWidth="1"/>
    <col min="9225" max="9225" width="14.7109375" style="120" customWidth="1"/>
    <col min="9226" max="9226" width="19.28515625" style="120" customWidth="1"/>
    <col min="9227" max="9472" width="9.140625" style="120"/>
    <col min="9473" max="9473" width="24.7109375" style="120" bestFit="1" customWidth="1"/>
    <col min="9474" max="9474" width="18.7109375" style="120" bestFit="1" customWidth="1"/>
    <col min="9475" max="9475" width="13.28515625" style="120" customWidth="1"/>
    <col min="9476" max="9476" width="17.28515625" style="120" customWidth="1"/>
    <col min="9477" max="9477" width="13.28515625" style="120" customWidth="1"/>
    <col min="9478" max="9478" width="12.28515625" style="120" customWidth="1"/>
    <col min="9479" max="9479" width="14.28515625" style="120" customWidth="1"/>
    <col min="9480" max="9480" width="11.7109375" style="120" customWidth="1"/>
    <col min="9481" max="9481" width="14.7109375" style="120" customWidth="1"/>
    <col min="9482" max="9482" width="19.28515625" style="120" customWidth="1"/>
    <col min="9483" max="9728" width="9.140625" style="120"/>
    <col min="9729" max="9729" width="24.7109375" style="120" bestFit="1" customWidth="1"/>
    <col min="9730" max="9730" width="18.7109375" style="120" bestFit="1" customWidth="1"/>
    <col min="9731" max="9731" width="13.28515625" style="120" customWidth="1"/>
    <col min="9732" max="9732" width="17.28515625" style="120" customWidth="1"/>
    <col min="9733" max="9733" width="13.28515625" style="120" customWidth="1"/>
    <col min="9734" max="9734" width="12.28515625" style="120" customWidth="1"/>
    <col min="9735" max="9735" width="14.28515625" style="120" customWidth="1"/>
    <col min="9736" max="9736" width="11.7109375" style="120" customWidth="1"/>
    <col min="9737" max="9737" width="14.7109375" style="120" customWidth="1"/>
    <col min="9738" max="9738" width="19.28515625" style="120" customWidth="1"/>
    <col min="9739" max="9984" width="9.140625" style="120"/>
    <col min="9985" max="9985" width="24.7109375" style="120" bestFit="1" customWidth="1"/>
    <col min="9986" max="9986" width="18.7109375" style="120" bestFit="1" customWidth="1"/>
    <col min="9987" max="9987" width="13.28515625" style="120" customWidth="1"/>
    <col min="9988" max="9988" width="17.28515625" style="120" customWidth="1"/>
    <col min="9989" max="9989" width="13.28515625" style="120" customWidth="1"/>
    <col min="9990" max="9990" width="12.28515625" style="120" customWidth="1"/>
    <col min="9991" max="9991" width="14.28515625" style="120" customWidth="1"/>
    <col min="9992" max="9992" width="11.7109375" style="120" customWidth="1"/>
    <col min="9993" max="9993" width="14.7109375" style="120" customWidth="1"/>
    <col min="9994" max="9994" width="19.28515625" style="120" customWidth="1"/>
    <col min="9995" max="10240" width="9.140625" style="120"/>
    <col min="10241" max="10241" width="24.7109375" style="120" bestFit="1" customWidth="1"/>
    <col min="10242" max="10242" width="18.7109375" style="120" bestFit="1" customWidth="1"/>
    <col min="10243" max="10243" width="13.28515625" style="120" customWidth="1"/>
    <col min="10244" max="10244" width="17.28515625" style="120" customWidth="1"/>
    <col min="10245" max="10245" width="13.28515625" style="120" customWidth="1"/>
    <col min="10246" max="10246" width="12.28515625" style="120" customWidth="1"/>
    <col min="10247" max="10247" width="14.28515625" style="120" customWidth="1"/>
    <col min="10248" max="10248" width="11.7109375" style="120" customWidth="1"/>
    <col min="10249" max="10249" width="14.7109375" style="120" customWidth="1"/>
    <col min="10250" max="10250" width="19.28515625" style="120" customWidth="1"/>
    <col min="10251" max="10496" width="9.140625" style="120"/>
    <col min="10497" max="10497" width="24.7109375" style="120" bestFit="1" customWidth="1"/>
    <col min="10498" max="10498" width="18.7109375" style="120" bestFit="1" customWidth="1"/>
    <col min="10499" max="10499" width="13.28515625" style="120" customWidth="1"/>
    <col min="10500" max="10500" width="17.28515625" style="120" customWidth="1"/>
    <col min="10501" max="10501" width="13.28515625" style="120" customWidth="1"/>
    <col min="10502" max="10502" width="12.28515625" style="120" customWidth="1"/>
    <col min="10503" max="10503" width="14.28515625" style="120" customWidth="1"/>
    <col min="10504" max="10504" width="11.7109375" style="120" customWidth="1"/>
    <col min="10505" max="10505" width="14.7109375" style="120" customWidth="1"/>
    <col min="10506" max="10506" width="19.28515625" style="120" customWidth="1"/>
    <col min="10507" max="10752" width="9.140625" style="120"/>
    <col min="10753" max="10753" width="24.7109375" style="120" bestFit="1" customWidth="1"/>
    <col min="10754" max="10754" width="18.7109375" style="120" bestFit="1" customWidth="1"/>
    <col min="10755" max="10755" width="13.28515625" style="120" customWidth="1"/>
    <col min="10756" max="10756" width="17.28515625" style="120" customWidth="1"/>
    <col min="10757" max="10757" width="13.28515625" style="120" customWidth="1"/>
    <col min="10758" max="10758" width="12.28515625" style="120" customWidth="1"/>
    <col min="10759" max="10759" width="14.28515625" style="120" customWidth="1"/>
    <col min="10760" max="10760" width="11.7109375" style="120" customWidth="1"/>
    <col min="10761" max="10761" width="14.7109375" style="120" customWidth="1"/>
    <col min="10762" max="10762" width="19.28515625" style="120" customWidth="1"/>
    <col min="10763" max="11008" width="9.140625" style="120"/>
    <col min="11009" max="11009" width="24.7109375" style="120" bestFit="1" customWidth="1"/>
    <col min="11010" max="11010" width="18.7109375" style="120" bestFit="1" customWidth="1"/>
    <col min="11011" max="11011" width="13.28515625" style="120" customWidth="1"/>
    <col min="11012" max="11012" width="17.28515625" style="120" customWidth="1"/>
    <col min="11013" max="11013" width="13.28515625" style="120" customWidth="1"/>
    <col min="11014" max="11014" width="12.28515625" style="120" customWidth="1"/>
    <col min="11015" max="11015" width="14.28515625" style="120" customWidth="1"/>
    <col min="11016" max="11016" width="11.7109375" style="120" customWidth="1"/>
    <col min="11017" max="11017" width="14.7109375" style="120" customWidth="1"/>
    <col min="11018" max="11018" width="19.28515625" style="120" customWidth="1"/>
    <col min="11019" max="11264" width="9.140625" style="120"/>
    <col min="11265" max="11265" width="24.7109375" style="120" bestFit="1" customWidth="1"/>
    <col min="11266" max="11266" width="18.7109375" style="120" bestFit="1" customWidth="1"/>
    <col min="11267" max="11267" width="13.28515625" style="120" customWidth="1"/>
    <col min="11268" max="11268" width="17.28515625" style="120" customWidth="1"/>
    <col min="11269" max="11269" width="13.28515625" style="120" customWidth="1"/>
    <col min="11270" max="11270" width="12.28515625" style="120" customWidth="1"/>
    <col min="11271" max="11271" width="14.28515625" style="120" customWidth="1"/>
    <col min="11272" max="11272" width="11.7109375" style="120" customWidth="1"/>
    <col min="11273" max="11273" width="14.7109375" style="120" customWidth="1"/>
    <col min="11274" max="11274" width="19.28515625" style="120" customWidth="1"/>
    <col min="11275" max="11520" width="9.140625" style="120"/>
    <col min="11521" max="11521" width="24.7109375" style="120" bestFit="1" customWidth="1"/>
    <col min="11522" max="11522" width="18.7109375" style="120" bestFit="1" customWidth="1"/>
    <col min="11523" max="11523" width="13.28515625" style="120" customWidth="1"/>
    <col min="11524" max="11524" width="17.28515625" style="120" customWidth="1"/>
    <col min="11525" max="11525" width="13.28515625" style="120" customWidth="1"/>
    <col min="11526" max="11526" width="12.28515625" style="120" customWidth="1"/>
    <col min="11527" max="11527" width="14.28515625" style="120" customWidth="1"/>
    <col min="11528" max="11528" width="11.7109375" style="120" customWidth="1"/>
    <col min="11529" max="11529" width="14.7109375" style="120" customWidth="1"/>
    <col min="11530" max="11530" width="19.28515625" style="120" customWidth="1"/>
    <col min="11531" max="11776" width="9.140625" style="120"/>
    <col min="11777" max="11777" width="24.7109375" style="120" bestFit="1" customWidth="1"/>
    <col min="11778" max="11778" width="18.7109375" style="120" bestFit="1" customWidth="1"/>
    <col min="11779" max="11779" width="13.28515625" style="120" customWidth="1"/>
    <col min="11780" max="11780" width="17.28515625" style="120" customWidth="1"/>
    <col min="11781" max="11781" width="13.28515625" style="120" customWidth="1"/>
    <col min="11782" max="11782" width="12.28515625" style="120" customWidth="1"/>
    <col min="11783" max="11783" width="14.28515625" style="120" customWidth="1"/>
    <col min="11784" max="11784" width="11.7109375" style="120" customWidth="1"/>
    <col min="11785" max="11785" width="14.7109375" style="120" customWidth="1"/>
    <col min="11786" max="11786" width="19.28515625" style="120" customWidth="1"/>
    <col min="11787" max="12032" width="9.140625" style="120"/>
    <col min="12033" max="12033" width="24.7109375" style="120" bestFit="1" customWidth="1"/>
    <col min="12034" max="12034" width="18.7109375" style="120" bestFit="1" customWidth="1"/>
    <col min="12035" max="12035" width="13.28515625" style="120" customWidth="1"/>
    <col min="12036" max="12036" width="17.28515625" style="120" customWidth="1"/>
    <col min="12037" max="12037" width="13.28515625" style="120" customWidth="1"/>
    <col min="12038" max="12038" width="12.28515625" style="120" customWidth="1"/>
    <col min="12039" max="12039" width="14.28515625" style="120" customWidth="1"/>
    <col min="12040" max="12040" width="11.7109375" style="120" customWidth="1"/>
    <col min="12041" max="12041" width="14.7109375" style="120" customWidth="1"/>
    <col min="12042" max="12042" width="19.28515625" style="120" customWidth="1"/>
    <col min="12043" max="12288" width="9.140625" style="120"/>
    <col min="12289" max="12289" width="24.7109375" style="120" bestFit="1" customWidth="1"/>
    <col min="12290" max="12290" width="18.7109375" style="120" bestFit="1" customWidth="1"/>
    <col min="12291" max="12291" width="13.28515625" style="120" customWidth="1"/>
    <col min="12292" max="12292" width="17.28515625" style="120" customWidth="1"/>
    <col min="12293" max="12293" width="13.28515625" style="120" customWidth="1"/>
    <col min="12294" max="12294" width="12.28515625" style="120" customWidth="1"/>
    <col min="12295" max="12295" width="14.28515625" style="120" customWidth="1"/>
    <col min="12296" max="12296" width="11.7109375" style="120" customWidth="1"/>
    <col min="12297" max="12297" width="14.7109375" style="120" customWidth="1"/>
    <col min="12298" max="12298" width="19.28515625" style="120" customWidth="1"/>
    <col min="12299" max="12544" width="9.140625" style="120"/>
    <col min="12545" max="12545" width="24.7109375" style="120" bestFit="1" customWidth="1"/>
    <col min="12546" max="12546" width="18.7109375" style="120" bestFit="1" customWidth="1"/>
    <col min="12547" max="12547" width="13.28515625" style="120" customWidth="1"/>
    <col min="12548" max="12548" width="17.28515625" style="120" customWidth="1"/>
    <col min="12549" max="12549" width="13.28515625" style="120" customWidth="1"/>
    <col min="12550" max="12550" width="12.28515625" style="120" customWidth="1"/>
    <col min="12551" max="12551" width="14.28515625" style="120" customWidth="1"/>
    <col min="12552" max="12552" width="11.7109375" style="120" customWidth="1"/>
    <col min="12553" max="12553" width="14.7109375" style="120" customWidth="1"/>
    <col min="12554" max="12554" width="19.28515625" style="120" customWidth="1"/>
    <col min="12555" max="12800" width="9.140625" style="120"/>
    <col min="12801" max="12801" width="24.7109375" style="120" bestFit="1" customWidth="1"/>
    <col min="12802" max="12802" width="18.7109375" style="120" bestFit="1" customWidth="1"/>
    <col min="12803" max="12803" width="13.28515625" style="120" customWidth="1"/>
    <col min="12804" max="12804" width="17.28515625" style="120" customWidth="1"/>
    <col min="12805" max="12805" width="13.28515625" style="120" customWidth="1"/>
    <col min="12806" max="12806" width="12.28515625" style="120" customWidth="1"/>
    <col min="12807" max="12807" width="14.28515625" style="120" customWidth="1"/>
    <col min="12808" max="12808" width="11.7109375" style="120" customWidth="1"/>
    <col min="12809" max="12809" width="14.7109375" style="120" customWidth="1"/>
    <col min="12810" max="12810" width="19.28515625" style="120" customWidth="1"/>
    <col min="12811" max="13056" width="9.140625" style="120"/>
    <col min="13057" max="13057" width="24.7109375" style="120" bestFit="1" customWidth="1"/>
    <col min="13058" max="13058" width="18.7109375" style="120" bestFit="1" customWidth="1"/>
    <col min="13059" max="13059" width="13.28515625" style="120" customWidth="1"/>
    <col min="13060" max="13060" width="17.28515625" style="120" customWidth="1"/>
    <col min="13061" max="13061" width="13.28515625" style="120" customWidth="1"/>
    <col min="13062" max="13062" width="12.28515625" style="120" customWidth="1"/>
    <col min="13063" max="13063" width="14.28515625" style="120" customWidth="1"/>
    <col min="13064" max="13064" width="11.7109375" style="120" customWidth="1"/>
    <col min="13065" max="13065" width="14.7109375" style="120" customWidth="1"/>
    <col min="13066" max="13066" width="19.28515625" style="120" customWidth="1"/>
    <col min="13067" max="13312" width="9.140625" style="120"/>
    <col min="13313" max="13313" width="24.7109375" style="120" bestFit="1" customWidth="1"/>
    <col min="13314" max="13314" width="18.7109375" style="120" bestFit="1" customWidth="1"/>
    <col min="13315" max="13315" width="13.28515625" style="120" customWidth="1"/>
    <col min="13316" max="13316" width="17.28515625" style="120" customWidth="1"/>
    <col min="13317" max="13317" width="13.28515625" style="120" customWidth="1"/>
    <col min="13318" max="13318" width="12.28515625" style="120" customWidth="1"/>
    <col min="13319" max="13319" width="14.28515625" style="120" customWidth="1"/>
    <col min="13320" max="13320" width="11.7109375" style="120" customWidth="1"/>
    <col min="13321" max="13321" width="14.7109375" style="120" customWidth="1"/>
    <col min="13322" max="13322" width="19.28515625" style="120" customWidth="1"/>
    <col min="13323" max="13568" width="9.140625" style="120"/>
    <col min="13569" max="13569" width="24.7109375" style="120" bestFit="1" customWidth="1"/>
    <col min="13570" max="13570" width="18.7109375" style="120" bestFit="1" customWidth="1"/>
    <col min="13571" max="13571" width="13.28515625" style="120" customWidth="1"/>
    <col min="13572" max="13572" width="17.28515625" style="120" customWidth="1"/>
    <col min="13573" max="13573" width="13.28515625" style="120" customWidth="1"/>
    <col min="13574" max="13574" width="12.28515625" style="120" customWidth="1"/>
    <col min="13575" max="13575" width="14.28515625" style="120" customWidth="1"/>
    <col min="13576" max="13576" width="11.7109375" style="120" customWidth="1"/>
    <col min="13577" max="13577" width="14.7109375" style="120" customWidth="1"/>
    <col min="13578" max="13578" width="19.28515625" style="120" customWidth="1"/>
    <col min="13579" max="13824" width="9.140625" style="120"/>
    <col min="13825" max="13825" width="24.7109375" style="120" bestFit="1" customWidth="1"/>
    <col min="13826" max="13826" width="18.7109375" style="120" bestFit="1" customWidth="1"/>
    <col min="13827" max="13827" width="13.28515625" style="120" customWidth="1"/>
    <col min="13828" max="13828" width="17.28515625" style="120" customWidth="1"/>
    <col min="13829" max="13829" width="13.28515625" style="120" customWidth="1"/>
    <col min="13830" max="13830" width="12.28515625" style="120" customWidth="1"/>
    <col min="13831" max="13831" width="14.28515625" style="120" customWidth="1"/>
    <col min="13832" max="13832" width="11.7109375" style="120" customWidth="1"/>
    <col min="13833" max="13833" width="14.7109375" style="120" customWidth="1"/>
    <col min="13834" max="13834" width="19.28515625" style="120" customWidth="1"/>
    <col min="13835" max="14080" width="9.140625" style="120"/>
    <col min="14081" max="14081" width="24.7109375" style="120" bestFit="1" customWidth="1"/>
    <col min="14082" max="14082" width="18.7109375" style="120" bestFit="1" customWidth="1"/>
    <col min="14083" max="14083" width="13.28515625" style="120" customWidth="1"/>
    <col min="14084" max="14084" width="17.28515625" style="120" customWidth="1"/>
    <col min="14085" max="14085" width="13.28515625" style="120" customWidth="1"/>
    <col min="14086" max="14086" width="12.28515625" style="120" customWidth="1"/>
    <col min="14087" max="14087" width="14.28515625" style="120" customWidth="1"/>
    <col min="14088" max="14088" width="11.7109375" style="120" customWidth="1"/>
    <col min="14089" max="14089" width="14.7109375" style="120" customWidth="1"/>
    <col min="14090" max="14090" width="19.28515625" style="120" customWidth="1"/>
    <col min="14091" max="14336" width="9.140625" style="120"/>
    <col min="14337" max="14337" width="24.7109375" style="120" bestFit="1" customWidth="1"/>
    <col min="14338" max="14338" width="18.7109375" style="120" bestFit="1" customWidth="1"/>
    <col min="14339" max="14339" width="13.28515625" style="120" customWidth="1"/>
    <col min="14340" max="14340" width="17.28515625" style="120" customWidth="1"/>
    <col min="14341" max="14341" width="13.28515625" style="120" customWidth="1"/>
    <col min="14342" max="14342" width="12.28515625" style="120" customWidth="1"/>
    <col min="14343" max="14343" width="14.28515625" style="120" customWidth="1"/>
    <col min="14344" max="14344" width="11.7109375" style="120" customWidth="1"/>
    <col min="14345" max="14345" width="14.7109375" style="120" customWidth="1"/>
    <col min="14346" max="14346" width="19.28515625" style="120" customWidth="1"/>
    <col min="14347" max="14592" width="9.140625" style="120"/>
    <col min="14593" max="14593" width="24.7109375" style="120" bestFit="1" customWidth="1"/>
    <col min="14594" max="14594" width="18.7109375" style="120" bestFit="1" customWidth="1"/>
    <col min="14595" max="14595" width="13.28515625" style="120" customWidth="1"/>
    <col min="14596" max="14596" width="17.28515625" style="120" customWidth="1"/>
    <col min="14597" max="14597" width="13.28515625" style="120" customWidth="1"/>
    <col min="14598" max="14598" width="12.28515625" style="120" customWidth="1"/>
    <col min="14599" max="14599" width="14.28515625" style="120" customWidth="1"/>
    <col min="14600" max="14600" width="11.7109375" style="120" customWidth="1"/>
    <col min="14601" max="14601" width="14.7109375" style="120" customWidth="1"/>
    <col min="14602" max="14602" width="19.28515625" style="120" customWidth="1"/>
    <col min="14603" max="14848" width="9.140625" style="120"/>
    <col min="14849" max="14849" width="24.7109375" style="120" bestFit="1" customWidth="1"/>
    <col min="14850" max="14850" width="18.7109375" style="120" bestFit="1" customWidth="1"/>
    <col min="14851" max="14851" width="13.28515625" style="120" customWidth="1"/>
    <col min="14852" max="14852" width="17.28515625" style="120" customWidth="1"/>
    <col min="14853" max="14853" width="13.28515625" style="120" customWidth="1"/>
    <col min="14854" max="14854" width="12.28515625" style="120" customWidth="1"/>
    <col min="14855" max="14855" width="14.28515625" style="120" customWidth="1"/>
    <col min="14856" max="14856" width="11.7109375" style="120" customWidth="1"/>
    <col min="14857" max="14857" width="14.7109375" style="120" customWidth="1"/>
    <col min="14858" max="14858" width="19.28515625" style="120" customWidth="1"/>
    <col min="14859" max="15104" width="9.140625" style="120"/>
    <col min="15105" max="15105" width="24.7109375" style="120" bestFit="1" customWidth="1"/>
    <col min="15106" max="15106" width="18.7109375" style="120" bestFit="1" customWidth="1"/>
    <col min="15107" max="15107" width="13.28515625" style="120" customWidth="1"/>
    <col min="15108" max="15108" width="17.28515625" style="120" customWidth="1"/>
    <col min="15109" max="15109" width="13.28515625" style="120" customWidth="1"/>
    <col min="15110" max="15110" width="12.28515625" style="120" customWidth="1"/>
    <col min="15111" max="15111" width="14.28515625" style="120" customWidth="1"/>
    <col min="15112" max="15112" width="11.7109375" style="120" customWidth="1"/>
    <col min="15113" max="15113" width="14.7109375" style="120" customWidth="1"/>
    <col min="15114" max="15114" width="19.28515625" style="120" customWidth="1"/>
    <col min="15115" max="15360" width="9.140625" style="120"/>
    <col min="15361" max="15361" width="24.7109375" style="120" bestFit="1" customWidth="1"/>
    <col min="15362" max="15362" width="18.7109375" style="120" bestFit="1" customWidth="1"/>
    <col min="15363" max="15363" width="13.28515625" style="120" customWidth="1"/>
    <col min="15364" max="15364" width="17.28515625" style="120" customWidth="1"/>
    <col min="15365" max="15365" width="13.28515625" style="120" customWidth="1"/>
    <col min="15366" max="15366" width="12.28515625" style="120" customWidth="1"/>
    <col min="15367" max="15367" width="14.28515625" style="120" customWidth="1"/>
    <col min="15368" max="15368" width="11.7109375" style="120" customWidth="1"/>
    <col min="15369" max="15369" width="14.7109375" style="120" customWidth="1"/>
    <col min="15370" max="15370" width="19.28515625" style="120" customWidth="1"/>
    <col min="15371" max="15616" width="9.140625" style="120"/>
    <col min="15617" max="15617" width="24.7109375" style="120" bestFit="1" customWidth="1"/>
    <col min="15618" max="15618" width="18.7109375" style="120" bestFit="1" customWidth="1"/>
    <col min="15619" max="15619" width="13.28515625" style="120" customWidth="1"/>
    <col min="15620" max="15620" width="17.28515625" style="120" customWidth="1"/>
    <col min="15621" max="15621" width="13.28515625" style="120" customWidth="1"/>
    <col min="15622" max="15622" width="12.28515625" style="120" customWidth="1"/>
    <col min="15623" max="15623" width="14.28515625" style="120" customWidth="1"/>
    <col min="15624" max="15624" width="11.7109375" style="120" customWidth="1"/>
    <col min="15625" max="15625" width="14.7109375" style="120" customWidth="1"/>
    <col min="15626" max="15626" width="19.28515625" style="120" customWidth="1"/>
    <col min="15627" max="15872" width="9.140625" style="120"/>
    <col min="15873" max="15873" width="24.7109375" style="120" bestFit="1" customWidth="1"/>
    <col min="15874" max="15874" width="18.7109375" style="120" bestFit="1" customWidth="1"/>
    <col min="15875" max="15875" width="13.28515625" style="120" customWidth="1"/>
    <col min="15876" max="15876" width="17.28515625" style="120" customWidth="1"/>
    <col min="15877" max="15877" width="13.28515625" style="120" customWidth="1"/>
    <col min="15878" max="15878" width="12.28515625" style="120" customWidth="1"/>
    <col min="15879" max="15879" width="14.28515625" style="120" customWidth="1"/>
    <col min="15880" max="15880" width="11.7109375" style="120" customWidth="1"/>
    <col min="15881" max="15881" width="14.7109375" style="120" customWidth="1"/>
    <col min="15882" max="15882" width="19.28515625" style="120" customWidth="1"/>
    <col min="15883" max="16128" width="9.140625" style="120"/>
    <col min="16129" max="16129" width="24.7109375" style="120" bestFit="1" customWidth="1"/>
    <col min="16130" max="16130" width="18.7109375" style="120" bestFit="1" customWidth="1"/>
    <col min="16131" max="16131" width="13.28515625" style="120" customWidth="1"/>
    <col min="16132" max="16132" width="17.28515625" style="120" customWidth="1"/>
    <col min="16133" max="16133" width="13.28515625" style="120" customWidth="1"/>
    <col min="16134" max="16134" width="12.28515625" style="120" customWidth="1"/>
    <col min="16135" max="16135" width="14.28515625" style="120" customWidth="1"/>
    <col min="16136" max="16136" width="11.7109375" style="120" customWidth="1"/>
    <col min="16137" max="16137" width="14.7109375" style="120" customWidth="1"/>
    <col min="16138" max="16138" width="19.28515625" style="120" customWidth="1"/>
    <col min="16139" max="16384" width="9.140625" style="120"/>
  </cols>
  <sheetData>
    <row r="1" spans="1:10" ht="18.75" x14ac:dyDescent="0.25">
      <c r="A1" s="312" t="s">
        <v>777</v>
      </c>
      <c r="B1" s="312"/>
      <c r="C1" s="312"/>
      <c r="D1" s="312"/>
      <c r="E1" s="312"/>
      <c r="F1" s="312"/>
      <c r="G1" s="312"/>
      <c r="H1" s="312"/>
      <c r="I1" s="312"/>
      <c r="J1" s="187"/>
    </row>
    <row r="2" spans="1:10" x14ac:dyDescent="0.25">
      <c r="A2" s="145"/>
      <c r="B2" s="145"/>
      <c r="C2" s="145"/>
      <c r="D2" s="145"/>
      <c r="E2" s="146"/>
      <c r="F2" s="146"/>
      <c r="G2" s="146"/>
      <c r="H2" s="145"/>
      <c r="I2" s="145"/>
      <c r="J2" s="145"/>
    </row>
    <row r="3" spans="1:10" x14ac:dyDescent="0.25">
      <c r="A3" s="323" t="s">
        <v>760</v>
      </c>
      <c r="B3" s="323"/>
      <c r="C3" s="323"/>
      <c r="D3" s="323"/>
      <c r="E3" s="323"/>
      <c r="F3" s="323"/>
      <c r="G3" s="323"/>
      <c r="H3" s="323"/>
      <c r="I3" s="323"/>
      <c r="J3" s="185"/>
    </row>
    <row r="4" spans="1:10" x14ac:dyDescent="0.25">
      <c r="A4" s="324" t="s">
        <v>761</v>
      </c>
      <c r="B4" s="324"/>
      <c r="C4" s="324"/>
      <c r="D4" s="324"/>
      <c r="E4" s="324"/>
      <c r="F4" s="324"/>
      <c r="G4" s="324"/>
      <c r="H4" s="324"/>
      <c r="I4" s="324"/>
      <c r="J4" s="188"/>
    </row>
    <row r="5" spans="1:10" x14ac:dyDescent="0.25">
      <c r="A5" s="324" t="s">
        <v>762</v>
      </c>
      <c r="B5" s="324"/>
      <c r="C5" s="324"/>
      <c r="D5" s="324"/>
      <c r="E5" s="324"/>
      <c r="F5" s="324"/>
      <c r="G5" s="324"/>
      <c r="H5" s="324"/>
      <c r="I5" s="324"/>
      <c r="J5" s="147"/>
    </row>
    <row r="6" spans="1:10" x14ac:dyDescent="0.25">
      <c r="A6" s="189"/>
      <c r="B6" s="150"/>
      <c r="C6" s="150"/>
      <c r="D6" s="150"/>
      <c r="E6" s="189"/>
      <c r="F6" s="189"/>
      <c r="G6" s="189"/>
      <c r="H6" s="185"/>
      <c r="I6" s="185"/>
      <c r="J6" s="146"/>
    </row>
    <row r="7" spans="1:10" ht="4.5" customHeight="1" thickBot="1" x14ac:dyDescent="0.3">
      <c r="A7" s="150"/>
      <c r="B7" s="150"/>
      <c r="C7" s="150"/>
      <c r="D7" s="150"/>
      <c r="E7" s="150"/>
      <c r="F7" s="150"/>
      <c r="G7" s="150"/>
      <c r="H7" s="150"/>
      <c r="I7" s="150"/>
      <c r="J7" s="146"/>
    </row>
    <row r="8" spans="1:10" x14ac:dyDescent="0.25">
      <c r="A8" s="325" t="s">
        <v>778</v>
      </c>
      <c r="B8" s="316" t="s">
        <v>779</v>
      </c>
      <c r="C8" s="190"/>
      <c r="D8" s="316" t="s">
        <v>766</v>
      </c>
      <c r="E8" s="329" t="s">
        <v>780</v>
      </c>
      <c r="F8" s="330"/>
      <c r="G8" s="330"/>
      <c r="H8" s="330"/>
      <c r="I8" s="331"/>
      <c r="J8" s="321" t="s">
        <v>781</v>
      </c>
    </row>
    <row r="9" spans="1:10" ht="24.75" customHeight="1" thickBot="1" x14ac:dyDescent="0.3">
      <c r="A9" s="326"/>
      <c r="B9" s="328"/>
      <c r="C9" s="328" t="s">
        <v>782</v>
      </c>
      <c r="D9" s="328"/>
      <c r="E9" s="332"/>
      <c r="F9" s="333"/>
      <c r="G9" s="333"/>
      <c r="H9" s="333"/>
      <c r="I9" s="334"/>
      <c r="J9" s="336"/>
    </row>
    <row r="10" spans="1:10" ht="50.65" customHeight="1" thickBot="1" x14ac:dyDescent="0.3">
      <c r="A10" s="327"/>
      <c r="B10" s="317"/>
      <c r="C10" s="317"/>
      <c r="D10" s="317"/>
      <c r="E10" s="191" t="s">
        <v>769</v>
      </c>
      <c r="F10" s="192" t="s">
        <v>770</v>
      </c>
      <c r="G10" s="193" t="s">
        <v>771</v>
      </c>
      <c r="H10" s="193" t="s">
        <v>772</v>
      </c>
      <c r="I10" s="194" t="s">
        <v>773</v>
      </c>
      <c r="J10" s="322"/>
    </row>
    <row r="11" spans="1:10" x14ac:dyDescent="0.25">
      <c r="A11" s="157" t="s">
        <v>774</v>
      </c>
      <c r="B11" s="195"/>
      <c r="C11" s="196"/>
      <c r="D11" s="197"/>
      <c r="E11" s="198"/>
      <c r="F11" s="163"/>
      <c r="G11" s="163"/>
      <c r="H11" s="163"/>
      <c r="I11" s="164"/>
      <c r="J11" s="174"/>
    </row>
    <row r="12" spans="1:10" x14ac:dyDescent="0.25">
      <c r="A12" s="166"/>
      <c r="B12" s="199"/>
      <c r="C12" s="200"/>
      <c r="D12" s="201"/>
      <c r="E12" s="202"/>
      <c r="F12" s="172"/>
      <c r="G12" s="172"/>
      <c r="H12" s="172"/>
      <c r="I12" s="173"/>
      <c r="J12" s="174"/>
    </row>
    <row r="13" spans="1:10" x14ac:dyDescent="0.25">
      <c r="A13" s="166"/>
      <c r="B13" s="199"/>
      <c r="C13" s="200"/>
      <c r="D13" s="201"/>
      <c r="E13" s="202"/>
      <c r="F13" s="172"/>
      <c r="G13" s="172"/>
      <c r="H13" s="172"/>
      <c r="I13" s="173"/>
      <c r="J13" s="174"/>
    </row>
    <row r="14" spans="1:10" x14ac:dyDescent="0.25">
      <c r="A14" s="166"/>
      <c r="B14" s="199"/>
      <c r="C14" s="200"/>
      <c r="D14" s="201"/>
      <c r="E14" s="202"/>
      <c r="F14" s="172"/>
      <c r="G14" s="172"/>
      <c r="H14" s="172"/>
      <c r="I14" s="173"/>
      <c r="J14" s="174"/>
    </row>
    <row r="15" spans="1:10" hidden="1" x14ac:dyDescent="0.25">
      <c r="A15" s="166"/>
      <c r="B15" s="199"/>
      <c r="C15" s="200"/>
      <c r="D15" s="201"/>
      <c r="E15" s="202"/>
      <c r="F15" s="172"/>
      <c r="G15" s="172"/>
      <c r="H15" s="172"/>
      <c r="I15" s="173"/>
      <c r="J15" s="174"/>
    </row>
    <row r="16" spans="1:10" hidden="1" x14ac:dyDescent="0.25">
      <c r="A16" s="166"/>
      <c r="B16" s="199"/>
      <c r="C16" s="200"/>
      <c r="D16" s="201"/>
      <c r="E16" s="202"/>
      <c r="F16" s="172"/>
      <c r="G16" s="172"/>
      <c r="H16" s="172"/>
      <c r="I16" s="173"/>
      <c r="J16" s="174"/>
    </row>
    <row r="17" spans="1:10" hidden="1" x14ac:dyDescent="0.25">
      <c r="A17" s="166"/>
      <c r="B17" s="199"/>
      <c r="C17" s="200"/>
      <c r="D17" s="201"/>
      <c r="E17" s="202"/>
      <c r="F17" s="172"/>
      <c r="G17" s="172"/>
      <c r="H17" s="172"/>
      <c r="I17" s="173"/>
      <c r="J17" s="174"/>
    </row>
    <row r="18" spans="1:10" hidden="1" x14ac:dyDescent="0.25">
      <c r="A18" s="166"/>
      <c r="B18" s="199"/>
      <c r="C18" s="200"/>
      <c r="D18" s="201"/>
      <c r="E18" s="202"/>
      <c r="F18" s="172"/>
      <c r="G18" s="172"/>
      <c r="H18" s="172"/>
      <c r="I18" s="173"/>
      <c r="J18" s="174"/>
    </row>
    <row r="19" spans="1:10" hidden="1" x14ac:dyDescent="0.25">
      <c r="A19" s="166"/>
      <c r="B19" s="199"/>
      <c r="C19" s="200"/>
      <c r="D19" s="201"/>
      <c r="E19" s="202"/>
      <c r="F19" s="172"/>
      <c r="G19" s="172"/>
      <c r="H19" s="172"/>
      <c r="I19" s="173"/>
      <c r="J19" s="174"/>
    </row>
    <row r="20" spans="1:10" hidden="1" x14ac:dyDescent="0.25">
      <c r="A20" s="166"/>
      <c r="B20" s="199"/>
      <c r="C20" s="200"/>
      <c r="D20" s="201"/>
      <c r="E20" s="202"/>
      <c r="F20" s="172"/>
      <c r="G20" s="172"/>
      <c r="H20" s="172"/>
      <c r="I20" s="173"/>
      <c r="J20" s="174"/>
    </row>
    <row r="21" spans="1:10" hidden="1" x14ac:dyDescent="0.25">
      <c r="A21" s="166"/>
      <c r="B21" s="199"/>
      <c r="C21" s="200"/>
      <c r="D21" s="201"/>
      <c r="E21" s="202"/>
      <c r="F21" s="172"/>
      <c r="G21" s="172"/>
      <c r="H21" s="172"/>
      <c r="I21" s="173"/>
      <c r="J21" s="174"/>
    </row>
    <row r="22" spans="1:10" hidden="1" x14ac:dyDescent="0.25">
      <c r="A22" s="166"/>
      <c r="B22" s="199"/>
      <c r="C22" s="200"/>
      <c r="D22" s="201"/>
      <c r="E22" s="202"/>
      <c r="F22" s="172"/>
      <c r="G22" s="172"/>
      <c r="H22" s="172"/>
      <c r="I22" s="173"/>
      <c r="J22" s="174"/>
    </row>
    <row r="23" spans="1:10" hidden="1" x14ac:dyDescent="0.25">
      <c r="A23" s="166"/>
      <c r="B23" s="199"/>
      <c r="C23" s="200"/>
      <c r="D23" s="201"/>
      <c r="E23" s="202"/>
      <c r="F23" s="172"/>
      <c r="G23" s="172"/>
      <c r="H23" s="172"/>
      <c r="I23" s="173"/>
      <c r="J23" s="174"/>
    </row>
    <row r="24" spans="1:10" hidden="1" x14ac:dyDescent="0.25">
      <c r="A24" s="166"/>
      <c r="B24" s="199"/>
      <c r="C24" s="200"/>
      <c r="D24" s="201"/>
      <c r="E24" s="202"/>
      <c r="F24" s="172"/>
      <c r="G24" s="172"/>
      <c r="H24" s="172"/>
      <c r="I24" s="173"/>
      <c r="J24" s="174"/>
    </row>
    <row r="25" spans="1:10" hidden="1" x14ac:dyDescent="0.25">
      <c r="A25" s="166"/>
      <c r="B25" s="199"/>
      <c r="C25" s="200"/>
      <c r="D25" s="201"/>
      <c r="E25" s="202"/>
      <c r="F25" s="172"/>
      <c r="G25" s="172"/>
      <c r="H25" s="172"/>
      <c r="I25" s="173"/>
      <c r="J25" s="174"/>
    </row>
    <row r="26" spans="1:10" hidden="1" x14ac:dyDescent="0.25">
      <c r="A26" s="166"/>
      <c r="B26" s="199"/>
      <c r="C26" s="200"/>
      <c r="D26" s="201"/>
      <c r="E26" s="202"/>
      <c r="F26" s="172"/>
      <c r="G26" s="172"/>
      <c r="H26" s="172"/>
      <c r="I26" s="173"/>
      <c r="J26" s="174"/>
    </row>
    <row r="27" spans="1:10" hidden="1" x14ac:dyDescent="0.25">
      <c r="A27" s="166"/>
      <c r="B27" s="199"/>
      <c r="C27" s="200"/>
      <c r="D27" s="201"/>
      <c r="E27" s="202"/>
      <c r="F27" s="172"/>
      <c r="G27" s="172"/>
      <c r="H27" s="172"/>
      <c r="I27" s="173"/>
      <c r="J27" s="174"/>
    </row>
    <row r="28" spans="1:10" hidden="1" x14ac:dyDescent="0.25">
      <c r="A28" s="166"/>
      <c r="B28" s="199"/>
      <c r="C28" s="200"/>
      <c r="D28" s="201"/>
      <c r="E28" s="202"/>
      <c r="F28" s="172"/>
      <c r="G28" s="172"/>
      <c r="H28" s="172"/>
      <c r="I28" s="173"/>
      <c r="J28" s="174"/>
    </row>
    <row r="29" spans="1:10" hidden="1" x14ac:dyDescent="0.25">
      <c r="A29" s="166"/>
      <c r="B29" s="199"/>
      <c r="C29" s="200"/>
      <c r="D29" s="201"/>
      <c r="E29" s="202"/>
      <c r="F29" s="172"/>
      <c r="G29" s="172"/>
      <c r="H29" s="172"/>
      <c r="I29" s="173"/>
      <c r="J29" s="174"/>
    </row>
    <row r="30" spans="1:10" hidden="1" x14ac:dyDescent="0.25">
      <c r="A30" s="166"/>
      <c r="B30" s="199"/>
      <c r="C30" s="200"/>
      <c r="D30" s="201"/>
      <c r="E30" s="202"/>
      <c r="F30" s="172"/>
      <c r="G30" s="172"/>
      <c r="H30" s="172"/>
      <c r="I30" s="173"/>
      <c r="J30" s="174"/>
    </row>
    <row r="31" spans="1:10" hidden="1" x14ac:dyDescent="0.25">
      <c r="A31" s="166"/>
      <c r="B31" s="199"/>
      <c r="C31" s="200"/>
      <c r="D31" s="201"/>
      <c r="E31" s="202"/>
      <c r="F31" s="172"/>
      <c r="G31" s="172"/>
      <c r="H31" s="172"/>
      <c r="I31" s="173"/>
      <c r="J31" s="174"/>
    </row>
    <row r="32" spans="1:10" hidden="1" x14ac:dyDescent="0.25">
      <c r="A32" s="166"/>
      <c r="B32" s="199"/>
      <c r="C32" s="200"/>
      <c r="D32" s="201"/>
      <c r="E32" s="202"/>
      <c r="F32" s="172"/>
      <c r="G32" s="172"/>
      <c r="H32" s="172"/>
      <c r="I32" s="173"/>
      <c r="J32" s="174"/>
    </row>
    <row r="33" spans="1:10" hidden="1" x14ac:dyDescent="0.25">
      <c r="A33" s="166"/>
      <c r="B33" s="199"/>
      <c r="C33" s="200"/>
      <c r="D33" s="201"/>
      <c r="E33" s="202"/>
      <c r="F33" s="172"/>
      <c r="G33" s="172"/>
      <c r="H33" s="172"/>
      <c r="I33" s="173"/>
      <c r="J33" s="174"/>
    </row>
    <row r="34" spans="1:10" hidden="1" x14ac:dyDescent="0.25">
      <c r="A34" s="166"/>
      <c r="B34" s="199"/>
      <c r="C34" s="200"/>
      <c r="D34" s="201"/>
      <c r="E34" s="202"/>
      <c r="F34" s="172"/>
      <c r="G34" s="172"/>
      <c r="H34" s="172"/>
      <c r="I34" s="173"/>
      <c r="J34" s="174"/>
    </row>
    <row r="35" spans="1:10" hidden="1" x14ac:dyDescent="0.25">
      <c r="A35" s="166"/>
      <c r="B35" s="199"/>
      <c r="C35" s="200"/>
      <c r="D35" s="201"/>
      <c r="E35" s="202"/>
      <c r="F35" s="172"/>
      <c r="G35" s="172"/>
      <c r="H35" s="172"/>
      <c r="I35" s="173"/>
      <c r="J35" s="174"/>
    </row>
    <row r="36" spans="1:10" hidden="1" x14ac:dyDescent="0.25">
      <c r="A36" s="166"/>
      <c r="B36" s="199"/>
      <c r="C36" s="200"/>
      <c r="D36" s="201"/>
      <c r="E36" s="202"/>
      <c r="F36" s="172"/>
      <c r="G36" s="172"/>
      <c r="H36" s="172"/>
      <c r="I36" s="173"/>
      <c r="J36" s="174"/>
    </row>
    <row r="37" spans="1:10" hidden="1" x14ac:dyDescent="0.25">
      <c r="A37" s="166"/>
      <c r="B37" s="199"/>
      <c r="C37" s="200"/>
      <c r="D37" s="201"/>
      <c r="E37" s="202"/>
      <c r="F37" s="172"/>
      <c r="G37" s="172"/>
      <c r="H37" s="172"/>
      <c r="I37" s="173"/>
      <c r="J37" s="174"/>
    </row>
    <row r="38" spans="1:10" x14ac:dyDescent="0.25">
      <c r="A38" s="166"/>
      <c r="B38" s="199"/>
      <c r="C38" s="200"/>
      <c r="D38" s="201"/>
      <c r="E38" s="202"/>
      <c r="F38" s="172"/>
      <c r="G38" s="172"/>
      <c r="H38" s="172"/>
      <c r="I38" s="173"/>
      <c r="J38" s="174"/>
    </row>
    <row r="39" spans="1:10" x14ac:dyDescent="0.25">
      <c r="A39" s="166"/>
      <c r="B39" s="199"/>
      <c r="C39" s="200"/>
      <c r="D39" s="201"/>
      <c r="E39" s="202"/>
      <c r="F39" s="172"/>
      <c r="G39" s="172"/>
      <c r="H39" s="172"/>
      <c r="I39" s="173"/>
      <c r="J39" s="203"/>
    </row>
    <row r="40" spans="1:10" ht="16.5" thickBot="1" x14ac:dyDescent="0.3">
      <c r="A40" s="175"/>
      <c r="B40" s="204"/>
      <c r="C40" s="205"/>
      <c r="D40" s="206"/>
      <c r="E40" s="207"/>
      <c r="F40" s="181"/>
      <c r="G40" s="181"/>
      <c r="H40" s="181"/>
      <c r="I40" s="208"/>
      <c r="J40" s="182"/>
    </row>
    <row r="41" spans="1:10" x14ac:dyDescent="0.25">
      <c r="A41" s="184"/>
      <c r="B41" s="185"/>
      <c r="C41" s="185"/>
      <c r="D41" s="185"/>
      <c r="E41" s="185"/>
      <c r="F41" s="185"/>
      <c r="G41" s="185"/>
      <c r="H41" s="185"/>
      <c r="I41" s="185"/>
      <c r="J41" s="146"/>
    </row>
    <row r="42" spans="1:10" ht="16.5" thickBot="1" x14ac:dyDescent="0.3">
      <c r="A42" s="184"/>
      <c r="B42" s="185"/>
      <c r="C42" s="185"/>
      <c r="D42" s="185"/>
      <c r="E42" s="185"/>
      <c r="F42" s="185"/>
      <c r="G42" s="185"/>
      <c r="H42" s="185"/>
      <c r="I42" s="185"/>
      <c r="J42" s="146"/>
    </row>
    <row r="43" spans="1:10" x14ac:dyDescent="0.25">
      <c r="A43" s="209" t="s">
        <v>775</v>
      </c>
      <c r="B43" s="337"/>
      <c r="C43" s="337"/>
      <c r="D43" s="337"/>
      <c r="E43" s="337"/>
      <c r="F43" s="337"/>
      <c r="G43" s="337"/>
      <c r="H43" s="337"/>
      <c r="I43" s="337"/>
      <c r="J43" s="338"/>
    </row>
    <row r="44" spans="1:10" x14ac:dyDescent="0.25">
      <c r="A44" s="339" t="s">
        <v>783</v>
      </c>
      <c r="B44" s="340"/>
      <c r="C44" s="340"/>
      <c r="D44" s="340"/>
      <c r="E44" s="340"/>
      <c r="F44" s="340"/>
      <c r="G44" s="340"/>
      <c r="H44" s="340"/>
      <c r="I44" s="340"/>
      <c r="J44" s="341"/>
    </row>
    <row r="45" spans="1:10" x14ac:dyDescent="0.25">
      <c r="A45" s="342" t="s">
        <v>784</v>
      </c>
      <c r="B45" s="343"/>
      <c r="C45" s="343"/>
      <c r="D45" s="343"/>
      <c r="E45" s="343"/>
      <c r="F45" s="343"/>
      <c r="G45" s="343"/>
      <c r="H45" s="343"/>
      <c r="I45" s="343"/>
      <c r="J45" s="344"/>
    </row>
    <row r="46" spans="1:10" x14ac:dyDescent="0.25">
      <c r="A46" s="345" t="s">
        <v>845</v>
      </c>
      <c r="B46" s="340"/>
      <c r="C46" s="340"/>
      <c r="D46" s="340"/>
      <c r="E46" s="340"/>
      <c r="F46" s="340"/>
      <c r="G46" s="340"/>
      <c r="H46" s="340"/>
      <c r="I46" s="340"/>
      <c r="J46" s="341"/>
    </row>
    <row r="47" spans="1:10" ht="16.5" thickBot="1" x14ac:dyDescent="0.3">
      <c r="A47" s="346"/>
      <c r="B47" s="347"/>
      <c r="C47" s="347"/>
      <c r="D47" s="347"/>
      <c r="E47" s="347"/>
      <c r="F47" s="347"/>
      <c r="G47" s="347"/>
      <c r="H47" s="347"/>
      <c r="I47" s="347"/>
      <c r="J47" s="348"/>
    </row>
    <row r="48" spans="1:10" x14ac:dyDescent="0.25">
      <c r="A48" s="210"/>
      <c r="B48" s="335"/>
      <c r="C48" s="335"/>
      <c r="D48" s="335"/>
      <c r="E48" s="335"/>
      <c r="F48" s="335"/>
      <c r="G48" s="335"/>
      <c r="H48" s="335"/>
      <c r="I48" s="335"/>
      <c r="J48" s="146"/>
    </row>
  </sheetData>
  <mergeCells count="15">
    <mergeCell ref="B48:I48"/>
    <mergeCell ref="J8:J10"/>
    <mergeCell ref="C9:C10"/>
    <mergeCell ref="B43:J43"/>
    <mergeCell ref="A44:J44"/>
    <mergeCell ref="A45:J45"/>
    <mergeCell ref="A46:J47"/>
    <mergeCell ref="A1:I1"/>
    <mergeCell ref="A3:I3"/>
    <mergeCell ref="A4:I4"/>
    <mergeCell ref="A5:I5"/>
    <mergeCell ref="A8:A10"/>
    <mergeCell ref="B8:B10"/>
    <mergeCell ref="D8:D10"/>
    <mergeCell ref="E8:I9"/>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86548-2D59-46D4-97C1-B49BDB1CDD93}">
  <sheetPr codeName="Sheet5"/>
  <dimension ref="A1:M341"/>
  <sheetViews>
    <sheetView zoomScaleNormal="100"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5" width="9.140625" style="4"/>
    <col min="76" max="76" width="32.140625" style="4" bestFit="1" customWidth="1"/>
    <col min="77" max="77" width="12.5703125" style="4" bestFit="1" customWidth="1"/>
    <col min="78" max="78" width="9.140625" style="4"/>
    <col min="79" max="79" width="15.5703125" style="4" bestFit="1" customWidth="1"/>
    <col min="80" max="80" width="9.140625" style="4"/>
    <col min="81" max="81" width="11.5703125" style="4" bestFit="1" customWidth="1"/>
    <col min="82" max="82" width="16" style="4" customWidth="1"/>
    <col min="83" max="83" width="11.42578125" style="4" customWidth="1"/>
    <col min="84" max="331" width="9.140625" style="4"/>
    <col min="332" max="332" width="32.140625" style="4" bestFit="1" customWidth="1"/>
    <col min="333" max="333" width="12.5703125" style="4" bestFit="1" customWidth="1"/>
    <col min="334" max="334" width="9.140625" style="4"/>
    <col min="335" max="335" width="15.5703125" style="4" bestFit="1" customWidth="1"/>
    <col min="336" max="336" width="9.140625" style="4"/>
    <col min="337" max="337" width="11.5703125" style="4" bestFit="1" customWidth="1"/>
    <col min="338" max="338" width="16" style="4" customWidth="1"/>
    <col min="339" max="339" width="11.42578125" style="4" customWidth="1"/>
    <col min="340" max="587" width="9.140625" style="4"/>
    <col min="588" max="588" width="32.140625" style="4" bestFit="1" customWidth="1"/>
    <col min="589" max="589" width="12.5703125" style="4" bestFit="1" customWidth="1"/>
    <col min="590" max="590" width="9.140625" style="4"/>
    <col min="591" max="591" width="15.5703125" style="4" bestFit="1" customWidth="1"/>
    <col min="592" max="592" width="9.140625" style="4"/>
    <col min="593" max="593" width="11.5703125" style="4" bestFit="1" customWidth="1"/>
    <col min="594" max="594" width="16" style="4" customWidth="1"/>
    <col min="595" max="595" width="11.42578125" style="4" customWidth="1"/>
    <col min="596" max="843" width="9.140625" style="4"/>
    <col min="844" max="844" width="32.140625" style="4" bestFit="1" customWidth="1"/>
    <col min="845" max="845" width="12.5703125" style="4" bestFit="1" customWidth="1"/>
    <col min="846" max="846" width="9.140625" style="4"/>
    <col min="847" max="847" width="15.5703125" style="4" bestFit="1" customWidth="1"/>
    <col min="848" max="848" width="9.140625" style="4"/>
    <col min="849" max="849" width="11.5703125" style="4" bestFit="1" customWidth="1"/>
    <col min="850" max="850" width="16" style="4" customWidth="1"/>
    <col min="851" max="851" width="11.42578125" style="4" customWidth="1"/>
    <col min="852" max="1099" width="9.140625" style="4"/>
    <col min="1100" max="1100" width="32.140625" style="4" bestFit="1" customWidth="1"/>
    <col min="1101" max="1101" width="12.5703125" style="4" bestFit="1" customWidth="1"/>
    <col min="1102" max="1102" width="9.140625" style="4"/>
    <col min="1103" max="1103" width="15.5703125" style="4" bestFit="1" customWidth="1"/>
    <col min="1104" max="1104" width="9.140625" style="4"/>
    <col min="1105" max="1105" width="11.5703125" style="4" bestFit="1" customWidth="1"/>
    <col min="1106" max="1106" width="16" style="4" customWidth="1"/>
    <col min="1107" max="1107" width="11.42578125" style="4" customWidth="1"/>
    <col min="1108" max="1355" width="9.140625" style="4"/>
    <col min="1356" max="1356" width="32.140625" style="4" bestFit="1" customWidth="1"/>
    <col min="1357" max="1357" width="12.5703125" style="4" bestFit="1" customWidth="1"/>
    <col min="1358" max="1358" width="9.140625" style="4"/>
    <col min="1359" max="1359" width="15.5703125" style="4" bestFit="1" customWidth="1"/>
    <col min="1360" max="1360" width="9.140625" style="4"/>
    <col min="1361" max="1361" width="11.5703125" style="4" bestFit="1" customWidth="1"/>
    <col min="1362" max="1362" width="16" style="4" customWidth="1"/>
    <col min="1363" max="1363" width="11.42578125" style="4" customWidth="1"/>
    <col min="1364" max="1611" width="9.140625" style="4"/>
    <col min="1612" max="1612" width="32.140625" style="4" bestFit="1" customWidth="1"/>
    <col min="1613" max="1613" width="12.5703125" style="4" bestFit="1" customWidth="1"/>
    <col min="1614" max="1614" width="9.140625" style="4"/>
    <col min="1615" max="1615" width="15.5703125" style="4" bestFit="1" customWidth="1"/>
    <col min="1616" max="1616" width="9.140625" style="4"/>
    <col min="1617" max="1617" width="11.5703125" style="4" bestFit="1" customWidth="1"/>
    <col min="1618" max="1618" width="16" style="4" customWidth="1"/>
    <col min="1619" max="1619" width="11.42578125" style="4" customWidth="1"/>
    <col min="1620" max="1867" width="9.140625" style="4"/>
    <col min="1868" max="1868" width="32.140625" style="4" bestFit="1" customWidth="1"/>
    <col min="1869" max="1869" width="12.5703125" style="4" bestFit="1" customWidth="1"/>
    <col min="1870" max="1870" width="9.140625" style="4"/>
    <col min="1871" max="1871" width="15.5703125" style="4" bestFit="1" customWidth="1"/>
    <col min="1872" max="1872" width="9.140625" style="4"/>
    <col min="1873" max="1873" width="11.5703125" style="4" bestFit="1" customWidth="1"/>
    <col min="1874" max="1874" width="16" style="4" customWidth="1"/>
    <col min="1875" max="1875" width="11.42578125" style="4" customWidth="1"/>
    <col min="1876" max="2123" width="9.140625" style="4"/>
    <col min="2124" max="2124" width="32.140625" style="4" bestFit="1" customWidth="1"/>
    <col min="2125" max="2125" width="12.5703125" style="4" bestFit="1" customWidth="1"/>
    <col min="2126" max="2126" width="9.140625" style="4"/>
    <col min="2127" max="2127" width="15.5703125" style="4" bestFit="1" customWidth="1"/>
    <col min="2128" max="2128" width="9.140625" style="4"/>
    <col min="2129" max="2129" width="11.5703125" style="4" bestFit="1" customWidth="1"/>
    <col min="2130" max="2130" width="16" style="4" customWidth="1"/>
    <col min="2131" max="2131" width="11.42578125" style="4" customWidth="1"/>
    <col min="2132" max="2379" width="9.140625" style="4"/>
    <col min="2380" max="2380" width="32.140625" style="4" bestFit="1" customWidth="1"/>
    <col min="2381" max="2381" width="12.5703125" style="4" bestFit="1" customWidth="1"/>
    <col min="2382" max="2382" width="9.140625" style="4"/>
    <col min="2383" max="2383" width="15.5703125" style="4" bestFit="1" customWidth="1"/>
    <col min="2384" max="2384" width="9.140625" style="4"/>
    <col min="2385" max="2385" width="11.5703125" style="4" bestFit="1" customWidth="1"/>
    <col min="2386" max="2386" width="16" style="4" customWidth="1"/>
    <col min="2387" max="2387" width="11.42578125" style="4" customWidth="1"/>
    <col min="2388" max="2635" width="9.140625" style="4"/>
    <col min="2636" max="2636" width="32.140625" style="4" bestFit="1" customWidth="1"/>
    <col min="2637" max="2637" width="12.5703125" style="4" bestFit="1" customWidth="1"/>
    <col min="2638" max="2638" width="9.140625" style="4"/>
    <col min="2639" max="2639" width="15.5703125" style="4" bestFit="1" customWidth="1"/>
    <col min="2640" max="2640" width="9.140625" style="4"/>
    <col min="2641" max="2641" width="11.5703125" style="4" bestFit="1" customWidth="1"/>
    <col min="2642" max="2642" width="16" style="4" customWidth="1"/>
    <col min="2643" max="2643" width="11.42578125" style="4" customWidth="1"/>
    <col min="2644" max="2891" width="9.140625" style="4"/>
    <col min="2892" max="2892" width="32.140625" style="4" bestFit="1" customWidth="1"/>
    <col min="2893" max="2893" width="12.5703125" style="4" bestFit="1" customWidth="1"/>
    <col min="2894" max="2894" width="9.140625" style="4"/>
    <col min="2895" max="2895" width="15.5703125" style="4" bestFit="1" customWidth="1"/>
    <col min="2896" max="2896" width="9.140625" style="4"/>
    <col min="2897" max="2897" width="11.5703125" style="4" bestFit="1" customWidth="1"/>
    <col min="2898" max="2898" width="16" style="4" customWidth="1"/>
    <col min="2899" max="2899" width="11.42578125" style="4" customWidth="1"/>
    <col min="2900" max="3147" width="9.140625" style="4"/>
    <col min="3148" max="3148" width="32.140625" style="4" bestFit="1" customWidth="1"/>
    <col min="3149" max="3149" width="12.5703125" style="4" bestFit="1" customWidth="1"/>
    <col min="3150" max="3150" width="9.140625" style="4"/>
    <col min="3151" max="3151" width="15.5703125" style="4" bestFit="1" customWidth="1"/>
    <col min="3152" max="3152" width="9.140625" style="4"/>
    <col min="3153" max="3153" width="11.5703125" style="4" bestFit="1" customWidth="1"/>
    <col min="3154" max="3154" width="16" style="4" customWidth="1"/>
    <col min="3155" max="3155" width="11.42578125" style="4" customWidth="1"/>
    <col min="3156" max="3403" width="9.140625" style="4"/>
    <col min="3404" max="3404" width="32.140625" style="4" bestFit="1" customWidth="1"/>
    <col min="3405" max="3405" width="12.5703125" style="4" bestFit="1" customWidth="1"/>
    <col min="3406" max="3406" width="9.140625" style="4"/>
    <col min="3407" max="3407" width="15.5703125" style="4" bestFit="1" customWidth="1"/>
    <col min="3408" max="3408" width="9.140625" style="4"/>
    <col min="3409" max="3409" width="11.5703125" style="4" bestFit="1" customWidth="1"/>
    <col min="3410" max="3410" width="16" style="4" customWidth="1"/>
    <col min="3411" max="3411" width="11.42578125" style="4" customWidth="1"/>
    <col min="3412" max="3659" width="9.140625" style="4"/>
    <col min="3660" max="3660" width="32.140625" style="4" bestFit="1" customWidth="1"/>
    <col min="3661" max="3661" width="12.5703125" style="4" bestFit="1" customWidth="1"/>
    <col min="3662" max="3662" width="9.140625" style="4"/>
    <col min="3663" max="3663" width="15.5703125" style="4" bestFit="1" customWidth="1"/>
    <col min="3664" max="3664" width="9.140625" style="4"/>
    <col min="3665" max="3665" width="11.5703125" style="4" bestFit="1" customWidth="1"/>
    <col min="3666" max="3666" width="16" style="4" customWidth="1"/>
    <col min="3667" max="3667" width="11.42578125" style="4" customWidth="1"/>
    <col min="3668" max="3915" width="9.140625" style="4"/>
    <col min="3916" max="3916" width="32.140625" style="4" bestFit="1" customWidth="1"/>
    <col min="3917" max="3917" width="12.5703125" style="4" bestFit="1" customWidth="1"/>
    <col min="3918" max="3918" width="9.140625" style="4"/>
    <col min="3919" max="3919" width="15.5703125" style="4" bestFit="1" customWidth="1"/>
    <col min="3920" max="3920" width="9.140625" style="4"/>
    <col min="3921" max="3921" width="11.5703125" style="4" bestFit="1" customWidth="1"/>
    <col min="3922" max="3922" width="16" style="4" customWidth="1"/>
    <col min="3923" max="3923" width="11.42578125" style="4" customWidth="1"/>
    <col min="3924" max="4171" width="9.140625" style="4"/>
    <col min="4172" max="4172" width="32.140625" style="4" bestFit="1" customWidth="1"/>
    <col min="4173" max="4173" width="12.5703125" style="4" bestFit="1" customWidth="1"/>
    <col min="4174" max="4174" width="9.140625" style="4"/>
    <col min="4175" max="4175" width="15.5703125" style="4" bestFit="1" customWidth="1"/>
    <col min="4176" max="4176" width="9.140625" style="4"/>
    <col min="4177" max="4177" width="11.5703125" style="4" bestFit="1" customWidth="1"/>
    <col min="4178" max="4178" width="16" style="4" customWidth="1"/>
    <col min="4179" max="4179" width="11.42578125" style="4" customWidth="1"/>
    <col min="4180" max="4427" width="9.140625" style="4"/>
    <col min="4428" max="4428" width="32.140625" style="4" bestFit="1" customWidth="1"/>
    <col min="4429" max="4429" width="12.5703125" style="4" bestFit="1" customWidth="1"/>
    <col min="4430" max="4430" width="9.140625" style="4"/>
    <col min="4431" max="4431" width="15.5703125" style="4" bestFit="1" customWidth="1"/>
    <col min="4432" max="4432" width="9.140625" style="4"/>
    <col min="4433" max="4433" width="11.5703125" style="4" bestFit="1" customWidth="1"/>
    <col min="4434" max="4434" width="16" style="4" customWidth="1"/>
    <col min="4435" max="4435" width="11.42578125" style="4" customWidth="1"/>
    <col min="4436" max="4683" width="9.140625" style="4"/>
    <col min="4684" max="4684" width="32.140625" style="4" bestFit="1" customWidth="1"/>
    <col min="4685" max="4685" width="12.5703125" style="4" bestFit="1" customWidth="1"/>
    <col min="4686" max="4686" width="9.140625" style="4"/>
    <col min="4687" max="4687" width="15.5703125" style="4" bestFit="1" customWidth="1"/>
    <col min="4688" max="4688" width="9.140625" style="4"/>
    <col min="4689" max="4689" width="11.5703125" style="4" bestFit="1" customWidth="1"/>
    <col min="4690" max="4690" width="16" style="4" customWidth="1"/>
    <col min="4691" max="4691" width="11.42578125" style="4" customWidth="1"/>
    <col min="4692" max="4939" width="9.140625" style="4"/>
    <col min="4940" max="4940" width="32.140625" style="4" bestFit="1" customWidth="1"/>
    <col min="4941" max="4941" width="12.5703125" style="4" bestFit="1" customWidth="1"/>
    <col min="4942" max="4942" width="9.140625" style="4"/>
    <col min="4943" max="4943" width="15.5703125" style="4" bestFit="1" customWidth="1"/>
    <col min="4944" max="4944" width="9.140625" style="4"/>
    <col min="4945" max="4945" width="11.5703125" style="4" bestFit="1" customWidth="1"/>
    <col min="4946" max="4946" width="16" style="4" customWidth="1"/>
    <col min="4947" max="4947" width="11.42578125" style="4" customWidth="1"/>
    <col min="4948" max="5195" width="9.140625" style="4"/>
    <col min="5196" max="5196" width="32.140625" style="4" bestFit="1" customWidth="1"/>
    <col min="5197" max="5197" width="12.5703125" style="4" bestFit="1" customWidth="1"/>
    <col min="5198" max="5198" width="9.140625" style="4"/>
    <col min="5199" max="5199" width="15.5703125" style="4" bestFit="1" customWidth="1"/>
    <col min="5200" max="5200" width="9.140625" style="4"/>
    <col min="5201" max="5201" width="11.5703125" style="4" bestFit="1" customWidth="1"/>
    <col min="5202" max="5202" width="16" style="4" customWidth="1"/>
    <col min="5203" max="5203" width="11.42578125" style="4" customWidth="1"/>
    <col min="5204" max="5451" width="9.140625" style="4"/>
    <col min="5452" max="5452" width="32.140625" style="4" bestFit="1" customWidth="1"/>
    <col min="5453" max="5453" width="12.5703125" style="4" bestFit="1" customWidth="1"/>
    <col min="5454" max="5454" width="9.140625" style="4"/>
    <col min="5455" max="5455" width="15.5703125" style="4" bestFit="1" customWidth="1"/>
    <col min="5456" max="5456" width="9.140625" style="4"/>
    <col min="5457" max="5457" width="11.5703125" style="4" bestFit="1" customWidth="1"/>
    <col min="5458" max="5458" width="16" style="4" customWidth="1"/>
    <col min="5459" max="5459" width="11.42578125" style="4" customWidth="1"/>
    <col min="5460" max="5707" width="9.140625" style="4"/>
    <col min="5708" max="5708" width="32.140625" style="4" bestFit="1" customWidth="1"/>
    <col min="5709" max="5709" width="12.5703125" style="4" bestFit="1" customWidth="1"/>
    <col min="5710" max="5710" width="9.140625" style="4"/>
    <col min="5711" max="5711" width="15.5703125" style="4" bestFit="1" customWidth="1"/>
    <col min="5712" max="5712" width="9.140625" style="4"/>
    <col min="5713" max="5713" width="11.5703125" style="4" bestFit="1" customWidth="1"/>
    <col min="5714" max="5714" width="16" style="4" customWidth="1"/>
    <col min="5715" max="5715" width="11.42578125" style="4" customWidth="1"/>
    <col min="5716" max="5963" width="9.140625" style="4"/>
    <col min="5964" max="5964" width="32.140625" style="4" bestFit="1" customWidth="1"/>
    <col min="5965" max="5965" width="12.5703125" style="4" bestFit="1" customWidth="1"/>
    <col min="5966" max="5966" width="9.140625" style="4"/>
    <col min="5967" max="5967" width="15.5703125" style="4" bestFit="1" customWidth="1"/>
    <col min="5968" max="5968" width="9.140625" style="4"/>
    <col min="5969" max="5969" width="11.5703125" style="4" bestFit="1" customWidth="1"/>
    <col min="5970" max="5970" width="16" style="4" customWidth="1"/>
    <col min="5971" max="5971" width="11.42578125" style="4" customWidth="1"/>
    <col min="5972" max="6219" width="9.140625" style="4"/>
    <col min="6220" max="6220" width="32.140625" style="4" bestFit="1" customWidth="1"/>
    <col min="6221" max="6221" width="12.5703125" style="4" bestFit="1" customWidth="1"/>
    <col min="6222" max="6222" width="9.140625" style="4"/>
    <col min="6223" max="6223" width="15.5703125" style="4" bestFit="1" customWidth="1"/>
    <col min="6224" max="6224" width="9.140625" style="4"/>
    <col min="6225" max="6225" width="11.5703125" style="4" bestFit="1" customWidth="1"/>
    <col min="6226" max="6226" width="16" style="4" customWidth="1"/>
    <col min="6227" max="6227" width="11.42578125" style="4" customWidth="1"/>
    <col min="6228" max="6475" width="9.140625" style="4"/>
    <col min="6476" max="6476" width="32.140625" style="4" bestFit="1" customWidth="1"/>
    <col min="6477" max="6477" width="12.5703125" style="4" bestFit="1" customWidth="1"/>
    <col min="6478" max="6478" width="9.140625" style="4"/>
    <col min="6479" max="6479" width="15.5703125" style="4" bestFit="1" customWidth="1"/>
    <col min="6480" max="6480" width="9.140625" style="4"/>
    <col min="6481" max="6481" width="11.5703125" style="4" bestFit="1" customWidth="1"/>
    <col min="6482" max="6482" width="16" style="4" customWidth="1"/>
    <col min="6483" max="6483" width="11.42578125" style="4" customWidth="1"/>
    <col min="6484" max="6731" width="9.140625" style="4"/>
    <col min="6732" max="6732" width="32.140625" style="4" bestFit="1" customWidth="1"/>
    <col min="6733" max="6733" width="12.5703125" style="4" bestFit="1" customWidth="1"/>
    <col min="6734" max="6734" width="9.140625" style="4"/>
    <col min="6735" max="6735" width="15.5703125" style="4" bestFit="1" customWidth="1"/>
    <col min="6736" max="6736" width="9.140625" style="4"/>
    <col min="6737" max="6737" width="11.5703125" style="4" bestFit="1" customWidth="1"/>
    <col min="6738" max="6738" width="16" style="4" customWidth="1"/>
    <col min="6739" max="6739" width="11.42578125" style="4" customWidth="1"/>
    <col min="6740" max="6987" width="9.140625" style="4"/>
    <col min="6988" max="6988" width="32.140625" style="4" bestFit="1" customWidth="1"/>
    <col min="6989" max="6989" width="12.5703125" style="4" bestFit="1" customWidth="1"/>
    <col min="6990" max="6990" width="9.140625" style="4"/>
    <col min="6991" max="6991" width="15.5703125" style="4" bestFit="1" customWidth="1"/>
    <col min="6992" max="6992" width="9.140625" style="4"/>
    <col min="6993" max="6993" width="11.5703125" style="4" bestFit="1" customWidth="1"/>
    <col min="6994" max="6994" width="16" style="4" customWidth="1"/>
    <col min="6995" max="6995" width="11.42578125" style="4" customWidth="1"/>
    <col min="6996" max="7243" width="9.140625" style="4"/>
    <col min="7244" max="7244" width="32.140625" style="4" bestFit="1" customWidth="1"/>
    <col min="7245" max="7245" width="12.5703125" style="4" bestFit="1" customWidth="1"/>
    <col min="7246" max="7246" width="9.140625" style="4"/>
    <col min="7247" max="7247" width="15.5703125" style="4" bestFit="1" customWidth="1"/>
    <col min="7248" max="7248" width="9.140625" style="4"/>
    <col min="7249" max="7249" width="11.5703125" style="4" bestFit="1" customWidth="1"/>
    <col min="7250" max="7250" width="16" style="4" customWidth="1"/>
    <col min="7251" max="7251" width="11.42578125" style="4" customWidth="1"/>
    <col min="7252" max="7499" width="9.140625" style="4"/>
    <col min="7500" max="7500" width="32.140625" style="4" bestFit="1" customWidth="1"/>
    <col min="7501" max="7501" width="12.5703125" style="4" bestFit="1" customWidth="1"/>
    <col min="7502" max="7502" width="9.140625" style="4"/>
    <col min="7503" max="7503" width="15.5703125" style="4" bestFit="1" customWidth="1"/>
    <col min="7504" max="7504" width="9.140625" style="4"/>
    <col min="7505" max="7505" width="11.5703125" style="4" bestFit="1" customWidth="1"/>
    <col min="7506" max="7506" width="16" style="4" customWidth="1"/>
    <col min="7507" max="7507" width="11.42578125" style="4" customWidth="1"/>
    <col min="7508" max="7755" width="9.140625" style="4"/>
    <col min="7756" max="7756" width="32.140625" style="4" bestFit="1" customWidth="1"/>
    <col min="7757" max="7757" width="12.5703125" style="4" bestFit="1" customWidth="1"/>
    <col min="7758" max="7758" width="9.140625" style="4"/>
    <col min="7759" max="7759" width="15.5703125" style="4" bestFit="1" customWidth="1"/>
    <col min="7760" max="7760" width="9.140625" style="4"/>
    <col min="7761" max="7761" width="11.5703125" style="4" bestFit="1" customWidth="1"/>
    <col min="7762" max="7762" width="16" style="4" customWidth="1"/>
    <col min="7763" max="7763" width="11.42578125" style="4" customWidth="1"/>
    <col min="7764" max="8011" width="9.140625" style="4"/>
    <col min="8012" max="8012" width="32.140625" style="4" bestFit="1" customWidth="1"/>
    <col min="8013" max="8013" width="12.5703125" style="4" bestFit="1" customWidth="1"/>
    <col min="8014" max="8014" width="9.140625" style="4"/>
    <col min="8015" max="8015" width="15.5703125" style="4" bestFit="1" customWidth="1"/>
    <col min="8016" max="8016" width="9.140625" style="4"/>
    <col min="8017" max="8017" width="11.5703125" style="4" bestFit="1" customWidth="1"/>
    <col min="8018" max="8018" width="16" style="4" customWidth="1"/>
    <col min="8019" max="8019" width="11.42578125" style="4" customWidth="1"/>
    <col min="8020" max="8267" width="9.140625" style="4"/>
    <col min="8268" max="8268" width="32.140625" style="4" bestFit="1" customWidth="1"/>
    <col min="8269" max="8269" width="12.5703125" style="4" bestFit="1" customWidth="1"/>
    <col min="8270" max="8270" width="9.140625" style="4"/>
    <col min="8271" max="8271" width="15.5703125" style="4" bestFit="1" customWidth="1"/>
    <col min="8272" max="8272" width="9.140625" style="4"/>
    <col min="8273" max="8273" width="11.5703125" style="4" bestFit="1" customWidth="1"/>
    <col min="8274" max="8274" width="16" style="4" customWidth="1"/>
    <col min="8275" max="8275" width="11.42578125" style="4" customWidth="1"/>
    <col min="8276" max="8523" width="9.140625" style="4"/>
    <col min="8524" max="8524" width="32.140625" style="4" bestFit="1" customWidth="1"/>
    <col min="8525" max="8525" width="12.5703125" style="4" bestFit="1" customWidth="1"/>
    <col min="8526" max="8526" width="9.140625" style="4"/>
    <col min="8527" max="8527" width="15.5703125" style="4" bestFit="1" customWidth="1"/>
    <col min="8528" max="8528" width="9.140625" style="4"/>
    <col min="8529" max="8529" width="11.5703125" style="4" bestFit="1" customWidth="1"/>
    <col min="8530" max="8530" width="16" style="4" customWidth="1"/>
    <col min="8531" max="8531" width="11.42578125" style="4" customWidth="1"/>
    <col min="8532" max="8779" width="9.140625" style="4"/>
    <col min="8780" max="8780" width="32.140625" style="4" bestFit="1" customWidth="1"/>
    <col min="8781" max="8781" width="12.5703125" style="4" bestFit="1" customWidth="1"/>
    <col min="8782" max="8782" width="9.140625" style="4"/>
    <col min="8783" max="8783" width="15.5703125" style="4" bestFit="1" customWidth="1"/>
    <col min="8784" max="8784" width="9.140625" style="4"/>
    <col min="8785" max="8785" width="11.5703125" style="4" bestFit="1" customWidth="1"/>
    <col min="8786" max="8786" width="16" style="4" customWidth="1"/>
    <col min="8787" max="8787" width="11.42578125" style="4" customWidth="1"/>
    <col min="8788" max="9035" width="9.140625" style="4"/>
    <col min="9036" max="9036" width="32.140625" style="4" bestFit="1" customWidth="1"/>
    <col min="9037" max="9037" width="12.5703125" style="4" bestFit="1" customWidth="1"/>
    <col min="9038" max="9038" width="9.140625" style="4"/>
    <col min="9039" max="9039" width="15.5703125" style="4" bestFit="1" customWidth="1"/>
    <col min="9040" max="9040" width="9.140625" style="4"/>
    <col min="9041" max="9041" width="11.5703125" style="4" bestFit="1" customWidth="1"/>
    <col min="9042" max="9042" width="16" style="4" customWidth="1"/>
    <col min="9043" max="9043" width="11.42578125" style="4" customWidth="1"/>
    <col min="9044" max="9291" width="9.140625" style="4"/>
    <col min="9292" max="9292" width="32.140625" style="4" bestFit="1" customWidth="1"/>
    <col min="9293" max="9293" width="12.5703125" style="4" bestFit="1" customWidth="1"/>
    <col min="9294" max="9294" width="9.140625" style="4"/>
    <col min="9295" max="9295" width="15.5703125" style="4" bestFit="1" customWidth="1"/>
    <col min="9296" max="9296" width="9.140625" style="4"/>
    <col min="9297" max="9297" width="11.5703125" style="4" bestFit="1" customWidth="1"/>
    <col min="9298" max="9298" width="16" style="4" customWidth="1"/>
    <col min="9299" max="9299" width="11.42578125" style="4" customWidth="1"/>
    <col min="9300" max="9547" width="9.140625" style="4"/>
    <col min="9548" max="9548" width="32.140625" style="4" bestFit="1" customWidth="1"/>
    <col min="9549" max="9549" width="12.5703125" style="4" bestFit="1" customWidth="1"/>
    <col min="9550" max="9550" width="9.140625" style="4"/>
    <col min="9551" max="9551" width="15.5703125" style="4" bestFit="1" customWidth="1"/>
    <col min="9552" max="9552" width="9.140625" style="4"/>
    <col min="9553" max="9553" width="11.5703125" style="4" bestFit="1" customWidth="1"/>
    <col min="9554" max="9554" width="16" style="4" customWidth="1"/>
    <col min="9555" max="9555" width="11.42578125" style="4" customWidth="1"/>
    <col min="9556" max="9803" width="9.140625" style="4"/>
    <col min="9804" max="9804" width="32.140625" style="4" bestFit="1" customWidth="1"/>
    <col min="9805" max="9805" width="12.5703125" style="4" bestFit="1" customWidth="1"/>
    <col min="9806" max="9806" width="9.140625" style="4"/>
    <col min="9807" max="9807" width="15.5703125" style="4" bestFit="1" customWidth="1"/>
    <col min="9808" max="9808" width="9.140625" style="4"/>
    <col min="9809" max="9809" width="11.5703125" style="4" bestFit="1" customWidth="1"/>
    <col min="9810" max="9810" width="16" style="4" customWidth="1"/>
    <col min="9811" max="9811" width="11.42578125" style="4" customWidth="1"/>
    <col min="9812" max="10059" width="9.140625" style="4"/>
    <col min="10060" max="10060" width="32.140625" style="4" bestFit="1" customWidth="1"/>
    <col min="10061" max="10061" width="12.5703125" style="4" bestFit="1" customWidth="1"/>
    <col min="10062" max="10062" width="9.140625" style="4"/>
    <col min="10063" max="10063" width="15.5703125" style="4" bestFit="1" customWidth="1"/>
    <col min="10064" max="10064" width="9.140625" style="4"/>
    <col min="10065" max="10065" width="11.5703125" style="4" bestFit="1" customWidth="1"/>
    <col min="10066" max="10066" width="16" style="4" customWidth="1"/>
    <col min="10067" max="10067" width="11.42578125" style="4" customWidth="1"/>
    <col min="10068" max="10315" width="9.140625" style="4"/>
    <col min="10316" max="10316" width="32.140625" style="4" bestFit="1" customWidth="1"/>
    <col min="10317" max="10317" width="12.5703125" style="4" bestFit="1" customWidth="1"/>
    <col min="10318" max="10318" width="9.140625" style="4"/>
    <col min="10319" max="10319" width="15.5703125" style="4" bestFit="1" customWidth="1"/>
    <col min="10320" max="10320" width="9.140625" style="4"/>
    <col min="10321" max="10321" width="11.5703125" style="4" bestFit="1" customWidth="1"/>
    <col min="10322" max="10322" width="16" style="4" customWidth="1"/>
    <col min="10323" max="10323" width="11.42578125" style="4" customWidth="1"/>
    <col min="10324" max="10571" width="9.140625" style="4"/>
    <col min="10572" max="10572" width="32.140625" style="4" bestFit="1" customWidth="1"/>
    <col min="10573" max="10573" width="12.5703125" style="4" bestFit="1" customWidth="1"/>
    <col min="10574" max="10574" width="9.140625" style="4"/>
    <col min="10575" max="10575" width="15.5703125" style="4" bestFit="1" customWidth="1"/>
    <col min="10576" max="10576" width="9.140625" style="4"/>
    <col min="10577" max="10577" width="11.5703125" style="4" bestFit="1" customWidth="1"/>
    <col min="10578" max="10578" width="16" style="4" customWidth="1"/>
    <col min="10579" max="10579" width="11.42578125" style="4" customWidth="1"/>
    <col min="10580" max="10827" width="9.140625" style="4"/>
    <col min="10828" max="10828" width="32.140625" style="4" bestFit="1" customWidth="1"/>
    <col min="10829" max="10829" width="12.5703125" style="4" bestFit="1" customWidth="1"/>
    <col min="10830" max="10830" width="9.140625" style="4"/>
    <col min="10831" max="10831" width="15.5703125" style="4" bestFit="1" customWidth="1"/>
    <col min="10832" max="10832" width="9.140625" style="4"/>
    <col min="10833" max="10833" width="11.5703125" style="4" bestFit="1" customWidth="1"/>
    <col min="10834" max="10834" width="16" style="4" customWidth="1"/>
    <col min="10835" max="10835" width="11.42578125" style="4" customWidth="1"/>
    <col min="10836" max="11083" width="9.140625" style="4"/>
    <col min="11084" max="11084" width="32.140625" style="4" bestFit="1" customWidth="1"/>
    <col min="11085" max="11085" width="12.5703125" style="4" bestFit="1" customWidth="1"/>
    <col min="11086" max="11086" width="9.140625" style="4"/>
    <col min="11087" max="11087" width="15.5703125" style="4" bestFit="1" customWidth="1"/>
    <col min="11088" max="11088" width="9.140625" style="4"/>
    <col min="11089" max="11089" width="11.5703125" style="4" bestFit="1" customWidth="1"/>
    <col min="11090" max="11090" width="16" style="4" customWidth="1"/>
    <col min="11091" max="11091" width="11.42578125" style="4" customWidth="1"/>
    <col min="11092" max="11339" width="9.140625" style="4"/>
    <col min="11340" max="11340" width="32.140625" style="4" bestFit="1" customWidth="1"/>
    <col min="11341" max="11341" width="12.5703125" style="4" bestFit="1" customWidth="1"/>
    <col min="11342" max="11342" width="9.140625" style="4"/>
    <col min="11343" max="11343" width="15.5703125" style="4" bestFit="1" customWidth="1"/>
    <col min="11344" max="11344" width="9.140625" style="4"/>
    <col min="11345" max="11345" width="11.5703125" style="4" bestFit="1" customWidth="1"/>
    <col min="11346" max="11346" width="16" style="4" customWidth="1"/>
    <col min="11347" max="11347" width="11.42578125" style="4" customWidth="1"/>
    <col min="11348" max="11595" width="9.140625" style="4"/>
    <col min="11596" max="11596" width="32.140625" style="4" bestFit="1" customWidth="1"/>
    <col min="11597" max="11597" width="12.5703125" style="4" bestFit="1" customWidth="1"/>
    <col min="11598" max="11598" width="9.140625" style="4"/>
    <col min="11599" max="11599" width="15.5703125" style="4" bestFit="1" customWidth="1"/>
    <col min="11600" max="11600" width="9.140625" style="4"/>
    <col min="11601" max="11601" width="11.5703125" style="4" bestFit="1" customWidth="1"/>
    <col min="11602" max="11602" width="16" style="4" customWidth="1"/>
    <col min="11603" max="11603" width="11.42578125" style="4" customWidth="1"/>
    <col min="11604" max="11851" width="9.140625" style="4"/>
    <col min="11852" max="11852" width="32.140625" style="4" bestFit="1" customWidth="1"/>
    <col min="11853" max="11853" width="12.5703125" style="4" bestFit="1" customWidth="1"/>
    <col min="11854" max="11854" width="9.140625" style="4"/>
    <col min="11855" max="11855" width="15.5703125" style="4" bestFit="1" customWidth="1"/>
    <col min="11856" max="11856" width="9.140625" style="4"/>
    <col min="11857" max="11857" width="11.5703125" style="4" bestFit="1" customWidth="1"/>
    <col min="11858" max="11858" width="16" style="4" customWidth="1"/>
    <col min="11859" max="11859" width="11.42578125" style="4" customWidth="1"/>
    <col min="11860" max="12107" width="9.140625" style="4"/>
    <col min="12108" max="12108" width="32.140625" style="4" bestFit="1" customWidth="1"/>
    <col min="12109" max="12109" width="12.5703125" style="4" bestFit="1" customWidth="1"/>
    <col min="12110" max="12110" width="9.140625" style="4"/>
    <col min="12111" max="12111" width="15.5703125" style="4" bestFit="1" customWidth="1"/>
    <col min="12112" max="12112" width="9.140625" style="4"/>
    <col min="12113" max="12113" width="11.5703125" style="4" bestFit="1" customWidth="1"/>
    <col min="12114" max="12114" width="16" style="4" customWidth="1"/>
    <col min="12115" max="12115" width="11.42578125" style="4" customWidth="1"/>
    <col min="12116" max="12363" width="9.140625" style="4"/>
    <col min="12364" max="12364" width="32.140625" style="4" bestFit="1" customWidth="1"/>
    <col min="12365" max="12365" width="12.5703125" style="4" bestFit="1" customWidth="1"/>
    <col min="12366" max="12366" width="9.140625" style="4"/>
    <col min="12367" max="12367" width="15.5703125" style="4" bestFit="1" customWidth="1"/>
    <col min="12368" max="12368" width="9.140625" style="4"/>
    <col min="12369" max="12369" width="11.5703125" style="4" bestFit="1" customWidth="1"/>
    <col min="12370" max="12370" width="16" style="4" customWidth="1"/>
    <col min="12371" max="12371" width="11.42578125" style="4" customWidth="1"/>
    <col min="12372" max="12619" width="9.140625" style="4"/>
    <col min="12620" max="12620" width="32.140625" style="4" bestFit="1" customWidth="1"/>
    <col min="12621" max="12621" width="12.5703125" style="4" bestFit="1" customWidth="1"/>
    <col min="12622" max="12622" width="9.140625" style="4"/>
    <col min="12623" max="12623" width="15.5703125" style="4" bestFit="1" customWidth="1"/>
    <col min="12624" max="12624" width="9.140625" style="4"/>
    <col min="12625" max="12625" width="11.5703125" style="4" bestFit="1" customWidth="1"/>
    <col min="12626" max="12626" width="16" style="4" customWidth="1"/>
    <col min="12627" max="12627" width="11.42578125" style="4" customWidth="1"/>
    <col min="12628" max="12875" width="9.140625" style="4"/>
    <col min="12876" max="12876" width="32.140625" style="4" bestFit="1" customWidth="1"/>
    <col min="12877" max="12877" width="12.5703125" style="4" bestFit="1" customWidth="1"/>
    <col min="12878" max="12878" width="9.140625" style="4"/>
    <col min="12879" max="12879" width="15.5703125" style="4" bestFit="1" customWidth="1"/>
    <col min="12880" max="12880" width="9.140625" style="4"/>
    <col min="12881" max="12881" width="11.5703125" style="4" bestFit="1" customWidth="1"/>
    <col min="12882" max="12882" width="16" style="4" customWidth="1"/>
    <col min="12883" max="12883" width="11.42578125" style="4" customWidth="1"/>
    <col min="12884" max="13131" width="9.140625" style="4"/>
    <col min="13132" max="13132" width="32.140625" style="4" bestFit="1" customWidth="1"/>
    <col min="13133" max="13133" width="12.5703125" style="4" bestFit="1" customWidth="1"/>
    <col min="13134" max="13134" width="9.140625" style="4"/>
    <col min="13135" max="13135" width="15.5703125" style="4" bestFit="1" customWidth="1"/>
    <col min="13136" max="13136" width="9.140625" style="4"/>
    <col min="13137" max="13137" width="11.5703125" style="4" bestFit="1" customWidth="1"/>
    <col min="13138" max="13138" width="16" style="4" customWidth="1"/>
    <col min="13139" max="13139" width="11.42578125" style="4" customWidth="1"/>
    <col min="13140" max="13387" width="9.140625" style="4"/>
    <col min="13388" max="13388" width="32.140625" style="4" bestFit="1" customWidth="1"/>
    <col min="13389" max="13389" width="12.5703125" style="4" bestFit="1" customWidth="1"/>
    <col min="13390" max="13390" width="9.140625" style="4"/>
    <col min="13391" max="13391" width="15.5703125" style="4" bestFit="1" customWidth="1"/>
    <col min="13392" max="13392" width="9.140625" style="4"/>
    <col min="13393" max="13393" width="11.5703125" style="4" bestFit="1" customWidth="1"/>
    <col min="13394" max="13394" width="16" style="4" customWidth="1"/>
    <col min="13395" max="13395" width="11.42578125" style="4" customWidth="1"/>
    <col min="13396" max="13643" width="9.140625" style="4"/>
    <col min="13644" max="13644" width="32.140625" style="4" bestFit="1" customWidth="1"/>
    <col min="13645" max="13645" width="12.5703125" style="4" bestFit="1" customWidth="1"/>
    <col min="13646" max="13646" width="9.140625" style="4"/>
    <col min="13647" max="13647" width="15.5703125" style="4" bestFit="1" customWidth="1"/>
    <col min="13648" max="13648" width="9.140625" style="4"/>
    <col min="13649" max="13649" width="11.5703125" style="4" bestFit="1" customWidth="1"/>
    <col min="13650" max="13650" width="16" style="4" customWidth="1"/>
    <col min="13651" max="13651" width="11.42578125" style="4" customWidth="1"/>
    <col min="13652" max="13899" width="9.140625" style="4"/>
    <col min="13900" max="13900" width="32.140625" style="4" bestFit="1" customWidth="1"/>
    <col min="13901" max="13901" width="12.5703125" style="4" bestFit="1" customWidth="1"/>
    <col min="13902" max="13902" width="9.140625" style="4"/>
    <col min="13903" max="13903" width="15.5703125" style="4" bestFit="1" customWidth="1"/>
    <col min="13904" max="13904" width="9.140625" style="4"/>
    <col min="13905" max="13905" width="11.5703125" style="4" bestFit="1" customWidth="1"/>
    <col min="13906" max="13906" width="16" style="4" customWidth="1"/>
    <col min="13907" max="13907" width="11.42578125" style="4" customWidth="1"/>
    <col min="13908" max="14155" width="9.140625" style="4"/>
    <col min="14156" max="14156" width="32.140625" style="4" bestFit="1" customWidth="1"/>
    <col min="14157" max="14157" width="12.5703125" style="4" bestFit="1" customWidth="1"/>
    <col min="14158" max="14158" width="9.140625" style="4"/>
    <col min="14159" max="14159" width="15.5703125" style="4" bestFit="1" customWidth="1"/>
    <col min="14160" max="14160" width="9.140625" style="4"/>
    <col min="14161" max="14161" width="11.5703125" style="4" bestFit="1" customWidth="1"/>
    <col min="14162" max="14162" width="16" style="4" customWidth="1"/>
    <col min="14163" max="14163" width="11.42578125" style="4" customWidth="1"/>
    <col min="14164" max="14411" width="9.140625" style="4"/>
    <col min="14412" max="14412" width="32.140625" style="4" bestFit="1" customWidth="1"/>
    <col min="14413" max="14413" width="12.5703125" style="4" bestFit="1" customWidth="1"/>
    <col min="14414" max="14414" width="9.140625" style="4"/>
    <col min="14415" max="14415" width="15.5703125" style="4" bestFit="1" customWidth="1"/>
    <col min="14416" max="14416" width="9.140625" style="4"/>
    <col min="14417" max="14417" width="11.5703125" style="4" bestFit="1" customWidth="1"/>
    <col min="14418" max="14418" width="16" style="4" customWidth="1"/>
    <col min="14419" max="14419" width="11.42578125" style="4" customWidth="1"/>
    <col min="14420" max="14667" width="9.140625" style="4"/>
    <col min="14668" max="14668" width="32.140625" style="4" bestFit="1" customWidth="1"/>
    <col min="14669" max="14669" width="12.5703125" style="4" bestFit="1" customWidth="1"/>
    <col min="14670" max="14670" width="9.140625" style="4"/>
    <col min="14671" max="14671" width="15.5703125" style="4" bestFit="1" customWidth="1"/>
    <col min="14672" max="14672" width="9.140625" style="4"/>
    <col min="14673" max="14673" width="11.5703125" style="4" bestFit="1" customWidth="1"/>
    <col min="14674" max="14674" width="16" style="4" customWidth="1"/>
    <col min="14675" max="14675" width="11.42578125" style="4" customWidth="1"/>
    <col min="14676" max="14923" width="9.140625" style="4"/>
    <col min="14924" max="14924" width="32.140625" style="4" bestFit="1" customWidth="1"/>
    <col min="14925" max="14925" width="12.5703125" style="4" bestFit="1" customWidth="1"/>
    <col min="14926" max="14926" width="9.140625" style="4"/>
    <col min="14927" max="14927" width="15.5703125" style="4" bestFit="1" customWidth="1"/>
    <col min="14928" max="14928" width="9.140625" style="4"/>
    <col min="14929" max="14929" width="11.5703125" style="4" bestFit="1" customWidth="1"/>
    <col min="14930" max="14930" width="16" style="4" customWidth="1"/>
    <col min="14931" max="14931" width="11.42578125" style="4" customWidth="1"/>
    <col min="14932" max="15179" width="9.140625" style="4"/>
    <col min="15180" max="15180" width="32.140625" style="4" bestFit="1" customWidth="1"/>
    <col min="15181" max="15181" width="12.5703125" style="4" bestFit="1" customWidth="1"/>
    <col min="15182" max="15182" width="9.140625" style="4"/>
    <col min="15183" max="15183" width="15.5703125" style="4" bestFit="1" customWidth="1"/>
    <col min="15184" max="15184" width="9.140625" style="4"/>
    <col min="15185" max="15185" width="11.5703125" style="4" bestFit="1" customWidth="1"/>
    <col min="15186" max="15186" width="16" style="4" customWidth="1"/>
    <col min="15187" max="15187" width="11.42578125" style="4" customWidth="1"/>
    <col min="15188" max="15435" width="9.140625" style="4"/>
    <col min="15436" max="15436" width="32.140625" style="4" bestFit="1" customWidth="1"/>
    <col min="15437" max="15437" width="12.5703125" style="4" bestFit="1" customWidth="1"/>
    <col min="15438" max="15438" width="9.140625" style="4"/>
    <col min="15439" max="15439" width="15.5703125" style="4" bestFit="1" customWidth="1"/>
    <col min="15440" max="15440" width="9.140625" style="4"/>
    <col min="15441" max="15441" width="11.5703125" style="4" bestFit="1" customWidth="1"/>
    <col min="15442" max="15442" width="16" style="4" customWidth="1"/>
    <col min="15443" max="15443" width="11.42578125" style="4" customWidth="1"/>
    <col min="15444" max="16384" width="9.140625" style="4"/>
  </cols>
  <sheetData>
    <row r="1" spans="1:13" x14ac:dyDescent="0.2">
      <c r="A1" s="2"/>
      <c r="B1" s="3"/>
      <c r="C1" s="2"/>
      <c r="D1" s="2"/>
      <c r="E1" s="2"/>
      <c r="F1" s="2"/>
      <c r="G1" s="2"/>
      <c r="H1" s="2"/>
      <c r="I1" s="2"/>
      <c r="J1" s="2"/>
      <c r="K1" s="2"/>
    </row>
    <row r="2" spans="1:13" ht="15" x14ac:dyDescent="0.25">
      <c r="A2" s="278" t="str" cm="1">
        <f t="array" aca="1" ref="A2" ca="1">MID(CELL("filename", A1), FIND("]", CELL("filename", A1)) + 1, LEN(CELL("filename", A1)) - FIND("]", CELL("filename", A1)))</f>
        <v>C90 Rate Build Up</v>
      </c>
      <c r="B2" s="5"/>
      <c r="C2" s="6"/>
      <c r="D2" s="6"/>
      <c r="E2" s="6"/>
      <c r="F2" s="6" t="s">
        <v>834</v>
      </c>
      <c r="G2" s="6"/>
      <c r="H2" s="6"/>
      <c r="J2" s="2"/>
      <c r="K2" s="7" t="s">
        <v>785</v>
      </c>
    </row>
    <row r="3" spans="1:13" ht="15" x14ac:dyDescent="0.25">
      <c r="A3" s="8"/>
      <c r="F3" s="9" t="s">
        <v>786</v>
      </c>
      <c r="G3" s="10"/>
      <c r="J3" s="2"/>
    </row>
    <row r="4" spans="1:13" ht="15" customHeight="1" x14ac:dyDescent="0.25">
      <c r="A4" s="12" t="str">
        <f>_BasePeriod</f>
        <v>9/30/2026-9/29/2027</v>
      </c>
      <c r="F4" s="9"/>
      <c r="G4" s="10"/>
      <c r="J4" s="2"/>
    </row>
    <row r="5" spans="1:13" ht="15" x14ac:dyDescent="0.25">
      <c r="A5" s="13" t="s">
        <v>787</v>
      </c>
      <c r="B5" s="13"/>
      <c r="C5" s="13"/>
      <c r="D5" s="13"/>
      <c r="E5" s="6" t="s">
        <v>788</v>
      </c>
      <c r="F5" s="6" t="s">
        <v>789</v>
      </c>
      <c r="G5" s="14"/>
      <c r="H5" s="6" t="s">
        <v>790</v>
      </c>
      <c r="J5" s="15"/>
      <c r="M5" s="277"/>
    </row>
    <row r="6" spans="1:13" x14ac:dyDescent="0.2">
      <c r="A6" s="4">
        <v>1</v>
      </c>
      <c r="B6" s="4" t="s">
        <v>791</v>
      </c>
      <c r="E6" s="58">
        <v>0</v>
      </c>
      <c r="F6" s="59">
        <v>0</v>
      </c>
      <c r="G6" s="10"/>
      <c r="H6" s="10">
        <f>+E6*F6</f>
        <v>0</v>
      </c>
      <c r="J6" s="2"/>
    </row>
    <row r="7" spans="1:13" x14ac:dyDescent="0.2">
      <c r="A7" s="4">
        <v>2</v>
      </c>
      <c r="B7" s="4" t="s">
        <v>774</v>
      </c>
      <c r="E7" s="58">
        <v>0</v>
      </c>
      <c r="F7" s="59">
        <v>0</v>
      </c>
      <c r="G7" s="10"/>
      <c r="H7" s="10">
        <f t="shared" ref="H7:H17" si="0">+E7*F7</f>
        <v>0</v>
      </c>
      <c r="J7" s="2"/>
    </row>
    <row r="8" spans="1:13" x14ac:dyDescent="0.2">
      <c r="A8" s="4">
        <v>3</v>
      </c>
      <c r="B8" s="4" t="s">
        <v>774</v>
      </c>
      <c r="E8" s="58">
        <v>0</v>
      </c>
      <c r="F8" s="59">
        <v>0</v>
      </c>
      <c r="G8" s="10"/>
      <c r="H8" s="10">
        <f t="shared" si="0"/>
        <v>0</v>
      </c>
      <c r="J8" s="2"/>
    </row>
    <row r="9" spans="1:13" x14ac:dyDescent="0.2">
      <c r="A9" s="4">
        <v>4</v>
      </c>
      <c r="B9" s="4" t="s">
        <v>774</v>
      </c>
      <c r="E9" s="58">
        <v>0</v>
      </c>
      <c r="F9" s="59">
        <v>0</v>
      </c>
      <c r="G9" s="10"/>
      <c r="H9" s="10">
        <f t="shared" si="0"/>
        <v>0</v>
      </c>
      <c r="J9" s="2"/>
    </row>
    <row r="10" spans="1:13" x14ac:dyDescent="0.2">
      <c r="A10" s="4">
        <v>5</v>
      </c>
      <c r="B10" s="4" t="s">
        <v>774</v>
      </c>
      <c r="E10" s="58">
        <v>0</v>
      </c>
      <c r="F10" s="59">
        <v>0</v>
      </c>
      <c r="G10" s="10"/>
      <c r="H10" s="10">
        <f t="shared" si="0"/>
        <v>0</v>
      </c>
      <c r="J10" s="2"/>
    </row>
    <row r="11" spans="1:13" x14ac:dyDescent="0.2">
      <c r="A11" s="4">
        <v>6</v>
      </c>
      <c r="B11" s="4" t="s">
        <v>774</v>
      </c>
      <c r="E11" s="58">
        <v>0</v>
      </c>
      <c r="F11" s="59">
        <v>0</v>
      </c>
      <c r="G11" s="10"/>
      <c r="H11" s="10">
        <f t="shared" si="0"/>
        <v>0</v>
      </c>
      <c r="J11" s="2"/>
    </row>
    <row r="12" spans="1:13" x14ac:dyDescent="0.2">
      <c r="A12" s="4">
        <v>7</v>
      </c>
      <c r="B12" s="4" t="s">
        <v>774</v>
      </c>
      <c r="E12" s="58">
        <v>0</v>
      </c>
      <c r="F12" s="59">
        <v>0</v>
      </c>
      <c r="G12" s="10"/>
      <c r="H12" s="10">
        <f t="shared" si="0"/>
        <v>0</v>
      </c>
      <c r="J12" s="2"/>
    </row>
    <row r="13" spans="1:13" x14ac:dyDescent="0.2">
      <c r="A13" s="4">
        <v>8</v>
      </c>
      <c r="B13" s="4" t="s">
        <v>774</v>
      </c>
      <c r="E13" s="58">
        <v>0</v>
      </c>
      <c r="F13" s="59">
        <v>0</v>
      </c>
      <c r="G13" s="10"/>
      <c r="H13" s="10">
        <f t="shared" si="0"/>
        <v>0</v>
      </c>
      <c r="J13" s="2"/>
    </row>
    <row r="14" spans="1:13" x14ac:dyDescent="0.2">
      <c r="A14" s="4">
        <v>9</v>
      </c>
      <c r="B14" s="4" t="s">
        <v>774</v>
      </c>
      <c r="E14" s="58">
        <v>0</v>
      </c>
      <c r="F14" s="59">
        <v>0</v>
      </c>
      <c r="G14" s="10"/>
      <c r="H14" s="10">
        <f t="shared" si="0"/>
        <v>0</v>
      </c>
      <c r="J14" s="2"/>
    </row>
    <row r="15" spans="1:13" x14ac:dyDescent="0.2">
      <c r="A15" s="4">
        <v>10</v>
      </c>
      <c r="B15" s="4" t="s">
        <v>774</v>
      </c>
      <c r="E15" s="58">
        <v>0</v>
      </c>
      <c r="F15" s="59">
        <v>0</v>
      </c>
      <c r="G15" s="10"/>
      <c r="H15" s="10">
        <f t="shared" si="0"/>
        <v>0</v>
      </c>
      <c r="J15" s="2"/>
    </row>
    <row r="16" spans="1:13"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4"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77"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73">
        <v>0</v>
      </c>
      <c r="D44" s="67">
        <v>0</v>
      </c>
      <c r="E44" s="64">
        <v>0</v>
      </c>
      <c r="G44" s="10">
        <f>+(C44*D44*E44)</f>
        <v>0</v>
      </c>
      <c r="H44" s="34"/>
      <c r="J44" s="46"/>
    </row>
    <row r="45" spans="1:11" x14ac:dyDescent="0.2">
      <c r="B45" s="64" t="s">
        <v>813</v>
      </c>
      <c r="C45" s="73">
        <v>0</v>
      </c>
      <c r="D45" s="67">
        <v>0</v>
      </c>
      <c r="E45" s="64">
        <v>0</v>
      </c>
      <c r="G45" s="10">
        <f t="shared" ref="G45:G54" si="1">+(C45*D45*E45)</f>
        <v>0</v>
      </c>
      <c r="H45" s="34"/>
      <c r="J45" s="46"/>
    </row>
    <row r="46" spans="1:11" x14ac:dyDescent="0.2">
      <c r="B46" s="64" t="s">
        <v>814</v>
      </c>
      <c r="C46" s="73">
        <v>0</v>
      </c>
      <c r="D46" s="67">
        <v>0</v>
      </c>
      <c r="E46" s="64">
        <v>0</v>
      </c>
      <c r="G46" s="10">
        <f t="shared" si="1"/>
        <v>0</v>
      </c>
      <c r="H46" s="34"/>
      <c r="J46" s="46"/>
    </row>
    <row r="47" spans="1:11" x14ac:dyDescent="0.2">
      <c r="B47" s="64" t="s">
        <v>815</v>
      </c>
      <c r="C47" s="73">
        <v>0</v>
      </c>
      <c r="D47" s="67">
        <v>0</v>
      </c>
      <c r="E47" s="64">
        <v>0</v>
      </c>
      <c r="G47" s="10">
        <f t="shared" si="1"/>
        <v>0</v>
      </c>
      <c r="H47" s="34"/>
      <c r="J47" s="2"/>
    </row>
    <row r="48" spans="1:11" x14ac:dyDescent="0.2">
      <c r="B48" s="64" t="s">
        <v>816</v>
      </c>
      <c r="C48" s="73">
        <v>0</v>
      </c>
      <c r="D48" s="67">
        <v>0</v>
      </c>
      <c r="E48" s="64">
        <v>0</v>
      </c>
      <c r="G48" s="10">
        <f t="shared" si="1"/>
        <v>0</v>
      </c>
      <c r="H48" s="34"/>
      <c r="J48" s="2"/>
    </row>
    <row r="49" spans="1:12" x14ac:dyDescent="0.2">
      <c r="B49" s="64" t="s">
        <v>817</v>
      </c>
      <c r="C49" s="73">
        <v>0</v>
      </c>
      <c r="D49" s="67">
        <v>0</v>
      </c>
      <c r="E49" s="64">
        <v>0</v>
      </c>
      <c r="G49" s="10">
        <f t="shared" si="1"/>
        <v>0</v>
      </c>
      <c r="H49" s="34"/>
      <c r="J49" s="2"/>
    </row>
    <row r="50" spans="1:12" x14ac:dyDescent="0.2">
      <c r="B50" s="64" t="s">
        <v>818</v>
      </c>
      <c r="C50" s="73">
        <v>0</v>
      </c>
      <c r="D50" s="67">
        <v>0</v>
      </c>
      <c r="E50" s="64">
        <v>0</v>
      </c>
      <c r="G50" s="10">
        <f t="shared" si="1"/>
        <v>0</v>
      </c>
      <c r="H50" s="34"/>
      <c r="J50" s="2"/>
    </row>
    <row r="51" spans="1:12" x14ac:dyDescent="0.2">
      <c r="B51" s="64" t="s">
        <v>819</v>
      </c>
      <c r="C51" s="73">
        <v>0</v>
      </c>
      <c r="D51" s="67">
        <v>0</v>
      </c>
      <c r="E51" s="64">
        <v>0</v>
      </c>
      <c r="G51" s="10">
        <f t="shared" si="1"/>
        <v>0</v>
      </c>
      <c r="H51" s="34"/>
      <c r="J51" s="2"/>
    </row>
    <row r="52" spans="1:12" x14ac:dyDescent="0.2">
      <c r="B52" s="64" t="s">
        <v>820</v>
      </c>
      <c r="C52" s="73">
        <v>0</v>
      </c>
      <c r="D52" s="67">
        <v>0</v>
      </c>
      <c r="E52" s="64">
        <v>0</v>
      </c>
      <c r="G52" s="10">
        <f t="shared" si="1"/>
        <v>0</v>
      </c>
      <c r="H52" s="34"/>
      <c r="J52" s="2"/>
    </row>
    <row r="53" spans="1:12" x14ac:dyDescent="0.2">
      <c r="B53" s="64" t="s">
        <v>821</v>
      </c>
      <c r="C53" s="73">
        <v>0</v>
      </c>
      <c r="D53" s="67">
        <v>0</v>
      </c>
      <c r="E53" s="64">
        <v>0</v>
      </c>
      <c r="G53" s="10">
        <f t="shared" si="1"/>
        <v>0</v>
      </c>
      <c r="H53" s="34"/>
      <c r="J53" s="2"/>
    </row>
    <row r="54" spans="1:12" ht="15" x14ac:dyDescent="0.25">
      <c r="B54" s="64" t="s">
        <v>822</v>
      </c>
      <c r="C54" s="73">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69">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1">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1">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78"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C90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73">
        <v>0</v>
      </c>
      <c r="D112" s="67">
        <v>0</v>
      </c>
      <c r="E112" s="64">
        <v>0</v>
      </c>
      <c r="G112" s="10">
        <f t="shared" ref="G112:G122" si="3">+(C112*D112*E112)</f>
        <v>0</v>
      </c>
      <c r="H112" s="34"/>
      <c r="J112" s="46"/>
    </row>
    <row r="113" spans="1:11" x14ac:dyDescent="0.2">
      <c r="B113" s="64" t="s">
        <v>813</v>
      </c>
      <c r="C113" s="73">
        <v>0</v>
      </c>
      <c r="D113" s="67">
        <v>0</v>
      </c>
      <c r="E113" s="64">
        <v>0</v>
      </c>
      <c r="G113" s="10">
        <f t="shared" si="3"/>
        <v>0</v>
      </c>
      <c r="H113" s="34"/>
      <c r="J113" s="46"/>
    </row>
    <row r="114" spans="1:11" x14ac:dyDescent="0.2">
      <c r="B114" s="64" t="s">
        <v>814</v>
      </c>
      <c r="C114" s="73">
        <v>0</v>
      </c>
      <c r="D114" s="67">
        <v>0</v>
      </c>
      <c r="E114" s="64">
        <v>0</v>
      </c>
      <c r="G114" s="10">
        <f t="shared" si="3"/>
        <v>0</v>
      </c>
      <c r="H114" s="34"/>
      <c r="J114" s="46"/>
    </row>
    <row r="115" spans="1:11" x14ac:dyDescent="0.2">
      <c r="B115" s="64" t="s">
        <v>815</v>
      </c>
      <c r="C115" s="73">
        <v>0</v>
      </c>
      <c r="D115" s="67">
        <v>0</v>
      </c>
      <c r="E115" s="64">
        <v>0</v>
      </c>
      <c r="G115" s="10">
        <f t="shared" si="3"/>
        <v>0</v>
      </c>
      <c r="H115" s="34"/>
      <c r="J115" s="2"/>
    </row>
    <row r="116" spans="1:11" x14ac:dyDescent="0.2">
      <c r="B116" s="64" t="s">
        <v>816</v>
      </c>
      <c r="C116" s="73">
        <v>0</v>
      </c>
      <c r="D116" s="67">
        <v>0</v>
      </c>
      <c r="E116" s="64">
        <v>0</v>
      </c>
      <c r="G116" s="10">
        <f t="shared" si="3"/>
        <v>0</v>
      </c>
      <c r="H116" s="34"/>
      <c r="J116" s="2"/>
    </row>
    <row r="117" spans="1:11" x14ac:dyDescent="0.2">
      <c r="B117" s="64" t="s">
        <v>817</v>
      </c>
      <c r="C117" s="73">
        <v>0</v>
      </c>
      <c r="D117" s="67">
        <v>0</v>
      </c>
      <c r="E117" s="64">
        <v>0</v>
      </c>
      <c r="G117" s="10">
        <f t="shared" si="3"/>
        <v>0</v>
      </c>
      <c r="H117" s="34"/>
      <c r="J117" s="2"/>
    </row>
    <row r="118" spans="1:11" ht="26.25" customHeight="1" x14ac:dyDescent="0.2">
      <c r="B118" s="64" t="s">
        <v>818</v>
      </c>
      <c r="C118" s="73">
        <v>0</v>
      </c>
      <c r="D118" s="67">
        <v>0</v>
      </c>
      <c r="E118" s="64">
        <v>0</v>
      </c>
      <c r="G118" s="10">
        <f t="shared" si="3"/>
        <v>0</v>
      </c>
      <c r="H118" s="34"/>
      <c r="J118" s="2"/>
    </row>
    <row r="119" spans="1:11" x14ac:dyDescent="0.2">
      <c r="B119" s="64" t="s">
        <v>819</v>
      </c>
      <c r="C119" s="73">
        <v>0</v>
      </c>
      <c r="D119" s="67">
        <v>0</v>
      </c>
      <c r="E119" s="64">
        <v>0</v>
      </c>
      <c r="G119" s="10">
        <f t="shared" si="3"/>
        <v>0</v>
      </c>
      <c r="H119" s="34"/>
      <c r="J119" s="2"/>
    </row>
    <row r="120" spans="1:11" x14ac:dyDescent="0.2">
      <c r="B120" s="64" t="s">
        <v>820</v>
      </c>
      <c r="C120" s="73">
        <v>0</v>
      </c>
      <c r="D120" s="67">
        <v>0</v>
      </c>
      <c r="E120" s="64">
        <v>0</v>
      </c>
      <c r="G120" s="10">
        <f t="shared" si="3"/>
        <v>0</v>
      </c>
      <c r="H120" s="34"/>
      <c r="J120" s="2"/>
    </row>
    <row r="121" spans="1:11" x14ac:dyDescent="0.2">
      <c r="B121" s="64" t="s">
        <v>821</v>
      </c>
      <c r="C121" s="73">
        <v>0</v>
      </c>
      <c r="D121" s="67">
        <v>0</v>
      </c>
      <c r="E121" s="64">
        <v>0</v>
      </c>
      <c r="G121" s="10">
        <f t="shared" si="3"/>
        <v>0</v>
      </c>
      <c r="H121" s="34"/>
      <c r="J121" s="2"/>
    </row>
    <row r="122" spans="1:11" ht="15" x14ac:dyDescent="0.25">
      <c r="B122" s="64" t="s">
        <v>822</v>
      </c>
      <c r="C122" s="73">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69">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1">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1">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78"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C90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73">
        <v>0</v>
      </c>
      <c r="D180" s="67">
        <v>0</v>
      </c>
      <c r="E180" s="64">
        <v>0</v>
      </c>
      <c r="G180" s="10">
        <f t="shared" ref="G180:G190" si="5">+(C180*D180*E180)</f>
        <v>0</v>
      </c>
      <c r="H180" s="34"/>
      <c r="J180" s="46"/>
    </row>
    <row r="181" spans="1:11" x14ac:dyDescent="0.2">
      <c r="B181" s="64" t="s">
        <v>813</v>
      </c>
      <c r="C181" s="73">
        <v>0</v>
      </c>
      <c r="D181" s="67">
        <v>0</v>
      </c>
      <c r="E181" s="64">
        <v>0</v>
      </c>
      <c r="G181" s="10">
        <f t="shared" si="5"/>
        <v>0</v>
      </c>
      <c r="H181" s="34"/>
      <c r="J181" s="46"/>
    </row>
    <row r="182" spans="1:11" x14ac:dyDescent="0.2">
      <c r="B182" s="64" t="s">
        <v>814</v>
      </c>
      <c r="C182" s="73">
        <v>0</v>
      </c>
      <c r="D182" s="67">
        <v>0</v>
      </c>
      <c r="E182" s="64">
        <v>0</v>
      </c>
      <c r="G182" s="10">
        <f t="shared" si="5"/>
        <v>0</v>
      </c>
      <c r="H182" s="34"/>
      <c r="J182" s="46"/>
    </row>
    <row r="183" spans="1:11" x14ac:dyDescent="0.2">
      <c r="B183" s="64" t="s">
        <v>815</v>
      </c>
      <c r="C183" s="73">
        <v>0</v>
      </c>
      <c r="D183" s="67">
        <v>0</v>
      </c>
      <c r="E183" s="64">
        <v>0</v>
      </c>
      <c r="G183" s="10">
        <f t="shared" si="5"/>
        <v>0</v>
      </c>
      <c r="H183" s="34"/>
      <c r="J183" s="2"/>
    </row>
    <row r="184" spans="1:11" x14ac:dyDescent="0.2">
      <c r="B184" s="64" t="s">
        <v>816</v>
      </c>
      <c r="C184" s="73">
        <v>0</v>
      </c>
      <c r="D184" s="67">
        <v>0</v>
      </c>
      <c r="E184" s="64">
        <v>0</v>
      </c>
      <c r="G184" s="10">
        <f t="shared" si="5"/>
        <v>0</v>
      </c>
      <c r="H184" s="34"/>
      <c r="J184" s="2"/>
    </row>
    <row r="185" spans="1:11" x14ac:dyDescent="0.2">
      <c r="B185" s="64" t="s">
        <v>817</v>
      </c>
      <c r="C185" s="73">
        <v>0</v>
      </c>
      <c r="D185" s="67">
        <v>0</v>
      </c>
      <c r="E185" s="64">
        <v>0</v>
      </c>
      <c r="G185" s="10">
        <f t="shared" si="5"/>
        <v>0</v>
      </c>
      <c r="H185" s="34"/>
      <c r="J185" s="2"/>
    </row>
    <row r="186" spans="1:11" x14ac:dyDescent="0.2">
      <c r="B186" s="64" t="s">
        <v>818</v>
      </c>
      <c r="C186" s="73">
        <v>0</v>
      </c>
      <c r="D186" s="67">
        <v>0</v>
      </c>
      <c r="E186" s="64">
        <v>0</v>
      </c>
      <c r="G186" s="10">
        <f t="shared" si="5"/>
        <v>0</v>
      </c>
      <c r="H186" s="34"/>
      <c r="J186" s="2"/>
    </row>
    <row r="187" spans="1:11" x14ac:dyDescent="0.2">
      <c r="B187" s="64" t="s">
        <v>819</v>
      </c>
      <c r="C187" s="73">
        <v>0</v>
      </c>
      <c r="D187" s="67">
        <v>0</v>
      </c>
      <c r="E187" s="64">
        <v>0</v>
      </c>
      <c r="G187" s="10">
        <f t="shared" si="5"/>
        <v>0</v>
      </c>
      <c r="H187" s="34"/>
      <c r="J187" s="2"/>
    </row>
    <row r="188" spans="1:11" x14ac:dyDescent="0.2">
      <c r="B188" s="64" t="s">
        <v>820</v>
      </c>
      <c r="C188" s="73">
        <v>0</v>
      </c>
      <c r="D188" s="67">
        <v>0</v>
      </c>
      <c r="E188" s="64">
        <v>0</v>
      </c>
      <c r="G188" s="10">
        <f t="shared" si="5"/>
        <v>0</v>
      </c>
      <c r="H188" s="34"/>
      <c r="J188" s="2"/>
    </row>
    <row r="189" spans="1:11" x14ac:dyDescent="0.2">
      <c r="B189" s="64" t="s">
        <v>821</v>
      </c>
      <c r="C189" s="73">
        <v>0</v>
      </c>
      <c r="D189" s="67">
        <v>0</v>
      </c>
      <c r="E189" s="64">
        <v>0</v>
      </c>
      <c r="G189" s="10">
        <f t="shared" si="5"/>
        <v>0</v>
      </c>
      <c r="H189" s="34"/>
      <c r="J189" s="2"/>
    </row>
    <row r="190" spans="1:11" ht="15" x14ac:dyDescent="0.25">
      <c r="B190" s="64" t="s">
        <v>822</v>
      </c>
      <c r="C190" s="73">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15" x14ac:dyDescent="0.25">
      <c r="A193" s="13" t="s">
        <v>824</v>
      </c>
      <c r="B193" s="13"/>
      <c r="C193" s="13"/>
      <c r="D193" s="69">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1">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1">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78"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C90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73">
        <v>0</v>
      </c>
      <c r="D248" s="67">
        <v>0</v>
      </c>
      <c r="E248" s="64">
        <v>0</v>
      </c>
      <c r="G248" s="10">
        <f t="shared" ref="G248:G258" si="7">+(C248*D248*E248)</f>
        <v>0</v>
      </c>
      <c r="H248" s="34"/>
      <c r="J248" s="46"/>
    </row>
    <row r="249" spans="1:11" x14ac:dyDescent="0.2">
      <c r="B249" s="64" t="s">
        <v>813</v>
      </c>
      <c r="C249" s="73">
        <v>0</v>
      </c>
      <c r="D249" s="67">
        <v>0</v>
      </c>
      <c r="E249" s="64">
        <v>0</v>
      </c>
      <c r="G249" s="10">
        <f t="shared" si="7"/>
        <v>0</v>
      </c>
      <c r="H249" s="34"/>
      <c r="J249" s="46"/>
    </row>
    <row r="250" spans="1:11" x14ac:dyDescent="0.2">
      <c r="B250" s="64" t="s">
        <v>814</v>
      </c>
      <c r="C250" s="73">
        <v>0</v>
      </c>
      <c r="D250" s="67">
        <v>0</v>
      </c>
      <c r="E250" s="64">
        <v>0</v>
      </c>
      <c r="G250" s="10">
        <f t="shared" si="7"/>
        <v>0</v>
      </c>
      <c r="H250" s="34"/>
      <c r="J250" s="46"/>
    </row>
    <row r="251" spans="1:11" x14ac:dyDescent="0.2">
      <c r="B251" s="64" t="s">
        <v>815</v>
      </c>
      <c r="C251" s="73">
        <v>0</v>
      </c>
      <c r="D251" s="67">
        <v>0</v>
      </c>
      <c r="E251" s="64">
        <v>0</v>
      </c>
      <c r="G251" s="10">
        <f t="shared" si="7"/>
        <v>0</v>
      </c>
      <c r="H251" s="34"/>
      <c r="J251" s="2"/>
    </row>
    <row r="252" spans="1:11" x14ac:dyDescent="0.2">
      <c r="B252" s="64" t="s">
        <v>816</v>
      </c>
      <c r="C252" s="73">
        <v>0</v>
      </c>
      <c r="D252" s="67">
        <v>0</v>
      </c>
      <c r="E252" s="64">
        <v>0</v>
      </c>
      <c r="G252" s="10">
        <f t="shared" si="7"/>
        <v>0</v>
      </c>
      <c r="H252" s="34"/>
      <c r="J252" s="2"/>
    </row>
    <row r="253" spans="1:11" x14ac:dyDescent="0.2">
      <c r="B253" s="64" t="s">
        <v>817</v>
      </c>
      <c r="C253" s="73">
        <v>0</v>
      </c>
      <c r="D253" s="67">
        <v>0</v>
      </c>
      <c r="E253" s="64">
        <v>0</v>
      </c>
      <c r="G253" s="10">
        <f t="shared" si="7"/>
        <v>0</v>
      </c>
      <c r="H253" s="34"/>
      <c r="J253" s="2"/>
    </row>
    <row r="254" spans="1:11" x14ac:dyDescent="0.2">
      <c r="B254" s="64" t="s">
        <v>818</v>
      </c>
      <c r="C254" s="73">
        <v>0</v>
      </c>
      <c r="D254" s="67">
        <v>0</v>
      </c>
      <c r="E254" s="64">
        <v>0</v>
      </c>
      <c r="G254" s="10">
        <f t="shared" si="7"/>
        <v>0</v>
      </c>
      <c r="H254" s="34"/>
      <c r="J254" s="2"/>
    </row>
    <row r="255" spans="1:11" x14ac:dyDescent="0.2">
      <c r="B255" s="64" t="s">
        <v>819</v>
      </c>
      <c r="C255" s="73">
        <v>0</v>
      </c>
      <c r="D255" s="67">
        <v>0</v>
      </c>
      <c r="E255" s="64">
        <v>0</v>
      </c>
      <c r="G255" s="10">
        <f t="shared" si="7"/>
        <v>0</v>
      </c>
      <c r="H255" s="34"/>
      <c r="J255" s="2"/>
    </row>
    <row r="256" spans="1:11" x14ac:dyDescent="0.2">
      <c r="B256" s="64" t="s">
        <v>820</v>
      </c>
      <c r="C256" s="73">
        <v>0</v>
      </c>
      <c r="D256" s="67">
        <v>0</v>
      </c>
      <c r="E256" s="64">
        <v>0</v>
      </c>
      <c r="G256" s="10">
        <f t="shared" si="7"/>
        <v>0</v>
      </c>
      <c r="H256" s="34"/>
      <c r="J256" s="2"/>
    </row>
    <row r="257" spans="1:11" x14ac:dyDescent="0.2">
      <c r="B257" s="64" t="s">
        <v>821</v>
      </c>
      <c r="C257" s="73">
        <v>0</v>
      </c>
      <c r="D257" s="67">
        <v>0</v>
      </c>
      <c r="E257" s="64">
        <v>0</v>
      </c>
      <c r="G257" s="10">
        <f t="shared" si="7"/>
        <v>0</v>
      </c>
      <c r="H257" s="34"/>
      <c r="J257" s="2"/>
    </row>
    <row r="258" spans="1:11" ht="15" x14ac:dyDescent="0.25">
      <c r="B258" s="64" t="s">
        <v>822</v>
      </c>
      <c r="C258" s="73">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69">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1">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78"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C90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73">
        <v>0</v>
      </c>
      <c r="D316" s="67">
        <v>0</v>
      </c>
      <c r="E316" s="64">
        <v>0</v>
      </c>
      <c r="G316" s="10">
        <f t="shared" ref="G316:G326" si="9">+(C316*D316*E316)</f>
        <v>0</v>
      </c>
      <c r="H316" s="34"/>
      <c r="J316" s="46"/>
    </row>
    <row r="317" spans="1:11" x14ac:dyDescent="0.2">
      <c r="B317" s="64" t="s">
        <v>813</v>
      </c>
      <c r="C317" s="73">
        <v>0</v>
      </c>
      <c r="D317" s="67">
        <v>0</v>
      </c>
      <c r="E317" s="64">
        <v>0</v>
      </c>
      <c r="G317" s="10">
        <f t="shared" si="9"/>
        <v>0</v>
      </c>
      <c r="H317" s="34"/>
      <c r="J317" s="46"/>
    </row>
    <row r="318" spans="1:11" x14ac:dyDescent="0.2">
      <c r="B318" s="64" t="s">
        <v>814</v>
      </c>
      <c r="C318" s="73">
        <v>0</v>
      </c>
      <c r="D318" s="67">
        <v>0</v>
      </c>
      <c r="E318" s="64">
        <v>0</v>
      </c>
      <c r="G318" s="10">
        <f t="shared" si="9"/>
        <v>0</v>
      </c>
      <c r="H318" s="34"/>
      <c r="J318" s="46"/>
    </row>
    <row r="319" spans="1:11" x14ac:dyDescent="0.2">
      <c r="B319" s="64" t="s">
        <v>815</v>
      </c>
      <c r="C319" s="73">
        <v>0</v>
      </c>
      <c r="D319" s="67">
        <v>0</v>
      </c>
      <c r="E319" s="64">
        <v>0</v>
      </c>
      <c r="G319" s="10">
        <f t="shared" si="9"/>
        <v>0</v>
      </c>
      <c r="H319" s="34"/>
      <c r="J319" s="2"/>
    </row>
    <row r="320" spans="1:11" x14ac:dyDescent="0.2">
      <c r="B320" s="64" t="s">
        <v>816</v>
      </c>
      <c r="C320" s="73">
        <v>0</v>
      </c>
      <c r="D320" s="67">
        <v>0</v>
      </c>
      <c r="E320" s="64">
        <v>0</v>
      </c>
      <c r="G320" s="10">
        <f t="shared" si="9"/>
        <v>0</v>
      </c>
      <c r="H320" s="34"/>
      <c r="J320" s="2"/>
    </row>
    <row r="321" spans="1:11" x14ac:dyDescent="0.2">
      <c r="B321" s="64" t="s">
        <v>817</v>
      </c>
      <c r="C321" s="73">
        <v>0</v>
      </c>
      <c r="D321" s="67">
        <v>0</v>
      </c>
      <c r="E321" s="64">
        <v>0</v>
      </c>
      <c r="G321" s="10">
        <f t="shared" si="9"/>
        <v>0</v>
      </c>
      <c r="H321" s="34"/>
      <c r="J321" s="2"/>
    </row>
    <row r="322" spans="1:11" x14ac:dyDescent="0.2">
      <c r="B322" s="64" t="s">
        <v>818</v>
      </c>
      <c r="C322" s="73">
        <v>0</v>
      </c>
      <c r="D322" s="67">
        <v>0</v>
      </c>
      <c r="E322" s="64">
        <v>0</v>
      </c>
      <c r="G322" s="10">
        <f t="shared" si="9"/>
        <v>0</v>
      </c>
      <c r="H322" s="34"/>
      <c r="J322" s="2"/>
    </row>
    <row r="323" spans="1:11" x14ac:dyDescent="0.2">
      <c r="B323" s="64" t="s">
        <v>819</v>
      </c>
      <c r="C323" s="73">
        <v>0</v>
      </c>
      <c r="D323" s="67">
        <v>0</v>
      </c>
      <c r="E323" s="64">
        <v>0</v>
      </c>
      <c r="G323" s="10">
        <f t="shared" si="9"/>
        <v>0</v>
      </c>
      <c r="H323" s="34"/>
      <c r="J323" s="2"/>
    </row>
    <row r="324" spans="1:11" x14ac:dyDescent="0.2">
      <c r="B324" s="64" t="s">
        <v>820</v>
      </c>
      <c r="C324" s="73">
        <v>0</v>
      </c>
      <c r="D324" s="67">
        <v>0</v>
      </c>
      <c r="E324" s="64">
        <v>0</v>
      </c>
      <c r="G324" s="10">
        <f t="shared" si="9"/>
        <v>0</v>
      </c>
      <c r="H324" s="34"/>
      <c r="J324" s="2"/>
    </row>
    <row r="325" spans="1:11" x14ac:dyDescent="0.2">
      <c r="B325" s="64" t="s">
        <v>821</v>
      </c>
      <c r="C325" s="73">
        <v>0</v>
      </c>
      <c r="D325" s="67">
        <v>0</v>
      </c>
      <c r="E325" s="64">
        <v>0</v>
      </c>
      <c r="G325" s="10">
        <f t="shared" si="9"/>
        <v>0</v>
      </c>
      <c r="H325" s="34"/>
      <c r="J325" s="2"/>
    </row>
    <row r="326" spans="1:11" ht="15" x14ac:dyDescent="0.25">
      <c r="B326" s="64" t="s">
        <v>822</v>
      </c>
      <c r="C326" s="73">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69">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1">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78" t="e">
        <f>+H338/(E290)</f>
        <v>#DIV/0!</v>
      </c>
      <c r="J340" s="2"/>
      <c r="K340" s="21" t="e">
        <f>SUM(K330:K339)</f>
        <v>#DIV/0!</v>
      </c>
    </row>
    <row r="341" spans="1:11" x14ac:dyDescent="0.2">
      <c r="A341" s="2"/>
      <c r="B341" s="3"/>
      <c r="C341" s="2"/>
      <c r="D341" s="2"/>
      <c r="E341" s="2"/>
      <c r="F341" s="2"/>
      <c r="G341" s="2"/>
      <c r="H341" s="2"/>
      <c r="I341" s="2"/>
      <c r="J341" s="54"/>
      <c r="K341" s="2"/>
    </row>
  </sheetData>
  <mergeCells count="9">
    <mergeCell ref="A72:B72"/>
    <mergeCell ref="B68:E68"/>
    <mergeCell ref="B136:E136"/>
    <mergeCell ref="A276:B276"/>
    <mergeCell ref="B340:E340"/>
    <mergeCell ref="A140:B140"/>
    <mergeCell ref="B204:E204"/>
    <mergeCell ref="A208:B208"/>
    <mergeCell ref="B272:E27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DCFEB-ED97-428A-A2DA-2140C5A9B274}">
  <sheetPr codeName="Sheet7"/>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D10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5</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5"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D10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D10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D10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4"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5</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1">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D10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60376-5647-42FE-B81A-64BAECCAD1CA}">
  <sheetPr codeName="Sheet9"/>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2.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DFW ATCT-E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5</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5"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DFW ATCT-E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DFW ATCT-E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DFW ATCT-E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5</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DFW ATCT-E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0111-D3B1-40E1-B137-6F8BBA9EEE8F}">
  <sheetPr codeName="Sheet11"/>
  <dimension ref="A1:M341"/>
  <sheetViews>
    <sheetView workbookViewId="0">
      <selection activeCell="H68" sqref="H68"/>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DFW ATCT-W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DFW ATCT-W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DFW ATCT-W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DFW ATCT-W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DFW ATCT-W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B9D41-0369-4BF4-9C9D-3C7763027D4C}">
  <sheetPr codeName="Sheet13"/>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DTW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DTW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DTW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DTW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DTW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A856E-DA49-49B9-BE56-0B392F39A0C6}">
  <sheetPr codeName="Sheet16"/>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28515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I90 TRACON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I90 TRACON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I90 TRACON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I90 TRACON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I90 TRACON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4625-540F-4A26-A966-93A05A58548D}">
  <sheetPr codeName="Sheet18"/>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57031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IAH ATCT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IAH ATCT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IAH ATCT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IAH ATCT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IAH ATCT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27972-D73A-42CC-923C-DD980206BB02}">
  <sheetPr codeName="Sheet20"/>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MSP ATCT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MSP ATCT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MSP ATCT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MSP ATCT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MSP ATCT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37DBE-6BC3-481D-BEF6-ED0E9F15C2BC}">
  <sheetPr codeName="Sheet22"/>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28515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ORD ATCT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ORD ATCT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ORD ATCT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ORD ATCT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ORD ATCT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64E43-2585-4846-AAC2-F612B1CC7F17}">
  <sheetPr codeName="Sheet24"/>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ZAB ARTCC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ZAB ARTCC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ZAB ARTCC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ZAB ARTCC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ZAB ARTCC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F0734-DC52-4F29-9709-CB0EB61B068B}">
  <sheetPr codeName="Sheet26"/>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855468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ZAU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ZAU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0</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ZAU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ZAU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ZAU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A8F1F-4047-4C46-8E7C-C297B74F109E}">
  <sheetPr codeName="Sheet28"/>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425781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ZFW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ZFW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ZFW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ZFW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2">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2">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ZFW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2">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E8264-4BBB-436C-B78E-8A24B8ACF1EF}">
  <sheetPr codeName="Sheet30"/>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855468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ZHU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7">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69">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1">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1">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ZHU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69">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1">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1">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ZHU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69">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1">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1">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ZHU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69">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1">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ZHU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69">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1">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02B15-9182-4C2D-8D45-E2B43C657EBC}">
  <sheetPr codeName="Sheet32"/>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855468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ZID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ZID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ZID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ZID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1">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ZID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CA0B-5132-4C5F-83BE-593472C78BD9}">
  <sheetPr codeName="Sheet34"/>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140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ZKC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ZKC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ZKC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ZKC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1">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ZKC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B16C-F6DF-4B3D-806D-41DF0A775327}">
  <sheetPr codeName="Sheet36"/>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0.710937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ZMP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ZMP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ZMP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ZMP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1">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ZMP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BF2F0-2BE5-4FA9-912B-8DA7241B1967}">
  <sheetPr codeName="Sheet38"/>
  <dimension ref="A1:M341"/>
  <sheetViews>
    <sheetView workbookViewId="0">
      <selection activeCell="A2" sqref="A2"/>
    </sheetView>
  </sheetViews>
  <sheetFormatPr defaultColWidth="9.140625" defaultRowHeight="14.25" x14ac:dyDescent="0.2"/>
  <cols>
    <col min="1" max="1" width="33.85546875" style="4" bestFit="1" customWidth="1"/>
    <col min="2" max="2" width="49.5703125" style="4" bestFit="1" customWidth="1"/>
    <col min="3" max="3" width="12.5703125" style="4" customWidth="1"/>
    <col min="4" max="4" width="9.140625" style="4"/>
    <col min="5" max="5" width="15.5703125" style="4" bestFit="1" customWidth="1"/>
    <col min="6" max="6" width="16.28515625" style="4" customWidth="1"/>
    <col min="7" max="7" width="12.7109375" style="4" bestFit="1" customWidth="1"/>
    <col min="8" max="8" width="21.28515625" style="4" customWidth="1"/>
    <col min="9" max="9" width="17" style="4" bestFit="1" customWidth="1"/>
    <col min="10" max="10" width="2.42578125" style="4" customWidth="1"/>
    <col min="11" max="11" width="11.42578125" style="11" bestFit="1" customWidth="1"/>
    <col min="12" max="12" width="12.7109375" style="4" bestFit="1" customWidth="1"/>
    <col min="13" max="76" width="9.140625" style="4"/>
    <col min="77" max="77" width="32.140625" style="4" bestFit="1" customWidth="1"/>
    <col min="78" max="78" width="12.5703125" style="4" bestFit="1" customWidth="1"/>
    <col min="79" max="79" width="9.140625" style="4"/>
    <col min="80" max="80" width="15.5703125" style="4" bestFit="1" customWidth="1"/>
    <col min="81" max="81" width="9.140625" style="4"/>
    <col min="82" max="82" width="11.5703125" style="4" bestFit="1" customWidth="1"/>
    <col min="83" max="83" width="16" style="4" customWidth="1"/>
    <col min="84" max="84" width="11.42578125" style="4" customWidth="1"/>
    <col min="85" max="332" width="9.140625" style="4"/>
    <col min="333" max="333" width="32.140625" style="4" bestFit="1" customWidth="1"/>
    <col min="334" max="334" width="12.5703125" style="4" bestFit="1" customWidth="1"/>
    <col min="335" max="335" width="9.140625" style="4"/>
    <col min="336" max="336" width="15.5703125" style="4" bestFit="1" customWidth="1"/>
    <col min="337" max="337" width="9.140625" style="4"/>
    <col min="338" max="338" width="11.5703125" style="4" bestFit="1" customWidth="1"/>
    <col min="339" max="339" width="16" style="4" customWidth="1"/>
    <col min="340" max="340" width="11.42578125" style="4" customWidth="1"/>
    <col min="341" max="588" width="9.140625" style="4"/>
    <col min="589" max="589" width="32.140625" style="4" bestFit="1" customWidth="1"/>
    <col min="590" max="590" width="12.5703125" style="4" bestFit="1" customWidth="1"/>
    <col min="591" max="591" width="9.140625" style="4"/>
    <col min="592" max="592" width="15.5703125" style="4" bestFit="1" customWidth="1"/>
    <col min="593" max="593" width="9.140625" style="4"/>
    <col min="594" max="594" width="11.5703125" style="4" bestFit="1" customWidth="1"/>
    <col min="595" max="595" width="16" style="4" customWidth="1"/>
    <col min="596" max="596" width="11.42578125" style="4" customWidth="1"/>
    <col min="597" max="844" width="9.140625" style="4"/>
    <col min="845" max="845" width="32.140625" style="4" bestFit="1" customWidth="1"/>
    <col min="846" max="846" width="12.5703125" style="4" bestFit="1" customWidth="1"/>
    <col min="847" max="847" width="9.140625" style="4"/>
    <col min="848" max="848" width="15.5703125" style="4" bestFit="1" customWidth="1"/>
    <col min="849" max="849" width="9.140625" style="4"/>
    <col min="850" max="850" width="11.5703125" style="4" bestFit="1" customWidth="1"/>
    <col min="851" max="851" width="16" style="4" customWidth="1"/>
    <col min="852" max="852" width="11.42578125" style="4" customWidth="1"/>
    <col min="853" max="1100" width="9.140625" style="4"/>
    <col min="1101" max="1101" width="32.140625" style="4" bestFit="1" customWidth="1"/>
    <col min="1102" max="1102" width="12.5703125" style="4" bestFit="1" customWidth="1"/>
    <col min="1103" max="1103" width="9.140625" style="4"/>
    <col min="1104" max="1104" width="15.5703125" style="4" bestFit="1" customWidth="1"/>
    <col min="1105" max="1105" width="9.140625" style="4"/>
    <col min="1106" max="1106" width="11.5703125" style="4" bestFit="1" customWidth="1"/>
    <col min="1107" max="1107" width="16" style="4" customWidth="1"/>
    <col min="1108" max="1108" width="11.42578125" style="4" customWidth="1"/>
    <col min="1109" max="1356" width="9.140625" style="4"/>
    <col min="1357" max="1357" width="32.140625" style="4" bestFit="1" customWidth="1"/>
    <col min="1358" max="1358" width="12.5703125" style="4" bestFit="1" customWidth="1"/>
    <col min="1359" max="1359" width="9.140625" style="4"/>
    <col min="1360" max="1360" width="15.5703125" style="4" bestFit="1" customWidth="1"/>
    <col min="1361" max="1361" width="9.140625" style="4"/>
    <col min="1362" max="1362" width="11.5703125" style="4" bestFit="1" customWidth="1"/>
    <col min="1363" max="1363" width="16" style="4" customWidth="1"/>
    <col min="1364" max="1364" width="11.42578125" style="4" customWidth="1"/>
    <col min="1365" max="1612" width="9.140625" style="4"/>
    <col min="1613" max="1613" width="32.140625" style="4" bestFit="1" customWidth="1"/>
    <col min="1614" max="1614" width="12.5703125" style="4" bestFit="1" customWidth="1"/>
    <col min="1615" max="1615" width="9.140625" style="4"/>
    <col min="1616" max="1616" width="15.5703125" style="4" bestFit="1" customWidth="1"/>
    <col min="1617" max="1617" width="9.140625" style="4"/>
    <col min="1618" max="1618" width="11.5703125" style="4" bestFit="1" customWidth="1"/>
    <col min="1619" max="1619" width="16" style="4" customWidth="1"/>
    <col min="1620" max="1620" width="11.42578125" style="4" customWidth="1"/>
    <col min="1621" max="1868" width="9.140625" style="4"/>
    <col min="1869" max="1869" width="32.140625" style="4" bestFit="1" customWidth="1"/>
    <col min="1870" max="1870" width="12.5703125" style="4" bestFit="1" customWidth="1"/>
    <col min="1871" max="1871" width="9.140625" style="4"/>
    <col min="1872" max="1872" width="15.5703125" style="4" bestFit="1" customWidth="1"/>
    <col min="1873" max="1873" width="9.140625" style="4"/>
    <col min="1874" max="1874" width="11.5703125" style="4" bestFit="1" customWidth="1"/>
    <col min="1875" max="1875" width="16" style="4" customWidth="1"/>
    <col min="1876" max="1876" width="11.42578125" style="4" customWidth="1"/>
    <col min="1877" max="2124" width="9.140625" style="4"/>
    <col min="2125" max="2125" width="32.140625" style="4" bestFit="1" customWidth="1"/>
    <col min="2126" max="2126" width="12.5703125" style="4" bestFit="1" customWidth="1"/>
    <col min="2127" max="2127" width="9.140625" style="4"/>
    <col min="2128" max="2128" width="15.5703125" style="4" bestFit="1" customWidth="1"/>
    <col min="2129" max="2129" width="9.140625" style="4"/>
    <col min="2130" max="2130" width="11.5703125" style="4" bestFit="1" customWidth="1"/>
    <col min="2131" max="2131" width="16" style="4" customWidth="1"/>
    <col min="2132" max="2132" width="11.42578125" style="4" customWidth="1"/>
    <col min="2133" max="2380" width="9.140625" style="4"/>
    <col min="2381" max="2381" width="32.140625" style="4" bestFit="1" customWidth="1"/>
    <col min="2382" max="2382" width="12.5703125" style="4" bestFit="1" customWidth="1"/>
    <col min="2383" max="2383" width="9.140625" style="4"/>
    <col min="2384" max="2384" width="15.5703125" style="4" bestFit="1" customWidth="1"/>
    <col min="2385" max="2385" width="9.140625" style="4"/>
    <col min="2386" max="2386" width="11.5703125" style="4" bestFit="1" customWidth="1"/>
    <col min="2387" max="2387" width="16" style="4" customWidth="1"/>
    <col min="2388" max="2388" width="11.42578125" style="4" customWidth="1"/>
    <col min="2389" max="2636" width="9.140625" style="4"/>
    <col min="2637" max="2637" width="32.140625" style="4" bestFit="1" customWidth="1"/>
    <col min="2638" max="2638" width="12.5703125" style="4" bestFit="1" customWidth="1"/>
    <col min="2639" max="2639" width="9.140625" style="4"/>
    <col min="2640" max="2640" width="15.5703125" style="4" bestFit="1" customWidth="1"/>
    <col min="2641" max="2641" width="9.140625" style="4"/>
    <col min="2642" max="2642" width="11.5703125" style="4" bestFit="1" customWidth="1"/>
    <col min="2643" max="2643" width="16" style="4" customWidth="1"/>
    <col min="2644" max="2644" width="11.42578125" style="4" customWidth="1"/>
    <col min="2645" max="2892" width="9.140625" style="4"/>
    <col min="2893" max="2893" width="32.140625" style="4" bestFit="1" customWidth="1"/>
    <col min="2894" max="2894" width="12.5703125" style="4" bestFit="1" customWidth="1"/>
    <col min="2895" max="2895" width="9.140625" style="4"/>
    <col min="2896" max="2896" width="15.5703125" style="4" bestFit="1" customWidth="1"/>
    <col min="2897" max="2897" width="9.140625" style="4"/>
    <col min="2898" max="2898" width="11.5703125" style="4" bestFit="1" customWidth="1"/>
    <col min="2899" max="2899" width="16" style="4" customWidth="1"/>
    <col min="2900" max="2900" width="11.42578125" style="4" customWidth="1"/>
    <col min="2901" max="3148" width="9.140625" style="4"/>
    <col min="3149" max="3149" width="32.140625" style="4" bestFit="1" customWidth="1"/>
    <col min="3150" max="3150" width="12.5703125" style="4" bestFit="1" customWidth="1"/>
    <col min="3151" max="3151" width="9.140625" style="4"/>
    <col min="3152" max="3152" width="15.5703125" style="4" bestFit="1" customWidth="1"/>
    <col min="3153" max="3153" width="9.140625" style="4"/>
    <col min="3154" max="3154" width="11.5703125" style="4" bestFit="1" customWidth="1"/>
    <col min="3155" max="3155" width="16" style="4" customWidth="1"/>
    <col min="3156" max="3156" width="11.42578125" style="4" customWidth="1"/>
    <col min="3157" max="3404" width="9.140625" style="4"/>
    <col min="3405" max="3405" width="32.140625" style="4" bestFit="1" customWidth="1"/>
    <col min="3406" max="3406" width="12.5703125" style="4" bestFit="1" customWidth="1"/>
    <col min="3407" max="3407" width="9.140625" style="4"/>
    <col min="3408" max="3408" width="15.5703125" style="4" bestFit="1" customWidth="1"/>
    <col min="3409" max="3409" width="9.140625" style="4"/>
    <col min="3410" max="3410" width="11.5703125" style="4" bestFit="1" customWidth="1"/>
    <col min="3411" max="3411" width="16" style="4" customWidth="1"/>
    <col min="3412" max="3412" width="11.42578125" style="4" customWidth="1"/>
    <col min="3413" max="3660" width="9.140625" style="4"/>
    <col min="3661" max="3661" width="32.140625" style="4" bestFit="1" customWidth="1"/>
    <col min="3662" max="3662" width="12.5703125" style="4" bestFit="1" customWidth="1"/>
    <col min="3663" max="3663" width="9.140625" style="4"/>
    <col min="3664" max="3664" width="15.5703125" style="4" bestFit="1" customWidth="1"/>
    <col min="3665" max="3665" width="9.140625" style="4"/>
    <col min="3666" max="3666" width="11.5703125" style="4" bestFit="1" customWidth="1"/>
    <col min="3667" max="3667" width="16" style="4" customWidth="1"/>
    <col min="3668" max="3668" width="11.42578125" style="4" customWidth="1"/>
    <col min="3669" max="3916" width="9.140625" style="4"/>
    <col min="3917" max="3917" width="32.140625" style="4" bestFit="1" customWidth="1"/>
    <col min="3918" max="3918" width="12.5703125" style="4" bestFit="1" customWidth="1"/>
    <col min="3919" max="3919" width="9.140625" style="4"/>
    <col min="3920" max="3920" width="15.5703125" style="4" bestFit="1" customWidth="1"/>
    <col min="3921" max="3921" width="9.140625" style="4"/>
    <col min="3922" max="3922" width="11.5703125" style="4" bestFit="1" customWidth="1"/>
    <col min="3923" max="3923" width="16" style="4" customWidth="1"/>
    <col min="3924" max="3924" width="11.42578125" style="4" customWidth="1"/>
    <col min="3925" max="4172" width="9.140625" style="4"/>
    <col min="4173" max="4173" width="32.140625" style="4" bestFit="1" customWidth="1"/>
    <col min="4174" max="4174" width="12.5703125" style="4" bestFit="1" customWidth="1"/>
    <col min="4175" max="4175" width="9.140625" style="4"/>
    <col min="4176" max="4176" width="15.5703125" style="4" bestFit="1" customWidth="1"/>
    <col min="4177" max="4177" width="9.140625" style="4"/>
    <col min="4178" max="4178" width="11.5703125" style="4" bestFit="1" customWidth="1"/>
    <col min="4179" max="4179" width="16" style="4" customWidth="1"/>
    <col min="4180" max="4180" width="11.42578125" style="4" customWidth="1"/>
    <col min="4181" max="4428" width="9.140625" style="4"/>
    <col min="4429" max="4429" width="32.140625" style="4" bestFit="1" customWidth="1"/>
    <col min="4430" max="4430" width="12.5703125" style="4" bestFit="1" customWidth="1"/>
    <col min="4431" max="4431" width="9.140625" style="4"/>
    <col min="4432" max="4432" width="15.5703125" style="4" bestFit="1" customWidth="1"/>
    <col min="4433" max="4433" width="9.140625" style="4"/>
    <col min="4434" max="4434" width="11.5703125" style="4" bestFit="1" customWidth="1"/>
    <col min="4435" max="4435" width="16" style="4" customWidth="1"/>
    <col min="4436" max="4436" width="11.42578125" style="4" customWidth="1"/>
    <col min="4437" max="4684" width="9.140625" style="4"/>
    <col min="4685" max="4685" width="32.140625" style="4" bestFit="1" customWidth="1"/>
    <col min="4686" max="4686" width="12.5703125" style="4" bestFit="1" customWidth="1"/>
    <col min="4687" max="4687" width="9.140625" style="4"/>
    <col min="4688" max="4688" width="15.5703125" style="4" bestFit="1" customWidth="1"/>
    <col min="4689" max="4689" width="9.140625" style="4"/>
    <col min="4690" max="4690" width="11.5703125" style="4" bestFit="1" customWidth="1"/>
    <col min="4691" max="4691" width="16" style="4" customWidth="1"/>
    <col min="4692" max="4692" width="11.42578125" style="4" customWidth="1"/>
    <col min="4693" max="4940" width="9.140625" style="4"/>
    <col min="4941" max="4941" width="32.140625" style="4" bestFit="1" customWidth="1"/>
    <col min="4942" max="4942" width="12.5703125" style="4" bestFit="1" customWidth="1"/>
    <col min="4943" max="4943" width="9.140625" style="4"/>
    <col min="4944" max="4944" width="15.5703125" style="4" bestFit="1" customWidth="1"/>
    <col min="4945" max="4945" width="9.140625" style="4"/>
    <col min="4946" max="4946" width="11.5703125" style="4" bestFit="1" customWidth="1"/>
    <col min="4947" max="4947" width="16" style="4" customWidth="1"/>
    <col min="4948" max="4948" width="11.42578125" style="4" customWidth="1"/>
    <col min="4949" max="5196" width="9.140625" style="4"/>
    <col min="5197" max="5197" width="32.140625" style="4" bestFit="1" customWidth="1"/>
    <col min="5198" max="5198" width="12.5703125" style="4" bestFit="1" customWidth="1"/>
    <col min="5199" max="5199" width="9.140625" style="4"/>
    <col min="5200" max="5200" width="15.5703125" style="4" bestFit="1" customWidth="1"/>
    <col min="5201" max="5201" width="9.140625" style="4"/>
    <col min="5202" max="5202" width="11.5703125" style="4" bestFit="1" customWidth="1"/>
    <col min="5203" max="5203" width="16" style="4" customWidth="1"/>
    <col min="5204" max="5204" width="11.42578125" style="4" customWidth="1"/>
    <col min="5205" max="5452" width="9.140625" style="4"/>
    <col min="5453" max="5453" width="32.140625" style="4" bestFit="1" customWidth="1"/>
    <col min="5454" max="5454" width="12.5703125" style="4" bestFit="1" customWidth="1"/>
    <col min="5455" max="5455" width="9.140625" style="4"/>
    <col min="5456" max="5456" width="15.5703125" style="4" bestFit="1" customWidth="1"/>
    <col min="5457" max="5457" width="9.140625" style="4"/>
    <col min="5458" max="5458" width="11.5703125" style="4" bestFit="1" customWidth="1"/>
    <col min="5459" max="5459" width="16" style="4" customWidth="1"/>
    <col min="5460" max="5460" width="11.42578125" style="4" customWidth="1"/>
    <col min="5461" max="5708" width="9.140625" style="4"/>
    <col min="5709" max="5709" width="32.140625" style="4" bestFit="1" customWidth="1"/>
    <col min="5710" max="5710" width="12.5703125" style="4" bestFit="1" customWidth="1"/>
    <col min="5711" max="5711" width="9.140625" style="4"/>
    <col min="5712" max="5712" width="15.5703125" style="4" bestFit="1" customWidth="1"/>
    <col min="5713" max="5713" width="9.140625" style="4"/>
    <col min="5714" max="5714" width="11.5703125" style="4" bestFit="1" customWidth="1"/>
    <col min="5715" max="5715" width="16" style="4" customWidth="1"/>
    <col min="5716" max="5716" width="11.42578125" style="4" customWidth="1"/>
    <col min="5717" max="5964" width="9.140625" style="4"/>
    <col min="5965" max="5965" width="32.140625" style="4" bestFit="1" customWidth="1"/>
    <col min="5966" max="5966" width="12.5703125" style="4" bestFit="1" customWidth="1"/>
    <col min="5967" max="5967" width="9.140625" style="4"/>
    <col min="5968" max="5968" width="15.5703125" style="4" bestFit="1" customWidth="1"/>
    <col min="5969" max="5969" width="9.140625" style="4"/>
    <col min="5970" max="5970" width="11.5703125" style="4" bestFit="1" customWidth="1"/>
    <col min="5971" max="5971" width="16" style="4" customWidth="1"/>
    <col min="5972" max="5972" width="11.42578125" style="4" customWidth="1"/>
    <col min="5973" max="6220" width="9.140625" style="4"/>
    <col min="6221" max="6221" width="32.140625" style="4" bestFit="1" customWidth="1"/>
    <col min="6222" max="6222" width="12.5703125" style="4" bestFit="1" customWidth="1"/>
    <col min="6223" max="6223" width="9.140625" style="4"/>
    <col min="6224" max="6224" width="15.5703125" style="4" bestFit="1" customWidth="1"/>
    <col min="6225" max="6225" width="9.140625" style="4"/>
    <col min="6226" max="6226" width="11.5703125" style="4" bestFit="1" customWidth="1"/>
    <col min="6227" max="6227" width="16" style="4" customWidth="1"/>
    <col min="6228" max="6228" width="11.42578125" style="4" customWidth="1"/>
    <col min="6229" max="6476" width="9.140625" style="4"/>
    <col min="6477" max="6477" width="32.140625" style="4" bestFit="1" customWidth="1"/>
    <col min="6478" max="6478" width="12.5703125" style="4" bestFit="1" customWidth="1"/>
    <col min="6479" max="6479" width="9.140625" style="4"/>
    <col min="6480" max="6480" width="15.5703125" style="4" bestFit="1" customWidth="1"/>
    <col min="6481" max="6481" width="9.140625" style="4"/>
    <col min="6482" max="6482" width="11.5703125" style="4" bestFit="1" customWidth="1"/>
    <col min="6483" max="6483" width="16" style="4" customWidth="1"/>
    <col min="6484" max="6484" width="11.42578125" style="4" customWidth="1"/>
    <col min="6485" max="6732" width="9.140625" style="4"/>
    <col min="6733" max="6733" width="32.140625" style="4" bestFit="1" customWidth="1"/>
    <col min="6734" max="6734" width="12.5703125" style="4" bestFit="1" customWidth="1"/>
    <col min="6735" max="6735" width="9.140625" style="4"/>
    <col min="6736" max="6736" width="15.5703125" style="4" bestFit="1" customWidth="1"/>
    <col min="6737" max="6737" width="9.140625" style="4"/>
    <col min="6738" max="6738" width="11.5703125" style="4" bestFit="1" customWidth="1"/>
    <col min="6739" max="6739" width="16" style="4" customWidth="1"/>
    <col min="6740" max="6740" width="11.42578125" style="4" customWidth="1"/>
    <col min="6741" max="6988" width="9.140625" style="4"/>
    <col min="6989" max="6989" width="32.140625" style="4" bestFit="1" customWidth="1"/>
    <col min="6990" max="6990" width="12.5703125" style="4" bestFit="1" customWidth="1"/>
    <col min="6991" max="6991" width="9.140625" style="4"/>
    <col min="6992" max="6992" width="15.5703125" style="4" bestFit="1" customWidth="1"/>
    <col min="6993" max="6993" width="9.140625" style="4"/>
    <col min="6994" max="6994" width="11.5703125" style="4" bestFit="1" customWidth="1"/>
    <col min="6995" max="6995" width="16" style="4" customWidth="1"/>
    <col min="6996" max="6996" width="11.42578125" style="4" customWidth="1"/>
    <col min="6997" max="7244" width="9.140625" style="4"/>
    <col min="7245" max="7245" width="32.140625" style="4" bestFit="1" customWidth="1"/>
    <col min="7246" max="7246" width="12.5703125" style="4" bestFit="1" customWidth="1"/>
    <col min="7247" max="7247" width="9.140625" style="4"/>
    <col min="7248" max="7248" width="15.5703125" style="4" bestFit="1" customWidth="1"/>
    <col min="7249" max="7249" width="9.140625" style="4"/>
    <col min="7250" max="7250" width="11.5703125" style="4" bestFit="1" customWidth="1"/>
    <col min="7251" max="7251" width="16" style="4" customWidth="1"/>
    <col min="7252" max="7252" width="11.42578125" style="4" customWidth="1"/>
    <col min="7253" max="7500" width="9.140625" style="4"/>
    <col min="7501" max="7501" width="32.140625" style="4" bestFit="1" customWidth="1"/>
    <col min="7502" max="7502" width="12.5703125" style="4" bestFit="1" customWidth="1"/>
    <col min="7503" max="7503" width="9.140625" style="4"/>
    <col min="7504" max="7504" width="15.5703125" style="4" bestFit="1" customWidth="1"/>
    <col min="7505" max="7505" width="9.140625" style="4"/>
    <col min="7506" max="7506" width="11.5703125" style="4" bestFit="1" customWidth="1"/>
    <col min="7507" max="7507" width="16" style="4" customWidth="1"/>
    <col min="7508" max="7508" width="11.42578125" style="4" customWidth="1"/>
    <col min="7509" max="7756" width="9.140625" style="4"/>
    <col min="7757" max="7757" width="32.140625" style="4" bestFit="1" customWidth="1"/>
    <col min="7758" max="7758" width="12.5703125" style="4" bestFit="1" customWidth="1"/>
    <col min="7759" max="7759" width="9.140625" style="4"/>
    <col min="7760" max="7760" width="15.5703125" style="4" bestFit="1" customWidth="1"/>
    <col min="7761" max="7761" width="9.140625" style="4"/>
    <col min="7762" max="7762" width="11.5703125" style="4" bestFit="1" customWidth="1"/>
    <col min="7763" max="7763" width="16" style="4" customWidth="1"/>
    <col min="7764" max="7764" width="11.42578125" style="4" customWidth="1"/>
    <col min="7765" max="8012" width="9.140625" style="4"/>
    <col min="8013" max="8013" width="32.140625" style="4" bestFit="1" customWidth="1"/>
    <col min="8014" max="8014" width="12.5703125" style="4" bestFit="1" customWidth="1"/>
    <col min="8015" max="8015" width="9.140625" style="4"/>
    <col min="8016" max="8016" width="15.5703125" style="4" bestFit="1" customWidth="1"/>
    <col min="8017" max="8017" width="9.140625" style="4"/>
    <col min="8018" max="8018" width="11.5703125" style="4" bestFit="1" customWidth="1"/>
    <col min="8019" max="8019" width="16" style="4" customWidth="1"/>
    <col min="8020" max="8020" width="11.42578125" style="4" customWidth="1"/>
    <col min="8021" max="8268" width="9.140625" style="4"/>
    <col min="8269" max="8269" width="32.140625" style="4" bestFit="1" customWidth="1"/>
    <col min="8270" max="8270" width="12.5703125" style="4" bestFit="1" customWidth="1"/>
    <col min="8271" max="8271" width="9.140625" style="4"/>
    <col min="8272" max="8272" width="15.5703125" style="4" bestFit="1" customWidth="1"/>
    <col min="8273" max="8273" width="9.140625" style="4"/>
    <col min="8274" max="8274" width="11.5703125" style="4" bestFit="1" customWidth="1"/>
    <col min="8275" max="8275" width="16" style="4" customWidth="1"/>
    <col min="8276" max="8276" width="11.42578125" style="4" customWidth="1"/>
    <col min="8277" max="8524" width="9.140625" style="4"/>
    <col min="8525" max="8525" width="32.140625" style="4" bestFit="1" customWidth="1"/>
    <col min="8526" max="8526" width="12.5703125" style="4" bestFit="1" customWidth="1"/>
    <col min="8527" max="8527" width="9.140625" style="4"/>
    <col min="8528" max="8528" width="15.5703125" style="4" bestFit="1" customWidth="1"/>
    <col min="8529" max="8529" width="9.140625" style="4"/>
    <col min="8530" max="8530" width="11.5703125" style="4" bestFit="1" customWidth="1"/>
    <col min="8531" max="8531" width="16" style="4" customWidth="1"/>
    <col min="8532" max="8532" width="11.42578125" style="4" customWidth="1"/>
    <col min="8533" max="8780" width="9.140625" style="4"/>
    <col min="8781" max="8781" width="32.140625" style="4" bestFit="1" customWidth="1"/>
    <col min="8782" max="8782" width="12.5703125" style="4" bestFit="1" customWidth="1"/>
    <col min="8783" max="8783" width="9.140625" style="4"/>
    <col min="8784" max="8784" width="15.5703125" style="4" bestFit="1" customWidth="1"/>
    <col min="8785" max="8785" width="9.140625" style="4"/>
    <col min="8786" max="8786" width="11.5703125" style="4" bestFit="1" customWidth="1"/>
    <col min="8787" max="8787" width="16" style="4" customWidth="1"/>
    <col min="8788" max="8788" width="11.42578125" style="4" customWidth="1"/>
    <col min="8789" max="9036" width="9.140625" style="4"/>
    <col min="9037" max="9037" width="32.140625" style="4" bestFit="1" customWidth="1"/>
    <col min="9038" max="9038" width="12.5703125" style="4" bestFit="1" customWidth="1"/>
    <col min="9039" max="9039" width="9.140625" style="4"/>
    <col min="9040" max="9040" width="15.5703125" style="4" bestFit="1" customWidth="1"/>
    <col min="9041" max="9041" width="9.140625" style="4"/>
    <col min="9042" max="9042" width="11.5703125" style="4" bestFit="1" customWidth="1"/>
    <col min="9043" max="9043" width="16" style="4" customWidth="1"/>
    <col min="9044" max="9044" width="11.42578125" style="4" customWidth="1"/>
    <col min="9045" max="9292" width="9.140625" style="4"/>
    <col min="9293" max="9293" width="32.140625" style="4" bestFit="1" customWidth="1"/>
    <col min="9294" max="9294" width="12.5703125" style="4" bestFit="1" customWidth="1"/>
    <col min="9295" max="9295" width="9.140625" style="4"/>
    <col min="9296" max="9296" width="15.5703125" style="4" bestFit="1" customWidth="1"/>
    <col min="9297" max="9297" width="9.140625" style="4"/>
    <col min="9298" max="9298" width="11.5703125" style="4" bestFit="1" customWidth="1"/>
    <col min="9299" max="9299" width="16" style="4" customWidth="1"/>
    <col min="9300" max="9300" width="11.42578125" style="4" customWidth="1"/>
    <col min="9301" max="9548" width="9.140625" style="4"/>
    <col min="9549" max="9549" width="32.140625" style="4" bestFit="1" customWidth="1"/>
    <col min="9550" max="9550" width="12.5703125" style="4" bestFit="1" customWidth="1"/>
    <col min="9551" max="9551" width="9.140625" style="4"/>
    <col min="9552" max="9552" width="15.5703125" style="4" bestFit="1" customWidth="1"/>
    <col min="9553" max="9553" width="9.140625" style="4"/>
    <col min="9554" max="9554" width="11.5703125" style="4" bestFit="1" customWidth="1"/>
    <col min="9555" max="9555" width="16" style="4" customWidth="1"/>
    <col min="9556" max="9556" width="11.42578125" style="4" customWidth="1"/>
    <col min="9557" max="9804" width="9.140625" style="4"/>
    <col min="9805" max="9805" width="32.140625" style="4" bestFit="1" customWidth="1"/>
    <col min="9806" max="9806" width="12.5703125" style="4" bestFit="1" customWidth="1"/>
    <col min="9807" max="9807" width="9.140625" style="4"/>
    <col min="9808" max="9808" width="15.5703125" style="4" bestFit="1" customWidth="1"/>
    <col min="9809" max="9809" width="9.140625" style="4"/>
    <col min="9810" max="9810" width="11.5703125" style="4" bestFit="1" customWidth="1"/>
    <col min="9811" max="9811" width="16" style="4" customWidth="1"/>
    <col min="9812" max="9812" width="11.42578125" style="4" customWidth="1"/>
    <col min="9813" max="10060" width="9.140625" style="4"/>
    <col min="10061" max="10061" width="32.140625" style="4" bestFit="1" customWidth="1"/>
    <col min="10062" max="10062" width="12.5703125" style="4" bestFit="1" customWidth="1"/>
    <col min="10063" max="10063" width="9.140625" style="4"/>
    <col min="10064" max="10064" width="15.5703125" style="4" bestFit="1" customWidth="1"/>
    <col min="10065" max="10065" width="9.140625" style="4"/>
    <col min="10066" max="10066" width="11.5703125" style="4" bestFit="1" customWidth="1"/>
    <col min="10067" max="10067" width="16" style="4" customWidth="1"/>
    <col min="10068" max="10068" width="11.42578125" style="4" customWidth="1"/>
    <col min="10069" max="10316" width="9.140625" style="4"/>
    <col min="10317" max="10317" width="32.140625" style="4" bestFit="1" customWidth="1"/>
    <col min="10318" max="10318" width="12.5703125" style="4" bestFit="1" customWidth="1"/>
    <col min="10319" max="10319" width="9.140625" style="4"/>
    <col min="10320" max="10320" width="15.5703125" style="4" bestFit="1" customWidth="1"/>
    <col min="10321" max="10321" width="9.140625" style="4"/>
    <col min="10322" max="10322" width="11.5703125" style="4" bestFit="1" customWidth="1"/>
    <col min="10323" max="10323" width="16" style="4" customWidth="1"/>
    <col min="10324" max="10324" width="11.42578125" style="4" customWidth="1"/>
    <col min="10325" max="10572" width="9.140625" style="4"/>
    <col min="10573" max="10573" width="32.140625" style="4" bestFit="1" customWidth="1"/>
    <col min="10574" max="10574" width="12.5703125" style="4" bestFit="1" customWidth="1"/>
    <col min="10575" max="10575" width="9.140625" style="4"/>
    <col min="10576" max="10576" width="15.5703125" style="4" bestFit="1" customWidth="1"/>
    <col min="10577" max="10577" width="9.140625" style="4"/>
    <col min="10578" max="10578" width="11.5703125" style="4" bestFit="1" customWidth="1"/>
    <col min="10579" max="10579" width="16" style="4" customWidth="1"/>
    <col min="10580" max="10580" width="11.42578125" style="4" customWidth="1"/>
    <col min="10581" max="10828" width="9.140625" style="4"/>
    <col min="10829" max="10829" width="32.140625" style="4" bestFit="1" customWidth="1"/>
    <col min="10830" max="10830" width="12.5703125" style="4" bestFit="1" customWidth="1"/>
    <col min="10831" max="10831" width="9.140625" style="4"/>
    <col min="10832" max="10832" width="15.5703125" style="4" bestFit="1" customWidth="1"/>
    <col min="10833" max="10833" width="9.140625" style="4"/>
    <col min="10834" max="10834" width="11.5703125" style="4" bestFit="1" customWidth="1"/>
    <col min="10835" max="10835" width="16" style="4" customWidth="1"/>
    <col min="10836" max="10836" width="11.42578125" style="4" customWidth="1"/>
    <col min="10837" max="11084" width="9.140625" style="4"/>
    <col min="11085" max="11085" width="32.140625" style="4" bestFit="1" customWidth="1"/>
    <col min="11086" max="11086" width="12.5703125" style="4" bestFit="1" customWidth="1"/>
    <col min="11087" max="11087" width="9.140625" style="4"/>
    <col min="11088" max="11088" width="15.5703125" style="4" bestFit="1" customWidth="1"/>
    <col min="11089" max="11089" width="9.140625" style="4"/>
    <col min="11090" max="11090" width="11.5703125" style="4" bestFit="1" customWidth="1"/>
    <col min="11091" max="11091" width="16" style="4" customWidth="1"/>
    <col min="11092" max="11092" width="11.42578125" style="4" customWidth="1"/>
    <col min="11093" max="11340" width="9.140625" style="4"/>
    <col min="11341" max="11341" width="32.140625" style="4" bestFit="1" customWidth="1"/>
    <col min="11342" max="11342" width="12.5703125" style="4" bestFit="1" customWidth="1"/>
    <col min="11343" max="11343" width="9.140625" style="4"/>
    <col min="11344" max="11344" width="15.5703125" style="4" bestFit="1" customWidth="1"/>
    <col min="11345" max="11345" width="9.140625" style="4"/>
    <col min="11346" max="11346" width="11.5703125" style="4" bestFit="1" customWidth="1"/>
    <col min="11347" max="11347" width="16" style="4" customWidth="1"/>
    <col min="11348" max="11348" width="11.42578125" style="4" customWidth="1"/>
    <col min="11349" max="11596" width="9.140625" style="4"/>
    <col min="11597" max="11597" width="32.140625" style="4" bestFit="1" customWidth="1"/>
    <col min="11598" max="11598" width="12.5703125" style="4" bestFit="1" customWidth="1"/>
    <col min="11599" max="11599" width="9.140625" style="4"/>
    <col min="11600" max="11600" width="15.5703125" style="4" bestFit="1" customWidth="1"/>
    <col min="11601" max="11601" width="9.140625" style="4"/>
    <col min="11602" max="11602" width="11.5703125" style="4" bestFit="1" customWidth="1"/>
    <col min="11603" max="11603" width="16" style="4" customWidth="1"/>
    <col min="11604" max="11604" width="11.42578125" style="4" customWidth="1"/>
    <col min="11605" max="11852" width="9.140625" style="4"/>
    <col min="11853" max="11853" width="32.140625" style="4" bestFit="1" customWidth="1"/>
    <col min="11854" max="11854" width="12.5703125" style="4" bestFit="1" customWidth="1"/>
    <col min="11855" max="11855" width="9.140625" style="4"/>
    <col min="11856" max="11856" width="15.5703125" style="4" bestFit="1" customWidth="1"/>
    <col min="11857" max="11857" width="9.140625" style="4"/>
    <col min="11858" max="11858" width="11.5703125" style="4" bestFit="1" customWidth="1"/>
    <col min="11859" max="11859" width="16" style="4" customWidth="1"/>
    <col min="11860" max="11860" width="11.42578125" style="4" customWidth="1"/>
    <col min="11861" max="12108" width="9.140625" style="4"/>
    <col min="12109" max="12109" width="32.140625" style="4" bestFit="1" customWidth="1"/>
    <col min="12110" max="12110" width="12.5703125" style="4" bestFit="1" customWidth="1"/>
    <col min="12111" max="12111" width="9.140625" style="4"/>
    <col min="12112" max="12112" width="15.5703125" style="4" bestFit="1" customWidth="1"/>
    <col min="12113" max="12113" width="9.140625" style="4"/>
    <col min="12114" max="12114" width="11.5703125" style="4" bestFit="1" customWidth="1"/>
    <col min="12115" max="12115" width="16" style="4" customWidth="1"/>
    <col min="12116" max="12116" width="11.42578125" style="4" customWidth="1"/>
    <col min="12117" max="12364" width="9.140625" style="4"/>
    <col min="12365" max="12365" width="32.140625" style="4" bestFit="1" customWidth="1"/>
    <col min="12366" max="12366" width="12.5703125" style="4" bestFit="1" customWidth="1"/>
    <col min="12367" max="12367" width="9.140625" style="4"/>
    <col min="12368" max="12368" width="15.5703125" style="4" bestFit="1" customWidth="1"/>
    <col min="12369" max="12369" width="9.140625" style="4"/>
    <col min="12370" max="12370" width="11.5703125" style="4" bestFit="1" customWidth="1"/>
    <col min="12371" max="12371" width="16" style="4" customWidth="1"/>
    <col min="12372" max="12372" width="11.42578125" style="4" customWidth="1"/>
    <col min="12373" max="12620" width="9.140625" style="4"/>
    <col min="12621" max="12621" width="32.140625" style="4" bestFit="1" customWidth="1"/>
    <col min="12622" max="12622" width="12.5703125" style="4" bestFit="1" customWidth="1"/>
    <col min="12623" max="12623" width="9.140625" style="4"/>
    <col min="12624" max="12624" width="15.5703125" style="4" bestFit="1" customWidth="1"/>
    <col min="12625" max="12625" width="9.140625" style="4"/>
    <col min="12626" max="12626" width="11.5703125" style="4" bestFit="1" customWidth="1"/>
    <col min="12627" max="12627" width="16" style="4" customWidth="1"/>
    <col min="12628" max="12628" width="11.42578125" style="4" customWidth="1"/>
    <col min="12629" max="12876" width="9.140625" style="4"/>
    <col min="12877" max="12877" width="32.140625" style="4" bestFit="1" customWidth="1"/>
    <col min="12878" max="12878" width="12.5703125" style="4" bestFit="1" customWidth="1"/>
    <col min="12879" max="12879" width="9.140625" style="4"/>
    <col min="12880" max="12880" width="15.5703125" style="4" bestFit="1" customWidth="1"/>
    <col min="12881" max="12881" width="9.140625" style="4"/>
    <col min="12882" max="12882" width="11.5703125" style="4" bestFit="1" customWidth="1"/>
    <col min="12883" max="12883" width="16" style="4" customWidth="1"/>
    <col min="12884" max="12884" width="11.42578125" style="4" customWidth="1"/>
    <col min="12885" max="13132" width="9.140625" style="4"/>
    <col min="13133" max="13133" width="32.140625" style="4" bestFit="1" customWidth="1"/>
    <col min="13134" max="13134" width="12.5703125" style="4" bestFit="1" customWidth="1"/>
    <col min="13135" max="13135" width="9.140625" style="4"/>
    <col min="13136" max="13136" width="15.5703125" style="4" bestFit="1" customWidth="1"/>
    <col min="13137" max="13137" width="9.140625" style="4"/>
    <col min="13138" max="13138" width="11.5703125" style="4" bestFit="1" customWidth="1"/>
    <col min="13139" max="13139" width="16" style="4" customWidth="1"/>
    <col min="13140" max="13140" width="11.42578125" style="4" customWidth="1"/>
    <col min="13141" max="13388" width="9.140625" style="4"/>
    <col min="13389" max="13389" width="32.140625" style="4" bestFit="1" customWidth="1"/>
    <col min="13390" max="13390" width="12.5703125" style="4" bestFit="1" customWidth="1"/>
    <col min="13391" max="13391" width="9.140625" style="4"/>
    <col min="13392" max="13392" width="15.5703125" style="4" bestFit="1" customWidth="1"/>
    <col min="13393" max="13393" width="9.140625" style="4"/>
    <col min="13394" max="13394" width="11.5703125" style="4" bestFit="1" customWidth="1"/>
    <col min="13395" max="13395" width="16" style="4" customWidth="1"/>
    <col min="13396" max="13396" width="11.42578125" style="4" customWidth="1"/>
    <col min="13397" max="13644" width="9.140625" style="4"/>
    <col min="13645" max="13645" width="32.140625" style="4" bestFit="1" customWidth="1"/>
    <col min="13646" max="13646" width="12.5703125" style="4" bestFit="1" customWidth="1"/>
    <col min="13647" max="13647" width="9.140625" style="4"/>
    <col min="13648" max="13648" width="15.5703125" style="4" bestFit="1" customWidth="1"/>
    <col min="13649" max="13649" width="9.140625" style="4"/>
    <col min="13650" max="13650" width="11.5703125" style="4" bestFit="1" customWidth="1"/>
    <col min="13651" max="13651" width="16" style="4" customWidth="1"/>
    <col min="13652" max="13652" width="11.42578125" style="4" customWidth="1"/>
    <col min="13653" max="13900" width="9.140625" style="4"/>
    <col min="13901" max="13901" width="32.140625" style="4" bestFit="1" customWidth="1"/>
    <col min="13902" max="13902" width="12.5703125" style="4" bestFit="1" customWidth="1"/>
    <col min="13903" max="13903" width="9.140625" style="4"/>
    <col min="13904" max="13904" width="15.5703125" style="4" bestFit="1" customWidth="1"/>
    <col min="13905" max="13905" width="9.140625" style="4"/>
    <col min="13906" max="13906" width="11.5703125" style="4" bestFit="1" customWidth="1"/>
    <col min="13907" max="13907" width="16" style="4" customWidth="1"/>
    <col min="13908" max="13908" width="11.42578125" style="4" customWidth="1"/>
    <col min="13909" max="14156" width="9.140625" style="4"/>
    <col min="14157" max="14157" width="32.140625" style="4" bestFit="1" customWidth="1"/>
    <col min="14158" max="14158" width="12.5703125" style="4" bestFit="1" customWidth="1"/>
    <col min="14159" max="14159" width="9.140625" style="4"/>
    <col min="14160" max="14160" width="15.5703125" style="4" bestFit="1" customWidth="1"/>
    <col min="14161" max="14161" width="9.140625" style="4"/>
    <col min="14162" max="14162" width="11.5703125" style="4" bestFit="1" customWidth="1"/>
    <col min="14163" max="14163" width="16" style="4" customWidth="1"/>
    <col min="14164" max="14164" width="11.42578125" style="4" customWidth="1"/>
    <col min="14165" max="14412" width="9.140625" style="4"/>
    <col min="14413" max="14413" width="32.140625" style="4" bestFit="1" customWidth="1"/>
    <col min="14414" max="14414" width="12.5703125" style="4" bestFit="1" customWidth="1"/>
    <col min="14415" max="14415" width="9.140625" style="4"/>
    <col min="14416" max="14416" width="15.5703125" style="4" bestFit="1" customWidth="1"/>
    <col min="14417" max="14417" width="9.140625" style="4"/>
    <col min="14418" max="14418" width="11.5703125" style="4" bestFit="1" customWidth="1"/>
    <col min="14419" max="14419" width="16" style="4" customWidth="1"/>
    <col min="14420" max="14420" width="11.42578125" style="4" customWidth="1"/>
    <col min="14421" max="14668" width="9.140625" style="4"/>
    <col min="14669" max="14669" width="32.140625" style="4" bestFit="1" customWidth="1"/>
    <col min="14670" max="14670" width="12.5703125" style="4" bestFit="1" customWidth="1"/>
    <col min="14671" max="14671" width="9.140625" style="4"/>
    <col min="14672" max="14672" width="15.5703125" style="4" bestFit="1" customWidth="1"/>
    <col min="14673" max="14673" width="9.140625" style="4"/>
    <col min="14674" max="14674" width="11.5703125" style="4" bestFit="1" customWidth="1"/>
    <col min="14675" max="14675" width="16" style="4" customWidth="1"/>
    <col min="14676" max="14676" width="11.42578125" style="4" customWidth="1"/>
    <col min="14677" max="14924" width="9.140625" style="4"/>
    <col min="14925" max="14925" width="32.140625" style="4" bestFit="1" customWidth="1"/>
    <col min="14926" max="14926" width="12.5703125" style="4" bestFit="1" customWidth="1"/>
    <col min="14927" max="14927" width="9.140625" style="4"/>
    <col min="14928" max="14928" width="15.5703125" style="4" bestFit="1" customWidth="1"/>
    <col min="14929" max="14929" width="9.140625" style="4"/>
    <col min="14930" max="14930" width="11.5703125" style="4" bestFit="1" customWidth="1"/>
    <col min="14931" max="14931" width="16" style="4" customWidth="1"/>
    <col min="14932" max="14932" width="11.42578125" style="4" customWidth="1"/>
    <col min="14933" max="15180" width="9.140625" style="4"/>
    <col min="15181" max="15181" width="32.140625" style="4" bestFit="1" customWidth="1"/>
    <col min="15182" max="15182" width="12.5703125" style="4" bestFit="1" customWidth="1"/>
    <col min="15183" max="15183" width="9.140625" style="4"/>
    <col min="15184" max="15184" width="15.5703125" style="4" bestFit="1" customWidth="1"/>
    <col min="15185" max="15185" width="9.140625" style="4"/>
    <col min="15186" max="15186" width="11.5703125" style="4" bestFit="1" customWidth="1"/>
    <col min="15187" max="15187" width="16" style="4" customWidth="1"/>
    <col min="15188" max="15188" width="11.42578125" style="4" customWidth="1"/>
    <col min="15189" max="15436" width="9.140625" style="4"/>
    <col min="15437" max="15437" width="32.140625" style="4" bestFit="1" customWidth="1"/>
    <col min="15438" max="15438" width="12.5703125" style="4" bestFit="1" customWidth="1"/>
    <col min="15439" max="15439" width="9.140625" style="4"/>
    <col min="15440" max="15440" width="15.5703125" style="4" bestFit="1" customWidth="1"/>
    <col min="15441" max="15441" width="9.140625" style="4"/>
    <col min="15442" max="15442" width="11.5703125" style="4" bestFit="1" customWidth="1"/>
    <col min="15443" max="15443" width="16" style="4" customWidth="1"/>
    <col min="15444" max="15444" width="11.42578125" style="4" customWidth="1"/>
    <col min="15445" max="16384" width="9.140625" style="4"/>
  </cols>
  <sheetData>
    <row r="1" spans="1:11" x14ac:dyDescent="0.2">
      <c r="A1" s="2"/>
      <c r="B1" s="3"/>
      <c r="C1" s="2"/>
      <c r="D1" s="2"/>
      <c r="E1" s="2"/>
      <c r="F1" s="2"/>
      <c r="G1" s="2"/>
      <c r="H1" s="2"/>
      <c r="I1" s="2"/>
      <c r="J1" s="2"/>
      <c r="K1" s="2"/>
    </row>
    <row r="2" spans="1:11" ht="15" x14ac:dyDescent="0.25">
      <c r="A2" s="278" t="str" cm="1">
        <f t="array" aca="1" ref="A2" ca="1">MID(CELL("filename", A1), FIND("]", CELL("filename", A1)) + 1, LEN(CELL("filename", A1)) - FIND("]", CELL("filename", A1)))</f>
        <v>ZOB Rate Build Up</v>
      </c>
      <c r="B2" s="5"/>
      <c r="C2" s="6"/>
      <c r="D2" s="6"/>
      <c r="E2" s="6"/>
      <c r="F2" s="6" t="s">
        <v>834</v>
      </c>
      <c r="G2" s="6"/>
      <c r="H2" s="6"/>
      <c r="J2" s="2"/>
      <c r="K2" s="7" t="s">
        <v>785</v>
      </c>
    </row>
    <row r="3" spans="1:11" ht="15" x14ac:dyDescent="0.25">
      <c r="A3" s="8"/>
      <c r="F3" s="9" t="s">
        <v>786</v>
      </c>
      <c r="G3" s="10"/>
      <c r="J3" s="2"/>
    </row>
    <row r="4" spans="1:11" ht="15" customHeight="1" x14ac:dyDescent="0.25">
      <c r="A4" s="12" t="str">
        <f>_BasePeriod</f>
        <v>9/30/2026-9/29/2027</v>
      </c>
      <c r="F4" s="9"/>
      <c r="G4" s="10"/>
      <c r="J4" s="2"/>
    </row>
    <row r="5" spans="1:11" ht="15" x14ac:dyDescent="0.25">
      <c r="A5" s="13" t="s">
        <v>787</v>
      </c>
      <c r="B5" s="13"/>
      <c r="C5" s="13"/>
      <c r="D5" s="13"/>
      <c r="E5" s="6" t="s">
        <v>788</v>
      </c>
      <c r="F5" s="6" t="s">
        <v>789</v>
      </c>
      <c r="G5" s="14"/>
      <c r="H5" s="6" t="s">
        <v>790</v>
      </c>
      <c r="J5" s="15"/>
    </row>
    <row r="6" spans="1:11" x14ac:dyDescent="0.2">
      <c r="A6" s="4">
        <v>1</v>
      </c>
      <c r="B6" s="4" t="s">
        <v>791</v>
      </c>
      <c r="E6" s="58">
        <v>0</v>
      </c>
      <c r="F6" s="59">
        <v>0</v>
      </c>
      <c r="G6" s="10"/>
      <c r="H6" s="10">
        <f>+E6*F6</f>
        <v>0</v>
      </c>
      <c r="J6" s="2"/>
    </row>
    <row r="7" spans="1:11" x14ac:dyDescent="0.2">
      <c r="A7" s="4">
        <v>2</v>
      </c>
      <c r="B7" s="4" t="s">
        <v>774</v>
      </c>
      <c r="E7" s="58">
        <v>0</v>
      </c>
      <c r="F7" s="59">
        <v>0</v>
      </c>
      <c r="G7" s="10"/>
      <c r="H7" s="10">
        <f t="shared" ref="H7:H17" si="0">+E7*F7</f>
        <v>0</v>
      </c>
      <c r="J7" s="2"/>
    </row>
    <row r="8" spans="1:11" x14ac:dyDescent="0.2">
      <c r="A8" s="4">
        <v>3</v>
      </c>
      <c r="B8" s="4" t="s">
        <v>774</v>
      </c>
      <c r="E8" s="58">
        <v>0</v>
      </c>
      <c r="F8" s="59">
        <v>0</v>
      </c>
      <c r="G8" s="10"/>
      <c r="H8" s="10">
        <f t="shared" si="0"/>
        <v>0</v>
      </c>
      <c r="J8" s="2"/>
    </row>
    <row r="9" spans="1:11" x14ac:dyDescent="0.2">
      <c r="A9" s="4">
        <v>4</v>
      </c>
      <c r="B9" s="4" t="s">
        <v>774</v>
      </c>
      <c r="E9" s="58">
        <v>0</v>
      </c>
      <c r="F9" s="59">
        <v>0</v>
      </c>
      <c r="G9" s="10"/>
      <c r="H9" s="10">
        <f t="shared" si="0"/>
        <v>0</v>
      </c>
      <c r="J9" s="2"/>
    </row>
    <row r="10" spans="1:11" x14ac:dyDescent="0.2">
      <c r="A10" s="4">
        <v>5</v>
      </c>
      <c r="B10" s="4" t="s">
        <v>774</v>
      </c>
      <c r="E10" s="58">
        <v>0</v>
      </c>
      <c r="F10" s="59">
        <v>0</v>
      </c>
      <c r="G10" s="10"/>
      <c r="H10" s="10">
        <f t="shared" si="0"/>
        <v>0</v>
      </c>
      <c r="J10" s="2"/>
    </row>
    <row r="11" spans="1:11" x14ac:dyDescent="0.2">
      <c r="A11" s="4">
        <v>6</v>
      </c>
      <c r="B11" s="4" t="s">
        <v>774</v>
      </c>
      <c r="E11" s="58">
        <v>0</v>
      </c>
      <c r="F11" s="59">
        <v>0</v>
      </c>
      <c r="G11" s="10"/>
      <c r="H11" s="10">
        <f t="shared" si="0"/>
        <v>0</v>
      </c>
      <c r="J11" s="2"/>
    </row>
    <row r="12" spans="1:11" x14ac:dyDescent="0.2">
      <c r="A12" s="4">
        <v>7</v>
      </c>
      <c r="B12" s="4" t="s">
        <v>774</v>
      </c>
      <c r="E12" s="58">
        <v>0</v>
      </c>
      <c r="F12" s="59">
        <v>0</v>
      </c>
      <c r="G12" s="10"/>
      <c r="H12" s="10">
        <f t="shared" si="0"/>
        <v>0</v>
      </c>
      <c r="J12" s="2"/>
    </row>
    <row r="13" spans="1:11" x14ac:dyDescent="0.2">
      <c r="A13" s="4">
        <v>8</v>
      </c>
      <c r="B13" s="4" t="s">
        <v>774</v>
      </c>
      <c r="E13" s="58">
        <v>0</v>
      </c>
      <c r="F13" s="59">
        <v>0</v>
      </c>
      <c r="G13" s="10"/>
      <c r="H13" s="10">
        <f t="shared" si="0"/>
        <v>0</v>
      </c>
      <c r="J13" s="2"/>
    </row>
    <row r="14" spans="1:11" x14ac:dyDescent="0.2">
      <c r="A14" s="4">
        <v>9</v>
      </c>
      <c r="B14" s="4" t="s">
        <v>774</v>
      </c>
      <c r="E14" s="58">
        <v>0</v>
      </c>
      <c r="F14" s="59">
        <v>0</v>
      </c>
      <c r="G14" s="10"/>
      <c r="H14" s="10">
        <f t="shared" si="0"/>
        <v>0</v>
      </c>
      <c r="J14" s="2"/>
    </row>
    <row r="15" spans="1:11" x14ac:dyDescent="0.2">
      <c r="A15" s="4">
        <v>10</v>
      </c>
      <c r="B15" s="4" t="s">
        <v>774</v>
      </c>
      <c r="E15" s="58">
        <v>0</v>
      </c>
      <c r="F15" s="59">
        <v>0</v>
      </c>
      <c r="G15" s="10"/>
      <c r="H15" s="10">
        <f t="shared" si="0"/>
        <v>0</v>
      </c>
      <c r="J15" s="2"/>
    </row>
    <row r="16" spans="1:11" x14ac:dyDescent="0.2">
      <c r="A16" s="4">
        <v>11</v>
      </c>
      <c r="B16" s="4" t="s">
        <v>774</v>
      </c>
      <c r="E16" s="58">
        <v>0</v>
      </c>
      <c r="F16" s="59">
        <v>0</v>
      </c>
      <c r="G16" s="10"/>
      <c r="H16" s="10">
        <f t="shared" si="0"/>
        <v>0</v>
      </c>
      <c r="J16" s="2"/>
    </row>
    <row r="17" spans="1:11" ht="16.5" x14ac:dyDescent="0.35">
      <c r="A17" s="4">
        <v>12</v>
      </c>
      <c r="B17" s="4" t="s">
        <v>774</v>
      </c>
      <c r="E17" s="58">
        <v>0</v>
      </c>
      <c r="F17" s="59">
        <v>0</v>
      </c>
      <c r="G17" s="10"/>
      <c r="H17" s="16">
        <f t="shared" si="0"/>
        <v>0</v>
      </c>
      <c r="J17" s="2"/>
    </row>
    <row r="18" spans="1:11" s="8" customFormat="1" ht="15" x14ac:dyDescent="0.25">
      <c r="B18" s="8" t="s">
        <v>792</v>
      </c>
      <c r="E18" s="17">
        <f>SUM(E6:E17)</f>
        <v>0</v>
      </c>
      <c r="G18" s="18"/>
      <c r="H18" s="19">
        <f>SUM(H6:H17)</f>
        <v>0</v>
      </c>
      <c r="I18" s="20" t="e">
        <f>+H18/E18</f>
        <v>#DIV/0!</v>
      </c>
      <c r="J18" s="2"/>
      <c r="K18" s="11" t="e">
        <f>+I18*1.5</f>
        <v>#DIV/0!</v>
      </c>
    </row>
    <row r="19" spans="1:11" x14ac:dyDescent="0.2">
      <c r="G19" s="22"/>
      <c r="J19" s="2"/>
    </row>
    <row r="20" spans="1:11" ht="16.5" x14ac:dyDescent="0.35">
      <c r="B20" s="4" t="s">
        <v>793</v>
      </c>
      <c r="F20" s="66">
        <v>0</v>
      </c>
      <c r="G20" s="22"/>
      <c r="H20" s="24">
        <f>+E18*F20</f>
        <v>0</v>
      </c>
      <c r="J20" s="2"/>
    </row>
    <row r="21" spans="1:11" ht="15" x14ac:dyDescent="0.25">
      <c r="G21" s="22"/>
      <c r="H21" s="19">
        <f>+H18+H20</f>
        <v>0</v>
      </c>
      <c r="I21" s="25"/>
      <c r="J21" s="2"/>
    </row>
    <row r="22" spans="1:11" x14ac:dyDescent="0.2">
      <c r="G22" s="22"/>
      <c r="J22" s="2"/>
    </row>
    <row r="23" spans="1:11" ht="15" x14ac:dyDescent="0.25">
      <c r="A23" s="13" t="s">
        <v>794</v>
      </c>
      <c r="B23" s="13"/>
      <c r="C23" s="13"/>
      <c r="D23" s="13"/>
      <c r="E23" s="6" t="s">
        <v>795</v>
      </c>
      <c r="F23" s="13"/>
      <c r="G23" s="26"/>
      <c r="H23" s="13"/>
      <c r="J23" s="2"/>
    </row>
    <row r="24" spans="1:11" ht="15" x14ac:dyDescent="0.25">
      <c r="A24" s="13"/>
      <c r="B24" s="13"/>
      <c r="C24" s="13"/>
      <c r="D24" s="13"/>
      <c r="E24" s="6"/>
      <c r="F24" s="13"/>
      <c r="G24" s="26"/>
      <c r="H24" s="13"/>
      <c r="J24" s="2"/>
    </row>
    <row r="25" spans="1:11" x14ac:dyDescent="0.2">
      <c r="B25" s="4" t="s">
        <v>796</v>
      </c>
      <c r="E25" s="27">
        <v>6.2E-2</v>
      </c>
      <c r="G25" s="56">
        <f>+$E25*$H21</f>
        <v>0</v>
      </c>
      <c r="J25" s="28"/>
    </row>
    <row r="26" spans="1:11" x14ac:dyDescent="0.2">
      <c r="B26" s="4" t="s">
        <v>797</v>
      </c>
      <c r="E26" s="27">
        <v>1.4500000000000001E-2</v>
      </c>
      <c r="G26" s="56">
        <f>+$E26*$H21</f>
        <v>0</v>
      </c>
      <c r="J26" s="28"/>
    </row>
    <row r="27" spans="1:11" x14ac:dyDescent="0.2">
      <c r="B27" s="4" t="s">
        <v>798</v>
      </c>
      <c r="E27" s="60">
        <v>0</v>
      </c>
      <c r="G27" s="56">
        <f>+$E27*$H21</f>
        <v>0</v>
      </c>
      <c r="J27" s="2"/>
    </row>
    <row r="28" spans="1:11" x14ac:dyDescent="0.2">
      <c r="B28" s="4" t="s">
        <v>799</v>
      </c>
      <c r="E28" s="60">
        <v>0</v>
      </c>
      <c r="G28" s="56">
        <f>+$E28*$H21</f>
        <v>0</v>
      </c>
      <c r="H28" s="4" t="s">
        <v>800</v>
      </c>
      <c r="I28" s="29" t="s">
        <v>801</v>
      </c>
      <c r="J28" s="2"/>
    </row>
    <row r="29" spans="1:11" x14ac:dyDescent="0.2">
      <c r="B29" s="4" t="s">
        <v>802</v>
      </c>
      <c r="E29" s="60">
        <v>0</v>
      </c>
      <c r="G29" s="56">
        <f>+$E29*$H21</f>
        <v>0</v>
      </c>
      <c r="H29" s="27">
        <f>SUM(E25:E29)</f>
        <v>7.6499999999999999E-2</v>
      </c>
      <c r="I29" s="30" t="e">
        <f>+H29*I18+I18</f>
        <v>#DIV/0!</v>
      </c>
      <c r="J29" s="31"/>
    </row>
    <row r="30" spans="1:11" ht="15" customHeight="1" x14ac:dyDescent="0.2">
      <c r="A30" s="32" t="s">
        <v>786</v>
      </c>
      <c r="B30" s="32" t="s">
        <v>803</v>
      </c>
      <c r="C30" s="61">
        <v>0</v>
      </c>
      <c r="D30" s="61">
        <v>0</v>
      </c>
      <c r="E30" s="33">
        <f>+D30*C30</f>
        <v>0</v>
      </c>
      <c r="G30" s="56" t="e">
        <f>+E30*I29</f>
        <v>#DIV/0!</v>
      </c>
      <c r="J30" s="2"/>
    </row>
    <row r="31" spans="1:11" ht="15" customHeight="1" x14ac:dyDescent="0.2">
      <c r="A31" s="32" t="s">
        <v>786</v>
      </c>
      <c r="B31" s="32" t="s">
        <v>804</v>
      </c>
      <c r="C31" s="62">
        <v>0</v>
      </c>
      <c r="D31" s="61">
        <v>0</v>
      </c>
      <c r="E31" s="33">
        <f>+D31*C31</f>
        <v>0</v>
      </c>
      <c r="G31" s="56" t="e">
        <f>+E31*I29</f>
        <v>#DIV/0!</v>
      </c>
      <c r="J31" s="2"/>
    </row>
    <row r="32" spans="1:11" x14ac:dyDescent="0.2">
      <c r="A32" s="4" t="s">
        <v>786</v>
      </c>
      <c r="B32" s="4" t="s">
        <v>805</v>
      </c>
      <c r="C32" s="63">
        <v>0</v>
      </c>
      <c r="D32" s="64">
        <v>0</v>
      </c>
      <c r="E32" s="35">
        <f>+C32*D32</f>
        <v>0</v>
      </c>
      <c r="G32" s="56" t="e">
        <f>+E32*I29</f>
        <v>#DIV/0!</v>
      </c>
      <c r="J32" s="2"/>
    </row>
    <row r="33" spans="1:11" x14ac:dyDescent="0.2">
      <c r="A33" s="4" t="s">
        <v>786</v>
      </c>
      <c r="B33" s="4" t="s">
        <v>806</v>
      </c>
      <c r="C33" s="63">
        <v>0</v>
      </c>
      <c r="D33" s="65">
        <v>0</v>
      </c>
      <c r="E33" s="4">
        <f>+C33*D33</f>
        <v>0</v>
      </c>
      <c r="G33" s="40" t="e">
        <f>+E33*I29</f>
        <v>#DIV/0!</v>
      </c>
      <c r="J33" s="2"/>
    </row>
    <row r="34" spans="1:11" x14ac:dyDescent="0.2">
      <c r="A34" s="4" t="s">
        <v>786</v>
      </c>
      <c r="B34" s="4" t="s">
        <v>807</v>
      </c>
      <c r="C34" s="63">
        <v>0</v>
      </c>
      <c r="D34" s="65">
        <v>0</v>
      </c>
      <c r="E34" s="4">
        <f>+D34*C34</f>
        <v>0</v>
      </c>
      <c r="G34" s="40" t="e">
        <f>+E34*I29</f>
        <v>#DIV/0!</v>
      </c>
      <c r="J34" s="36"/>
    </row>
    <row r="35" spans="1:11" x14ac:dyDescent="0.2">
      <c r="A35" s="4" t="s">
        <v>786</v>
      </c>
      <c r="B35" s="4" t="s">
        <v>808</v>
      </c>
      <c r="C35" s="63">
        <v>0</v>
      </c>
      <c r="D35" s="65">
        <v>0</v>
      </c>
      <c r="E35" s="4">
        <f>+D35*C35</f>
        <v>0</v>
      </c>
      <c r="G35" s="40" t="e">
        <f>+E35*I29</f>
        <v>#DIV/0!</v>
      </c>
      <c r="J35" s="38"/>
    </row>
    <row r="36" spans="1:11" ht="15" x14ac:dyDescent="0.25">
      <c r="B36" s="4" t="s">
        <v>809</v>
      </c>
      <c r="E36" s="35">
        <f>SUM(E30:E35)</f>
        <v>0</v>
      </c>
      <c r="F36" s="67">
        <v>0</v>
      </c>
      <c r="G36" s="57">
        <f>E36*F36</f>
        <v>0</v>
      </c>
      <c r="H36" s="37" t="e">
        <f>SUM(G25:G36)</f>
        <v>#DIV/0!</v>
      </c>
      <c r="I36" s="27" t="e">
        <f>(H36+H20)/H18</f>
        <v>#DIV/0!</v>
      </c>
      <c r="J36" s="2"/>
      <c r="K36" s="11" t="e">
        <f>K18*I36</f>
        <v>#DIV/0!</v>
      </c>
    </row>
    <row r="37" spans="1:11" ht="21" customHeight="1" x14ac:dyDescent="0.25">
      <c r="H37" s="41" t="e">
        <f>+H36+H21</f>
        <v>#DIV/0!</v>
      </c>
      <c r="I37" s="27"/>
      <c r="J37" s="2"/>
    </row>
    <row r="38" spans="1:11" ht="21" customHeight="1" x14ac:dyDescent="0.25">
      <c r="F38" s="23"/>
      <c r="G38" s="40"/>
      <c r="I38" s="27"/>
      <c r="J38" s="2"/>
    </row>
    <row r="39" spans="1:11" ht="21" customHeight="1" x14ac:dyDescent="0.25">
      <c r="F39" s="23"/>
      <c r="G39" s="40"/>
      <c r="H39" s="41"/>
      <c r="I39" s="27"/>
      <c r="J39" s="2"/>
    </row>
    <row r="40" spans="1:11" ht="21" customHeight="1" x14ac:dyDescent="0.25">
      <c r="C40" s="39"/>
      <c r="G40" s="40"/>
      <c r="H40" s="41"/>
      <c r="I40" s="27"/>
      <c r="J40" s="2"/>
    </row>
    <row r="41" spans="1:11" s="8" customFormat="1" ht="15" x14ac:dyDescent="0.25">
      <c r="A41" s="8" t="s">
        <v>810</v>
      </c>
      <c r="C41" s="42"/>
      <c r="D41" s="68">
        <v>0</v>
      </c>
      <c r="G41" s="43"/>
      <c r="H41" s="44" t="e">
        <f>+H37*D41</f>
        <v>#DIV/0!</v>
      </c>
      <c r="I41" s="27" t="e">
        <f>+H41/H37</f>
        <v>#DIV/0!</v>
      </c>
      <c r="J41" s="2"/>
      <c r="K41" s="11" t="e">
        <f>+(K18+K36)*I41</f>
        <v>#DIV/0!</v>
      </c>
    </row>
    <row r="42" spans="1:11" x14ac:dyDescent="0.2">
      <c r="G42" s="10"/>
      <c r="J42" s="2"/>
    </row>
    <row r="43" spans="1:11" ht="15" x14ac:dyDescent="0.25">
      <c r="A43" s="13" t="s">
        <v>811</v>
      </c>
      <c r="B43" s="13"/>
      <c r="C43" s="13"/>
      <c r="D43" s="13"/>
      <c r="E43" s="13"/>
      <c r="F43" s="13"/>
      <c r="G43" s="45"/>
      <c r="H43" s="13"/>
      <c r="J43" s="2"/>
    </row>
    <row r="44" spans="1:11" x14ac:dyDescent="0.2">
      <c r="B44" s="64" t="s">
        <v>812</v>
      </c>
      <c r="C44" s="64">
        <v>0</v>
      </c>
      <c r="D44" s="67">
        <v>0</v>
      </c>
      <c r="E44" s="64">
        <v>0</v>
      </c>
      <c r="G44" s="10">
        <f t="shared" ref="G44:G54" si="1">+(C44*D44*E44)</f>
        <v>0</v>
      </c>
      <c r="H44" s="34"/>
      <c r="J44" s="46"/>
    </row>
    <row r="45" spans="1:11" x14ac:dyDescent="0.2">
      <c r="B45" s="64" t="s">
        <v>813</v>
      </c>
      <c r="C45" s="64">
        <v>0</v>
      </c>
      <c r="D45" s="67">
        <v>0</v>
      </c>
      <c r="E45" s="64">
        <v>0</v>
      </c>
      <c r="G45" s="10">
        <f t="shared" si="1"/>
        <v>0</v>
      </c>
      <c r="H45" s="34"/>
      <c r="J45" s="46"/>
    </row>
    <row r="46" spans="1:11" x14ac:dyDescent="0.2">
      <c r="B46" s="64" t="s">
        <v>814</v>
      </c>
      <c r="C46" s="64">
        <v>0</v>
      </c>
      <c r="D46" s="67">
        <v>0</v>
      </c>
      <c r="E46" s="64">
        <v>0</v>
      </c>
      <c r="G46" s="10">
        <f t="shared" si="1"/>
        <v>0</v>
      </c>
      <c r="H46" s="34"/>
      <c r="J46" s="46"/>
    </row>
    <row r="47" spans="1:11" x14ac:dyDescent="0.2">
      <c r="B47" s="64" t="s">
        <v>815</v>
      </c>
      <c r="C47" s="64">
        <v>0</v>
      </c>
      <c r="D47" s="67">
        <v>0</v>
      </c>
      <c r="E47" s="64">
        <v>0</v>
      </c>
      <c r="G47" s="10">
        <f t="shared" si="1"/>
        <v>0</v>
      </c>
      <c r="H47" s="34"/>
      <c r="J47" s="2"/>
    </row>
    <row r="48" spans="1:11" x14ac:dyDescent="0.2">
      <c r="B48" s="64" t="s">
        <v>816</v>
      </c>
      <c r="C48" s="64">
        <v>0</v>
      </c>
      <c r="D48" s="67">
        <v>0</v>
      </c>
      <c r="E48" s="64">
        <v>0</v>
      </c>
      <c r="G48" s="10">
        <f t="shared" si="1"/>
        <v>0</v>
      </c>
      <c r="H48" s="34"/>
      <c r="J48" s="2"/>
    </row>
    <row r="49" spans="1:12" x14ac:dyDescent="0.2">
      <c r="B49" s="64" t="s">
        <v>817</v>
      </c>
      <c r="C49" s="64">
        <v>0</v>
      </c>
      <c r="D49" s="67">
        <v>0</v>
      </c>
      <c r="E49" s="64">
        <v>0</v>
      </c>
      <c r="G49" s="10">
        <f t="shared" si="1"/>
        <v>0</v>
      </c>
      <c r="H49" s="34"/>
      <c r="J49" s="2"/>
    </row>
    <row r="50" spans="1:12" x14ac:dyDescent="0.2">
      <c r="B50" s="64" t="s">
        <v>818</v>
      </c>
      <c r="C50" s="64">
        <v>0</v>
      </c>
      <c r="D50" s="67">
        <v>0</v>
      </c>
      <c r="E50" s="64">
        <v>0</v>
      </c>
      <c r="G50" s="10">
        <f t="shared" si="1"/>
        <v>0</v>
      </c>
      <c r="H50" s="34"/>
      <c r="J50" s="2"/>
    </row>
    <row r="51" spans="1:12" x14ac:dyDescent="0.2">
      <c r="B51" s="64" t="s">
        <v>819</v>
      </c>
      <c r="C51" s="64">
        <v>0</v>
      </c>
      <c r="D51" s="67">
        <v>0</v>
      </c>
      <c r="E51" s="64">
        <v>0</v>
      </c>
      <c r="G51" s="10">
        <f t="shared" si="1"/>
        <v>0</v>
      </c>
      <c r="H51" s="34"/>
      <c r="J51" s="2"/>
    </row>
    <row r="52" spans="1:12" x14ac:dyDescent="0.2">
      <c r="B52" s="64" t="s">
        <v>820</v>
      </c>
      <c r="C52" s="64">
        <v>0</v>
      </c>
      <c r="D52" s="67">
        <v>0</v>
      </c>
      <c r="E52" s="64">
        <v>0</v>
      </c>
      <c r="G52" s="10">
        <f t="shared" si="1"/>
        <v>0</v>
      </c>
      <c r="H52" s="34"/>
      <c r="J52" s="2"/>
    </row>
    <row r="53" spans="1:12" x14ac:dyDescent="0.2">
      <c r="B53" s="64" t="s">
        <v>821</v>
      </c>
      <c r="C53" s="64">
        <v>0</v>
      </c>
      <c r="D53" s="67">
        <v>0</v>
      </c>
      <c r="E53" s="64">
        <v>0</v>
      </c>
      <c r="G53" s="10">
        <f t="shared" si="1"/>
        <v>0</v>
      </c>
      <c r="H53" s="34"/>
      <c r="J53" s="2"/>
    </row>
    <row r="54" spans="1:12" ht="15" x14ac:dyDescent="0.25">
      <c r="B54" s="64" t="s">
        <v>822</v>
      </c>
      <c r="C54" s="64">
        <v>0</v>
      </c>
      <c r="D54" s="67">
        <v>0</v>
      </c>
      <c r="E54" s="64">
        <v>0</v>
      </c>
      <c r="G54" s="10">
        <f t="shared" si="1"/>
        <v>0</v>
      </c>
      <c r="H54" s="37">
        <f>SUM(G44:G54)</f>
        <v>0</v>
      </c>
      <c r="J54" s="2"/>
      <c r="K54" s="11" t="e">
        <f>SUM(K18:K53)</f>
        <v>#DIV/0!</v>
      </c>
    </row>
    <row r="55" spans="1:12" ht="26.25" customHeight="1" x14ac:dyDescent="0.55000000000000004">
      <c r="A55" s="13"/>
      <c r="B55" s="13"/>
      <c r="C55" s="13" t="s">
        <v>823</v>
      </c>
      <c r="D55" s="13"/>
      <c r="E55" s="13"/>
      <c r="F55" s="13"/>
      <c r="G55" s="45"/>
      <c r="H55" s="47" t="e">
        <f>SUM(H37:H54)</f>
        <v>#DIV/0!</v>
      </c>
      <c r="J55" s="2"/>
    </row>
    <row r="56" spans="1:12" x14ac:dyDescent="0.2">
      <c r="G56" s="10"/>
      <c r="J56" s="2"/>
    </row>
    <row r="57" spans="1:12" ht="19.5" customHeight="1" x14ac:dyDescent="0.25">
      <c r="A57" s="13" t="s">
        <v>824</v>
      </c>
      <c r="B57" s="13"/>
      <c r="C57" s="13"/>
      <c r="D57" s="70">
        <v>0</v>
      </c>
      <c r="E57" s="13"/>
      <c r="F57" s="13"/>
      <c r="G57" s="45"/>
      <c r="H57" s="45" t="e">
        <f>+H55*D57</f>
        <v>#DIV/0!</v>
      </c>
      <c r="I57" s="48">
        <f>D57</f>
        <v>0</v>
      </c>
      <c r="J57" s="2"/>
      <c r="K57" s="49" t="e">
        <f>+K54*I57</f>
        <v>#DIV/0!</v>
      </c>
    </row>
    <row r="58" spans="1:12" x14ac:dyDescent="0.2">
      <c r="D58" s="50" t="s">
        <v>825</v>
      </c>
      <c r="G58" s="10"/>
      <c r="J58" s="2"/>
      <c r="K58" s="11" t="e">
        <f>SUM(K54:K57)</f>
        <v>#DIV/0!</v>
      </c>
    </row>
    <row r="59" spans="1:12" x14ac:dyDescent="0.2">
      <c r="F59" s="20"/>
      <c r="G59" s="10"/>
      <c r="J59" s="2"/>
    </row>
    <row r="60" spans="1:12" ht="19.5" x14ac:dyDescent="0.55000000000000004">
      <c r="A60" s="13" t="s">
        <v>826</v>
      </c>
      <c r="B60" s="13"/>
      <c r="C60" s="13"/>
      <c r="D60" s="72">
        <v>0</v>
      </c>
      <c r="E60" s="13"/>
      <c r="F60" s="13"/>
      <c r="G60" s="45"/>
      <c r="H60" s="51" t="e">
        <f>(H55+H57)*D60</f>
        <v>#DIV/0!</v>
      </c>
      <c r="J60" s="2"/>
      <c r="L60" s="20"/>
    </row>
    <row r="61" spans="1:12" ht="15" x14ac:dyDescent="0.25">
      <c r="D61" s="50" t="s">
        <v>827</v>
      </c>
      <c r="G61" s="10"/>
      <c r="H61" s="52" t="e">
        <f>SUM(H55:H60)</f>
        <v>#DIV/0!</v>
      </c>
      <c r="I61" s="48">
        <f>D60</f>
        <v>0</v>
      </c>
      <c r="J61" s="2"/>
      <c r="K61" s="11" t="e">
        <f>+K58*I61</f>
        <v>#DIV/0!</v>
      </c>
    </row>
    <row r="62" spans="1:12" ht="15" x14ac:dyDescent="0.25">
      <c r="D62" s="50"/>
      <c r="G62" s="10"/>
      <c r="H62" s="52"/>
      <c r="J62" s="2"/>
    </row>
    <row r="63" spans="1:12" x14ac:dyDescent="0.2">
      <c r="G63" s="10"/>
      <c r="J63" s="2"/>
    </row>
    <row r="64" spans="1:12" ht="19.5" customHeight="1" x14ac:dyDescent="0.55000000000000004">
      <c r="A64" s="13" t="s">
        <v>828</v>
      </c>
      <c r="B64" s="13"/>
      <c r="C64" s="13"/>
      <c r="D64" s="72">
        <v>0</v>
      </c>
      <c r="E64" s="13"/>
      <c r="F64" s="13"/>
      <c r="G64" s="45"/>
      <c r="H64" s="51" t="e">
        <f>+H61*D64</f>
        <v>#DIV/0!</v>
      </c>
      <c r="J64" s="2"/>
    </row>
    <row r="65" spans="1:13" ht="19.5" x14ac:dyDescent="0.55000000000000004">
      <c r="A65" s="13"/>
      <c r="B65" s="13"/>
      <c r="C65" s="13"/>
      <c r="D65" s="53"/>
      <c r="E65" s="13"/>
      <c r="F65" s="13"/>
      <c r="G65" s="45"/>
      <c r="H65" s="51"/>
      <c r="J65" s="54"/>
    </row>
    <row r="66" spans="1:13" ht="21.75" customHeight="1" thickBot="1" x14ac:dyDescent="0.3">
      <c r="A66" s="13"/>
      <c r="B66" s="13"/>
      <c r="C66" s="13"/>
      <c r="D66" s="13"/>
      <c r="E66" s="13"/>
      <c r="F66" s="13" t="s">
        <v>829</v>
      </c>
      <c r="G66" s="45"/>
      <c r="H66" s="19" t="e">
        <f>SUM(H61:H64)</f>
        <v>#DIV/0!</v>
      </c>
      <c r="J66" s="2"/>
    </row>
    <row r="67" spans="1:13" ht="21.75" customHeight="1" thickBot="1" x14ac:dyDescent="0.3">
      <c r="A67" s="13"/>
      <c r="B67" s="1"/>
      <c r="C67" s="13"/>
      <c r="D67" s="13"/>
      <c r="E67" s="13"/>
      <c r="F67" s="13" t="s">
        <v>830</v>
      </c>
      <c r="G67" s="45"/>
      <c r="H67" s="55" t="e">
        <f>+H66/12</f>
        <v>#DIV/0!</v>
      </c>
      <c r="J67" s="2"/>
    </row>
    <row r="68" spans="1:13" ht="21.75" customHeight="1" x14ac:dyDescent="0.25">
      <c r="A68" s="13"/>
      <c r="B68" s="351" t="s">
        <v>831</v>
      </c>
      <c r="C68" s="351"/>
      <c r="D68" s="351"/>
      <c r="E68" s="351"/>
      <c r="F68" s="13" t="s">
        <v>832</v>
      </c>
      <c r="G68" s="45"/>
      <c r="H68" s="52" t="e">
        <f>+H66/(E18)</f>
        <v>#DIV/0!</v>
      </c>
      <c r="J68" s="2"/>
      <c r="K68" s="21" t="e">
        <f>SUM(K58:K67)</f>
        <v>#DIV/0!</v>
      </c>
      <c r="L68" s="20" t="s">
        <v>690</v>
      </c>
      <c r="M68" s="20"/>
    </row>
    <row r="69" spans="1:13" x14ac:dyDescent="0.2">
      <c r="A69" s="2"/>
      <c r="B69" s="3"/>
      <c r="C69" s="2"/>
      <c r="D69" s="2"/>
      <c r="E69" s="2"/>
      <c r="F69" s="2"/>
      <c r="G69" s="2"/>
      <c r="H69" s="2"/>
      <c r="I69" s="2"/>
      <c r="J69" s="54"/>
      <c r="K69" s="2"/>
    </row>
    <row r="70" spans="1:13" ht="15" x14ac:dyDescent="0.25">
      <c r="A70" s="5" t="str">
        <f ca="1">$A$2</f>
        <v>ZOB Rate Build Up</v>
      </c>
      <c r="B70" s="5"/>
      <c r="C70" s="6"/>
      <c r="D70" s="6"/>
      <c r="E70" s="6"/>
      <c r="F70" s="6" t="s">
        <v>835</v>
      </c>
      <c r="G70" s="6"/>
      <c r="H70" s="6"/>
      <c r="J70" s="2"/>
      <c r="K70" s="7" t="s">
        <v>785</v>
      </c>
    </row>
    <row r="71" spans="1:13" ht="15.75" thickBot="1" x14ac:dyDescent="0.3">
      <c r="A71" s="8"/>
      <c r="F71" s="9" t="s">
        <v>786</v>
      </c>
      <c r="G71" s="10"/>
      <c r="J71" s="2"/>
    </row>
    <row r="72" spans="1:13" ht="15" x14ac:dyDescent="0.25">
      <c r="A72" s="349" t="str">
        <f>_OP1</f>
        <v>9/30/2027-9/29/2028</v>
      </c>
      <c r="B72" s="350"/>
      <c r="F72" s="9"/>
      <c r="G72" s="10"/>
      <c r="J72" s="2"/>
    </row>
    <row r="73" spans="1:13" ht="15" x14ac:dyDescent="0.25">
      <c r="A73" s="13" t="s">
        <v>787</v>
      </c>
      <c r="B73" s="13"/>
      <c r="C73" s="13"/>
      <c r="D73" s="13"/>
      <c r="E73" s="6" t="s">
        <v>788</v>
      </c>
      <c r="F73" s="6" t="s">
        <v>789</v>
      </c>
      <c r="G73" s="14"/>
      <c r="H73" s="6" t="s">
        <v>790</v>
      </c>
      <c r="J73" s="15"/>
    </row>
    <row r="74" spans="1:13" x14ac:dyDescent="0.2">
      <c r="A74" s="4">
        <v>1</v>
      </c>
      <c r="B74" s="4" t="s">
        <v>791</v>
      </c>
      <c r="E74" s="58">
        <v>0</v>
      </c>
      <c r="F74" s="59">
        <v>0</v>
      </c>
      <c r="G74" s="10"/>
      <c r="H74" s="10">
        <f>+E74*F74</f>
        <v>0</v>
      </c>
      <c r="J74" s="2"/>
    </row>
    <row r="75" spans="1:13" x14ac:dyDescent="0.2">
      <c r="A75" s="4">
        <v>2</v>
      </c>
      <c r="B75" s="4" t="s">
        <v>774</v>
      </c>
      <c r="E75" s="58">
        <v>0</v>
      </c>
      <c r="F75" s="59">
        <v>0</v>
      </c>
      <c r="G75" s="10"/>
      <c r="H75" s="10">
        <f t="shared" ref="H75:H85" si="2">+E75*F75</f>
        <v>0</v>
      </c>
      <c r="J75" s="2"/>
    </row>
    <row r="76" spans="1:13" x14ac:dyDescent="0.2">
      <c r="A76" s="4">
        <v>3</v>
      </c>
      <c r="B76" s="4" t="s">
        <v>774</v>
      </c>
      <c r="E76" s="58">
        <v>0</v>
      </c>
      <c r="F76" s="59">
        <v>0</v>
      </c>
      <c r="G76" s="10"/>
      <c r="H76" s="10">
        <f t="shared" si="2"/>
        <v>0</v>
      </c>
      <c r="J76" s="2"/>
    </row>
    <row r="77" spans="1:13" x14ac:dyDescent="0.2">
      <c r="A77" s="4">
        <v>4</v>
      </c>
      <c r="B77" s="4" t="s">
        <v>774</v>
      </c>
      <c r="E77" s="58">
        <v>0</v>
      </c>
      <c r="F77" s="59">
        <v>0</v>
      </c>
      <c r="G77" s="10"/>
      <c r="H77" s="10">
        <f t="shared" si="2"/>
        <v>0</v>
      </c>
      <c r="J77" s="2"/>
    </row>
    <row r="78" spans="1:13" x14ac:dyDescent="0.2">
      <c r="A78" s="4">
        <v>5</v>
      </c>
      <c r="B78" s="4" t="s">
        <v>774</v>
      </c>
      <c r="E78" s="58">
        <v>0</v>
      </c>
      <c r="F78" s="59">
        <v>0</v>
      </c>
      <c r="G78" s="10"/>
      <c r="H78" s="10">
        <f t="shared" si="2"/>
        <v>0</v>
      </c>
      <c r="J78" s="2"/>
    </row>
    <row r="79" spans="1:13" x14ac:dyDescent="0.2">
      <c r="A79" s="4">
        <v>6</v>
      </c>
      <c r="B79" s="4" t="s">
        <v>774</v>
      </c>
      <c r="E79" s="58">
        <v>0</v>
      </c>
      <c r="F79" s="59">
        <v>0</v>
      </c>
      <c r="G79" s="10"/>
      <c r="H79" s="10">
        <f t="shared" si="2"/>
        <v>0</v>
      </c>
      <c r="J79" s="2"/>
    </row>
    <row r="80" spans="1:13" x14ac:dyDescent="0.2">
      <c r="A80" s="4">
        <v>7</v>
      </c>
      <c r="B80" s="4" t="s">
        <v>774</v>
      </c>
      <c r="E80" s="58">
        <v>0</v>
      </c>
      <c r="F80" s="59">
        <v>0</v>
      </c>
      <c r="G80" s="10"/>
      <c r="H80" s="10">
        <f t="shared" si="2"/>
        <v>0</v>
      </c>
      <c r="J80" s="2"/>
    </row>
    <row r="81" spans="1:11" x14ac:dyDescent="0.2">
      <c r="A81" s="4">
        <v>8</v>
      </c>
      <c r="B81" s="4" t="s">
        <v>774</v>
      </c>
      <c r="E81" s="58">
        <v>0</v>
      </c>
      <c r="F81" s="59">
        <v>0</v>
      </c>
      <c r="G81" s="10"/>
      <c r="H81" s="10">
        <f t="shared" si="2"/>
        <v>0</v>
      </c>
      <c r="J81" s="2"/>
    </row>
    <row r="82" spans="1:11" x14ac:dyDescent="0.2">
      <c r="A82" s="4">
        <v>9</v>
      </c>
      <c r="B82" s="4" t="s">
        <v>774</v>
      </c>
      <c r="E82" s="58">
        <v>0</v>
      </c>
      <c r="F82" s="59">
        <v>0</v>
      </c>
      <c r="G82" s="10"/>
      <c r="H82" s="10">
        <f t="shared" si="2"/>
        <v>0</v>
      </c>
      <c r="J82" s="2"/>
    </row>
    <row r="83" spans="1:11" x14ac:dyDescent="0.2">
      <c r="A83" s="4">
        <v>10</v>
      </c>
      <c r="B83" s="4" t="s">
        <v>774</v>
      </c>
      <c r="E83" s="58">
        <v>0</v>
      </c>
      <c r="F83" s="59">
        <v>0</v>
      </c>
      <c r="G83" s="10"/>
      <c r="H83" s="10">
        <f t="shared" si="2"/>
        <v>0</v>
      </c>
      <c r="J83" s="2"/>
    </row>
    <row r="84" spans="1:11" x14ac:dyDescent="0.2">
      <c r="A84" s="4">
        <v>11</v>
      </c>
      <c r="B84" s="4" t="s">
        <v>774</v>
      </c>
      <c r="E84" s="58">
        <v>0</v>
      </c>
      <c r="F84" s="59">
        <v>0</v>
      </c>
      <c r="G84" s="10"/>
      <c r="H84" s="10">
        <f t="shared" si="2"/>
        <v>0</v>
      </c>
      <c r="J84" s="2"/>
    </row>
    <row r="85" spans="1:11" ht="16.5" x14ac:dyDescent="0.35">
      <c r="A85" s="4">
        <v>12</v>
      </c>
      <c r="B85" s="4" t="s">
        <v>774</v>
      </c>
      <c r="E85" s="58">
        <v>0</v>
      </c>
      <c r="F85" s="59">
        <v>0</v>
      </c>
      <c r="G85" s="10"/>
      <c r="H85" s="16">
        <f t="shared" si="2"/>
        <v>0</v>
      </c>
      <c r="J85" s="2"/>
    </row>
    <row r="86" spans="1:11" s="8" customFormat="1" ht="15" x14ac:dyDescent="0.25">
      <c r="B86" s="8" t="s">
        <v>792</v>
      </c>
      <c r="E86" s="17">
        <f>SUM(E74:E85)</f>
        <v>0</v>
      </c>
      <c r="G86" s="18"/>
      <c r="H86" s="19">
        <f>SUM(H74:H85)</f>
        <v>0</v>
      </c>
      <c r="I86" s="20" t="e">
        <f>+H86/E86</f>
        <v>#DIV/0!</v>
      </c>
      <c r="J86" s="2"/>
      <c r="K86" s="11" t="e">
        <f>+I86*1.5</f>
        <v>#DIV/0!</v>
      </c>
    </row>
    <row r="87" spans="1:11" x14ac:dyDescent="0.2">
      <c r="G87" s="22"/>
      <c r="J87" s="2"/>
    </row>
    <row r="88" spans="1:11" ht="16.5" x14ac:dyDescent="0.35">
      <c r="B88" s="4" t="s">
        <v>793</v>
      </c>
      <c r="F88" s="67">
        <v>5</v>
      </c>
      <c r="G88" s="22"/>
      <c r="H88" s="24">
        <f>+E86*F88</f>
        <v>0</v>
      </c>
      <c r="J88" s="2"/>
    </row>
    <row r="89" spans="1:11" ht="15" x14ac:dyDescent="0.25">
      <c r="G89" s="22"/>
      <c r="H89" s="19">
        <f>+H86+H88</f>
        <v>0</v>
      </c>
      <c r="I89" s="25"/>
      <c r="J89" s="2"/>
    </row>
    <row r="90" spans="1:11" x14ac:dyDescent="0.2">
      <c r="G90" s="22"/>
      <c r="J90" s="2"/>
    </row>
    <row r="91" spans="1:11" ht="15" x14ac:dyDescent="0.25">
      <c r="A91" s="13" t="s">
        <v>794</v>
      </c>
      <c r="B91" s="13"/>
      <c r="C91" s="13"/>
      <c r="D91" s="13"/>
      <c r="E91" s="6" t="s">
        <v>795</v>
      </c>
      <c r="F91" s="13"/>
      <c r="G91" s="26"/>
      <c r="H91" s="13"/>
      <c r="J91" s="2"/>
    </row>
    <row r="92" spans="1:11" ht="15" x14ac:dyDescent="0.25">
      <c r="A92" s="13"/>
      <c r="B92" s="13"/>
      <c r="C92" s="13"/>
      <c r="D92" s="13"/>
      <c r="E92" s="6"/>
      <c r="F92" s="13"/>
      <c r="G92" s="26"/>
      <c r="H92" s="13"/>
      <c r="J92" s="2"/>
    </row>
    <row r="93" spans="1:11" x14ac:dyDescent="0.2">
      <c r="B93" s="4" t="s">
        <v>796</v>
      </c>
      <c r="E93" s="27">
        <v>6.2E-2</v>
      </c>
      <c r="G93" s="56">
        <f>+$E93*$H89</f>
        <v>0</v>
      </c>
      <c r="J93" s="28"/>
    </row>
    <row r="94" spans="1:11" x14ac:dyDescent="0.2">
      <c r="B94" s="4" t="s">
        <v>797</v>
      </c>
      <c r="E94" s="27">
        <v>1.4500000000000001E-2</v>
      </c>
      <c r="G94" s="56">
        <f>+$E94*$H89</f>
        <v>0</v>
      </c>
      <c r="J94" s="28"/>
    </row>
    <row r="95" spans="1:11" x14ac:dyDescent="0.2">
      <c r="B95" s="4" t="s">
        <v>798</v>
      </c>
      <c r="E95" s="60">
        <v>0</v>
      </c>
      <c r="G95" s="56">
        <f>+$E95*$H89</f>
        <v>0</v>
      </c>
      <c r="J95" s="2"/>
    </row>
    <row r="96" spans="1:11" x14ac:dyDescent="0.2">
      <c r="B96" s="4" t="s">
        <v>799</v>
      </c>
      <c r="E96" s="60">
        <v>0</v>
      </c>
      <c r="G96" s="56">
        <f>+$E96*$H89</f>
        <v>0</v>
      </c>
      <c r="H96" s="4" t="s">
        <v>800</v>
      </c>
      <c r="I96" s="29" t="s">
        <v>801</v>
      </c>
      <c r="J96" s="2"/>
    </row>
    <row r="97" spans="1:11" x14ac:dyDescent="0.2">
      <c r="B97" s="4" t="s">
        <v>802</v>
      </c>
      <c r="E97" s="60">
        <v>0</v>
      </c>
      <c r="G97" s="56">
        <f>+$E97*$H89</f>
        <v>0</v>
      </c>
      <c r="H97" s="27">
        <f>SUM(E93:E97)</f>
        <v>7.6499999999999999E-2</v>
      </c>
      <c r="I97" s="30" t="e">
        <f>+H97*I86+I86</f>
        <v>#DIV/0!</v>
      </c>
      <c r="J97" s="31"/>
    </row>
    <row r="98" spans="1:11" x14ac:dyDescent="0.2">
      <c r="A98" s="32" t="s">
        <v>786</v>
      </c>
      <c r="B98" s="32" t="s">
        <v>803</v>
      </c>
      <c r="C98" s="61">
        <v>0</v>
      </c>
      <c r="D98" s="61">
        <v>0</v>
      </c>
      <c r="E98" s="33">
        <f>+D98*C98</f>
        <v>0</v>
      </c>
      <c r="G98" s="56" t="e">
        <f>+E98*I97</f>
        <v>#DIV/0!</v>
      </c>
      <c r="J98" s="2"/>
    </row>
    <row r="99" spans="1:11" x14ac:dyDescent="0.2">
      <c r="A99" s="32" t="s">
        <v>786</v>
      </c>
      <c r="B99" s="32" t="s">
        <v>804</v>
      </c>
      <c r="C99" s="62">
        <v>0</v>
      </c>
      <c r="D99" s="61">
        <v>0</v>
      </c>
      <c r="E99" s="33">
        <f>+D99*C99</f>
        <v>0</v>
      </c>
      <c r="G99" s="56" t="e">
        <f>+E99*I97</f>
        <v>#DIV/0!</v>
      </c>
      <c r="J99" s="2"/>
    </row>
    <row r="100" spans="1:11" x14ac:dyDescent="0.2">
      <c r="A100" s="4" t="s">
        <v>786</v>
      </c>
      <c r="B100" s="4" t="s">
        <v>805</v>
      </c>
      <c r="C100" s="63">
        <v>0</v>
      </c>
      <c r="D100" s="64">
        <v>0</v>
      </c>
      <c r="E100" s="35">
        <f>+C100*D100</f>
        <v>0</v>
      </c>
      <c r="G100" s="56" t="e">
        <f>+E100*I97</f>
        <v>#DIV/0!</v>
      </c>
      <c r="J100" s="2"/>
    </row>
    <row r="101" spans="1:11" x14ac:dyDescent="0.2">
      <c r="A101" s="4" t="s">
        <v>786</v>
      </c>
      <c r="B101" s="4" t="s">
        <v>806</v>
      </c>
      <c r="C101" s="63">
        <v>0</v>
      </c>
      <c r="D101" s="65">
        <v>0</v>
      </c>
      <c r="E101" s="4">
        <f>+C101*D101</f>
        <v>0</v>
      </c>
      <c r="G101" s="40" t="e">
        <f>+E101*I97</f>
        <v>#DIV/0!</v>
      </c>
      <c r="J101" s="2"/>
    </row>
    <row r="102" spans="1:11" ht="21" customHeight="1" x14ac:dyDescent="0.2">
      <c r="A102" s="4" t="s">
        <v>786</v>
      </c>
      <c r="B102" s="4" t="s">
        <v>807</v>
      </c>
      <c r="C102" s="63">
        <v>0</v>
      </c>
      <c r="D102" s="65">
        <v>0</v>
      </c>
      <c r="E102" s="4">
        <f>+D102*C102</f>
        <v>0</v>
      </c>
      <c r="G102" s="40" t="e">
        <f>+E102*I97</f>
        <v>#DIV/0!</v>
      </c>
      <c r="J102" s="36"/>
    </row>
    <row r="103" spans="1:11" ht="21" customHeight="1" x14ac:dyDescent="0.2">
      <c r="A103" s="4" t="s">
        <v>786</v>
      </c>
      <c r="B103" s="4" t="s">
        <v>808</v>
      </c>
      <c r="C103" s="63">
        <v>0</v>
      </c>
      <c r="D103" s="65">
        <v>0</v>
      </c>
      <c r="E103" s="4">
        <f>+D103*C103</f>
        <v>0</v>
      </c>
      <c r="G103" s="40" t="e">
        <f>+E103*I97</f>
        <v>#DIV/0!</v>
      </c>
      <c r="J103" s="38"/>
    </row>
    <row r="104" spans="1:11" s="8" customFormat="1" ht="15" x14ac:dyDescent="0.25">
      <c r="A104" s="4"/>
      <c r="B104" s="4" t="s">
        <v>809</v>
      </c>
      <c r="C104" s="4"/>
      <c r="D104" s="4"/>
      <c r="E104" s="35">
        <f>SUM(E98:E103)</f>
        <v>0</v>
      </c>
      <c r="F104" s="67">
        <v>0</v>
      </c>
      <c r="G104" s="57">
        <f>E104*F104</f>
        <v>0</v>
      </c>
      <c r="H104" s="37" t="e">
        <f>SUM(G93:G104)</f>
        <v>#DIV/0!</v>
      </c>
      <c r="I104" s="27" t="e">
        <f>(H104+H88)/H86</f>
        <v>#DIV/0!</v>
      </c>
      <c r="J104" s="2"/>
      <c r="K104" s="11" t="e">
        <f>K86*I104</f>
        <v>#DIV/0!</v>
      </c>
    </row>
    <row r="105" spans="1:11" ht="15" x14ac:dyDescent="0.25">
      <c r="H105" s="41" t="e">
        <f>+H104+H89</f>
        <v>#DIV/0!</v>
      </c>
      <c r="I105" s="27"/>
      <c r="J105" s="2"/>
    </row>
    <row r="106" spans="1:11" ht="15" x14ac:dyDescent="0.25">
      <c r="F106" s="23"/>
      <c r="G106" s="40"/>
      <c r="I106" s="27"/>
      <c r="J106" s="2"/>
    </row>
    <row r="107" spans="1:11" ht="15" x14ac:dyDescent="0.25">
      <c r="F107" s="23"/>
      <c r="G107" s="40"/>
      <c r="H107" s="41"/>
      <c r="I107" s="27"/>
      <c r="J107" s="2"/>
    </row>
    <row r="108" spans="1:11" ht="15" x14ac:dyDescent="0.25">
      <c r="C108" s="39"/>
      <c r="G108" s="40"/>
      <c r="H108" s="41"/>
      <c r="I108" s="27"/>
      <c r="J108" s="2"/>
    </row>
    <row r="109" spans="1:11" ht="15" x14ac:dyDescent="0.25">
      <c r="A109" s="8" t="s">
        <v>810</v>
      </c>
      <c r="B109" s="8"/>
      <c r="C109" s="42"/>
      <c r="D109" s="68">
        <v>0</v>
      </c>
      <c r="E109" s="8"/>
      <c r="F109" s="8"/>
      <c r="G109" s="43"/>
      <c r="H109" s="44" t="e">
        <f>+H105*D109</f>
        <v>#DIV/0!</v>
      </c>
      <c r="I109" s="27" t="e">
        <f>+H109/H105</f>
        <v>#DIV/0!</v>
      </c>
      <c r="J109" s="2"/>
      <c r="K109" s="11" t="e">
        <f>+(K86+K104)*I109</f>
        <v>#DIV/0!</v>
      </c>
    </row>
    <row r="110" spans="1:11" x14ac:dyDescent="0.2">
      <c r="G110" s="10"/>
      <c r="J110" s="2"/>
    </row>
    <row r="111" spans="1:11" ht="15" x14ac:dyDescent="0.25">
      <c r="A111" s="13" t="s">
        <v>811</v>
      </c>
      <c r="B111" s="13"/>
      <c r="C111" s="13"/>
      <c r="D111" s="13"/>
      <c r="E111" s="13"/>
      <c r="F111" s="13"/>
      <c r="G111" s="45"/>
      <c r="H111" s="13"/>
      <c r="J111" s="2"/>
    </row>
    <row r="112" spans="1:11" x14ac:dyDescent="0.2">
      <c r="B112" s="64" t="s">
        <v>812</v>
      </c>
      <c r="C112" s="64">
        <v>0</v>
      </c>
      <c r="D112" s="67">
        <v>0</v>
      </c>
      <c r="E112" s="64">
        <v>0</v>
      </c>
      <c r="G112" s="10">
        <f t="shared" ref="G112:G122" si="3">+(C112*D112*E112)</f>
        <v>0</v>
      </c>
      <c r="H112" s="34"/>
      <c r="J112" s="46"/>
    </row>
    <row r="113" spans="1:11" x14ac:dyDescent="0.2">
      <c r="B113" s="64" t="s">
        <v>813</v>
      </c>
      <c r="C113" s="64">
        <v>0</v>
      </c>
      <c r="D113" s="67">
        <v>0</v>
      </c>
      <c r="E113" s="64">
        <v>0</v>
      </c>
      <c r="G113" s="10">
        <f t="shared" si="3"/>
        <v>0</v>
      </c>
      <c r="H113" s="34"/>
      <c r="J113" s="46"/>
    </row>
    <row r="114" spans="1:11" x14ac:dyDescent="0.2">
      <c r="B114" s="64" t="s">
        <v>814</v>
      </c>
      <c r="C114" s="64">
        <v>0</v>
      </c>
      <c r="D114" s="67">
        <v>0</v>
      </c>
      <c r="E114" s="64">
        <v>0</v>
      </c>
      <c r="G114" s="10">
        <f t="shared" si="3"/>
        <v>0</v>
      </c>
      <c r="H114" s="34"/>
      <c r="J114" s="46"/>
    </row>
    <row r="115" spans="1:11" x14ac:dyDescent="0.2">
      <c r="B115" s="64" t="s">
        <v>815</v>
      </c>
      <c r="C115" s="64">
        <v>0</v>
      </c>
      <c r="D115" s="67">
        <v>0</v>
      </c>
      <c r="E115" s="64">
        <v>0</v>
      </c>
      <c r="G115" s="10">
        <f t="shared" si="3"/>
        <v>0</v>
      </c>
      <c r="H115" s="34"/>
      <c r="J115" s="2"/>
    </row>
    <row r="116" spans="1:11" x14ac:dyDescent="0.2">
      <c r="B116" s="64" t="s">
        <v>816</v>
      </c>
      <c r="C116" s="64">
        <v>0</v>
      </c>
      <c r="D116" s="67">
        <v>0</v>
      </c>
      <c r="E116" s="64">
        <v>0</v>
      </c>
      <c r="G116" s="10">
        <f t="shared" si="3"/>
        <v>0</v>
      </c>
      <c r="H116" s="34"/>
      <c r="J116" s="2"/>
    </row>
    <row r="117" spans="1:11" x14ac:dyDescent="0.2">
      <c r="B117" s="64" t="s">
        <v>817</v>
      </c>
      <c r="C117" s="64">
        <v>0</v>
      </c>
      <c r="D117" s="67">
        <v>0</v>
      </c>
      <c r="E117" s="64">
        <v>0</v>
      </c>
      <c r="G117" s="10">
        <f t="shared" si="3"/>
        <v>0</v>
      </c>
      <c r="H117" s="34"/>
      <c r="J117" s="2"/>
    </row>
    <row r="118" spans="1:11" ht="26.25" customHeight="1" x14ac:dyDescent="0.2">
      <c r="B118" s="64" t="s">
        <v>818</v>
      </c>
      <c r="C118" s="64">
        <v>0</v>
      </c>
      <c r="D118" s="67">
        <v>0</v>
      </c>
      <c r="E118" s="64">
        <v>0</v>
      </c>
      <c r="G118" s="10">
        <f t="shared" si="3"/>
        <v>0</v>
      </c>
      <c r="H118" s="34"/>
      <c r="J118" s="2"/>
    </row>
    <row r="119" spans="1:11" x14ac:dyDescent="0.2">
      <c r="B119" s="64" t="s">
        <v>819</v>
      </c>
      <c r="C119" s="64">
        <v>0</v>
      </c>
      <c r="D119" s="67">
        <v>0</v>
      </c>
      <c r="E119" s="64">
        <v>0</v>
      </c>
      <c r="G119" s="10">
        <f t="shared" si="3"/>
        <v>0</v>
      </c>
      <c r="H119" s="34"/>
      <c r="J119" s="2"/>
    </row>
    <row r="120" spans="1:11" x14ac:dyDescent="0.2">
      <c r="B120" s="64" t="s">
        <v>820</v>
      </c>
      <c r="C120" s="64">
        <v>0</v>
      </c>
      <c r="D120" s="67">
        <v>0</v>
      </c>
      <c r="E120" s="64">
        <v>0</v>
      </c>
      <c r="G120" s="10">
        <f t="shared" si="3"/>
        <v>0</v>
      </c>
      <c r="H120" s="34"/>
      <c r="J120" s="2"/>
    </row>
    <row r="121" spans="1:11" x14ac:dyDescent="0.2">
      <c r="B121" s="64" t="s">
        <v>821</v>
      </c>
      <c r="C121" s="64">
        <v>0</v>
      </c>
      <c r="D121" s="67">
        <v>0</v>
      </c>
      <c r="E121" s="64">
        <v>0</v>
      </c>
      <c r="G121" s="10">
        <f t="shared" si="3"/>
        <v>0</v>
      </c>
      <c r="H121" s="34"/>
      <c r="J121" s="2"/>
    </row>
    <row r="122" spans="1:11" ht="15" x14ac:dyDescent="0.25">
      <c r="B122" s="64" t="s">
        <v>822</v>
      </c>
      <c r="C122" s="64">
        <v>0</v>
      </c>
      <c r="D122" s="67">
        <v>0</v>
      </c>
      <c r="E122" s="64">
        <v>0</v>
      </c>
      <c r="G122" s="10">
        <f t="shared" si="3"/>
        <v>0</v>
      </c>
      <c r="H122" s="37">
        <f>SUM(G112:G122)</f>
        <v>0</v>
      </c>
      <c r="J122" s="2"/>
      <c r="K122" s="11" t="e">
        <f>SUM(K86:K121)</f>
        <v>#DIV/0!</v>
      </c>
    </row>
    <row r="123" spans="1:11" ht="19.5" x14ac:dyDescent="0.55000000000000004">
      <c r="A123" s="13"/>
      <c r="B123" s="13"/>
      <c r="C123" s="13" t="s">
        <v>823</v>
      </c>
      <c r="D123" s="13"/>
      <c r="E123" s="13"/>
      <c r="F123" s="13"/>
      <c r="G123" s="45"/>
      <c r="H123" s="47" t="e">
        <f>SUM(H105:H122)</f>
        <v>#DIV/0!</v>
      </c>
      <c r="J123" s="2"/>
    </row>
    <row r="124" spans="1:11" x14ac:dyDescent="0.2">
      <c r="G124" s="10"/>
      <c r="J124" s="2"/>
    </row>
    <row r="125" spans="1:11" ht="15" x14ac:dyDescent="0.25">
      <c r="A125" s="13" t="s">
        <v>824</v>
      </c>
      <c r="B125" s="13"/>
      <c r="C125" s="13"/>
      <c r="D125" s="70">
        <v>0</v>
      </c>
      <c r="E125" s="13"/>
      <c r="F125" s="13"/>
      <c r="G125" s="45"/>
      <c r="H125" s="45" t="e">
        <f>+H123*D125</f>
        <v>#DIV/0!</v>
      </c>
      <c r="I125" s="48">
        <f>D125</f>
        <v>0</v>
      </c>
      <c r="J125" s="2"/>
      <c r="K125" s="49" t="e">
        <f>+K122*I125</f>
        <v>#DIV/0!</v>
      </c>
    </row>
    <row r="126" spans="1:11" x14ac:dyDescent="0.2">
      <c r="D126" s="50" t="s">
        <v>825</v>
      </c>
      <c r="G126" s="10"/>
      <c r="J126" s="2"/>
      <c r="K126" s="11" t="e">
        <f>SUM(K122:K125)</f>
        <v>#DIV/0!</v>
      </c>
    </row>
    <row r="127" spans="1:11" x14ac:dyDescent="0.2">
      <c r="F127" s="20"/>
      <c r="G127" s="10"/>
      <c r="J127" s="2"/>
    </row>
    <row r="128" spans="1:11" ht="19.5" x14ac:dyDescent="0.55000000000000004">
      <c r="A128" s="13" t="s">
        <v>826</v>
      </c>
      <c r="B128" s="13"/>
      <c r="C128" s="13"/>
      <c r="D128" s="72">
        <v>0</v>
      </c>
      <c r="E128" s="13"/>
      <c r="F128" s="13"/>
      <c r="G128" s="45"/>
      <c r="H128" s="51" t="e">
        <f>(H123+H125)*D128</f>
        <v>#DIV/0!</v>
      </c>
      <c r="J128" s="2"/>
    </row>
    <row r="129" spans="1:11" ht="21.75" customHeight="1" x14ac:dyDescent="0.25">
      <c r="D129" s="50" t="s">
        <v>827</v>
      </c>
      <c r="G129" s="10"/>
      <c r="H129" s="52" t="e">
        <f>SUM(H123:H128)</f>
        <v>#DIV/0!</v>
      </c>
      <c r="I129" s="48">
        <f>D128</f>
        <v>0</v>
      </c>
      <c r="J129" s="2"/>
      <c r="K129" s="11" t="e">
        <f>+K126*I129</f>
        <v>#DIV/0!</v>
      </c>
    </row>
    <row r="130" spans="1:11" ht="21.75" customHeight="1" x14ac:dyDescent="0.25">
      <c r="D130" s="50"/>
      <c r="G130" s="10"/>
      <c r="H130" s="52"/>
      <c r="J130" s="2"/>
    </row>
    <row r="131" spans="1:11" ht="21.75" customHeight="1" x14ac:dyDescent="0.2">
      <c r="G131" s="10"/>
      <c r="J131" s="2"/>
    </row>
    <row r="132" spans="1:11" ht="19.5" x14ac:dyDescent="0.55000000000000004">
      <c r="A132" s="13" t="s">
        <v>828</v>
      </c>
      <c r="B132" s="13"/>
      <c r="C132" s="13"/>
      <c r="D132" s="72">
        <v>0</v>
      </c>
      <c r="E132" s="13"/>
      <c r="F132" s="13"/>
      <c r="G132" s="45"/>
      <c r="H132" s="51" t="e">
        <f>+H129*D132</f>
        <v>#DIV/0!</v>
      </c>
      <c r="J132" s="2"/>
    </row>
    <row r="133" spans="1:11" ht="19.5" x14ac:dyDescent="0.55000000000000004">
      <c r="A133" s="13"/>
      <c r="B133" s="13"/>
      <c r="C133" s="13"/>
      <c r="D133" s="53"/>
      <c r="E133" s="13"/>
      <c r="F133" s="13"/>
      <c r="G133" s="45"/>
      <c r="H133" s="51"/>
      <c r="J133" s="54"/>
    </row>
    <row r="134" spans="1:11" ht="15.75" thickBot="1" x14ac:dyDescent="0.3">
      <c r="A134" s="13"/>
      <c r="B134" s="13"/>
      <c r="C134" s="13"/>
      <c r="D134" s="13"/>
      <c r="E134" s="13"/>
      <c r="F134" s="13" t="s">
        <v>829</v>
      </c>
      <c r="G134" s="45"/>
      <c r="H134" s="19" t="e">
        <f>SUM(H129:H132)</f>
        <v>#DIV/0!</v>
      </c>
      <c r="J134" s="2"/>
    </row>
    <row r="135" spans="1:11" ht="15" customHeight="1" thickBot="1" x14ac:dyDescent="0.3">
      <c r="A135" s="13"/>
      <c r="B135" s="1"/>
      <c r="C135" s="13"/>
      <c r="D135" s="13"/>
      <c r="E135" s="13"/>
      <c r="F135" s="13" t="s">
        <v>830</v>
      </c>
      <c r="G135" s="45"/>
      <c r="H135" s="55" t="e">
        <f>+H134/12</f>
        <v>#DIV/0!</v>
      </c>
      <c r="J135" s="2"/>
    </row>
    <row r="136" spans="1:11" ht="15" x14ac:dyDescent="0.25">
      <c r="A136" s="13"/>
      <c r="B136" s="351" t="s">
        <v>831</v>
      </c>
      <c r="C136" s="351"/>
      <c r="D136" s="351"/>
      <c r="E136" s="351"/>
      <c r="F136" s="13" t="s">
        <v>832</v>
      </c>
      <c r="G136" s="45"/>
      <c r="H136" s="52" t="e">
        <f>+H134/(E86)</f>
        <v>#DIV/0!</v>
      </c>
      <c r="J136" s="2"/>
      <c r="K136" s="21" t="e">
        <f>SUM(K126:K135)</f>
        <v>#DIV/0!</v>
      </c>
    </row>
    <row r="137" spans="1:11" x14ac:dyDescent="0.2">
      <c r="A137" s="2"/>
      <c r="B137" s="3"/>
      <c r="C137" s="2"/>
      <c r="D137" s="2"/>
      <c r="E137" s="2"/>
      <c r="F137" s="2"/>
      <c r="G137" s="2"/>
      <c r="H137" s="2"/>
      <c r="I137" s="2"/>
      <c r="J137" s="54"/>
      <c r="K137" s="2"/>
    </row>
    <row r="138" spans="1:11" ht="15" x14ac:dyDescent="0.25">
      <c r="A138" s="5" t="str">
        <f ca="1">$A$2</f>
        <v>ZOB Rate Build Up</v>
      </c>
      <c r="B138" s="5"/>
      <c r="C138" s="6"/>
      <c r="D138" s="6"/>
      <c r="E138" s="6"/>
      <c r="F138" s="6" t="s">
        <v>836</v>
      </c>
      <c r="G138" s="6"/>
      <c r="H138" s="6"/>
      <c r="J138" s="2"/>
      <c r="K138" s="7" t="s">
        <v>785</v>
      </c>
    </row>
    <row r="139" spans="1:11" ht="15.75" thickBot="1" x14ac:dyDescent="0.3">
      <c r="A139" s="8"/>
      <c r="F139" s="9" t="s">
        <v>786</v>
      </c>
      <c r="G139" s="10"/>
      <c r="J139" s="2"/>
    </row>
    <row r="140" spans="1:11" ht="15" x14ac:dyDescent="0.25">
      <c r="A140" s="349" t="str">
        <f>_OP2</f>
        <v>9/30/2028-9/29/2029</v>
      </c>
      <c r="B140" s="350"/>
      <c r="F140" s="9"/>
      <c r="G140" s="10"/>
      <c r="J140" s="2"/>
    </row>
    <row r="141" spans="1:11" ht="15" x14ac:dyDescent="0.25">
      <c r="A141" s="13" t="s">
        <v>787</v>
      </c>
      <c r="B141" s="13"/>
      <c r="C141" s="13"/>
      <c r="D141" s="13"/>
      <c r="E141" s="6" t="s">
        <v>788</v>
      </c>
      <c r="F141" s="6" t="s">
        <v>789</v>
      </c>
      <c r="G141" s="14"/>
      <c r="H141" s="6" t="s">
        <v>790</v>
      </c>
      <c r="J141" s="15"/>
    </row>
    <row r="142" spans="1:11" x14ac:dyDescent="0.2">
      <c r="A142" s="4">
        <v>1</v>
      </c>
      <c r="B142" s="4" t="s">
        <v>791</v>
      </c>
      <c r="E142" s="58">
        <v>0</v>
      </c>
      <c r="F142" s="59">
        <v>0</v>
      </c>
      <c r="G142" s="10"/>
      <c r="H142" s="10">
        <f>+E142*F142</f>
        <v>0</v>
      </c>
      <c r="J142" s="2"/>
    </row>
    <row r="143" spans="1:11" x14ac:dyDescent="0.2">
      <c r="A143" s="4">
        <v>2</v>
      </c>
      <c r="B143" s="4" t="s">
        <v>774</v>
      </c>
      <c r="E143" s="58">
        <v>0</v>
      </c>
      <c r="F143" s="59">
        <v>0</v>
      </c>
      <c r="G143" s="10"/>
      <c r="H143" s="10">
        <f t="shared" ref="H143:H153" si="4">+E143*F143</f>
        <v>0</v>
      </c>
      <c r="J143" s="2"/>
    </row>
    <row r="144" spans="1:11" x14ac:dyDescent="0.2">
      <c r="A144" s="4">
        <v>3</v>
      </c>
      <c r="B144" s="4" t="s">
        <v>774</v>
      </c>
      <c r="E144" s="58">
        <v>0</v>
      </c>
      <c r="F144" s="59">
        <v>0</v>
      </c>
      <c r="G144" s="10"/>
      <c r="H144" s="10">
        <f t="shared" si="4"/>
        <v>0</v>
      </c>
      <c r="J144" s="2"/>
    </row>
    <row r="145" spans="1:11" x14ac:dyDescent="0.2">
      <c r="A145" s="4">
        <v>4</v>
      </c>
      <c r="B145" s="4" t="s">
        <v>774</v>
      </c>
      <c r="E145" s="58">
        <v>0</v>
      </c>
      <c r="F145" s="59">
        <v>0</v>
      </c>
      <c r="G145" s="10"/>
      <c r="H145" s="10">
        <f t="shared" si="4"/>
        <v>0</v>
      </c>
      <c r="J145" s="2"/>
    </row>
    <row r="146" spans="1:11" x14ac:dyDescent="0.2">
      <c r="A146" s="4">
        <v>5</v>
      </c>
      <c r="B146" s="4" t="s">
        <v>774</v>
      </c>
      <c r="E146" s="58">
        <v>0</v>
      </c>
      <c r="F146" s="59">
        <v>0</v>
      </c>
      <c r="G146" s="10"/>
      <c r="H146" s="10">
        <f t="shared" si="4"/>
        <v>0</v>
      </c>
      <c r="J146" s="2"/>
    </row>
    <row r="147" spans="1:11" x14ac:dyDescent="0.2">
      <c r="A147" s="4">
        <v>6</v>
      </c>
      <c r="B147" s="4" t="s">
        <v>774</v>
      </c>
      <c r="E147" s="58">
        <v>0</v>
      </c>
      <c r="F147" s="59">
        <v>0</v>
      </c>
      <c r="G147" s="10"/>
      <c r="H147" s="10">
        <f t="shared" si="4"/>
        <v>0</v>
      </c>
      <c r="J147" s="2"/>
    </row>
    <row r="148" spans="1:11" x14ac:dyDescent="0.2">
      <c r="A148" s="4">
        <v>7</v>
      </c>
      <c r="B148" s="4" t="s">
        <v>774</v>
      </c>
      <c r="E148" s="58">
        <v>0</v>
      </c>
      <c r="F148" s="59">
        <v>0</v>
      </c>
      <c r="G148" s="10"/>
      <c r="H148" s="10">
        <f t="shared" si="4"/>
        <v>0</v>
      </c>
      <c r="J148" s="2"/>
    </row>
    <row r="149" spans="1:11" s="8" customFormat="1" ht="15" x14ac:dyDescent="0.25">
      <c r="A149" s="4">
        <v>8</v>
      </c>
      <c r="B149" s="4" t="s">
        <v>774</v>
      </c>
      <c r="C149" s="4"/>
      <c r="D149" s="4"/>
      <c r="E149" s="58">
        <v>0</v>
      </c>
      <c r="F149" s="59">
        <v>0</v>
      </c>
      <c r="G149" s="10"/>
      <c r="H149" s="10">
        <f t="shared" si="4"/>
        <v>0</v>
      </c>
      <c r="I149" s="4"/>
      <c r="J149" s="2"/>
      <c r="K149" s="11"/>
    </row>
    <row r="150" spans="1:11" x14ac:dyDescent="0.2">
      <c r="A150" s="4">
        <v>9</v>
      </c>
      <c r="B150" s="4" t="s">
        <v>774</v>
      </c>
      <c r="E150" s="58">
        <v>0</v>
      </c>
      <c r="F150" s="59">
        <v>0</v>
      </c>
      <c r="G150" s="10"/>
      <c r="H150" s="10">
        <f t="shared" si="4"/>
        <v>0</v>
      </c>
      <c r="J150" s="2"/>
    </row>
    <row r="151" spans="1:11" x14ac:dyDescent="0.2">
      <c r="A151" s="4">
        <v>10</v>
      </c>
      <c r="B151" s="4" t="s">
        <v>774</v>
      </c>
      <c r="E151" s="58">
        <v>0</v>
      </c>
      <c r="F151" s="59">
        <v>0</v>
      </c>
      <c r="G151" s="10"/>
      <c r="H151" s="10">
        <f t="shared" si="4"/>
        <v>0</v>
      </c>
      <c r="J151" s="2"/>
    </row>
    <row r="152" spans="1:11" x14ac:dyDescent="0.2">
      <c r="A152" s="4">
        <v>11</v>
      </c>
      <c r="B152" s="4" t="s">
        <v>774</v>
      </c>
      <c r="E152" s="58">
        <v>0</v>
      </c>
      <c r="F152" s="59">
        <v>0</v>
      </c>
      <c r="G152" s="10"/>
      <c r="H152" s="10">
        <f t="shared" si="4"/>
        <v>0</v>
      </c>
      <c r="J152" s="2"/>
    </row>
    <row r="153" spans="1:11" ht="16.5" x14ac:dyDescent="0.35">
      <c r="A153" s="4">
        <v>12</v>
      </c>
      <c r="B153" s="4" t="s">
        <v>774</v>
      </c>
      <c r="E153" s="58">
        <v>0</v>
      </c>
      <c r="F153" s="59">
        <v>0</v>
      </c>
      <c r="G153" s="10"/>
      <c r="H153" s="16">
        <f t="shared" si="4"/>
        <v>0</v>
      </c>
      <c r="J153" s="2"/>
    </row>
    <row r="154" spans="1:11" ht="15" x14ac:dyDescent="0.25">
      <c r="A154" s="8"/>
      <c r="B154" s="8" t="s">
        <v>792</v>
      </c>
      <c r="C154" s="8"/>
      <c r="D154" s="8"/>
      <c r="E154" s="17">
        <f>SUM(E142:E153)</f>
        <v>0</v>
      </c>
      <c r="F154" s="8"/>
      <c r="G154" s="18"/>
      <c r="H154" s="19">
        <f>SUM(H142:H153)</f>
        <v>0</v>
      </c>
      <c r="I154" s="20" t="e">
        <f>+H154/E154</f>
        <v>#DIV/0!</v>
      </c>
      <c r="J154" s="2"/>
      <c r="K154" s="11" t="e">
        <f>+I154*1.5</f>
        <v>#DIV/0!</v>
      </c>
    </row>
    <row r="155" spans="1:11" x14ac:dyDescent="0.2">
      <c r="G155" s="22"/>
      <c r="J155" s="2"/>
    </row>
    <row r="156" spans="1:11" ht="16.5" x14ac:dyDescent="0.35">
      <c r="B156" s="4" t="s">
        <v>793</v>
      </c>
      <c r="F156" s="67">
        <v>0</v>
      </c>
      <c r="G156" s="22"/>
      <c r="H156" s="24">
        <f>+E154*F156</f>
        <v>0</v>
      </c>
      <c r="J156" s="2"/>
    </row>
    <row r="157" spans="1:11" ht="15" x14ac:dyDescent="0.25">
      <c r="G157" s="22"/>
      <c r="H157" s="19">
        <f>+H154+H156</f>
        <v>0</v>
      </c>
      <c r="I157" s="25"/>
      <c r="J157" s="2"/>
    </row>
    <row r="158" spans="1:11" x14ac:dyDescent="0.2">
      <c r="G158" s="22"/>
      <c r="J158" s="2"/>
    </row>
    <row r="159" spans="1:11" ht="15" x14ac:dyDescent="0.25">
      <c r="A159" s="13" t="s">
        <v>794</v>
      </c>
      <c r="B159" s="13"/>
      <c r="C159" s="13"/>
      <c r="D159" s="13"/>
      <c r="E159" s="6" t="s">
        <v>795</v>
      </c>
      <c r="F159" s="13"/>
      <c r="G159" s="26"/>
      <c r="H159" s="13"/>
      <c r="J159" s="2"/>
    </row>
    <row r="160" spans="1:11" ht="15" x14ac:dyDescent="0.25">
      <c r="A160" s="13"/>
      <c r="B160" s="13"/>
      <c r="C160" s="13"/>
      <c r="D160" s="13"/>
      <c r="E160" s="6"/>
      <c r="F160" s="13"/>
      <c r="G160" s="26"/>
      <c r="H160" s="13"/>
      <c r="J160" s="2"/>
    </row>
    <row r="161" spans="1:11" x14ac:dyDescent="0.2">
      <c r="B161" s="4" t="s">
        <v>796</v>
      </c>
      <c r="E161" s="27">
        <v>6.2E-2</v>
      </c>
      <c r="G161" s="56">
        <f>+$E161*$H157</f>
        <v>0</v>
      </c>
      <c r="J161" s="28"/>
    </row>
    <row r="162" spans="1:11" x14ac:dyDescent="0.2">
      <c r="B162" s="4" t="s">
        <v>797</v>
      </c>
      <c r="E162" s="27">
        <v>1.4500000000000001E-2</v>
      </c>
      <c r="G162" s="56">
        <f>+$E162*$H157</f>
        <v>0</v>
      </c>
      <c r="J162" s="28"/>
    </row>
    <row r="163" spans="1:11" x14ac:dyDescent="0.2">
      <c r="B163" s="4" t="s">
        <v>798</v>
      </c>
      <c r="E163" s="60">
        <v>0</v>
      </c>
      <c r="G163" s="56">
        <f>+$E163*$H157</f>
        <v>0</v>
      </c>
      <c r="J163" s="2"/>
    </row>
    <row r="164" spans="1:11" x14ac:dyDescent="0.2">
      <c r="B164" s="4" t="s">
        <v>799</v>
      </c>
      <c r="E164" s="60">
        <v>0</v>
      </c>
      <c r="G164" s="56">
        <f>+$E164*$H157</f>
        <v>0</v>
      </c>
      <c r="H164" s="4" t="s">
        <v>800</v>
      </c>
      <c r="I164" s="29" t="s">
        <v>801</v>
      </c>
      <c r="J164" s="2"/>
    </row>
    <row r="165" spans="1:11" ht="21" customHeight="1" x14ac:dyDescent="0.2">
      <c r="B165" s="4" t="s">
        <v>802</v>
      </c>
      <c r="E165" s="60">
        <v>0</v>
      </c>
      <c r="G165" s="56">
        <f>+$E165*$H157</f>
        <v>0</v>
      </c>
      <c r="H165" s="27">
        <f>SUM(E161:E165)</f>
        <v>7.6499999999999999E-2</v>
      </c>
      <c r="I165" s="30" t="e">
        <f>+H165*I154+I154</f>
        <v>#DIV/0!</v>
      </c>
      <c r="J165" s="31"/>
    </row>
    <row r="166" spans="1:11" ht="21" customHeight="1" x14ac:dyDescent="0.2">
      <c r="A166" s="32" t="s">
        <v>786</v>
      </c>
      <c r="B166" s="32" t="s">
        <v>803</v>
      </c>
      <c r="C166" s="61">
        <v>0</v>
      </c>
      <c r="D166" s="61">
        <v>0</v>
      </c>
      <c r="E166" s="33">
        <f>+D166*C166</f>
        <v>0</v>
      </c>
      <c r="G166" s="56" t="e">
        <f>+E166*I165</f>
        <v>#DIV/0!</v>
      </c>
      <c r="J166" s="2"/>
    </row>
    <row r="167" spans="1:11" s="8" customFormat="1" ht="15" x14ac:dyDescent="0.25">
      <c r="A167" s="32" t="s">
        <v>786</v>
      </c>
      <c r="B167" s="32" t="s">
        <v>804</v>
      </c>
      <c r="C167" s="62">
        <v>0</v>
      </c>
      <c r="D167" s="61">
        <v>0</v>
      </c>
      <c r="E167" s="33">
        <f>+D167*C167</f>
        <v>0</v>
      </c>
      <c r="F167" s="4"/>
      <c r="G167" s="56" t="e">
        <f>+E167*I165</f>
        <v>#DIV/0!</v>
      </c>
      <c r="H167" s="4"/>
      <c r="I167" s="4"/>
      <c r="J167" s="2"/>
      <c r="K167" s="11"/>
    </row>
    <row r="168" spans="1:11" x14ac:dyDescent="0.2">
      <c r="A168" s="4" t="s">
        <v>786</v>
      </c>
      <c r="B168" s="4" t="s">
        <v>805</v>
      </c>
      <c r="C168" s="63">
        <v>0</v>
      </c>
      <c r="D168" s="64">
        <v>0</v>
      </c>
      <c r="E168" s="35">
        <f>+C168*D168</f>
        <v>0</v>
      </c>
      <c r="G168" s="56" t="e">
        <f>+E168*I165</f>
        <v>#DIV/0!</v>
      </c>
      <c r="J168" s="2"/>
    </row>
    <row r="169" spans="1:11" x14ac:dyDescent="0.2">
      <c r="A169" s="4" t="s">
        <v>786</v>
      </c>
      <c r="B169" s="4" t="s">
        <v>806</v>
      </c>
      <c r="C169" s="63">
        <v>0</v>
      </c>
      <c r="D169" s="65">
        <v>0</v>
      </c>
      <c r="E169" s="4">
        <f>+C169*D169</f>
        <v>0</v>
      </c>
      <c r="G169" s="40" t="e">
        <f>+E169*I165</f>
        <v>#DIV/0!</v>
      </c>
      <c r="J169" s="2"/>
    </row>
    <row r="170" spans="1:11" x14ac:dyDescent="0.2">
      <c r="A170" s="4" t="s">
        <v>786</v>
      </c>
      <c r="B170" s="4" t="s">
        <v>807</v>
      </c>
      <c r="C170" s="63">
        <v>0</v>
      </c>
      <c r="D170" s="65">
        <v>0</v>
      </c>
      <c r="E170" s="4">
        <f>+D170*C170</f>
        <v>0</v>
      </c>
      <c r="G170" s="40" t="e">
        <f>+E170*I165</f>
        <v>#DIV/0!</v>
      </c>
      <c r="J170" s="36"/>
    </row>
    <row r="171" spans="1:11" x14ac:dyDescent="0.2">
      <c r="A171" s="4" t="s">
        <v>786</v>
      </c>
      <c r="B171" s="4" t="s">
        <v>808</v>
      </c>
      <c r="C171" s="63">
        <v>0</v>
      </c>
      <c r="D171" s="65">
        <v>0</v>
      </c>
      <c r="E171" s="4">
        <f>+D171*C171</f>
        <v>0</v>
      </c>
      <c r="G171" s="40" t="e">
        <f>+E171*I165</f>
        <v>#DIV/0!</v>
      </c>
      <c r="J171" s="38"/>
    </row>
    <row r="172" spans="1:11" ht="15" x14ac:dyDescent="0.25">
      <c r="B172" s="4" t="s">
        <v>809</v>
      </c>
      <c r="E172" s="35">
        <f>SUM(E166:E171)</f>
        <v>0</v>
      </c>
      <c r="F172" s="67">
        <v>0</v>
      </c>
      <c r="G172" s="57">
        <f>E172*F172</f>
        <v>0</v>
      </c>
      <c r="H172" s="37" t="e">
        <f>SUM(G161:G172)</f>
        <v>#DIV/0!</v>
      </c>
      <c r="I172" s="27" t="e">
        <f>(H172+H156)/H154</f>
        <v>#DIV/0!</v>
      </c>
      <c r="J172" s="2"/>
      <c r="K172" s="11" t="e">
        <f>K154*I172</f>
        <v>#DIV/0!</v>
      </c>
    </row>
    <row r="173" spans="1:11" ht="15" x14ac:dyDescent="0.25">
      <c r="H173" s="41" t="e">
        <f>+H172+H157</f>
        <v>#DIV/0!</v>
      </c>
      <c r="I173" s="27"/>
      <c r="J173" s="2"/>
    </row>
    <row r="174" spans="1:11" ht="15" x14ac:dyDescent="0.25">
      <c r="F174" s="23"/>
      <c r="G174" s="40"/>
      <c r="I174" s="27"/>
      <c r="J174" s="2"/>
    </row>
    <row r="175" spans="1:11" ht="15" x14ac:dyDescent="0.25">
      <c r="F175" s="23"/>
      <c r="G175" s="40"/>
      <c r="H175" s="41"/>
      <c r="I175" s="27"/>
      <c r="J175" s="2"/>
    </row>
    <row r="176" spans="1:11" ht="15" x14ac:dyDescent="0.25">
      <c r="C176" s="39"/>
      <c r="G176" s="40"/>
      <c r="H176" s="41"/>
      <c r="I176" s="27"/>
      <c r="J176" s="2"/>
    </row>
    <row r="177" spans="1:11" ht="15" x14ac:dyDescent="0.25">
      <c r="A177" s="8" t="s">
        <v>810</v>
      </c>
      <c r="B177" s="8"/>
      <c r="C177" s="42"/>
      <c r="D177" s="68">
        <v>0</v>
      </c>
      <c r="E177" s="8"/>
      <c r="F177" s="8"/>
      <c r="G177" s="43"/>
      <c r="H177" s="44" t="e">
        <f>+H173*D177</f>
        <v>#DIV/0!</v>
      </c>
      <c r="I177" s="27" t="e">
        <f>+H177/H173</f>
        <v>#DIV/0!</v>
      </c>
      <c r="J177" s="2"/>
      <c r="K177" s="11" t="e">
        <f>+(K154+K172)*I177</f>
        <v>#DIV/0!</v>
      </c>
    </row>
    <row r="178" spans="1:11" x14ac:dyDescent="0.2">
      <c r="G178" s="10"/>
      <c r="J178" s="2"/>
    </row>
    <row r="179" spans="1:11" ht="15" x14ac:dyDescent="0.25">
      <c r="A179" s="13" t="s">
        <v>811</v>
      </c>
      <c r="B179" s="13"/>
      <c r="C179" s="13"/>
      <c r="D179" s="13"/>
      <c r="E179" s="13"/>
      <c r="F179" s="13"/>
      <c r="G179" s="45"/>
      <c r="H179" s="13"/>
      <c r="J179" s="2"/>
    </row>
    <row r="180" spans="1:11" x14ac:dyDescent="0.2">
      <c r="B180" s="64" t="s">
        <v>812</v>
      </c>
      <c r="C180" s="64">
        <v>0</v>
      </c>
      <c r="D180" s="67">
        <v>0</v>
      </c>
      <c r="E180" s="64">
        <v>0</v>
      </c>
      <c r="G180" s="10">
        <f t="shared" ref="G180:G190" si="5">+(C180*D180*E180)</f>
        <v>0</v>
      </c>
      <c r="H180" s="34"/>
      <c r="J180" s="46"/>
    </row>
    <row r="181" spans="1:11" ht="26.25" customHeight="1" x14ac:dyDescent="0.2">
      <c r="B181" s="64" t="s">
        <v>813</v>
      </c>
      <c r="C181" s="64">
        <v>0</v>
      </c>
      <c r="D181" s="67">
        <v>0</v>
      </c>
      <c r="E181" s="64">
        <v>0</v>
      </c>
      <c r="G181" s="10">
        <f t="shared" si="5"/>
        <v>0</v>
      </c>
      <c r="H181" s="34"/>
      <c r="J181" s="46"/>
    </row>
    <row r="182" spans="1:11" x14ac:dyDescent="0.2">
      <c r="B182" s="64" t="s">
        <v>814</v>
      </c>
      <c r="C182" s="64">
        <v>0</v>
      </c>
      <c r="D182" s="67">
        <v>0</v>
      </c>
      <c r="E182" s="64">
        <v>0</v>
      </c>
      <c r="G182" s="10">
        <f t="shared" si="5"/>
        <v>0</v>
      </c>
      <c r="H182" s="34"/>
      <c r="J182" s="46"/>
    </row>
    <row r="183" spans="1:11" x14ac:dyDescent="0.2">
      <c r="B183" s="64" t="s">
        <v>815</v>
      </c>
      <c r="C183" s="64">
        <v>0</v>
      </c>
      <c r="D183" s="67">
        <v>0</v>
      </c>
      <c r="E183" s="64">
        <v>0</v>
      </c>
      <c r="G183" s="10">
        <f t="shared" si="5"/>
        <v>0</v>
      </c>
      <c r="H183" s="34"/>
      <c r="J183" s="2"/>
    </row>
    <row r="184" spans="1:11" x14ac:dyDescent="0.2">
      <c r="B184" s="64" t="s">
        <v>816</v>
      </c>
      <c r="C184" s="64">
        <v>0</v>
      </c>
      <c r="D184" s="67">
        <v>0</v>
      </c>
      <c r="E184" s="64">
        <v>0</v>
      </c>
      <c r="G184" s="10">
        <f t="shared" si="5"/>
        <v>0</v>
      </c>
      <c r="H184" s="34"/>
      <c r="J184" s="2"/>
    </row>
    <row r="185" spans="1:11" x14ac:dyDescent="0.2">
      <c r="B185" s="64" t="s">
        <v>817</v>
      </c>
      <c r="C185" s="64">
        <v>0</v>
      </c>
      <c r="D185" s="67">
        <v>0</v>
      </c>
      <c r="E185" s="64">
        <v>0</v>
      </c>
      <c r="G185" s="10">
        <f t="shared" si="5"/>
        <v>0</v>
      </c>
      <c r="H185" s="34"/>
      <c r="J185" s="2"/>
    </row>
    <row r="186" spans="1:11" x14ac:dyDescent="0.2">
      <c r="B186" s="64" t="s">
        <v>818</v>
      </c>
      <c r="C186" s="64">
        <v>0</v>
      </c>
      <c r="D186" s="67">
        <v>0</v>
      </c>
      <c r="E186" s="64">
        <v>0</v>
      </c>
      <c r="G186" s="10">
        <f t="shared" si="5"/>
        <v>0</v>
      </c>
      <c r="H186" s="34"/>
      <c r="J186" s="2"/>
    </row>
    <row r="187" spans="1:11" x14ac:dyDescent="0.2">
      <c r="B187" s="64" t="s">
        <v>819</v>
      </c>
      <c r="C187" s="64">
        <v>0</v>
      </c>
      <c r="D187" s="67">
        <v>0</v>
      </c>
      <c r="E187" s="64">
        <v>0</v>
      </c>
      <c r="G187" s="10">
        <f t="shared" si="5"/>
        <v>0</v>
      </c>
      <c r="H187" s="34"/>
      <c r="J187" s="2"/>
    </row>
    <row r="188" spans="1:11" x14ac:dyDescent="0.2">
      <c r="B188" s="64" t="s">
        <v>820</v>
      </c>
      <c r="C188" s="64">
        <v>0</v>
      </c>
      <c r="D188" s="67">
        <v>0</v>
      </c>
      <c r="E188" s="64">
        <v>0</v>
      </c>
      <c r="G188" s="10">
        <f t="shared" si="5"/>
        <v>0</v>
      </c>
      <c r="H188" s="34"/>
      <c r="J188" s="2"/>
    </row>
    <row r="189" spans="1:11" x14ac:dyDescent="0.2">
      <c r="B189" s="64" t="s">
        <v>821</v>
      </c>
      <c r="C189" s="64">
        <v>0</v>
      </c>
      <c r="D189" s="67">
        <v>0</v>
      </c>
      <c r="E189" s="64">
        <v>0</v>
      </c>
      <c r="G189" s="10">
        <f t="shared" si="5"/>
        <v>0</v>
      </c>
      <c r="H189" s="34"/>
      <c r="J189" s="2"/>
    </row>
    <row r="190" spans="1:11" ht="15" x14ac:dyDescent="0.25">
      <c r="B190" s="64" t="s">
        <v>822</v>
      </c>
      <c r="C190" s="64">
        <v>0</v>
      </c>
      <c r="D190" s="67">
        <v>0</v>
      </c>
      <c r="E190" s="64">
        <v>0</v>
      </c>
      <c r="G190" s="10">
        <f t="shared" si="5"/>
        <v>0</v>
      </c>
      <c r="H190" s="37">
        <f>SUM(G180:G190)</f>
        <v>0</v>
      </c>
      <c r="J190" s="2"/>
      <c r="K190" s="11" t="e">
        <f>SUM(K154:K189)</f>
        <v>#DIV/0!</v>
      </c>
    </row>
    <row r="191" spans="1:11" ht="19.5" x14ac:dyDescent="0.55000000000000004">
      <c r="A191" s="13"/>
      <c r="B191" s="13"/>
      <c r="C191" s="13" t="s">
        <v>823</v>
      </c>
      <c r="D191" s="13"/>
      <c r="E191" s="13"/>
      <c r="F191" s="13"/>
      <c r="G191" s="45"/>
      <c r="H191" s="47" t="e">
        <f>SUM(H173:H190)</f>
        <v>#DIV/0!</v>
      </c>
      <c r="J191" s="2"/>
    </row>
    <row r="192" spans="1:11" ht="21.75" customHeight="1" x14ac:dyDescent="0.2">
      <c r="G192" s="10"/>
      <c r="J192" s="2"/>
    </row>
    <row r="193" spans="1:11" ht="21.75" customHeight="1" x14ac:dyDescent="0.25">
      <c r="A193" s="13" t="s">
        <v>824</v>
      </c>
      <c r="B193" s="13"/>
      <c r="C193" s="13"/>
      <c r="D193" s="70">
        <v>0</v>
      </c>
      <c r="E193" s="13"/>
      <c r="F193" s="13"/>
      <c r="G193" s="45"/>
      <c r="H193" s="45" t="e">
        <f>+H191*D193</f>
        <v>#DIV/0!</v>
      </c>
      <c r="I193" s="48">
        <f>D193</f>
        <v>0</v>
      </c>
      <c r="J193" s="2"/>
      <c r="K193" s="49" t="e">
        <f>+K190*I193</f>
        <v>#DIV/0!</v>
      </c>
    </row>
    <row r="194" spans="1:11" ht="21.75" customHeight="1" x14ac:dyDescent="0.2">
      <c r="D194" s="50" t="s">
        <v>825</v>
      </c>
      <c r="G194" s="10"/>
      <c r="J194" s="2"/>
      <c r="K194" s="11" t="e">
        <f>SUM(K190:K193)</f>
        <v>#DIV/0!</v>
      </c>
    </row>
    <row r="195" spans="1:11" x14ac:dyDescent="0.2">
      <c r="F195" s="20"/>
      <c r="G195" s="10"/>
      <c r="J195" s="2"/>
    </row>
    <row r="196" spans="1:11" ht="19.5" x14ac:dyDescent="0.55000000000000004">
      <c r="A196" s="13" t="s">
        <v>826</v>
      </c>
      <c r="B196" s="13"/>
      <c r="C196" s="13"/>
      <c r="D196" s="72">
        <v>0</v>
      </c>
      <c r="E196" s="13"/>
      <c r="F196" s="13"/>
      <c r="G196" s="45"/>
      <c r="H196" s="51" t="e">
        <f>(H191+H193)*D196</f>
        <v>#DIV/0!</v>
      </c>
      <c r="J196" s="2"/>
    </row>
    <row r="197" spans="1:11" ht="15" x14ac:dyDescent="0.25">
      <c r="D197" s="50" t="s">
        <v>827</v>
      </c>
      <c r="G197" s="10"/>
      <c r="H197" s="52" t="e">
        <f>SUM(H191:H196)</f>
        <v>#DIV/0!</v>
      </c>
      <c r="I197" s="48">
        <f>D196</f>
        <v>0</v>
      </c>
      <c r="J197" s="2"/>
      <c r="K197" s="11" t="e">
        <f>+K194*I197</f>
        <v>#DIV/0!</v>
      </c>
    </row>
    <row r="198" spans="1:11" ht="15" x14ac:dyDescent="0.25">
      <c r="D198" s="50"/>
      <c r="G198" s="10"/>
      <c r="H198" s="52"/>
      <c r="J198" s="2"/>
    </row>
    <row r="199" spans="1:11" x14ac:dyDescent="0.2">
      <c r="G199" s="10"/>
      <c r="J199" s="2"/>
    </row>
    <row r="200" spans="1:11" ht="19.5" x14ac:dyDescent="0.55000000000000004">
      <c r="A200" s="13" t="s">
        <v>828</v>
      </c>
      <c r="B200" s="13"/>
      <c r="C200" s="13"/>
      <c r="D200" s="72">
        <v>0</v>
      </c>
      <c r="E200" s="13"/>
      <c r="F200" s="13"/>
      <c r="G200" s="45"/>
      <c r="H200" s="51" t="e">
        <f>+H197*D200</f>
        <v>#DIV/0!</v>
      </c>
      <c r="J200" s="2"/>
    </row>
    <row r="201" spans="1:11" ht="19.5" x14ac:dyDescent="0.55000000000000004">
      <c r="A201" s="13"/>
      <c r="B201" s="13"/>
      <c r="C201" s="13"/>
      <c r="D201" s="53"/>
      <c r="E201" s="13"/>
      <c r="F201" s="13"/>
      <c r="G201" s="45"/>
      <c r="H201" s="51"/>
      <c r="J201" s="54"/>
    </row>
    <row r="202" spans="1:11" ht="15.75" thickBot="1" x14ac:dyDescent="0.3">
      <c r="A202" s="13"/>
      <c r="B202" s="13"/>
      <c r="C202" s="13"/>
      <c r="D202" s="13"/>
      <c r="E202" s="13"/>
      <c r="F202" s="13" t="s">
        <v>829</v>
      </c>
      <c r="G202" s="45"/>
      <c r="H202" s="19" t="e">
        <f>SUM(H197:H200)</f>
        <v>#DIV/0!</v>
      </c>
      <c r="J202" s="2"/>
    </row>
    <row r="203" spans="1:11" ht="15.75" thickBot="1" x14ac:dyDescent="0.3">
      <c r="A203" s="13"/>
      <c r="B203" s="1"/>
      <c r="C203" s="13"/>
      <c r="D203" s="13"/>
      <c r="E203" s="13"/>
      <c r="F203" s="13" t="s">
        <v>830</v>
      </c>
      <c r="G203" s="45"/>
      <c r="H203" s="55" t="e">
        <f>+H202/12</f>
        <v>#DIV/0!</v>
      </c>
      <c r="J203" s="2"/>
    </row>
    <row r="204" spans="1:11" ht="15" x14ac:dyDescent="0.25">
      <c r="A204" s="13"/>
      <c r="B204" s="351" t="s">
        <v>831</v>
      </c>
      <c r="C204" s="351"/>
      <c r="D204" s="351"/>
      <c r="E204" s="351"/>
      <c r="F204" s="13" t="s">
        <v>832</v>
      </c>
      <c r="G204" s="45"/>
      <c r="H204" s="52" t="e">
        <f>+H202/(E154)</f>
        <v>#DIV/0!</v>
      </c>
      <c r="J204" s="2"/>
      <c r="K204" s="21" t="e">
        <f>SUM(K194:K203)</f>
        <v>#DIV/0!</v>
      </c>
    </row>
    <row r="205" spans="1:11" x14ac:dyDescent="0.2">
      <c r="A205" s="2"/>
      <c r="B205" s="3"/>
      <c r="C205" s="2"/>
      <c r="D205" s="2"/>
      <c r="E205" s="2"/>
      <c r="F205" s="2"/>
      <c r="G205" s="2"/>
      <c r="H205" s="2"/>
      <c r="I205" s="2"/>
      <c r="J205" s="54"/>
      <c r="K205" s="2"/>
    </row>
    <row r="206" spans="1:11" ht="15" x14ac:dyDescent="0.25">
      <c r="A206" s="5" t="str">
        <f ca="1">$A$2</f>
        <v>ZOB Rate Build Up</v>
      </c>
      <c r="B206" s="5"/>
      <c r="C206" s="6"/>
      <c r="D206" s="6"/>
      <c r="E206" s="6"/>
      <c r="F206" s="6" t="s">
        <v>837</v>
      </c>
      <c r="G206" s="6"/>
      <c r="H206" s="6"/>
      <c r="J206" s="2"/>
      <c r="K206" s="7" t="s">
        <v>785</v>
      </c>
    </row>
    <row r="207" spans="1:11" ht="15.75" thickBot="1" x14ac:dyDescent="0.3">
      <c r="A207" s="8"/>
      <c r="F207" s="9" t="s">
        <v>786</v>
      </c>
      <c r="G207" s="10"/>
      <c r="J207" s="2"/>
    </row>
    <row r="208" spans="1:11" ht="15" x14ac:dyDescent="0.25">
      <c r="A208" s="349" t="str">
        <f>_OP3</f>
        <v>9/30/2029-9/29/2030</v>
      </c>
      <c r="B208" s="350"/>
      <c r="F208" s="9"/>
      <c r="G208" s="10"/>
      <c r="J208" s="2"/>
    </row>
    <row r="209" spans="1:11" ht="15" x14ac:dyDescent="0.25">
      <c r="A209" s="13" t="s">
        <v>787</v>
      </c>
      <c r="B209" s="13"/>
      <c r="C209" s="13"/>
      <c r="D209" s="13"/>
      <c r="E209" s="6" t="s">
        <v>788</v>
      </c>
      <c r="F209" s="6" t="s">
        <v>789</v>
      </c>
      <c r="G209" s="14"/>
      <c r="H209" s="6" t="s">
        <v>790</v>
      </c>
      <c r="J209" s="15"/>
    </row>
    <row r="210" spans="1:11" x14ac:dyDescent="0.2">
      <c r="A210" s="4">
        <v>1</v>
      </c>
      <c r="B210" s="4" t="s">
        <v>791</v>
      </c>
      <c r="E210" s="58">
        <v>0</v>
      </c>
      <c r="F210" s="59">
        <v>0</v>
      </c>
      <c r="G210" s="10"/>
      <c r="H210" s="10">
        <f>+E210*F210</f>
        <v>0</v>
      </c>
      <c r="J210" s="2"/>
    </row>
    <row r="211" spans="1:11" x14ac:dyDescent="0.2">
      <c r="A211" s="4">
        <v>2</v>
      </c>
      <c r="B211" s="4" t="s">
        <v>774</v>
      </c>
      <c r="E211" s="58">
        <v>0</v>
      </c>
      <c r="F211" s="59">
        <v>0</v>
      </c>
      <c r="G211" s="10"/>
      <c r="H211" s="10">
        <f t="shared" ref="H211:H221" si="6">+E211*F211</f>
        <v>0</v>
      </c>
      <c r="J211" s="2"/>
    </row>
    <row r="212" spans="1:11" x14ac:dyDescent="0.2">
      <c r="A212" s="4">
        <v>3</v>
      </c>
      <c r="B212" s="4" t="s">
        <v>774</v>
      </c>
      <c r="E212" s="58">
        <v>0</v>
      </c>
      <c r="F212" s="59">
        <v>0</v>
      </c>
      <c r="G212" s="10"/>
      <c r="H212" s="10">
        <f t="shared" si="6"/>
        <v>0</v>
      </c>
      <c r="J212" s="2"/>
    </row>
    <row r="213" spans="1:11" x14ac:dyDescent="0.2">
      <c r="A213" s="4">
        <v>4</v>
      </c>
      <c r="B213" s="4" t="s">
        <v>774</v>
      </c>
      <c r="E213" s="58">
        <v>0</v>
      </c>
      <c r="F213" s="59">
        <v>0</v>
      </c>
      <c r="G213" s="10"/>
      <c r="H213" s="10">
        <f t="shared" si="6"/>
        <v>0</v>
      </c>
      <c r="J213" s="2"/>
    </row>
    <row r="214" spans="1:11" x14ac:dyDescent="0.2">
      <c r="A214" s="4">
        <v>5</v>
      </c>
      <c r="B214" s="4" t="s">
        <v>774</v>
      </c>
      <c r="E214" s="58">
        <v>0</v>
      </c>
      <c r="F214" s="59">
        <v>0</v>
      </c>
      <c r="G214" s="10"/>
      <c r="H214" s="10">
        <f t="shared" si="6"/>
        <v>0</v>
      </c>
      <c r="J214" s="2"/>
    </row>
    <row r="215" spans="1:11" x14ac:dyDescent="0.2">
      <c r="A215" s="4">
        <v>6</v>
      </c>
      <c r="B215" s="4" t="s">
        <v>774</v>
      </c>
      <c r="E215" s="58">
        <v>0</v>
      </c>
      <c r="F215" s="59">
        <v>0</v>
      </c>
      <c r="G215" s="10"/>
      <c r="H215" s="10">
        <f t="shared" si="6"/>
        <v>0</v>
      </c>
      <c r="J215" s="2"/>
    </row>
    <row r="216" spans="1:11" x14ac:dyDescent="0.2">
      <c r="A216" s="4">
        <v>7</v>
      </c>
      <c r="B216" s="4" t="s">
        <v>774</v>
      </c>
      <c r="E216" s="58">
        <v>0</v>
      </c>
      <c r="F216" s="59">
        <v>0</v>
      </c>
      <c r="G216" s="10"/>
      <c r="H216" s="10">
        <f t="shared" si="6"/>
        <v>0</v>
      </c>
      <c r="J216" s="2"/>
    </row>
    <row r="217" spans="1:11" x14ac:dyDescent="0.2">
      <c r="A217" s="4">
        <v>8</v>
      </c>
      <c r="B217" s="4" t="s">
        <v>774</v>
      </c>
      <c r="E217" s="58">
        <v>0</v>
      </c>
      <c r="F217" s="59">
        <v>0</v>
      </c>
      <c r="G217" s="10"/>
      <c r="H217" s="10">
        <f t="shared" si="6"/>
        <v>0</v>
      </c>
      <c r="J217" s="2"/>
    </row>
    <row r="218" spans="1:11" x14ac:dyDescent="0.2">
      <c r="A218" s="4">
        <v>9</v>
      </c>
      <c r="B218" s="4" t="s">
        <v>774</v>
      </c>
      <c r="E218" s="58">
        <v>0</v>
      </c>
      <c r="F218" s="59">
        <v>0</v>
      </c>
      <c r="G218" s="10"/>
      <c r="H218" s="10">
        <f t="shared" si="6"/>
        <v>0</v>
      </c>
      <c r="J218" s="2"/>
    </row>
    <row r="219" spans="1:11" x14ac:dyDescent="0.2">
      <c r="A219" s="4">
        <v>10</v>
      </c>
      <c r="B219" s="4" t="s">
        <v>774</v>
      </c>
      <c r="E219" s="58">
        <v>0</v>
      </c>
      <c r="F219" s="59">
        <v>0</v>
      </c>
      <c r="G219" s="10"/>
      <c r="H219" s="10">
        <f t="shared" si="6"/>
        <v>0</v>
      </c>
      <c r="J219" s="2"/>
    </row>
    <row r="220" spans="1:11" x14ac:dyDescent="0.2">
      <c r="A220" s="4">
        <v>11</v>
      </c>
      <c r="B220" s="4" t="s">
        <v>774</v>
      </c>
      <c r="E220" s="58">
        <v>0</v>
      </c>
      <c r="F220" s="59">
        <v>0</v>
      </c>
      <c r="G220" s="10"/>
      <c r="H220" s="10">
        <f t="shared" si="6"/>
        <v>0</v>
      </c>
      <c r="J220" s="2"/>
    </row>
    <row r="221" spans="1:11" ht="16.5" x14ac:dyDescent="0.35">
      <c r="A221" s="4">
        <v>12</v>
      </c>
      <c r="B221" s="4" t="s">
        <v>774</v>
      </c>
      <c r="E221" s="58">
        <v>0</v>
      </c>
      <c r="F221" s="59">
        <v>0</v>
      </c>
      <c r="G221" s="10"/>
      <c r="H221" s="16">
        <f t="shared" si="6"/>
        <v>0</v>
      </c>
      <c r="J221" s="2"/>
    </row>
    <row r="222" spans="1:11" ht="15" x14ac:dyDescent="0.25">
      <c r="A222" s="8"/>
      <c r="B222" s="8" t="s">
        <v>792</v>
      </c>
      <c r="C222" s="8"/>
      <c r="D222" s="8"/>
      <c r="E222" s="17">
        <f>SUM(E210:E221)</f>
        <v>0</v>
      </c>
      <c r="F222" s="8"/>
      <c r="G222" s="18"/>
      <c r="H222" s="19">
        <f>SUM(H210:H221)</f>
        <v>0</v>
      </c>
      <c r="I222" s="20" t="e">
        <f>+H222/E222</f>
        <v>#DIV/0!</v>
      </c>
      <c r="J222" s="2"/>
      <c r="K222" s="11" t="e">
        <f>+I222*1.5</f>
        <v>#DIV/0!</v>
      </c>
    </row>
    <row r="223" spans="1:11" x14ac:dyDescent="0.2">
      <c r="G223" s="22"/>
      <c r="J223" s="2"/>
    </row>
    <row r="224" spans="1:11" ht="16.5" x14ac:dyDescent="0.35">
      <c r="B224" s="4" t="s">
        <v>793</v>
      </c>
      <c r="F224" s="67">
        <v>0</v>
      </c>
      <c r="G224" s="22"/>
      <c r="H224" s="24">
        <f>+E222*F224</f>
        <v>0</v>
      </c>
      <c r="J224" s="2"/>
    </row>
    <row r="225" spans="1:11" ht="15" x14ac:dyDescent="0.25">
      <c r="G225" s="22"/>
      <c r="H225" s="19">
        <f>+H222+H224</f>
        <v>0</v>
      </c>
      <c r="I225" s="25"/>
      <c r="J225" s="2"/>
    </row>
    <row r="226" spans="1:11" x14ac:dyDescent="0.2">
      <c r="G226" s="22"/>
      <c r="J226" s="2"/>
    </row>
    <row r="227" spans="1:11" ht="15" x14ac:dyDescent="0.25">
      <c r="A227" s="13" t="s">
        <v>794</v>
      </c>
      <c r="B227" s="13"/>
      <c r="C227" s="13"/>
      <c r="D227" s="13"/>
      <c r="E227" s="6" t="s">
        <v>795</v>
      </c>
      <c r="F227" s="13"/>
      <c r="G227" s="26"/>
      <c r="H227" s="13"/>
      <c r="J227" s="2"/>
    </row>
    <row r="228" spans="1:11" ht="15" x14ac:dyDescent="0.25">
      <c r="A228" s="13"/>
      <c r="B228" s="13"/>
      <c r="C228" s="13"/>
      <c r="D228" s="13"/>
      <c r="E228" s="6"/>
      <c r="F228" s="13"/>
      <c r="G228" s="26"/>
      <c r="H228" s="13"/>
      <c r="J228" s="2"/>
    </row>
    <row r="229" spans="1:11" x14ac:dyDescent="0.2">
      <c r="B229" s="4" t="s">
        <v>796</v>
      </c>
      <c r="E229" s="27">
        <v>6.2E-2</v>
      </c>
      <c r="G229" s="56">
        <f>+$E229*$H225</f>
        <v>0</v>
      </c>
      <c r="J229" s="28"/>
    </row>
    <row r="230" spans="1:11" x14ac:dyDescent="0.2">
      <c r="B230" s="4" t="s">
        <v>797</v>
      </c>
      <c r="E230" s="27">
        <v>1.4500000000000001E-2</v>
      </c>
      <c r="G230" s="56">
        <f>+$E230*$H225</f>
        <v>0</v>
      </c>
      <c r="J230" s="28"/>
    </row>
    <row r="231" spans="1:11" x14ac:dyDescent="0.2">
      <c r="B231" s="4" t="s">
        <v>798</v>
      </c>
      <c r="E231" s="60">
        <v>0</v>
      </c>
      <c r="G231" s="56">
        <f>+$E231*$H225</f>
        <v>0</v>
      </c>
      <c r="J231" s="2"/>
    </row>
    <row r="232" spans="1:11" x14ac:dyDescent="0.2">
      <c r="B232" s="4" t="s">
        <v>799</v>
      </c>
      <c r="E232" s="60">
        <v>0</v>
      </c>
      <c r="G232" s="56">
        <f>+$E232*$H225</f>
        <v>0</v>
      </c>
      <c r="H232" s="4" t="s">
        <v>800</v>
      </c>
      <c r="I232" s="29" t="s">
        <v>801</v>
      </c>
      <c r="J232" s="2"/>
    </row>
    <row r="233" spans="1:11" x14ac:dyDescent="0.2">
      <c r="B233" s="4" t="s">
        <v>802</v>
      </c>
      <c r="E233" s="60">
        <v>0</v>
      </c>
      <c r="G233" s="56">
        <f>+$E233*$H225</f>
        <v>0</v>
      </c>
      <c r="H233" s="27">
        <f>SUM(E229:E233)</f>
        <v>7.6499999999999999E-2</v>
      </c>
      <c r="I233" s="30" t="e">
        <f>+H233*I222+I222</f>
        <v>#DIV/0!</v>
      </c>
      <c r="J233" s="31"/>
    </row>
    <row r="234" spans="1:11" x14ac:dyDescent="0.2">
      <c r="A234" s="32" t="s">
        <v>786</v>
      </c>
      <c r="B234" s="32" t="s">
        <v>803</v>
      </c>
      <c r="C234" s="61">
        <v>0</v>
      </c>
      <c r="D234" s="61">
        <v>0</v>
      </c>
      <c r="E234" s="33">
        <f>+D234*C234</f>
        <v>0</v>
      </c>
      <c r="G234" s="56" t="e">
        <f>+E234*I233</f>
        <v>#DIV/0!</v>
      </c>
      <c r="J234" s="2"/>
    </row>
    <row r="235" spans="1:11" x14ac:dyDescent="0.2">
      <c r="A235" s="32" t="s">
        <v>786</v>
      </c>
      <c r="B235" s="32" t="s">
        <v>804</v>
      </c>
      <c r="C235" s="62">
        <v>0</v>
      </c>
      <c r="D235" s="61">
        <v>0</v>
      </c>
      <c r="E235" s="33">
        <f>+D235*C235</f>
        <v>0</v>
      </c>
      <c r="G235" s="56" t="e">
        <f>+E235*I233</f>
        <v>#DIV/0!</v>
      </c>
      <c r="J235" s="2"/>
    </row>
    <row r="236" spans="1:11" x14ac:dyDescent="0.2">
      <c r="A236" s="4" t="s">
        <v>786</v>
      </c>
      <c r="B236" s="4" t="s">
        <v>805</v>
      </c>
      <c r="C236" s="63">
        <v>0</v>
      </c>
      <c r="D236" s="64">
        <v>0</v>
      </c>
      <c r="E236" s="35">
        <f>+C236*D236</f>
        <v>0</v>
      </c>
      <c r="G236" s="56" t="e">
        <f>+E236*I233</f>
        <v>#DIV/0!</v>
      </c>
      <c r="J236" s="2"/>
    </row>
    <row r="237" spans="1:11" x14ac:dyDescent="0.2">
      <c r="A237" s="4" t="s">
        <v>786</v>
      </c>
      <c r="B237" s="4" t="s">
        <v>806</v>
      </c>
      <c r="C237" s="63">
        <v>0</v>
      </c>
      <c r="D237" s="65">
        <v>0</v>
      </c>
      <c r="E237" s="4">
        <f>+C237*D237</f>
        <v>0</v>
      </c>
      <c r="G237" s="40" t="e">
        <f>+E237*I233</f>
        <v>#DIV/0!</v>
      </c>
      <c r="J237" s="2"/>
    </row>
    <row r="238" spans="1:11" x14ac:dyDescent="0.2">
      <c r="A238" s="4" t="s">
        <v>786</v>
      </c>
      <c r="B238" s="4" t="s">
        <v>807</v>
      </c>
      <c r="C238" s="63">
        <v>0</v>
      </c>
      <c r="D238" s="65">
        <v>0</v>
      </c>
      <c r="E238" s="4">
        <f>+D238*C238</f>
        <v>0</v>
      </c>
      <c r="G238" s="40" t="e">
        <f>+E238*I233</f>
        <v>#DIV/0!</v>
      </c>
      <c r="J238" s="36"/>
    </row>
    <row r="239" spans="1:11" x14ac:dyDescent="0.2">
      <c r="A239" s="4" t="s">
        <v>786</v>
      </c>
      <c r="B239" s="4" t="s">
        <v>808</v>
      </c>
      <c r="C239" s="63">
        <v>0</v>
      </c>
      <c r="D239" s="65">
        <v>0</v>
      </c>
      <c r="E239" s="4">
        <f>+D239*C239</f>
        <v>0</v>
      </c>
      <c r="G239" s="40" t="e">
        <f>+E239*I233</f>
        <v>#DIV/0!</v>
      </c>
      <c r="J239" s="38"/>
    </row>
    <row r="240" spans="1:11" ht="15" x14ac:dyDescent="0.25">
      <c r="B240" s="4" t="s">
        <v>809</v>
      </c>
      <c r="E240" s="35">
        <f>SUM(E234:E239)</f>
        <v>0</v>
      </c>
      <c r="F240" s="67">
        <v>0</v>
      </c>
      <c r="G240" s="57">
        <f>E240*F240</f>
        <v>0</v>
      </c>
      <c r="H240" s="37" t="e">
        <f>SUM(G229:G240)</f>
        <v>#DIV/0!</v>
      </c>
      <c r="I240" s="27" t="e">
        <f>(H240+H224)/H222</f>
        <v>#DIV/0!</v>
      </c>
      <c r="J240" s="2"/>
      <c r="K240" s="11" t="e">
        <f>K222*I240</f>
        <v>#DIV/0!</v>
      </c>
    </row>
    <row r="241" spans="1:11" ht="15" x14ac:dyDescent="0.25">
      <c r="H241" s="41" t="e">
        <f>+H240+H225</f>
        <v>#DIV/0!</v>
      </c>
      <c r="I241" s="27"/>
      <c r="J241" s="2"/>
    </row>
    <row r="242" spans="1:11" ht="15" x14ac:dyDescent="0.25">
      <c r="F242" s="23"/>
      <c r="G242" s="40"/>
      <c r="I242" s="27"/>
      <c r="J242" s="2"/>
    </row>
    <row r="243" spans="1:11" ht="15" x14ac:dyDescent="0.25">
      <c r="F243" s="23"/>
      <c r="G243" s="40"/>
      <c r="H243" s="41"/>
      <c r="I243" s="27"/>
      <c r="J243" s="2"/>
    </row>
    <row r="244" spans="1:11" ht="15" x14ac:dyDescent="0.25">
      <c r="C244" s="39"/>
      <c r="G244" s="40"/>
      <c r="H244" s="41"/>
      <c r="I244" s="27"/>
      <c r="J244" s="2"/>
    </row>
    <row r="245" spans="1:11" ht="15" x14ac:dyDescent="0.25">
      <c r="A245" s="8" t="s">
        <v>810</v>
      </c>
      <c r="B245" s="8"/>
      <c r="C245" s="42"/>
      <c r="D245" s="68">
        <v>0</v>
      </c>
      <c r="E245" s="8"/>
      <c r="F245" s="8"/>
      <c r="G245" s="43"/>
      <c r="H245" s="44" t="e">
        <f>+H241*D245</f>
        <v>#DIV/0!</v>
      </c>
      <c r="I245" s="27" t="e">
        <f>+H245/H241</f>
        <v>#DIV/0!</v>
      </c>
      <c r="J245" s="2"/>
      <c r="K245" s="11" t="e">
        <f>+(K222+K240)*I245</f>
        <v>#DIV/0!</v>
      </c>
    </row>
    <row r="246" spans="1:11" x14ac:dyDescent="0.2">
      <c r="G246" s="10"/>
      <c r="J246" s="2"/>
    </row>
    <row r="247" spans="1:11" ht="15" x14ac:dyDescent="0.25">
      <c r="A247" s="13" t="s">
        <v>811</v>
      </c>
      <c r="B247" s="13"/>
      <c r="C247" s="13"/>
      <c r="D247" s="13"/>
      <c r="E247" s="13"/>
      <c r="F247" s="13"/>
      <c r="G247" s="45"/>
      <c r="H247" s="13"/>
      <c r="J247" s="2"/>
    </row>
    <row r="248" spans="1:11" x14ac:dyDescent="0.2">
      <c r="B248" s="64" t="s">
        <v>812</v>
      </c>
      <c r="C248" s="64">
        <v>0</v>
      </c>
      <c r="D248" s="67">
        <v>0</v>
      </c>
      <c r="E248" s="64">
        <v>0</v>
      </c>
      <c r="G248" s="10">
        <f t="shared" ref="G248:G258" si="7">+(C248*D248*E248)</f>
        <v>0</v>
      </c>
      <c r="H248" s="34"/>
      <c r="J248" s="46"/>
    </row>
    <row r="249" spans="1:11" x14ac:dyDescent="0.2">
      <c r="B249" s="64" t="s">
        <v>813</v>
      </c>
      <c r="C249" s="64">
        <v>0</v>
      </c>
      <c r="D249" s="67">
        <v>0</v>
      </c>
      <c r="E249" s="64">
        <v>0</v>
      </c>
      <c r="G249" s="10">
        <f t="shared" si="7"/>
        <v>0</v>
      </c>
      <c r="H249" s="34"/>
      <c r="J249" s="46"/>
    </row>
    <row r="250" spans="1:11" x14ac:dyDescent="0.2">
      <c r="B250" s="64" t="s">
        <v>814</v>
      </c>
      <c r="C250" s="64">
        <v>0</v>
      </c>
      <c r="D250" s="67">
        <v>0</v>
      </c>
      <c r="E250" s="64">
        <v>0</v>
      </c>
      <c r="G250" s="10">
        <f t="shared" si="7"/>
        <v>0</v>
      </c>
      <c r="H250" s="34"/>
      <c r="J250" s="46"/>
    </row>
    <row r="251" spans="1:11" x14ac:dyDescent="0.2">
      <c r="B251" s="64" t="s">
        <v>815</v>
      </c>
      <c r="C251" s="64">
        <v>0</v>
      </c>
      <c r="D251" s="67">
        <v>0</v>
      </c>
      <c r="E251" s="64">
        <v>0</v>
      </c>
      <c r="G251" s="10">
        <f t="shared" si="7"/>
        <v>0</v>
      </c>
      <c r="H251" s="34"/>
      <c r="J251" s="2"/>
    </row>
    <row r="252" spans="1:11" x14ac:dyDescent="0.2">
      <c r="B252" s="64" t="s">
        <v>816</v>
      </c>
      <c r="C252" s="64">
        <v>0</v>
      </c>
      <c r="D252" s="67">
        <v>0</v>
      </c>
      <c r="E252" s="64">
        <v>0</v>
      </c>
      <c r="G252" s="10">
        <f t="shared" si="7"/>
        <v>0</v>
      </c>
      <c r="H252" s="34"/>
      <c r="J252" s="2"/>
    </row>
    <row r="253" spans="1:11" x14ac:dyDescent="0.2">
      <c r="B253" s="64" t="s">
        <v>817</v>
      </c>
      <c r="C253" s="64">
        <v>0</v>
      </c>
      <c r="D253" s="67">
        <v>0</v>
      </c>
      <c r="E253" s="64">
        <v>0</v>
      </c>
      <c r="G253" s="10">
        <f t="shared" si="7"/>
        <v>0</v>
      </c>
      <c r="H253" s="34"/>
      <c r="J253" s="2"/>
    </row>
    <row r="254" spans="1:11" x14ac:dyDescent="0.2">
      <c r="B254" s="64" t="s">
        <v>818</v>
      </c>
      <c r="C254" s="64">
        <v>0</v>
      </c>
      <c r="D254" s="67">
        <v>0</v>
      </c>
      <c r="E254" s="64">
        <v>0</v>
      </c>
      <c r="G254" s="10">
        <f t="shared" si="7"/>
        <v>0</v>
      </c>
      <c r="H254" s="34"/>
      <c r="J254" s="2"/>
    </row>
    <row r="255" spans="1:11" x14ac:dyDescent="0.2">
      <c r="B255" s="64" t="s">
        <v>819</v>
      </c>
      <c r="C255" s="64">
        <v>0</v>
      </c>
      <c r="D255" s="67">
        <v>0</v>
      </c>
      <c r="E255" s="64">
        <v>0</v>
      </c>
      <c r="G255" s="10">
        <f t="shared" si="7"/>
        <v>0</v>
      </c>
      <c r="H255" s="34"/>
      <c r="J255" s="2"/>
    </row>
    <row r="256" spans="1:11" x14ac:dyDescent="0.2">
      <c r="B256" s="64" t="s">
        <v>820</v>
      </c>
      <c r="C256" s="64">
        <v>0</v>
      </c>
      <c r="D256" s="67">
        <v>0</v>
      </c>
      <c r="E256" s="64">
        <v>0</v>
      </c>
      <c r="G256" s="10">
        <f t="shared" si="7"/>
        <v>0</v>
      </c>
      <c r="H256" s="34"/>
      <c r="J256" s="2"/>
    </row>
    <row r="257" spans="1:11" x14ac:dyDescent="0.2">
      <c r="B257" s="64" t="s">
        <v>821</v>
      </c>
      <c r="C257" s="64">
        <v>0</v>
      </c>
      <c r="D257" s="67">
        <v>0</v>
      </c>
      <c r="E257" s="64">
        <v>0</v>
      </c>
      <c r="G257" s="10">
        <f t="shared" si="7"/>
        <v>0</v>
      </c>
      <c r="H257" s="34"/>
      <c r="J257" s="2"/>
    </row>
    <row r="258" spans="1:11" ht="15" x14ac:dyDescent="0.25">
      <c r="B258" s="64" t="s">
        <v>822</v>
      </c>
      <c r="C258" s="64">
        <v>0</v>
      </c>
      <c r="D258" s="67">
        <v>0</v>
      </c>
      <c r="E258" s="64">
        <v>0</v>
      </c>
      <c r="G258" s="10">
        <f t="shared" si="7"/>
        <v>0</v>
      </c>
      <c r="H258" s="37">
        <f>SUM(G248:G258)</f>
        <v>0</v>
      </c>
      <c r="J258" s="2"/>
      <c r="K258" s="11" t="e">
        <f>SUM(K222:K257)</f>
        <v>#DIV/0!</v>
      </c>
    </row>
    <row r="259" spans="1:11" ht="19.5" x14ac:dyDescent="0.55000000000000004">
      <c r="A259" s="13"/>
      <c r="B259" s="13"/>
      <c r="C259" s="13" t="s">
        <v>823</v>
      </c>
      <c r="D259" s="13"/>
      <c r="E259" s="13"/>
      <c r="F259" s="13"/>
      <c r="G259" s="45"/>
      <c r="H259" s="47" t="e">
        <f>SUM(H241:H258)</f>
        <v>#DIV/0!</v>
      </c>
      <c r="J259" s="2"/>
    </row>
    <row r="260" spans="1:11" x14ac:dyDescent="0.2">
      <c r="G260" s="10"/>
      <c r="J260" s="2"/>
    </row>
    <row r="261" spans="1:11" ht="15" x14ac:dyDescent="0.25">
      <c r="A261" s="13" t="s">
        <v>824</v>
      </c>
      <c r="B261" s="13"/>
      <c r="C261" s="13"/>
      <c r="D261" s="70">
        <v>0</v>
      </c>
      <c r="E261" s="13"/>
      <c r="F261" s="13"/>
      <c r="G261" s="45"/>
      <c r="H261" s="45" t="e">
        <f>+H259*D261</f>
        <v>#DIV/0!</v>
      </c>
      <c r="I261" s="48">
        <f>D261</f>
        <v>0</v>
      </c>
      <c r="J261" s="2"/>
      <c r="K261" s="49" t="e">
        <f>+K258*I261</f>
        <v>#DIV/0!</v>
      </c>
    </row>
    <row r="262" spans="1:11" x14ac:dyDescent="0.2">
      <c r="D262" s="50" t="s">
        <v>825</v>
      </c>
      <c r="G262" s="10"/>
      <c r="J262" s="2"/>
      <c r="K262" s="11" t="e">
        <f>SUM(K258:K261)</f>
        <v>#DIV/0!</v>
      </c>
    </row>
    <row r="263" spans="1:11" x14ac:dyDescent="0.2">
      <c r="F263" s="20"/>
      <c r="G263" s="10"/>
      <c r="J263" s="2"/>
    </row>
    <row r="264" spans="1:11" ht="19.5" x14ac:dyDescent="0.55000000000000004">
      <c r="A264" s="13" t="s">
        <v>826</v>
      </c>
      <c r="B264" s="13"/>
      <c r="C264" s="13"/>
      <c r="D264" s="71">
        <v>0</v>
      </c>
      <c r="E264" s="13"/>
      <c r="F264" s="13"/>
      <c r="G264" s="45"/>
      <c r="H264" s="51" t="e">
        <f>(H259+H261)*D264</f>
        <v>#DIV/0!</v>
      </c>
      <c r="J264" s="2"/>
    </row>
    <row r="265" spans="1:11" ht="15" x14ac:dyDescent="0.25">
      <c r="D265" s="50" t="s">
        <v>827</v>
      </c>
      <c r="G265" s="10"/>
      <c r="H265" s="52" t="e">
        <f>SUM(H259:H264)</f>
        <v>#DIV/0!</v>
      </c>
      <c r="I265" s="48">
        <f>D264</f>
        <v>0</v>
      </c>
      <c r="J265" s="2"/>
      <c r="K265" s="11" t="e">
        <f>+K262*I265</f>
        <v>#DIV/0!</v>
      </c>
    </row>
    <row r="266" spans="1:11" ht="15" x14ac:dyDescent="0.25">
      <c r="D266" s="50"/>
      <c r="G266" s="10"/>
      <c r="H266" s="52"/>
      <c r="J266" s="2"/>
    </row>
    <row r="267" spans="1:11" x14ac:dyDescent="0.2">
      <c r="G267" s="10"/>
      <c r="J267" s="2"/>
    </row>
    <row r="268" spans="1:11" ht="19.5" x14ac:dyDescent="0.55000000000000004">
      <c r="A268" s="13" t="s">
        <v>828</v>
      </c>
      <c r="B268" s="13"/>
      <c r="C268" s="13"/>
      <c r="D268" s="71">
        <v>0</v>
      </c>
      <c r="E268" s="13"/>
      <c r="F268" s="13"/>
      <c r="G268" s="45"/>
      <c r="H268" s="51" t="e">
        <f>+H265*D268</f>
        <v>#DIV/0!</v>
      </c>
      <c r="J268" s="2"/>
    </row>
    <row r="269" spans="1:11" ht="19.5" x14ac:dyDescent="0.55000000000000004">
      <c r="A269" s="13"/>
      <c r="B269" s="13"/>
      <c r="C269" s="13"/>
      <c r="D269" s="53"/>
      <c r="E269" s="13"/>
      <c r="F269" s="13"/>
      <c r="G269" s="45"/>
      <c r="H269" s="51"/>
      <c r="J269" s="54"/>
    </row>
    <row r="270" spans="1:11" ht="15.75" thickBot="1" x14ac:dyDescent="0.3">
      <c r="A270" s="13"/>
      <c r="B270" s="13"/>
      <c r="C270" s="13"/>
      <c r="D270" s="13"/>
      <c r="E270" s="13"/>
      <c r="F270" s="13" t="s">
        <v>829</v>
      </c>
      <c r="G270" s="45"/>
      <c r="H270" s="19" t="e">
        <f>SUM(H265:H268)</f>
        <v>#DIV/0!</v>
      </c>
      <c r="J270" s="2"/>
    </row>
    <row r="271" spans="1:11" ht="15.75" thickBot="1" x14ac:dyDescent="0.3">
      <c r="A271" s="13"/>
      <c r="B271" s="1"/>
      <c r="C271" s="13"/>
      <c r="D271" s="13"/>
      <c r="E271" s="13"/>
      <c r="F271" s="13" t="s">
        <v>830</v>
      </c>
      <c r="G271" s="45"/>
      <c r="H271" s="55" t="e">
        <f>+H270/12</f>
        <v>#DIV/0!</v>
      </c>
      <c r="J271" s="2"/>
    </row>
    <row r="272" spans="1:11" ht="15" x14ac:dyDescent="0.25">
      <c r="A272" s="13"/>
      <c r="B272" s="351" t="s">
        <v>831</v>
      </c>
      <c r="C272" s="351"/>
      <c r="D272" s="351"/>
      <c r="E272" s="351"/>
      <c r="F272" s="13" t="s">
        <v>832</v>
      </c>
      <c r="G272" s="45"/>
      <c r="H272" s="52" t="e">
        <f>+H270/(E222)</f>
        <v>#DIV/0!</v>
      </c>
      <c r="J272" s="2"/>
      <c r="K272" s="21" t="e">
        <f>SUM(K262:K271)</f>
        <v>#DIV/0!</v>
      </c>
    </row>
    <row r="273" spans="1:11" x14ac:dyDescent="0.2">
      <c r="A273" s="2"/>
      <c r="B273" s="3"/>
      <c r="C273" s="2"/>
      <c r="D273" s="2"/>
      <c r="E273" s="2"/>
      <c r="F273" s="2"/>
      <c r="G273" s="2"/>
      <c r="H273" s="2"/>
      <c r="I273" s="2"/>
      <c r="J273" s="54"/>
      <c r="K273" s="2"/>
    </row>
    <row r="274" spans="1:11" ht="15" x14ac:dyDescent="0.25">
      <c r="A274" s="5" t="str">
        <f ca="1">$A$2</f>
        <v>ZOB Rate Build Up</v>
      </c>
      <c r="B274" s="5"/>
      <c r="C274" s="6"/>
      <c r="D274" s="6"/>
      <c r="E274" s="6"/>
      <c r="F274" s="6" t="s">
        <v>843</v>
      </c>
      <c r="G274" s="6"/>
      <c r="H274" s="6"/>
      <c r="J274" s="2"/>
      <c r="K274" s="7" t="s">
        <v>785</v>
      </c>
    </row>
    <row r="275" spans="1:11" ht="15.75" thickBot="1" x14ac:dyDescent="0.3">
      <c r="A275" s="8"/>
      <c r="F275" s="9" t="s">
        <v>786</v>
      </c>
      <c r="G275" s="10"/>
      <c r="J275" s="2"/>
    </row>
    <row r="276" spans="1:11" ht="15" x14ac:dyDescent="0.25">
      <c r="A276" s="349" t="str">
        <f>_OP4</f>
        <v>9/30/2030-9/29/2031</v>
      </c>
      <c r="B276" s="350"/>
      <c r="F276" s="9"/>
      <c r="G276" s="10"/>
      <c r="J276" s="2"/>
    </row>
    <row r="277" spans="1:11" ht="15" x14ac:dyDescent="0.25">
      <c r="A277" s="13" t="s">
        <v>787</v>
      </c>
      <c r="B277" s="13"/>
      <c r="C277" s="13"/>
      <c r="D277" s="13"/>
      <c r="E277" s="6" t="s">
        <v>788</v>
      </c>
      <c r="F277" s="6" t="s">
        <v>789</v>
      </c>
      <c r="G277" s="14"/>
      <c r="H277" s="6" t="s">
        <v>790</v>
      </c>
      <c r="J277" s="15"/>
    </row>
    <row r="278" spans="1:11" x14ac:dyDescent="0.2">
      <c r="A278" s="4">
        <v>1</v>
      </c>
      <c r="B278" s="4" t="s">
        <v>791</v>
      </c>
      <c r="E278" s="58">
        <v>0</v>
      </c>
      <c r="F278" s="59">
        <v>0</v>
      </c>
      <c r="G278" s="10"/>
      <c r="H278" s="10">
        <f>+E278*F278</f>
        <v>0</v>
      </c>
      <c r="J278" s="2"/>
    </row>
    <row r="279" spans="1:11" x14ac:dyDescent="0.2">
      <c r="A279" s="4">
        <v>2</v>
      </c>
      <c r="B279" s="4" t="s">
        <v>774</v>
      </c>
      <c r="E279" s="58">
        <v>0</v>
      </c>
      <c r="F279" s="59">
        <v>0</v>
      </c>
      <c r="G279" s="10"/>
      <c r="H279" s="10">
        <f t="shared" ref="H279:H289" si="8">+E279*F279</f>
        <v>0</v>
      </c>
      <c r="J279" s="2"/>
    </row>
    <row r="280" spans="1:11" x14ac:dyDescent="0.2">
      <c r="A280" s="4">
        <v>3</v>
      </c>
      <c r="B280" s="4" t="s">
        <v>774</v>
      </c>
      <c r="E280" s="58">
        <v>0</v>
      </c>
      <c r="F280" s="59">
        <v>0</v>
      </c>
      <c r="G280" s="10"/>
      <c r="H280" s="10">
        <f t="shared" si="8"/>
        <v>0</v>
      </c>
      <c r="J280" s="2"/>
    </row>
    <row r="281" spans="1:11" x14ac:dyDescent="0.2">
      <c r="A281" s="4">
        <v>4</v>
      </c>
      <c r="B281" s="4" t="s">
        <v>774</v>
      </c>
      <c r="E281" s="58">
        <v>0</v>
      </c>
      <c r="F281" s="59">
        <v>0</v>
      </c>
      <c r="G281" s="10"/>
      <c r="H281" s="10">
        <f t="shared" si="8"/>
        <v>0</v>
      </c>
      <c r="J281" s="2"/>
    </row>
    <row r="282" spans="1:11" x14ac:dyDescent="0.2">
      <c r="A282" s="4">
        <v>5</v>
      </c>
      <c r="B282" s="4" t="s">
        <v>774</v>
      </c>
      <c r="E282" s="58">
        <v>0</v>
      </c>
      <c r="F282" s="59">
        <v>0</v>
      </c>
      <c r="G282" s="10"/>
      <c r="H282" s="10">
        <f t="shared" si="8"/>
        <v>0</v>
      </c>
      <c r="J282" s="2"/>
    </row>
    <row r="283" spans="1:11" x14ac:dyDescent="0.2">
      <c r="A283" s="4">
        <v>6</v>
      </c>
      <c r="B283" s="4" t="s">
        <v>774</v>
      </c>
      <c r="E283" s="58">
        <v>0</v>
      </c>
      <c r="F283" s="59">
        <v>0</v>
      </c>
      <c r="G283" s="10"/>
      <c r="H283" s="10">
        <f t="shared" si="8"/>
        <v>0</v>
      </c>
      <c r="J283" s="2"/>
    </row>
    <row r="284" spans="1:11" x14ac:dyDescent="0.2">
      <c r="A284" s="4">
        <v>7</v>
      </c>
      <c r="B284" s="4" t="s">
        <v>774</v>
      </c>
      <c r="E284" s="58">
        <v>0</v>
      </c>
      <c r="F284" s="59">
        <v>0</v>
      </c>
      <c r="G284" s="10"/>
      <c r="H284" s="10">
        <f t="shared" si="8"/>
        <v>0</v>
      </c>
      <c r="J284" s="2"/>
    </row>
    <row r="285" spans="1:11" x14ac:dyDescent="0.2">
      <c r="A285" s="4">
        <v>8</v>
      </c>
      <c r="B285" s="4" t="s">
        <v>774</v>
      </c>
      <c r="E285" s="58">
        <v>0</v>
      </c>
      <c r="F285" s="59">
        <v>0</v>
      </c>
      <c r="G285" s="10"/>
      <c r="H285" s="10">
        <f t="shared" si="8"/>
        <v>0</v>
      </c>
      <c r="J285" s="2"/>
    </row>
    <row r="286" spans="1:11" x14ac:dyDescent="0.2">
      <c r="A286" s="4">
        <v>9</v>
      </c>
      <c r="B286" s="4" t="s">
        <v>774</v>
      </c>
      <c r="E286" s="58">
        <v>0</v>
      </c>
      <c r="F286" s="59">
        <v>0</v>
      </c>
      <c r="G286" s="10"/>
      <c r="H286" s="10">
        <f t="shared" si="8"/>
        <v>0</v>
      </c>
      <c r="J286" s="2"/>
    </row>
    <row r="287" spans="1:11" x14ac:dyDescent="0.2">
      <c r="A287" s="4">
        <v>10</v>
      </c>
      <c r="B287" s="4" t="s">
        <v>774</v>
      </c>
      <c r="E287" s="58">
        <v>0</v>
      </c>
      <c r="F287" s="59">
        <v>0</v>
      </c>
      <c r="G287" s="10"/>
      <c r="H287" s="10">
        <f t="shared" si="8"/>
        <v>0</v>
      </c>
      <c r="J287" s="2"/>
    </row>
    <row r="288" spans="1:11" x14ac:dyDescent="0.2">
      <c r="A288" s="4">
        <v>11</v>
      </c>
      <c r="B288" s="4" t="s">
        <v>774</v>
      </c>
      <c r="E288" s="58">
        <v>0</v>
      </c>
      <c r="F288" s="59">
        <v>0</v>
      </c>
      <c r="G288" s="10"/>
      <c r="H288" s="10">
        <f t="shared" si="8"/>
        <v>0</v>
      </c>
      <c r="J288" s="2"/>
    </row>
    <row r="289" spans="1:11" ht="16.5" x14ac:dyDescent="0.35">
      <c r="A289" s="4">
        <v>12</v>
      </c>
      <c r="B289" s="4" t="s">
        <v>774</v>
      </c>
      <c r="E289" s="58">
        <v>0</v>
      </c>
      <c r="F289" s="59">
        <v>0</v>
      </c>
      <c r="G289" s="10"/>
      <c r="H289" s="16">
        <f t="shared" si="8"/>
        <v>0</v>
      </c>
      <c r="J289" s="2"/>
    </row>
    <row r="290" spans="1:11" ht="15" x14ac:dyDescent="0.25">
      <c r="A290" s="8"/>
      <c r="B290" s="8" t="s">
        <v>792</v>
      </c>
      <c r="C290" s="8"/>
      <c r="D290" s="8"/>
      <c r="E290" s="17">
        <f>SUM(E278:E289)</f>
        <v>0</v>
      </c>
      <c r="F290" s="8"/>
      <c r="G290" s="18"/>
      <c r="H290" s="19">
        <f>SUM(H278:H289)</f>
        <v>0</v>
      </c>
      <c r="I290" s="20" t="e">
        <f>+H290/E290</f>
        <v>#DIV/0!</v>
      </c>
      <c r="J290" s="2"/>
      <c r="K290" s="11" t="e">
        <f>+I290*1.5</f>
        <v>#DIV/0!</v>
      </c>
    </row>
    <row r="291" spans="1:11" x14ac:dyDescent="0.2">
      <c r="G291" s="22"/>
      <c r="J291" s="2"/>
    </row>
    <row r="292" spans="1:11" ht="16.5" x14ac:dyDescent="0.35">
      <c r="B292" s="4" t="s">
        <v>793</v>
      </c>
      <c r="F292" s="67">
        <v>0</v>
      </c>
      <c r="G292" s="22"/>
      <c r="H292" s="24">
        <f>+E290*F292</f>
        <v>0</v>
      </c>
      <c r="J292" s="2"/>
    </row>
    <row r="293" spans="1:11" ht="15" x14ac:dyDescent="0.25">
      <c r="G293" s="22"/>
      <c r="H293" s="19">
        <f>+H290+H292</f>
        <v>0</v>
      </c>
      <c r="I293" s="25"/>
      <c r="J293" s="2"/>
    </row>
    <row r="294" spans="1:11" x14ac:dyDescent="0.2">
      <c r="G294" s="22"/>
      <c r="J294" s="2"/>
    </row>
    <row r="295" spans="1:11" ht="15" x14ac:dyDescent="0.25">
      <c r="A295" s="13" t="s">
        <v>794</v>
      </c>
      <c r="B295" s="13"/>
      <c r="C295" s="13"/>
      <c r="D295" s="13"/>
      <c r="E295" s="6" t="s">
        <v>795</v>
      </c>
      <c r="F295" s="13"/>
      <c r="G295" s="26"/>
      <c r="H295" s="13"/>
      <c r="J295" s="2"/>
    </row>
    <row r="296" spans="1:11" ht="15" x14ac:dyDescent="0.25">
      <c r="A296" s="13"/>
      <c r="B296" s="13"/>
      <c r="C296" s="13"/>
      <c r="D296" s="13"/>
      <c r="E296" s="6"/>
      <c r="F296" s="13"/>
      <c r="G296" s="26"/>
      <c r="H296" s="13"/>
      <c r="J296" s="2"/>
    </row>
    <row r="297" spans="1:11" x14ac:dyDescent="0.2">
      <c r="B297" s="4" t="s">
        <v>796</v>
      </c>
      <c r="E297" s="27">
        <v>6.2E-2</v>
      </c>
      <c r="G297" s="56">
        <f>+$E297*$H293</f>
        <v>0</v>
      </c>
      <c r="J297" s="28"/>
    </row>
    <row r="298" spans="1:11" x14ac:dyDescent="0.2">
      <c r="B298" s="4" t="s">
        <v>797</v>
      </c>
      <c r="E298" s="27">
        <v>1.4500000000000001E-2</v>
      </c>
      <c r="G298" s="56">
        <f>+$E298*$H293</f>
        <v>0</v>
      </c>
      <c r="J298" s="28"/>
    </row>
    <row r="299" spans="1:11" x14ac:dyDescent="0.2">
      <c r="B299" s="4" t="s">
        <v>798</v>
      </c>
      <c r="E299" s="60">
        <v>0</v>
      </c>
      <c r="G299" s="56">
        <f>+$E299*$H293</f>
        <v>0</v>
      </c>
      <c r="J299" s="2"/>
    </row>
    <row r="300" spans="1:11" x14ac:dyDescent="0.2">
      <c r="B300" s="4" t="s">
        <v>799</v>
      </c>
      <c r="E300" s="60">
        <v>0</v>
      </c>
      <c r="G300" s="56">
        <f>+$E300*$H293</f>
        <v>0</v>
      </c>
      <c r="H300" s="4" t="s">
        <v>800</v>
      </c>
      <c r="I300" s="29" t="s">
        <v>801</v>
      </c>
      <c r="J300" s="2"/>
    </row>
    <row r="301" spans="1:11" x14ac:dyDescent="0.2">
      <c r="B301" s="4" t="s">
        <v>802</v>
      </c>
      <c r="E301" s="60">
        <v>0</v>
      </c>
      <c r="G301" s="56">
        <f>+$E301*$H293</f>
        <v>0</v>
      </c>
      <c r="H301" s="27">
        <f>SUM(E297:E301)</f>
        <v>7.6499999999999999E-2</v>
      </c>
      <c r="I301" s="30" t="e">
        <f>+H301*I290+I290</f>
        <v>#DIV/0!</v>
      </c>
      <c r="J301" s="31"/>
    </row>
    <row r="302" spans="1:11" x14ac:dyDescent="0.2">
      <c r="A302" s="32" t="s">
        <v>786</v>
      </c>
      <c r="B302" s="32" t="s">
        <v>803</v>
      </c>
      <c r="C302" s="61">
        <v>0</v>
      </c>
      <c r="D302" s="61">
        <v>0</v>
      </c>
      <c r="E302" s="33">
        <f>+D302*C302</f>
        <v>0</v>
      </c>
      <c r="G302" s="56" t="e">
        <f>+E302*I301</f>
        <v>#DIV/0!</v>
      </c>
      <c r="J302" s="2"/>
    </row>
    <row r="303" spans="1:11" x14ac:dyDescent="0.2">
      <c r="A303" s="32" t="s">
        <v>786</v>
      </c>
      <c r="B303" s="32" t="s">
        <v>804</v>
      </c>
      <c r="C303" s="62">
        <v>0</v>
      </c>
      <c r="D303" s="61">
        <v>0</v>
      </c>
      <c r="E303" s="33">
        <f>+D303*C303</f>
        <v>0</v>
      </c>
      <c r="G303" s="56" t="e">
        <f>+E303*I301</f>
        <v>#DIV/0!</v>
      </c>
      <c r="J303" s="2"/>
    </row>
    <row r="304" spans="1:11" x14ac:dyDescent="0.2">
      <c r="A304" s="4" t="s">
        <v>786</v>
      </c>
      <c r="B304" s="4" t="s">
        <v>805</v>
      </c>
      <c r="C304" s="63">
        <v>0</v>
      </c>
      <c r="D304" s="64">
        <v>0</v>
      </c>
      <c r="E304" s="35">
        <f>+C304*D304</f>
        <v>0</v>
      </c>
      <c r="G304" s="56" t="e">
        <f>+E304*I301</f>
        <v>#DIV/0!</v>
      </c>
      <c r="J304" s="2"/>
    </row>
    <row r="305" spans="1:11" x14ac:dyDescent="0.2">
      <c r="A305" s="4" t="s">
        <v>786</v>
      </c>
      <c r="B305" s="4" t="s">
        <v>806</v>
      </c>
      <c r="C305" s="63">
        <v>0</v>
      </c>
      <c r="D305" s="65">
        <v>0</v>
      </c>
      <c r="E305" s="4">
        <f>+C305*D305</f>
        <v>0</v>
      </c>
      <c r="G305" s="40" t="e">
        <f>+E305*I301</f>
        <v>#DIV/0!</v>
      </c>
      <c r="J305" s="2"/>
    </row>
    <row r="306" spans="1:11" x14ac:dyDescent="0.2">
      <c r="A306" s="4" t="s">
        <v>786</v>
      </c>
      <c r="B306" s="4" t="s">
        <v>807</v>
      </c>
      <c r="C306" s="63">
        <v>0</v>
      </c>
      <c r="D306" s="65">
        <v>0</v>
      </c>
      <c r="E306" s="4">
        <f>+D306*C306</f>
        <v>0</v>
      </c>
      <c r="G306" s="40" t="e">
        <f>+E306*I301</f>
        <v>#DIV/0!</v>
      </c>
      <c r="J306" s="36"/>
    </row>
    <row r="307" spans="1:11" x14ac:dyDescent="0.2">
      <c r="A307" s="4" t="s">
        <v>786</v>
      </c>
      <c r="B307" s="4" t="s">
        <v>808</v>
      </c>
      <c r="C307" s="63">
        <v>0</v>
      </c>
      <c r="D307" s="65">
        <v>0</v>
      </c>
      <c r="E307" s="4">
        <f>+D307*C307</f>
        <v>0</v>
      </c>
      <c r="G307" s="40" t="e">
        <f>+E307*I301</f>
        <v>#DIV/0!</v>
      </c>
      <c r="J307" s="38"/>
    </row>
    <row r="308" spans="1:11" ht="15" x14ac:dyDescent="0.25">
      <c r="B308" s="4" t="s">
        <v>809</v>
      </c>
      <c r="E308" s="35">
        <f>SUM(E302:E307)</f>
        <v>0</v>
      </c>
      <c r="F308" s="67">
        <v>0</v>
      </c>
      <c r="G308" s="57">
        <f>E308*F308</f>
        <v>0</v>
      </c>
      <c r="H308" s="37" t="e">
        <f>SUM(G297:G308)</f>
        <v>#DIV/0!</v>
      </c>
      <c r="I308" s="27" t="e">
        <f>(H308+H292)/H290</f>
        <v>#DIV/0!</v>
      </c>
      <c r="J308" s="2"/>
      <c r="K308" s="11" t="e">
        <f>K290*I308</f>
        <v>#DIV/0!</v>
      </c>
    </row>
    <row r="309" spans="1:11" ht="15" x14ac:dyDescent="0.25">
      <c r="H309" s="41" t="e">
        <f>+H308+H293</f>
        <v>#DIV/0!</v>
      </c>
      <c r="I309" s="27"/>
      <c r="J309" s="2"/>
    </row>
    <row r="310" spans="1:11" ht="15" x14ac:dyDescent="0.25">
      <c r="F310" s="23"/>
      <c r="G310" s="40"/>
      <c r="I310" s="27"/>
      <c r="J310" s="2"/>
    </row>
    <row r="311" spans="1:11" ht="15" x14ac:dyDescent="0.25">
      <c r="F311" s="23"/>
      <c r="G311" s="40"/>
      <c r="H311" s="41"/>
      <c r="I311" s="27"/>
      <c r="J311" s="2"/>
    </row>
    <row r="312" spans="1:11" ht="15" x14ac:dyDescent="0.25">
      <c r="C312" s="39"/>
      <c r="G312" s="40"/>
      <c r="H312" s="41"/>
      <c r="I312" s="27"/>
      <c r="J312" s="2"/>
    </row>
    <row r="313" spans="1:11" ht="15" x14ac:dyDescent="0.25">
      <c r="A313" s="8" t="s">
        <v>810</v>
      </c>
      <c r="B313" s="8"/>
      <c r="C313" s="42"/>
      <c r="D313" s="68">
        <v>0</v>
      </c>
      <c r="E313" s="8"/>
      <c r="F313" s="8"/>
      <c r="G313" s="43"/>
      <c r="H313" s="44" t="e">
        <f>+H309*D313</f>
        <v>#DIV/0!</v>
      </c>
      <c r="I313" s="27" t="e">
        <f>+H313/H309</f>
        <v>#DIV/0!</v>
      </c>
      <c r="J313" s="2"/>
      <c r="K313" s="11" t="e">
        <f>+(K290+K308)*I313</f>
        <v>#DIV/0!</v>
      </c>
    </row>
    <row r="314" spans="1:11" x14ac:dyDescent="0.2">
      <c r="G314" s="10"/>
      <c r="J314" s="2"/>
    </row>
    <row r="315" spans="1:11" ht="15" x14ac:dyDescent="0.25">
      <c r="A315" s="13" t="s">
        <v>811</v>
      </c>
      <c r="B315" s="13"/>
      <c r="C315" s="13"/>
      <c r="D315" s="13"/>
      <c r="E315" s="13"/>
      <c r="F315" s="13"/>
      <c r="G315" s="45"/>
      <c r="H315" s="13"/>
      <c r="J315" s="2"/>
    </row>
    <row r="316" spans="1:11" x14ac:dyDescent="0.2">
      <c r="B316" s="64" t="s">
        <v>812</v>
      </c>
      <c r="C316" s="64">
        <v>0</v>
      </c>
      <c r="D316" s="67">
        <v>0</v>
      </c>
      <c r="E316" s="64">
        <v>0</v>
      </c>
      <c r="G316" s="10">
        <f t="shared" ref="G316:G326" si="9">+(C316*D316*E316)</f>
        <v>0</v>
      </c>
      <c r="H316" s="34"/>
      <c r="J316" s="46"/>
    </row>
    <row r="317" spans="1:11" x14ac:dyDescent="0.2">
      <c r="B317" s="64" t="s">
        <v>813</v>
      </c>
      <c r="C317" s="64">
        <v>0</v>
      </c>
      <c r="D317" s="67">
        <v>0</v>
      </c>
      <c r="E317" s="64">
        <v>0</v>
      </c>
      <c r="G317" s="10">
        <f t="shared" si="9"/>
        <v>0</v>
      </c>
      <c r="H317" s="34"/>
      <c r="J317" s="46"/>
    </row>
    <row r="318" spans="1:11" x14ac:dyDescent="0.2">
      <c r="B318" s="64" t="s">
        <v>814</v>
      </c>
      <c r="C318" s="64">
        <v>0</v>
      </c>
      <c r="D318" s="67">
        <v>0</v>
      </c>
      <c r="E318" s="64">
        <v>0</v>
      </c>
      <c r="G318" s="10">
        <f t="shared" si="9"/>
        <v>0</v>
      </c>
      <c r="H318" s="34"/>
      <c r="J318" s="46"/>
    </row>
    <row r="319" spans="1:11" x14ac:dyDescent="0.2">
      <c r="B319" s="64" t="s">
        <v>815</v>
      </c>
      <c r="C319" s="64">
        <v>0</v>
      </c>
      <c r="D319" s="67">
        <v>0</v>
      </c>
      <c r="E319" s="64">
        <v>0</v>
      </c>
      <c r="G319" s="10">
        <f t="shared" si="9"/>
        <v>0</v>
      </c>
      <c r="H319" s="34"/>
      <c r="J319" s="2"/>
    </row>
    <row r="320" spans="1:11" x14ac:dyDescent="0.2">
      <c r="B320" s="64" t="s">
        <v>816</v>
      </c>
      <c r="C320" s="64">
        <v>0</v>
      </c>
      <c r="D320" s="67">
        <v>0</v>
      </c>
      <c r="E320" s="64">
        <v>0</v>
      </c>
      <c r="G320" s="10">
        <f t="shared" si="9"/>
        <v>0</v>
      </c>
      <c r="H320" s="34"/>
      <c r="J320" s="2"/>
    </row>
    <row r="321" spans="1:11" x14ac:dyDescent="0.2">
      <c r="B321" s="64" t="s">
        <v>817</v>
      </c>
      <c r="C321" s="64">
        <v>0</v>
      </c>
      <c r="D321" s="67">
        <v>0</v>
      </c>
      <c r="E321" s="64">
        <v>0</v>
      </c>
      <c r="G321" s="10">
        <f t="shared" si="9"/>
        <v>0</v>
      </c>
      <c r="H321" s="34"/>
      <c r="J321" s="2"/>
    </row>
    <row r="322" spans="1:11" x14ac:dyDescent="0.2">
      <c r="B322" s="64" t="s">
        <v>818</v>
      </c>
      <c r="C322" s="64">
        <v>0</v>
      </c>
      <c r="D322" s="67">
        <v>0</v>
      </c>
      <c r="E322" s="64">
        <v>0</v>
      </c>
      <c r="G322" s="10">
        <f t="shared" si="9"/>
        <v>0</v>
      </c>
      <c r="H322" s="34"/>
      <c r="J322" s="2"/>
    </row>
    <row r="323" spans="1:11" x14ac:dyDescent="0.2">
      <c r="B323" s="64" t="s">
        <v>819</v>
      </c>
      <c r="C323" s="64">
        <v>0</v>
      </c>
      <c r="D323" s="67">
        <v>0</v>
      </c>
      <c r="E323" s="64">
        <v>0</v>
      </c>
      <c r="G323" s="10">
        <f t="shared" si="9"/>
        <v>0</v>
      </c>
      <c r="H323" s="34"/>
      <c r="J323" s="2"/>
    </row>
    <row r="324" spans="1:11" x14ac:dyDescent="0.2">
      <c r="B324" s="64" t="s">
        <v>820</v>
      </c>
      <c r="C324" s="64">
        <v>0</v>
      </c>
      <c r="D324" s="67">
        <v>0</v>
      </c>
      <c r="E324" s="64">
        <v>0</v>
      </c>
      <c r="G324" s="10">
        <f t="shared" si="9"/>
        <v>0</v>
      </c>
      <c r="H324" s="34"/>
      <c r="J324" s="2"/>
    </row>
    <row r="325" spans="1:11" x14ac:dyDescent="0.2">
      <c r="B325" s="64" t="s">
        <v>821</v>
      </c>
      <c r="C325" s="64">
        <v>0</v>
      </c>
      <c r="D325" s="67">
        <v>0</v>
      </c>
      <c r="E325" s="64">
        <v>0</v>
      </c>
      <c r="G325" s="10">
        <f t="shared" si="9"/>
        <v>0</v>
      </c>
      <c r="H325" s="34"/>
      <c r="J325" s="2"/>
    </row>
    <row r="326" spans="1:11" ht="15" x14ac:dyDescent="0.25">
      <c r="B326" s="64" t="s">
        <v>822</v>
      </c>
      <c r="C326" s="64">
        <v>0</v>
      </c>
      <c r="D326" s="67">
        <v>0</v>
      </c>
      <c r="E326" s="64">
        <v>0</v>
      </c>
      <c r="G326" s="10">
        <f t="shared" si="9"/>
        <v>0</v>
      </c>
      <c r="H326" s="37">
        <f>SUM(G316:G326)</f>
        <v>0</v>
      </c>
      <c r="J326" s="2"/>
      <c r="K326" s="11" t="e">
        <f>SUM(K290:K325)</f>
        <v>#DIV/0!</v>
      </c>
    </row>
    <row r="327" spans="1:11" ht="19.5" x14ac:dyDescent="0.55000000000000004">
      <c r="A327" s="13"/>
      <c r="B327" s="13"/>
      <c r="C327" s="13" t="s">
        <v>823</v>
      </c>
      <c r="D327" s="13"/>
      <c r="E327" s="13"/>
      <c r="F327" s="13"/>
      <c r="G327" s="45"/>
      <c r="H327" s="47" t="e">
        <f>SUM(H309:H326)</f>
        <v>#DIV/0!</v>
      </c>
      <c r="J327" s="2"/>
    </row>
    <row r="328" spans="1:11" x14ac:dyDescent="0.2">
      <c r="G328" s="10"/>
      <c r="J328" s="2"/>
    </row>
    <row r="329" spans="1:11" ht="15" x14ac:dyDescent="0.25">
      <c r="A329" s="13" t="s">
        <v>824</v>
      </c>
      <c r="B329" s="13"/>
      <c r="C329" s="13"/>
      <c r="D329" s="70">
        <v>0</v>
      </c>
      <c r="E329" s="13"/>
      <c r="F329" s="13"/>
      <c r="G329" s="45"/>
      <c r="H329" s="45" t="e">
        <f>+H327*D329</f>
        <v>#DIV/0!</v>
      </c>
      <c r="I329" s="48">
        <f>D329</f>
        <v>0</v>
      </c>
      <c r="J329" s="2"/>
      <c r="K329" s="49" t="e">
        <f>+K326*I329</f>
        <v>#DIV/0!</v>
      </c>
    </row>
    <row r="330" spans="1:11" x14ac:dyDescent="0.2">
      <c r="D330" s="50" t="s">
        <v>825</v>
      </c>
      <c r="G330" s="10"/>
      <c r="J330" s="2"/>
      <c r="K330" s="11" t="e">
        <f>SUM(K326:K329)</f>
        <v>#DIV/0!</v>
      </c>
    </row>
    <row r="331" spans="1:11" x14ac:dyDescent="0.2">
      <c r="F331" s="20"/>
      <c r="G331" s="10"/>
      <c r="J331" s="2"/>
    </row>
    <row r="332" spans="1:11" ht="19.5" x14ac:dyDescent="0.55000000000000004">
      <c r="A332" s="13" t="s">
        <v>826</v>
      </c>
      <c r="B332" s="13"/>
      <c r="C332" s="13"/>
      <c r="D332" s="72">
        <v>0</v>
      </c>
      <c r="E332" s="13"/>
      <c r="F332" s="13"/>
      <c r="G332" s="45"/>
      <c r="H332" s="51" t="e">
        <f>(H327+H329)*D332</f>
        <v>#DIV/0!</v>
      </c>
      <c r="J332" s="2"/>
    </row>
    <row r="333" spans="1:11" ht="15" x14ac:dyDescent="0.25">
      <c r="D333" s="50" t="s">
        <v>827</v>
      </c>
      <c r="G333" s="10"/>
      <c r="H333" s="52" t="e">
        <f>SUM(H327:H332)</f>
        <v>#DIV/0!</v>
      </c>
      <c r="I333" s="48">
        <f>D332</f>
        <v>0</v>
      </c>
      <c r="J333" s="2"/>
      <c r="K333" s="11" t="e">
        <f>+K330*I333</f>
        <v>#DIV/0!</v>
      </c>
    </row>
    <row r="334" spans="1:11" ht="15" x14ac:dyDescent="0.25">
      <c r="D334" s="50"/>
      <c r="G334" s="10"/>
      <c r="H334" s="52"/>
      <c r="J334" s="2"/>
    </row>
    <row r="335" spans="1:11" x14ac:dyDescent="0.2">
      <c r="G335" s="10"/>
      <c r="J335" s="2"/>
    </row>
    <row r="336" spans="1:11" ht="19.5" x14ac:dyDescent="0.55000000000000004">
      <c r="A336" s="13" t="s">
        <v>828</v>
      </c>
      <c r="B336" s="13"/>
      <c r="C336" s="13"/>
      <c r="D336" s="71">
        <v>0</v>
      </c>
      <c r="E336" s="13"/>
      <c r="F336" s="13"/>
      <c r="G336" s="45"/>
      <c r="H336" s="51" t="e">
        <f>+H333*D336</f>
        <v>#DIV/0!</v>
      </c>
      <c r="J336" s="2"/>
    </row>
    <row r="337" spans="1:11" ht="19.5" x14ac:dyDescent="0.55000000000000004">
      <c r="A337" s="13"/>
      <c r="B337" s="13"/>
      <c r="C337" s="13"/>
      <c r="D337" s="53"/>
      <c r="E337" s="13"/>
      <c r="F337" s="13"/>
      <c r="G337" s="45"/>
      <c r="H337" s="51"/>
      <c r="J337" s="54"/>
    </row>
    <row r="338" spans="1:11" ht="15.75" thickBot="1" x14ac:dyDescent="0.3">
      <c r="A338" s="13"/>
      <c r="B338" s="13"/>
      <c r="C338" s="13"/>
      <c r="D338" s="13"/>
      <c r="E338" s="13"/>
      <c r="F338" s="13" t="s">
        <v>829</v>
      </c>
      <c r="G338" s="45"/>
      <c r="H338" s="19" t="e">
        <f>SUM(H333:H336)</f>
        <v>#DIV/0!</v>
      </c>
      <c r="J338" s="2"/>
    </row>
    <row r="339" spans="1:11" ht="15.75" thickBot="1" x14ac:dyDescent="0.3">
      <c r="A339" s="13"/>
      <c r="B339" s="1"/>
      <c r="C339" s="13"/>
      <c r="D339" s="13"/>
      <c r="E339" s="13"/>
      <c r="F339" s="13" t="s">
        <v>830</v>
      </c>
      <c r="G339" s="45"/>
      <c r="H339" s="55" t="e">
        <f>+H338/12</f>
        <v>#DIV/0!</v>
      </c>
      <c r="J339" s="2"/>
    </row>
    <row r="340" spans="1:11" ht="15" x14ac:dyDescent="0.25">
      <c r="A340" s="13"/>
      <c r="B340" s="351" t="s">
        <v>831</v>
      </c>
      <c r="C340" s="351"/>
      <c r="D340" s="351"/>
      <c r="E340" s="351"/>
      <c r="F340" s="13" t="s">
        <v>832</v>
      </c>
      <c r="G340" s="45"/>
      <c r="H340" s="52" t="e">
        <f>+H338/(E290)</f>
        <v>#DIV/0!</v>
      </c>
      <c r="J340" s="2"/>
      <c r="K340" s="21" t="e">
        <f>SUM(K330:K339)</f>
        <v>#DIV/0!</v>
      </c>
    </row>
    <row r="341" spans="1:11" x14ac:dyDescent="0.2">
      <c r="A341" s="2"/>
      <c r="B341" s="3"/>
      <c r="C341" s="2"/>
      <c r="D341" s="2"/>
      <c r="E341" s="2"/>
      <c r="F341" s="2"/>
      <c r="G341" s="2"/>
      <c r="H341" s="2"/>
      <c r="I341" s="2"/>
      <c r="J341" s="54"/>
      <c r="K341" s="2"/>
    </row>
  </sheetData>
  <mergeCells count="9">
    <mergeCell ref="B272:E272"/>
    <mergeCell ref="A276:B276"/>
    <mergeCell ref="B340:E340"/>
    <mergeCell ref="B68:E68"/>
    <mergeCell ref="A72:B72"/>
    <mergeCell ref="B136:E136"/>
    <mergeCell ref="A140:B140"/>
    <mergeCell ref="B204:E204"/>
    <mergeCell ref="A208:B20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3be8487-a338-4998-a127-a95b9919dbec" xsi:nil="true"/>
    <lcf76f155ced4ddcb4097134ff3c332f xmlns="2d6eb3e5-4b8c-40ab-b0b9-6425f2b4173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262B775DBE1634291FB14472E1ADAB4" ma:contentTypeVersion="16" ma:contentTypeDescription="Create a new document." ma:contentTypeScope="" ma:versionID="921ccb5d5ddad9b9f9b6a253d38f2160">
  <xsd:schema xmlns:xsd="http://www.w3.org/2001/XMLSchema" xmlns:xs="http://www.w3.org/2001/XMLSchema" xmlns:p="http://schemas.microsoft.com/office/2006/metadata/properties" xmlns:ns2="2d6eb3e5-4b8c-40ab-b0b9-6425f2b4173b" xmlns:ns3="e3be8487-a338-4998-a127-a95b9919dbec" targetNamespace="http://schemas.microsoft.com/office/2006/metadata/properties" ma:root="true" ma:fieldsID="3105e74d4e13199838345a2f4a01bbc3" ns2:_="" ns3:_="">
    <xsd:import namespace="2d6eb3e5-4b8c-40ab-b0b9-6425f2b4173b"/>
    <xsd:import namespace="e3be8487-a338-4998-a127-a95b9919dbe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6eb3e5-4b8c-40ab-b0b9-6425f2b417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e2e69889-3f5c-4d03-949d-b90f720ff4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be8487-a338-4998-a127-a95b9919dbec"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4dfc07e-1503-482a-a961-71540bb2f134}" ma:internalName="TaxCatchAll" ma:showField="CatchAllData" ma:web="e3be8487-a338-4998-a127-a95b9919db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FF8459-60CA-41F5-A830-5530043F8E44}">
  <ds:schemaRefs>
    <ds:schemaRef ds:uri="http://schemas.microsoft.com/sharepoint/v3/contenttype/forms"/>
  </ds:schemaRefs>
</ds:datastoreItem>
</file>

<file path=customXml/itemProps2.xml><?xml version="1.0" encoding="utf-8"?>
<ds:datastoreItem xmlns:ds="http://schemas.openxmlformats.org/officeDocument/2006/customXml" ds:itemID="{912980A8-993D-4681-90BB-36AA229DD63E}">
  <ds:schemaRefs>
    <ds:schemaRef ds:uri="http://schemas.microsoft.com/office/2006/documentManagement/types"/>
    <ds:schemaRef ds:uri="http://purl.org/dc/terms/"/>
    <ds:schemaRef ds:uri="http://www.w3.org/XML/1998/namespace"/>
    <ds:schemaRef ds:uri="2d6eb3e5-4b8c-40ab-b0b9-6425f2b4173b"/>
    <ds:schemaRef ds:uri="http://schemas.openxmlformats.org/package/2006/metadata/core-properties"/>
    <ds:schemaRef ds:uri="http://purl.org/dc/dcmitype/"/>
    <ds:schemaRef ds:uri="http://schemas.microsoft.com/office/infopath/2007/PartnerControls"/>
    <ds:schemaRef ds:uri="e3be8487-a338-4998-a127-a95b9919dbec"/>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4D286596-173B-4911-8612-2240FF6173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6eb3e5-4b8c-40ab-b0b9-6425f2b4173b"/>
    <ds:schemaRef ds:uri="e3be8487-a338-4998-a127-a95b9919db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vt:i4>
      </vt:variant>
    </vt:vector>
  </HeadingPairs>
  <TitlesOfParts>
    <vt:vector size="27" baseType="lpstr">
      <vt:lpstr>CLIN Pricing Information</vt:lpstr>
      <vt:lpstr>SIR Section B Input</vt:lpstr>
      <vt:lpstr>Summary Prices By Site</vt:lpstr>
      <vt:lpstr>SCA WD</vt:lpstr>
      <vt:lpstr>CBA WD </vt:lpstr>
      <vt:lpstr>C90 Rate Build Up</vt:lpstr>
      <vt:lpstr>D10 Rate Build Up</vt:lpstr>
      <vt:lpstr>DFW ATCT-E Rate Build Up</vt:lpstr>
      <vt:lpstr>DFW ATCT-W Rate Build Up</vt:lpstr>
      <vt:lpstr>DTW Rate Build Up</vt:lpstr>
      <vt:lpstr>I90 TRACON Rate Build Up</vt:lpstr>
      <vt:lpstr>IAH ATCT Rate Build Up</vt:lpstr>
      <vt:lpstr>MSP ATCT Rate Build Up</vt:lpstr>
      <vt:lpstr>ORD ATCT Rate Build Up</vt:lpstr>
      <vt:lpstr>ZAB ARTCC Rate Build Up</vt:lpstr>
      <vt:lpstr>ZAU Rate Build Up</vt:lpstr>
      <vt:lpstr>ZFW Rate Build Up</vt:lpstr>
      <vt:lpstr>ZHU Rate Build Up</vt:lpstr>
      <vt:lpstr>ZID Rate Build Up</vt:lpstr>
      <vt:lpstr>ZKC Rate Build Up</vt:lpstr>
      <vt:lpstr>ZMP Rate Build Up</vt:lpstr>
      <vt:lpstr>ZOB Rate Build Up</vt:lpstr>
      <vt:lpstr>_BasePeriod</vt:lpstr>
      <vt:lpstr>_OP1</vt:lpstr>
      <vt:lpstr>_OP2</vt:lpstr>
      <vt:lpstr>_OP3</vt:lpstr>
      <vt:lpstr>_OP4</vt:lpstr>
    </vt:vector>
  </TitlesOfParts>
  <Manager/>
  <Company>J&amp;J Maintenance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rwofford</dc:creator>
  <cp:keywords/>
  <dc:description/>
  <cp:lastModifiedBy>SUMNER, DONALD C (FAA)</cp:lastModifiedBy>
  <cp:revision/>
  <dcterms:created xsi:type="dcterms:W3CDTF">2000-11-15T08:17:21Z</dcterms:created>
  <dcterms:modified xsi:type="dcterms:W3CDTF">2026-04-30T13:48:47Z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0x0101001262B775DBE1634291FB14472E1ADAB4</vt:lpwstr>
  </property>
  <property fmtid="{D5CDD505-2E9C-101B-9397-08002B2CF9AE}" pid="3" name="MediaServiceImageTags">
    <vt:lpwstr/>
  </property>
</Properties>
</file>