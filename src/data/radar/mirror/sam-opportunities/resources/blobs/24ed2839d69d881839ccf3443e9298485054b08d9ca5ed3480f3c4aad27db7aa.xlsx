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611561EC-1E0A-4C7C-893D-139D32D62933}" xr6:coauthVersionLast="47" xr6:coauthVersionMax="47" xr10:uidLastSave="{00000000-0000-0000-0000-000000000000}"/>
  <bookViews>
    <workbookView xWindow="4695" yWindow="1890" windowWidth="21600" windowHeight="11295" firstSheet="3" activeTab="7" xr2:uid="{00000000-000D-0000-FFFF-FFFF00000000}"/>
  </bookViews>
  <sheets>
    <sheet name="RAF Lakenheath" sheetId="11" r:id="rId1"/>
    <sheet name="RAF Feltwell" sheetId="12" r:id="rId2"/>
    <sheet name="RAF Mildenhall " sheetId="13" r:id="rId3"/>
    <sheet name=" RAF Alconbury" sheetId="5" r:id="rId4"/>
    <sheet name="RAF Molesworth" sheetId="6" r:id="rId5"/>
    <sheet name="RAF Croughton" sheetId="7" r:id="rId6"/>
    <sheet name="RAF Blenheim Crescent" sheetId="10" r:id="rId7"/>
    <sheet name="RAF Fairford" sheetId="9" r:id="rId8"/>
    <sheet name="RAF Welford" sheetId="8" r:id="rId9"/>
    <sheet name="Det 6- Heathrow" sheetId="14" r:id="rId10"/>
  </sheets>
  <definedNames>
    <definedName name="_xlnm._FilterDatabase" localSheetId="7" hidden="1">'RAF Fairford'!$B$7:$M$22</definedName>
    <definedName name="_xlnm._FilterDatabase" localSheetId="1" hidden="1">'RAF Feltwell'!$A$3:$F$45</definedName>
    <definedName name="_xlnm._FilterDatabase" localSheetId="0" hidden="1">'RAF Lakenheath'!$B$3:$F$233</definedName>
    <definedName name="_xlnm._FilterDatabase" localSheetId="2" hidden="1">'RAF Mildenhall '!$B$3:$F$105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5" l="1"/>
  <c r="C109" i="5"/>
  <c r="C108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D88" i="6"/>
  <c r="D81" i="6"/>
  <c r="D80" i="6"/>
  <c r="D78" i="6"/>
  <c r="D77" i="6"/>
  <c r="D76" i="6"/>
  <c r="D75" i="6"/>
  <c r="D68" i="6"/>
  <c r="D67" i="6"/>
  <c r="D66" i="6"/>
  <c r="D65" i="6"/>
  <c r="D64" i="6"/>
  <c r="D63" i="6"/>
  <c r="D56" i="6"/>
  <c r="D55" i="6"/>
  <c r="D87" i="6" s="1"/>
  <c r="D54" i="6"/>
  <c r="D86" i="6" s="1"/>
  <c r="D53" i="6"/>
  <c r="D85" i="6" s="1"/>
  <c r="D52" i="6"/>
  <c r="D84" i="6" s="1"/>
  <c r="D51" i="6"/>
  <c r="D83" i="6" s="1"/>
  <c r="D50" i="6"/>
  <c r="D82" i="6" s="1"/>
  <c r="D49" i="6"/>
  <c r="D48" i="6"/>
  <c r="D47" i="6"/>
  <c r="D46" i="6"/>
  <c r="D45" i="6"/>
  <c r="D44" i="6"/>
  <c r="D43" i="6"/>
  <c r="D74" i="6" s="1"/>
  <c r="D42" i="6"/>
  <c r="D73" i="6" s="1"/>
  <c r="D41" i="6"/>
  <c r="D72" i="6" s="1"/>
  <c r="D40" i="6"/>
  <c r="D71" i="6" s="1"/>
  <c r="D39" i="6"/>
  <c r="D70" i="6" s="1"/>
  <c r="D38" i="6"/>
  <c r="D69" i="6" s="1"/>
  <c r="D37" i="6"/>
  <c r="D36" i="6"/>
  <c r="D35" i="6"/>
  <c r="D34" i="6"/>
  <c r="D33" i="6"/>
  <c r="D32" i="6"/>
  <c r="D31" i="6"/>
  <c r="D62" i="6" s="1"/>
  <c r="D30" i="6"/>
  <c r="D61" i="6" s="1"/>
  <c r="D29" i="6"/>
  <c r="D60" i="6" s="1"/>
  <c r="D28" i="6"/>
  <c r="D59" i="6" s="1"/>
  <c r="D27" i="6"/>
  <c r="D57" i="6" s="1"/>
</calcChain>
</file>

<file path=xl/sharedStrings.xml><?xml version="1.0" encoding="utf-8"?>
<sst xmlns="http://schemas.openxmlformats.org/spreadsheetml/2006/main" count="3104" uniqueCount="716">
  <si>
    <t>Size</t>
  </si>
  <si>
    <t>Frequency</t>
  </si>
  <si>
    <t>EWC</t>
  </si>
  <si>
    <t>Quantity</t>
  </si>
  <si>
    <t>FEL</t>
  </si>
  <si>
    <t>Appendix B - Tasks &amp; Estimated Frequencies: RAF Lakenheath</t>
  </si>
  <si>
    <t>Appendix B - Tasks &amp; Estimated Frequencies: RAF Mildenhall</t>
  </si>
  <si>
    <t>Appendix B - Tasks &amp; Estimated Frequencies: RAF Feltwell</t>
  </si>
  <si>
    <t>20 03 01</t>
  </si>
  <si>
    <t>T/Th</t>
  </si>
  <si>
    <t>M/W/F</t>
  </si>
  <si>
    <t>M/W/F/Saturday</t>
  </si>
  <si>
    <t>W/F</t>
  </si>
  <si>
    <t>T/F</t>
  </si>
  <si>
    <t>M/F</t>
  </si>
  <si>
    <t>M/T/W/Th/F/Saturday</t>
  </si>
  <si>
    <t>T/Th/Saturday</t>
  </si>
  <si>
    <t>Th</t>
  </si>
  <si>
    <r>
      <t>6.1  m</t>
    </r>
    <r>
      <rPr>
        <vertAlign val="superscript"/>
        <sz val="12"/>
        <color theme="1"/>
        <rFont val="Times New Roman"/>
        <family val="1"/>
      </rPr>
      <t xml:space="preserve">3 </t>
    </r>
    <r>
      <rPr>
        <sz val="12"/>
        <color theme="1"/>
        <rFont val="Times New Roman"/>
        <family val="1"/>
      </rPr>
      <t>skip</t>
    </r>
  </si>
  <si>
    <t xml:space="preserve">FEL </t>
  </si>
  <si>
    <t>T</t>
  </si>
  <si>
    <r>
      <t>26.8  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Bulk Carrier</t>
    </r>
  </si>
  <si>
    <r>
      <t>26.8  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Bulk Carrier </t>
    </r>
  </si>
  <si>
    <t>M/Th</t>
  </si>
  <si>
    <t>M</t>
  </si>
  <si>
    <t>F</t>
  </si>
  <si>
    <t>W</t>
  </si>
  <si>
    <t>Sweepings</t>
  </si>
  <si>
    <t xml:space="preserve">CAT 3 Bin </t>
  </si>
  <si>
    <t>02 03 99</t>
  </si>
  <si>
    <t>1x Weekly</t>
  </si>
  <si>
    <t>CAT 1 Bin Burn Bin</t>
  </si>
  <si>
    <t>19 08 01</t>
  </si>
  <si>
    <t>20 03 99</t>
  </si>
  <si>
    <t>Location                                            (Building Number/Nomenclature)</t>
  </si>
  <si>
    <t>T/W/F</t>
  </si>
  <si>
    <t>M/T/W/F</t>
  </si>
  <si>
    <t>M/T/W/Th/F</t>
  </si>
  <si>
    <t>Bulk Carrier / Wood Recyling</t>
  </si>
  <si>
    <t>20 01 38</t>
  </si>
  <si>
    <t>Monthly</t>
  </si>
  <si>
    <t>8/16 Yard Skip (Screenings)</t>
  </si>
  <si>
    <t>Monthly / As needed</t>
  </si>
  <si>
    <t xml:space="preserve">8/16 Yard Skip </t>
  </si>
  <si>
    <t>Soil/Rubble/Concrete</t>
  </si>
  <si>
    <t>Fortnightly</t>
  </si>
  <si>
    <t>8/16 Yard Skip (General Waste)</t>
  </si>
  <si>
    <t>02 03 01</t>
  </si>
  <si>
    <t>Weekly</t>
  </si>
  <si>
    <t>8/16 Yard Skip (Runway Sweepings)</t>
  </si>
  <si>
    <t>17 01 07</t>
  </si>
  <si>
    <t>8/16 Yard Skip</t>
  </si>
  <si>
    <t>Soil &amp; Leaf Matter</t>
  </si>
  <si>
    <t>Location                                                                  (Building Number/Nomenclature)</t>
  </si>
  <si>
    <t>Location                                                             (Building Number/Nomenclature)</t>
  </si>
  <si>
    <t xml:space="preserve"> Bldg 18 / Comms/AFN</t>
  </si>
  <si>
    <t xml:space="preserve"> Bldg 70 / Hangar 1 ( Hospital)</t>
  </si>
  <si>
    <t xml:space="preserve"> Bldg 71 / Hangar 2 AAFES</t>
  </si>
  <si>
    <t xml:space="preserve"> Bldg 73 / FMO Warehouse</t>
  </si>
  <si>
    <t xml:space="preserve"> Bldg 76 / Hangar 5 AAFES</t>
  </si>
  <si>
    <t xml:space="preserve"> Bldg 80 / Veterinary Clinic</t>
  </si>
  <si>
    <t xml:space="preserve"> Bldg 92 / Elementary School</t>
  </si>
  <si>
    <t xml:space="preserve"> Bldg 94 / Community Centre</t>
  </si>
  <si>
    <t xml:space="preserve"> Bldg 95 / School Cafeteria</t>
  </si>
  <si>
    <t xml:space="preserve"> Bldg 202 / Det 4</t>
  </si>
  <si>
    <t xml:space="preserve"> Bldg 215 / PMEL</t>
  </si>
  <si>
    <t xml:space="preserve"> Sewer Plant / Leonards Lane</t>
  </si>
  <si>
    <t xml:space="preserve"> Gate 8/1078 / Car Park</t>
  </si>
  <si>
    <t xml:space="preserve"> Bldg 5900 / Taco Bell Park</t>
  </si>
  <si>
    <t xml:space="preserve"> Bldg 55 / Elementary School</t>
  </si>
  <si>
    <t xml:space="preserve"> Bldg 250 / Youth Program</t>
  </si>
  <si>
    <t xml:space="preserve"> Bldg 648 / Liberty Club</t>
  </si>
  <si>
    <t xml:space="preserve"> Bldg 650 / Shop</t>
  </si>
  <si>
    <t xml:space="preserve"> Bldg 651 / Bowling Alley</t>
  </si>
  <si>
    <t xml:space="preserve"> Bldg 659 / CDC East</t>
  </si>
  <si>
    <t xml:space="preserve"> Bldg 670 / Pizza Place</t>
  </si>
  <si>
    <t xml:space="preserve"> Bldg 804 / Intermediate School</t>
  </si>
  <si>
    <t xml:space="preserve"> Bldg 820 / High School</t>
  </si>
  <si>
    <t xml:space="preserve"> Bldg 840 / High School Café</t>
  </si>
  <si>
    <t xml:space="preserve"> Bldg 868 / Dorm</t>
  </si>
  <si>
    <t xml:space="preserve"> Bldg 900 / Gym/Arts and Crafts</t>
  </si>
  <si>
    <t xml:space="preserve"> Bldg 917 / Dorm</t>
  </si>
  <si>
    <t xml:space="preserve"> Bldg 920 / Dorm</t>
  </si>
  <si>
    <t xml:space="preserve"> Bldg 932 / Hospital Kitchen</t>
  </si>
  <si>
    <t xml:space="preserve"> Bldg 934 / Knight Table</t>
  </si>
  <si>
    <t xml:space="preserve"> Bldg 948 / Education</t>
  </si>
  <si>
    <t xml:space="preserve"> Bldg 953 / Burger King</t>
  </si>
  <si>
    <t xml:space="preserve"> Bldg 958 / Officers Club</t>
  </si>
  <si>
    <t xml:space="preserve"> Bldg 977 / Liberty Centre</t>
  </si>
  <si>
    <t xml:space="preserve"> Bldg 980/982 / Officers Dorms</t>
  </si>
  <si>
    <t xml:space="preserve"> Bldg 989 / Community Bank</t>
  </si>
  <si>
    <t xml:space="preserve"> Bldg 998 / BX (REAR)</t>
  </si>
  <si>
    <t xml:space="preserve"> Bldg 1000/1 / TLF</t>
  </si>
  <si>
    <t xml:space="preserve"> Bldg 1005 / Trans Yard</t>
  </si>
  <si>
    <t xml:space="preserve"> Bldg 1019 (26) / Sewage Plant</t>
  </si>
  <si>
    <t xml:space="preserve"> Bldg 1019 / Sewage Plant</t>
  </si>
  <si>
    <t xml:space="preserve"> Bldg 1025 / US Post Office</t>
  </si>
  <si>
    <t xml:space="preserve"> Bldg 1034 / Warehouse</t>
  </si>
  <si>
    <t xml:space="preserve"> Bldg 1035 / LRS</t>
  </si>
  <si>
    <t xml:space="preserve"> Bldg 1035 / AEF</t>
  </si>
  <si>
    <t xml:space="preserve"> Bldg 1049 / Confinement</t>
  </si>
  <si>
    <t xml:space="preserve"> Bldg 1065 / Sec Forces</t>
  </si>
  <si>
    <t xml:space="preserve"> Bldg 1071 / Self Help</t>
  </si>
  <si>
    <t xml:space="preserve"> Bldg 1078 / Shop/Gas Stn</t>
  </si>
  <si>
    <t xml:space="preserve"> Bldg 1081 / Commissary</t>
  </si>
  <si>
    <t xml:space="preserve"> Bldg 1082 / Legal</t>
  </si>
  <si>
    <t xml:space="preserve"> Bldg 1100 / Comms</t>
  </si>
  <si>
    <t xml:space="preserve"> Bldg 1108 / Auto Hobby Shop</t>
  </si>
  <si>
    <t xml:space="preserve"> Bldg 1120 / CES Heavy Shop</t>
  </si>
  <si>
    <t xml:space="preserve"> Bldg 1165 / Security Police</t>
  </si>
  <si>
    <t xml:space="preserve"> Bldg 1200 / Fire Station</t>
  </si>
  <si>
    <t xml:space="preserve"> Bldg 1220 / Fuel Maint</t>
  </si>
  <si>
    <t xml:space="preserve"> Bldg 1238 / Airfield SE-3</t>
  </si>
  <si>
    <t xml:space="preserve"> Bldg 1244/46 / Ops</t>
  </si>
  <si>
    <t xml:space="preserve"> Bldg 1253 / Muns Maint Admin</t>
  </si>
  <si>
    <t xml:space="preserve"> Bldg 1263 / Aircraft Maint (1)</t>
  </si>
  <si>
    <t xml:space="preserve"> Bldg 1286 / Aircraft Maint (2)</t>
  </si>
  <si>
    <t xml:space="preserve"> Bldg 1319 / Strike Eagle</t>
  </si>
  <si>
    <t xml:space="preserve"> Bldg 1320 / Golf Club</t>
  </si>
  <si>
    <t xml:space="preserve"> Bldg 1324 / Refuel Maint</t>
  </si>
  <si>
    <t xml:space="preserve"> Bldg 1332 / Airfield SE-4</t>
  </si>
  <si>
    <t xml:space="preserve"> Bldg 1346 / Intel</t>
  </si>
  <si>
    <t xml:space="preserve"> Bldg 1370 / New Squad Ops</t>
  </si>
  <si>
    <t xml:space="preserve"> Bldg 1385 / ECM Pod Shop</t>
  </si>
  <si>
    <t xml:space="preserve"> Bldg 1392 / Base Ops</t>
  </si>
  <si>
    <t xml:space="preserve"> Bldg 1511 / North Side Fire Stn</t>
  </si>
  <si>
    <t xml:space="preserve"> Bldg 1554 / Ammo Compound</t>
  </si>
  <si>
    <t xml:space="preserve"> Bldg 1081 / Commisary</t>
  </si>
  <si>
    <t xml:space="preserve"> Bldg 1078 / Taco Bell</t>
  </si>
  <si>
    <t xml:space="preserve"> Bldg 650 / Subway</t>
  </si>
  <si>
    <t xml:space="preserve"> Bldg 439 / CDC Kitchen</t>
  </si>
  <si>
    <t xml:space="preserve"> Bldg 2 / Sewage Farm</t>
  </si>
  <si>
    <t xml:space="preserve"> Bldg 105 / TLF</t>
  </si>
  <si>
    <t xml:space="preserve"> Bldg 107 / Dorm</t>
  </si>
  <si>
    <t xml:space="preserve"> Bldg 111 / Dorm</t>
  </si>
  <si>
    <t xml:space="preserve"> Bldg 127 / Commissary</t>
  </si>
  <si>
    <t xml:space="preserve"> Bldg 160 / Bowling Alley</t>
  </si>
  <si>
    <t xml:space="preserve"> Bldg 163 / BX</t>
  </si>
  <si>
    <t xml:space="preserve"> Bldg 172 / Post Office</t>
  </si>
  <si>
    <t xml:space="preserve"> Bldg 191 / Herritage Park</t>
  </si>
  <si>
    <t xml:space="preserve"> Bldg 215 / Dorm</t>
  </si>
  <si>
    <t xml:space="preserve"> Bldg 220 / Youth Center</t>
  </si>
  <si>
    <t xml:space="preserve"> Bldg 231 / Dorm 210</t>
  </si>
  <si>
    <t xml:space="preserve"> Bldg 237 / VOQ</t>
  </si>
  <si>
    <t xml:space="preserve"> Bldg 240 / Automotive Shop</t>
  </si>
  <si>
    <t xml:space="preserve"> Bldg 288 / CDC/AYA</t>
  </si>
  <si>
    <t xml:space="preserve"> Bldg 422 / Comms</t>
  </si>
  <si>
    <t xml:space="preserve"> Bldg 436 / Dining Facility</t>
  </si>
  <si>
    <t xml:space="preserve"> Bldg 437 / Galaxy Club</t>
  </si>
  <si>
    <t xml:space="preserve"> Bldg 442 / 100LRS Customer Support</t>
  </si>
  <si>
    <t xml:space="preserve"> Bldg 463 / Gym</t>
  </si>
  <si>
    <t xml:space="preserve"> Bldg 464 / Officers Club</t>
  </si>
  <si>
    <t xml:space="preserve"> Bldg 474 / Chapel</t>
  </si>
  <si>
    <t xml:space="preserve"> Bldg 501 / Support Group</t>
  </si>
  <si>
    <t xml:space="preserve"> Bldg 528 / Jet Engine Shop</t>
  </si>
  <si>
    <t xml:space="preserve"> Bldg 530 / Galaxy Warehouse</t>
  </si>
  <si>
    <t xml:space="preserve"> Bldg 539 / SOG</t>
  </si>
  <si>
    <t xml:space="preserve"> Bldg 550 / Warehouse</t>
  </si>
  <si>
    <t xml:space="preserve"> Bldg 554 / 100LRS/Warehouse</t>
  </si>
  <si>
    <t xml:space="preserve"> Bldg 582 / Supply Ramp</t>
  </si>
  <si>
    <t xml:space="preserve"> Bldg 591 / Command Post</t>
  </si>
  <si>
    <t xml:space="preserve"> Bldg 598 / Passenger Terminal</t>
  </si>
  <si>
    <t xml:space="preserve"> Bldg 599 / Air Freight Terminal</t>
  </si>
  <si>
    <t xml:space="preserve"> Bldg 607 / Electric Shop</t>
  </si>
  <si>
    <t xml:space="preserve"> Bldg 611 / Vehicle Maintenance</t>
  </si>
  <si>
    <t xml:space="preserve"> Bldg 619 / 100 Ops Group</t>
  </si>
  <si>
    <t xml:space="preserve"> Bldg 639 / Security Forces</t>
  </si>
  <si>
    <t xml:space="preserve"> Bldg 657 / Structures Shop</t>
  </si>
  <si>
    <t xml:space="preserve"> Bldg 680 / Location 663</t>
  </si>
  <si>
    <t xml:space="preserve"> Bldg 680 / North Side Recycling</t>
  </si>
  <si>
    <t xml:space="preserve"> Bldg 707 / 95th</t>
  </si>
  <si>
    <t xml:space="preserve"> Bldg 720 / Squadron Ops</t>
  </si>
  <si>
    <t xml:space="preserve"> Bldg 727 / Special Ops Group</t>
  </si>
  <si>
    <t xml:space="preserve"> Bldg 764 / Honour Guard</t>
  </si>
  <si>
    <t xml:space="preserve"> Bldg 772 / Fuel Shop</t>
  </si>
  <si>
    <t xml:space="preserve"> Bldg 775 / MXS</t>
  </si>
  <si>
    <t xml:space="preserve"> Bldg 788 / SOG</t>
  </si>
  <si>
    <t xml:space="preserve"> Bldg 796 / Flight line Dining</t>
  </si>
  <si>
    <t xml:space="preserve"> Bldg 797 / BE Maintenance Shop</t>
  </si>
  <si>
    <t xml:space="preserve"> Bldg 802 / Squadron Ops</t>
  </si>
  <si>
    <t xml:space="preserve"> Bldg 809 / New Combined Ops</t>
  </si>
  <si>
    <t xml:space="preserve"> Bldg 814 / 100 Maintenance Comp</t>
  </si>
  <si>
    <t xml:space="preserve"> Bldg 816 / Flight Simulator</t>
  </si>
  <si>
    <t xml:space="preserve"> Bldg 818 / Recycling Yard</t>
  </si>
  <si>
    <t xml:space="preserve"> Bldg 849 / South Side Gym</t>
  </si>
  <si>
    <t xml:space="preserve"> Bldg 1546 / Warehouse</t>
  </si>
  <si>
    <t xml:space="preserve"> Bldg 1785 / 488 IS</t>
  </si>
  <si>
    <t xml:space="preserve"> Bldg 2 / Sewage Treatment</t>
  </si>
  <si>
    <t xml:space="preserve"> Bldg 763 / Heavy Shop</t>
  </si>
  <si>
    <t>19 08 05</t>
  </si>
  <si>
    <t>20 03 04</t>
  </si>
  <si>
    <t>Annually</t>
  </si>
  <si>
    <t>20 01 25</t>
  </si>
  <si>
    <t>13 05 07</t>
  </si>
  <si>
    <t>Every other week</t>
  </si>
  <si>
    <t>3,000 Gallon</t>
  </si>
  <si>
    <t>Truck</t>
  </si>
  <si>
    <t>Bldg. 77 / Septic Sewage</t>
  </si>
  <si>
    <t>Bldg 54 / Septic Sewage</t>
  </si>
  <si>
    <t xml:space="preserve"> Bldg 78 / Septic Sewage</t>
  </si>
  <si>
    <t xml:space="preserve"> Bldg 148 / Septic Sewage</t>
  </si>
  <si>
    <t xml:space="preserve"> Bldg 215/230 / Septic Sewage</t>
  </si>
  <si>
    <t xml:space="preserve"> Bldg 22 / Grease Trap</t>
  </si>
  <si>
    <t xml:space="preserve"> Bldg 30 / Grease Trap</t>
  </si>
  <si>
    <t xml:space="preserve"> Bldg 37 / Grease Trap</t>
  </si>
  <si>
    <t xml:space="preserve"> Bldg 94 / Grease Trap</t>
  </si>
  <si>
    <t xml:space="preserve"> Bldg 109 / Grease Trap</t>
  </si>
  <si>
    <t>3,000 Gallons</t>
  </si>
  <si>
    <t>Bldg 653 / Search Barn Cess Pit</t>
  </si>
  <si>
    <t>Bldg. 529 / Lock Shop Cess Pit</t>
  </si>
  <si>
    <t xml:space="preserve"> Bldg 1381 / Munitions Cess Pit</t>
  </si>
  <si>
    <t xml:space="preserve"> Bldg 818 / Recycling Cess Pit</t>
  </si>
  <si>
    <t xml:space="preserve"> Bldg 900 / Dog Kennels Cess Pit</t>
  </si>
  <si>
    <t xml:space="preserve"> Bldg 744 / Cess Pit</t>
  </si>
  <si>
    <t xml:space="preserve"> Bldg 797 / Fuels Shop Cess Pit</t>
  </si>
  <si>
    <t xml:space="preserve"> Bldg Adjacent to Psi 4 / Cess Pit</t>
  </si>
  <si>
    <t xml:space="preserve"> Bldg 669 / Fire Station Grease Trap</t>
  </si>
  <si>
    <t xml:space="preserve"> Bldg 436 / Chow Hall Grease Trap</t>
  </si>
  <si>
    <t>Bldg 464 / Middleton Hall Grease Trap</t>
  </si>
  <si>
    <t>Bldg 160 / Bowling Allley Grease Trap</t>
  </si>
  <si>
    <t>Bldg 127 / Subway Grease Trap</t>
  </si>
  <si>
    <t>Bldg 288 / CDC Grease Trap</t>
  </si>
  <si>
    <t>Various Oil Water Interceptors/Seperators</t>
  </si>
  <si>
    <t>Various Fuel Tank Bunds</t>
  </si>
  <si>
    <t>Various Aircraft Wash Racks</t>
  </si>
  <si>
    <t>16 10 02</t>
  </si>
  <si>
    <t>Weekly/As Directed by Fuel shop</t>
  </si>
  <si>
    <t>Every 6 Weeks</t>
  </si>
  <si>
    <t>Approx 2 times/year</t>
  </si>
  <si>
    <t>Approx every 6 weeks</t>
  </si>
  <si>
    <t>Every 2 weeks</t>
  </si>
  <si>
    <t>Bldg 1019 / Sewage Treatment Sludge</t>
  </si>
  <si>
    <t>Bldg 2 / Sewage Treatment Sludge</t>
  </si>
  <si>
    <t>Bldg 85 / Sewage Treatment Sludge</t>
  </si>
  <si>
    <t>6,000 Gallon</t>
  </si>
  <si>
    <t>Bldg 1564 / Sewage Treatment Sludge</t>
  </si>
  <si>
    <t>Bldg 1037 / Cess Pit</t>
  </si>
  <si>
    <t>Bldg 1055 / CE Escort Cess Pit</t>
  </si>
  <si>
    <t>Bldg 1072 / Logistics Cess Pit</t>
  </si>
  <si>
    <t>Bldg 1120 / Heavy Equipment Cess Pit</t>
  </si>
  <si>
    <t>Bldg 1201 / Hanger 6019 Cess Pit</t>
  </si>
  <si>
    <t>Bldg 1234 / Aircraft Maintenance Cess Pit</t>
  </si>
  <si>
    <t>Bldg 1235 / Cess Pit</t>
  </si>
  <si>
    <t>Bldg 1253 / Aircraft Maintenance Cess Pit</t>
  </si>
  <si>
    <t>Bldg 1256 / Aircraft Maintenance Cess Pit</t>
  </si>
  <si>
    <t>Bldg 1259 / Cess Pit</t>
  </si>
  <si>
    <t>Bldg 1263 / Aircraft Maintenance Cess Pit</t>
  </si>
  <si>
    <t>Bldg 1273 / Aircraft Maintenance Cess Pit</t>
  </si>
  <si>
    <t>Bldg 1281 / Aircraft Maintenance Cess Pit</t>
  </si>
  <si>
    <t>Bldg 1286 / Aircraft Maintenance Cess Pit</t>
  </si>
  <si>
    <t>Bldg 1397 / Power Production Cess Pit</t>
  </si>
  <si>
    <t>Bldg 1400 / Munitions Cess Pit</t>
  </si>
  <si>
    <t>Bldg 1476 / Munitions Cess Pit</t>
  </si>
  <si>
    <t>Bldg 1509 / Munitions Cess Pit</t>
  </si>
  <si>
    <t>Bldg 1554 / Munitions Cess Pit</t>
  </si>
  <si>
    <t>Bldg 1585 / Munitions Cess Pit</t>
  </si>
  <si>
    <t>Bldg 1925 / Cess Pit</t>
  </si>
  <si>
    <t>Bldg 6181 / Hanger Cess Pit</t>
  </si>
  <si>
    <t>Bldg 1912 / Fuels Facility Cess Pit</t>
  </si>
  <si>
    <t>Bldg 1913 / Fuels Facility Cess Pit</t>
  </si>
  <si>
    <t>Bldg 1269 / Hush House Septic Tank</t>
  </si>
  <si>
    <t>Bldg 1466 / Munitions Septic Tank</t>
  </si>
  <si>
    <t>Bldg 51 / Elementary School Grease Trap</t>
  </si>
  <si>
    <t>Bldg 439 / CDC Grease Trap</t>
  </si>
  <si>
    <t>Bldg 648 / Liberty Club Grease Trap</t>
  </si>
  <si>
    <t>Bldg 657 / Bowling Alley Grease Trap</t>
  </si>
  <si>
    <t>Bldg 659 / CDC Grease Trap</t>
  </si>
  <si>
    <t>Bldg 800 / Intermediate School Grease Trap</t>
  </si>
  <si>
    <t>Bldg 840 / High School Grease Trap</t>
  </si>
  <si>
    <t>Bldg 932 / Hospital Dining Facility Grease Trap</t>
  </si>
  <si>
    <t>Bldg 934 / Dining Facility Grease Trap</t>
  </si>
  <si>
    <t>Bldg 952 / Burger King Grease Trap</t>
  </si>
  <si>
    <t>Bldg 958 / Eagles Landing Grease Trap</t>
  </si>
  <si>
    <t>Bldg 998 / Base Exchange Grease Trap</t>
  </si>
  <si>
    <t>Bldg 1078 / Taco Bell Grease Trap</t>
  </si>
  <si>
    <t>Bldg 1081 / Commisary Grease Trap</t>
  </si>
  <si>
    <t>Bldg 1224 / Flightling Dining Grease Trap</t>
  </si>
  <si>
    <t>Various Oil/ Water Seperators</t>
  </si>
  <si>
    <t>Bi-Weekly</t>
  </si>
  <si>
    <t>2x per Week</t>
  </si>
  <si>
    <t>3,000 or 6,000 Gallon</t>
  </si>
  <si>
    <t>Various Fuel Aircraft Hanger Pits</t>
  </si>
  <si>
    <t>TH</t>
  </si>
  <si>
    <t>Green Waste</t>
  </si>
  <si>
    <t>360ltr</t>
  </si>
  <si>
    <t xml:space="preserve">BASE HOUSING </t>
  </si>
  <si>
    <t>Municipal</t>
  </si>
  <si>
    <t>Recyclables</t>
  </si>
  <si>
    <t>M / TH</t>
  </si>
  <si>
    <t>B124</t>
  </si>
  <si>
    <t>640 Britannia Inn</t>
  </si>
  <si>
    <t>637 Stukeley Inn</t>
  </si>
  <si>
    <t>577 Former Shoppette</t>
  </si>
  <si>
    <t>699 Scouts</t>
  </si>
  <si>
    <t>680 Teen Center</t>
  </si>
  <si>
    <t>675 Lodgings</t>
  </si>
  <si>
    <t>693 High School</t>
  </si>
  <si>
    <t>616 Bowling Center</t>
  </si>
  <si>
    <t>623 Clinic</t>
  </si>
  <si>
    <t>626 Auto Hobby</t>
  </si>
  <si>
    <t>30 m3 ro-ro</t>
  </si>
  <si>
    <t xml:space="preserve">613 Recycling Center </t>
  </si>
  <si>
    <t>Wood</t>
  </si>
  <si>
    <t>Bulk</t>
  </si>
  <si>
    <t>M / TU</t>
  </si>
  <si>
    <t>648 DECA Commissary</t>
  </si>
  <si>
    <t>652 Dormitory</t>
  </si>
  <si>
    <t>582 USBANK</t>
  </si>
  <si>
    <t>594 Subway</t>
  </si>
  <si>
    <t>685 CAC/ Daily Grind</t>
  </si>
  <si>
    <t>596 AAFES Car Care</t>
  </si>
  <si>
    <t>451 Thrift Store</t>
  </si>
  <si>
    <t>562 FMO</t>
  </si>
  <si>
    <t>511 Security Forces</t>
  </si>
  <si>
    <t>490 Fire Dept.</t>
  </si>
  <si>
    <t>Location                                                  (Building Number/Nomenclature)</t>
  </si>
  <si>
    <t>Appendix B - Tasks &amp; Estimated Frequencies: RAF Alconbury</t>
  </si>
  <si>
    <t>B414</t>
  </si>
  <si>
    <t>B406</t>
  </si>
  <si>
    <t>B405</t>
  </si>
  <si>
    <t>B420</t>
  </si>
  <si>
    <t>B612 CATM</t>
  </si>
  <si>
    <t>B91</t>
  </si>
  <si>
    <t>84 Store</t>
  </si>
  <si>
    <t>402 SERCO</t>
  </si>
  <si>
    <t>B415</t>
  </si>
  <si>
    <t>B401</t>
  </si>
  <si>
    <t>B819</t>
  </si>
  <si>
    <t>B407</t>
  </si>
  <si>
    <t>316 NYPD</t>
  </si>
  <si>
    <t>B100</t>
  </si>
  <si>
    <t>344 AAFES</t>
  </si>
  <si>
    <t>511 FSS</t>
  </si>
  <si>
    <t>51 DLA</t>
  </si>
  <si>
    <t>Appendix B - Tasks &amp; Estimated Frequencies: RAF Molesworth</t>
  </si>
  <si>
    <t>Friday</t>
  </si>
  <si>
    <t>240ltr</t>
  </si>
  <si>
    <t>020203</t>
  </si>
  <si>
    <t>60ltr Burn Bin</t>
  </si>
  <si>
    <t xml:space="preserve">Monthly </t>
  </si>
  <si>
    <t>9.2 m3</t>
  </si>
  <si>
    <t>Bldg 69 - RECYCLE CENTRE (Green Waste)</t>
  </si>
  <si>
    <t>10.7 m3</t>
  </si>
  <si>
    <t>Bldg 69 - RECYCLE CENTRE (Bottle Bank)</t>
  </si>
  <si>
    <t>26.8 m3</t>
  </si>
  <si>
    <t xml:space="preserve">Bldg 144 - BASE FURNISHINGS </t>
  </si>
  <si>
    <t>18.2 m3</t>
  </si>
  <si>
    <t xml:space="preserve"> AREA 149 - Base Recyling (Wood)</t>
  </si>
  <si>
    <t xml:space="preserve"> AREA 149 - Base Recyling </t>
  </si>
  <si>
    <t>Fortnightly Wed</t>
  </si>
  <si>
    <t>MFH - BASE HOUSING (Green Waste)</t>
  </si>
  <si>
    <t>Wednesday</t>
  </si>
  <si>
    <t>MFH - BASE HOUSING (DMR)</t>
  </si>
  <si>
    <t>Tuesday</t>
  </si>
  <si>
    <t>MFH - BASE HOUSING (Gen)</t>
  </si>
  <si>
    <t>T/FR</t>
  </si>
  <si>
    <t>1100ltr</t>
  </si>
  <si>
    <t xml:space="preserve">Bldg 56- MED AID </t>
  </si>
  <si>
    <t xml:space="preserve">Bldg 203 - AUTO HOBBY SHOP </t>
  </si>
  <si>
    <t>Bldg 30 - COMM</t>
  </si>
  <si>
    <t>Bldg 47 - TRANSPORTATION</t>
  </si>
  <si>
    <t>Bldg 69 - RECYCLE CENTRE</t>
  </si>
  <si>
    <t>Bldg 105 - FOOD COURT</t>
  </si>
  <si>
    <t>Bldg 92 - CONSOLIDATED CLUB</t>
  </si>
  <si>
    <t>Bldg 76 (East) - BX AREA</t>
  </si>
  <si>
    <t>Bldg 76 (West) - COMMISSARY</t>
  </si>
  <si>
    <t>Bldg 75 - AAFES GARAGE</t>
  </si>
  <si>
    <t>Bldg 175 - RITC</t>
  </si>
  <si>
    <t>Bldg 61 - FIRE STATION</t>
  </si>
  <si>
    <t>Bldg 200 - COMMAND SECTION</t>
  </si>
  <si>
    <t>Bldg 230 - SCHOOL</t>
  </si>
  <si>
    <t>Bldg 150 - CDC</t>
  </si>
  <si>
    <t>Bldg 153 (West) - BASE SUPPLY WEST</t>
  </si>
  <si>
    <t>Bldg 180 - SATCOM</t>
  </si>
  <si>
    <t>Bldg 144 - BASE FURNISHINGS</t>
  </si>
  <si>
    <t>Bldg 153 (East) - BASE SUPPLY EAST</t>
  </si>
  <si>
    <t>Bldg 223- COMMUNITY BBQ AREA</t>
  </si>
  <si>
    <t>Bldg 26 - POST OFFICE AREA</t>
  </si>
  <si>
    <t>Bldg 4- SECURITY FORCES</t>
  </si>
  <si>
    <t>Appendix B - Tasks &amp; Estimated Frequencies: RAF Croughton</t>
  </si>
  <si>
    <t xml:space="preserve"> </t>
  </si>
  <si>
    <t xml:space="preserve">Weekly </t>
  </si>
  <si>
    <t>1100 ltr</t>
  </si>
  <si>
    <t>Thur. every 2nd week</t>
  </si>
  <si>
    <t xml:space="preserve"> 8 m3</t>
  </si>
  <si>
    <t>27m3 RORO</t>
  </si>
  <si>
    <t>Location   (Building Number/Nomenclature)</t>
  </si>
  <si>
    <t>Appendix B - Tasks &amp; Estimated Frequencies: RAF Welford</t>
  </si>
  <si>
    <t xml:space="preserve">   6 m3 FEL</t>
  </si>
  <si>
    <t>Building 590        Bowling Center</t>
  </si>
  <si>
    <t>Building 552        SLA Dorms</t>
  </si>
  <si>
    <t xml:space="preserve">Building 551        Lodging                                </t>
  </si>
  <si>
    <t xml:space="preserve"> Weekly</t>
  </si>
  <si>
    <t>Building  1221        Comm.                         (DMR)</t>
  </si>
  <si>
    <t>Building  31            Fire Station                  (DMR)</t>
  </si>
  <si>
    <t>Building  16           CEO                              (DMR)</t>
  </si>
  <si>
    <t>Building  1             Soft Ball Pitch               (DMR)</t>
  </si>
  <si>
    <t>Building   179        CAC                              (DMR)</t>
  </si>
  <si>
    <t>Building   591        MOD Police                   (DMR)</t>
  </si>
  <si>
    <t>Building  1188      Recycle Center      Wood</t>
  </si>
  <si>
    <t>27 m3 RORO</t>
  </si>
  <si>
    <t xml:space="preserve">Building  1188      Recycle Center      General </t>
  </si>
  <si>
    <t>Wed. Weekly</t>
  </si>
  <si>
    <t>Building  1             Soft Ball Pitch</t>
  </si>
  <si>
    <t xml:space="preserve">                      1100 ltr</t>
  </si>
  <si>
    <t xml:space="preserve">Building 1205        Hangar </t>
  </si>
  <si>
    <t>Building  561         Sewage Works</t>
  </si>
  <si>
    <t xml:space="preserve">Building  591         MOD Police </t>
  </si>
  <si>
    <t>Building  56           Supply</t>
  </si>
  <si>
    <t>Building  16           CEO</t>
  </si>
  <si>
    <t>Building  13            DIO</t>
  </si>
  <si>
    <t>Building  1223        Mat Nav</t>
  </si>
  <si>
    <t>Building  1221        Comm.</t>
  </si>
  <si>
    <t>Building  31            Fire Station</t>
  </si>
  <si>
    <t>Building  20            AGE</t>
  </si>
  <si>
    <t>Building 84             LRSVM</t>
  </si>
  <si>
    <t>Building 30             Birdman</t>
  </si>
  <si>
    <t>Building 179           CAC</t>
  </si>
  <si>
    <t>Appendix B - Tasks &amp; Estimated Frequencies: RAF Fairford</t>
  </si>
  <si>
    <t>Weekly/ As directed by COR</t>
  </si>
  <si>
    <t>Ad-hoc (NTE 1x every 6 weeks)</t>
  </si>
  <si>
    <t>Quarterly</t>
  </si>
  <si>
    <t>Bldg 190 - POST OFFICE AREA</t>
  </si>
  <si>
    <t>Bldg 186 - MAIN OFFICE</t>
  </si>
  <si>
    <t>Monday</t>
  </si>
  <si>
    <t>Appendix B - Tasks &amp; Estimated Frequencies: RAF Blenheim Crescent</t>
  </si>
  <si>
    <t>RAF Blenheim Crescent - Site</t>
  </si>
  <si>
    <t>No more than 6 per year</t>
  </si>
  <si>
    <t>RAF Caversfiled - Site</t>
  </si>
  <si>
    <t>26.8m3</t>
  </si>
  <si>
    <t>Semi-Annual</t>
  </si>
  <si>
    <t>No more than 2 per Month</t>
  </si>
  <si>
    <t xml:space="preserve">No More than 4 per year </t>
  </si>
  <si>
    <t xml:space="preserve">Bi-Monthly </t>
  </si>
  <si>
    <t>Every 8 Weeks</t>
  </si>
  <si>
    <t>1x Monthly</t>
  </si>
  <si>
    <t>1 x Monthly</t>
  </si>
  <si>
    <t xml:space="preserve">On Demand (No more than once weekly) </t>
  </si>
  <si>
    <t xml:space="preserve">On Demand ( No more than once monthly)  </t>
  </si>
  <si>
    <t xml:space="preserve">On Demand (No more than twice quarterly)  </t>
  </si>
  <si>
    <t>On Demand (No more than twice weekly)</t>
  </si>
  <si>
    <t>Various Road Gullies and Catchpits</t>
  </si>
  <si>
    <t>N/A</t>
  </si>
  <si>
    <t>150 first six months / 150 second six months</t>
  </si>
  <si>
    <t>Various Road Gullies</t>
  </si>
  <si>
    <t>1x Annually</t>
  </si>
  <si>
    <t>Road Gullies</t>
  </si>
  <si>
    <t>Liquid</t>
  </si>
  <si>
    <t>Sewage Plant/Works</t>
  </si>
  <si>
    <t>20,000 L</t>
  </si>
  <si>
    <t>Grease Traps</t>
  </si>
  <si>
    <t>1,500 L</t>
  </si>
  <si>
    <t>Liquid/Grease</t>
  </si>
  <si>
    <t>6 weekly</t>
  </si>
  <si>
    <t>Semi-Annually</t>
  </si>
  <si>
    <t xml:space="preserve">Building 581        Troop Canteen </t>
  </si>
  <si>
    <t xml:space="preserve">Building 1205      Hangar </t>
  </si>
  <si>
    <t xml:space="preserve">Building   1654    B2  Shelter </t>
  </si>
  <si>
    <t xml:space="preserve">Building 1110      Airfield Ops </t>
  </si>
  <si>
    <t>Building  1128     Admin</t>
  </si>
  <si>
    <t xml:space="preserve"> Bldg 1446 / MX Material Flight</t>
  </si>
  <si>
    <t xml:space="preserve"> Bldg 1229 / MX Fabrication Flight</t>
  </si>
  <si>
    <t xml:space="preserve"> Bldg 6022 / Hanger 22</t>
  </si>
  <si>
    <t xml:space="preserve"> Bldg 1594 / Ammo Compound</t>
  </si>
  <si>
    <t xml:space="preserve"> Bldg 1604 / Ammo Compound</t>
  </si>
  <si>
    <t xml:space="preserve"> Bldg 1472 / Heli Ops</t>
  </si>
  <si>
    <t xml:space="preserve"> Bldg 1383 / Power Production</t>
  </si>
  <si>
    <t xml:space="preserve"> Bldg 1345 / Ops CORs</t>
  </si>
  <si>
    <t xml:space="preserve"> Bldg 1310/11 / Squad Ops</t>
  </si>
  <si>
    <t xml:space="preserve"> Bldg 1307 / Fuels Management</t>
  </si>
  <si>
    <t xml:space="preserve"> Bldg 1304 / Maintenance Operations</t>
  </si>
  <si>
    <t xml:space="preserve"> Bldg 1225 / Hangar 7</t>
  </si>
  <si>
    <t xml:space="preserve"> Bldg 1212 / Hot Pit</t>
  </si>
  <si>
    <t xml:space="preserve"> Bldg 1138/1139 Recycle Centre</t>
  </si>
  <si>
    <t>2x Monthly</t>
  </si>
  <si>
    <t xml:space="preserve"> Bldg 949 / Dorm</t>
  </si>
  <si>
    <t xml:space="preserve"> Bldg 439 / CDC West</t>
  </si>
  <si>
    <t xml:space="preserve"> Bldg 230 / Maintenance</t>
  </si>
  <si>
    <t>on request</t>
  </si>
  <si>
    <t xml:space="preserve"> Bldg 109 / Middle School</t>
  </si>
  <si>
    <t>Building 4174 / Sweeper</t>
  </si>
  <si>
    <r>
      <t>6.1  m</t>
    </r>
    <r>
      <rPr>
        <vertAlign val="superscript"/>
        <sz val="12"/>
        <color rgb="FF000000"/>
        <rFont val="Times New Roman"/>
        <family val="1"/>
      </rPr>
      <t xml:space="preserve">3 </t>
    </r>
    <r>
      <rPr>
        <sz val="12"/>
        <color rgb="FF000000"/>
        <rFont val="Times New Roman"/>
        <family val="1"/>
      </rPr>
      <t xml:space="preserve"> skip </t>
    </r>
  </si>
  <si>
    <t>Bldg 1320 / Golf Club</t>
  </si>
  <si>
    <r>
      <t>26.8  m</t>
    </r>
    <r>
      <rPr>
        <vertAlign val="superscript"/>
        <sz val="12"/>
        <color rgb="FF000000"/>
        <rFont val="Times New Roman"/>
        <family val="1"/>
      </rPr>
      <t xml:space="preserve">3 </t>
    </r>
    <r>
      <rPr>
        <sz val="12"/>
        <color rgb="FF000000"/>
        <rFont val="Times New Roman"/>
        <family val="1"/>
      </rPr>
      <t xml:space="preserve"> skip </t>
    </r>
  </si>
  <si>
    <t>1 x every 3 months</t>
  </si>
  <si>
    <t>Bldg 206 / Det 4 Parking Lot</t>
  </si>
  <si>
    <t>Bldg 1335 / Secondary Power</t>
  </si>
  <si>
    <t>Bldg 530/ SOW</t>
  </si>
  <si>
    <t>Bulk Carrier/PoPs</t>
  </si>
  <si>
    <t>Adhoc</t>
  </si>
  <si>
    <t>20 03 07</t>
  </si>
  <si>
    <t xml:space="preserve">Bldg 818/ Recycling Yard </t>
  </si>
  <si>
    <t>Bulk Carrier/ General</t>
  </si>
  <si>
    <t>240L Wheelie Bin</t>
  </si>
  <si>
    <t>M/W</t>
  </si>
  <si>
    <t>Bldg 530/ SOW Cess Pit</t>
  </si>
  <si>
    <t xml:space="preserve">Bldg 653 / Visitor Centre Search Barn </t>
  </si>
  <si>
    <t>Various Oil/Water Seperators</t>
  </si>
  <si>
    <t>Various Tank Bunds</t>
  </si>
  <si>
    <t>Bldg 814/100MXS</t>
  </si>
  <si>
    <t xml:space="preserve">Truck </t>
  </si>
  <si>
    <t xml:space="preserve">Adhoc </t>
  </si>
  <si>
    <t>Building  581          Dining Facility              (DMR)</t>
  </si>
  <si>
    <t>Building  551           SLA                            (DMR)</t>
  </si>
  <si>
    <t>Building  552           SLA                             (DMR)</t>
  </si>
  <si>
    <t>Building  590            Bowling Alley             (DMR)</t>
  </si>
  <si>
    <t>Building  1188          Recycle Centre          (DMR)</t>
  </si>
  <si>
    <t>Weekly  (Spare Capacity )</t>
  </si>
  <si>
    <t>Building 56 LRS/TMO</t>
  </si>
  <si>
    <t>Building 30 (DMR)</t>
  </si>
  <si>
    <t>Building 2 (DMR)</t>
  </si>
  <si>
    <t>Building 1217</t>
  </si>
  <si>
    <t>Bldg 1400/MUNS</t>
  </si>
  <si>
    <t>Bldg 1690/Corrosion Control</t>
  </si>
  <si>
    <t>B820 Septic Tank</t>
  </si>
  <si>
    <t>As directed</t>
  </si>
  <si>
    <t xml:space="preserve"> Bldg 659 / CDC Kitchen</t>
  </si>
  <si>
    <t xml:space="preserve">Bldg 998 / Base Exchange </t>
  </si>
  <si>
    <t xml:space="preserve">Fortnightly </t>
  </si>
  <si>
    <t>2 xWeekly</t>
  </si>
  <si>
    <t xml:space="preserve">Bldg 163 / BX Burger King/ Taco Bell </t>
  </si>
  <si>
    <t xml:space="preserve">Bldg 220/ CDC </t>
  </si>
  <si>
    <t xml:space="preserve">Bldg 404/ Bob Hope Community Centre </t>
  </si>
  <si>
    <t xml:space="preserve">Bldg 474/ Chapel </t>
  </si>
  <si>
    <t>Bldg 669/ Fire Department</t>
  </si>
  <si>
    <t xml:space="preserve">Bldg 809 / Flight Kitchen </t>
  </si>
  <si>
    <t xml:space="preserve">Bldg 854/ Southside Subway/ Shoppette </t>
  </si>
  <si>
    <t xml:space="preserve">240 Liter CAT 3 Bin </t>
  </si>
  <si>
    <t>Bldg 163/ BX</t>
  </si>
  <si>
    <t xml:space="preserve"> Bldg 237 / TLF</t>
  </si>
  <si>
    <t>Bldg 464/ TLF</t>
  </si>
  <si>
    <t xml:space="preserve">Bldg 900/ K9 compound </t>
  </si>
  <si>
    <t>240 Liter Food Waste</t>
  </si>
  <si>
    <t>Bldg 1355/F35 Campus (piddle packs)</t>
  </si>
  <si>
    <t>770L Bin</t>
  </si>
  <si>
    <t>20 01 99</t>
  </si>
  <si>
    <t>Bldg 1319/SEC(piddle packs)</t>
  </si>
  <si>
    <t>Building 1075 / Avionics Shop / AFREP Pumping Station</t>
  </si>
  <si>
    <t>13,000 Liters</t>
  </si>
  <si>
    <t>Every 1.5 weeks</t>
  </si>
  <si>
    <t>Building 1081 / Commissary Pumping Station</t>
  </si>
  <si>
    <t>5,000 Liters</t>
  </si>
  <si>
    <t>Building 670 / USO</t>
  </si>
  <si>
    <t>Building 1356/1359</t>
  </si>
  <si>
    <t>Building 1355/1379</t>
  </si>
  <si>
    <t>Building 1032</t>
  </si>
  <si>
    <t>3,000 Liters</t>
  </si>
  <si>
    <t>240 ltr</t>
  </si>
  <si>
    <t xml:space="preserve"> Bldg 50 / Elementary School</t>
  </si>
  <si>
    <t xml:space="preserve"> Bldg 650 / Shop/ Subway</t>
  </si>
  <si>
    <t xml:space="preserve"> Bldg 900 / Gym/Arts and Crafts/ Juice Bros</t>
  </si>
  <si>
    <t xml:space="preserve"> Bldg 1078 / Shop/Gas Stn/ Taco Bell</t>
  </si>
  <si>
    <t>240 ltr Food Waste</t>
  </si>
  <si>
    <t xml:space="preserve">Bldg 22 / Fire Station 3 </t>
  </si>
  <si>
    <t xml:space="preserve">20 03 99 </t>
  </si>
  <si>
    <t>Bldg 76 (West) - COMMISSARY (Cat 3)</t>
  </si>
  <si>
    <t>Bldg 142 - DORMS</t>
  </si>
  <si>
    <t>Bldg 141- DORMS</t>
  </si>
  <si>
    <t>TLF's</t>
  </si>
  <si>
    <t>Bldg 74 - BOWLING ALLEY</t>
  </si>
  <si>
    <t>Bldg 200 - COFFEE SHOP</t>
  </si>
  <si>
    <t>TLF's (glass)</t>
  </si>
  <si>
    <t>MFH - BASE HOUSING (glass)</t>
  </si>
  <si>
    <t>150107</t>
  </si>
  <si>
    <t>MFH - BASE HOUSING (food)</t>
  </si>
  <si>
    <t>Bldg 76  - COMMISSARY (CAT 1) Meat</t>
  </si>
  <si>
    <t>140ltr Food Waste</t>
  </si>
  <si>
    <t>240ltr Food Waste</t>
  </si>
  <si>
    <t>Fortnightly, alternate week to DMR</t>
  </si>
  <si>
    <t>Fortnightly, alternate week to Gen</t>
  </si>
  <si>
    <t>MFH - BASE HOUSING (Food)</t>
  </si>
  <si>
    <t>MFH - BASE HOUSING (Glass)</t>
  </si>
  <si>
    <t>15 01 07</t>
  </si>
  <si>
    <t>140ltr Glass Waste</t>
  </si>
  <si>
    <t>Food</t>
  </si>
  <si>
    <t>Thrift Shop</t>
  </si>
  <si>
    <t>Fire Station</t>
  </si>
  <si>
    <t>Laundry</t>
  </si>
  <si>
    <t>501st</t>
  </si>
  <si>
    <t>Post Office</t>
  </si>
  <si>
    <t>SF</t>
  </si>
  <si>
    <t>SerCo/RCO/FM</t>
  </si>
  <si>
    <t>AAFES W/H Annex</t>
  </si>
  <si>
    <t>AMT</t>
  </si>
  <si>
    <t>Services (Furnishings)</t>
  </si>
  <si>
    <t>SeRCO</t>
  </si>
  <si>
    <t>FMO</t>
  </si>
  <si>
    <t>CES</t>
  </si>
  <si>
    <t>Housing</t>
  </si>
  <si>
    <t>Comm</t>
  </si>
  <si>
    <t>Legal</t>
  </si>
  <si>
    <t>AAFES</t>
  </si>
  <si>
    <t>Gym</t>
  </si>
  <si>
    <t>Chapel</t>
  </si>
  <si>
    <t>Pizza Shop</t>
  </si>
  <si>
    <t>AAFES Petrol Station</t>
  </si>
  <si>
    <t>Recycling</t>
  </si>
  <si>
    <t>Bowling Alley</t>
  </si>
  <si>
    <t>Clinic</t>
  </si>
  <si>
    <t>Auto Hobby Shop</t>
  </si>
  <si>
    <t>Club</t>
  </si>
  <si>
    <t>Lodging</t>
  </si>
  <si>
    <t>DeCA</t>
  </si>
  <si>
    <t>Dorms</t>
  </si>
  <si>
    <t>Services</t>
  </si>
  <si>
    <t>Services (Visiting Qtrs)</t>
  </si>
  <si>
    <t>Education Centre</t>
  </si>
  <si>
    <t>Library</t>
  </si>
  <si>
    <t>Youth Centre</t>
  </si>
  <si>
    <t>Elementrary School</t>
  </si>
  <si>
    <t>Services (Arts&amp;Crafts)</t>
  </si>
  <si>
    <t>Coffee Shop</t>
  </si>
  <si>
    <t>Services (ITT)</t>
  </si>
  <si>
    <t>High School (JROTC)</t>
  </si>
  <si>
    <t>High School</t>
  </si>
  <si>
    <t>High School Annexe</t>
  </si>
  <si>
    <t>Elementrary School Annexe</t>
  </si>
  <si>
    <t>School Cafeteria</t>
  </si>
  <si>
    <t>Housing Units</t>
  </si>
  <si>
    <t>Lodging Housing Units</t>
  </si>
  <si>
    <t>LVIS Gate</t>
  </si>
  <si>
    <t>Heathrow</t>
  </si>
  <si>
    <t xml:space="preserve">DET 6 </t>
  </si>
  <si>
    <t>140 ltr</t>
  </si>
  <si>
    <t>150107 Glass</t>
  </si>
  <si>
    <t>DLA</t>
  </si>
  <si>
    <t>JAC</t>
  </si>
  <si>
    <t>JAC IT</t>
  </si>
  <si>
    <t>NYPD</t>
  </si>
  <si>
    <t>Emergency Control Room</t>
  </si>
  <si>
    <t>DE</t>
  </si>
  <si>
    <t>Fire Dept.</t>
  </si>
  <si>
    <t>AAFES Shopette</t>
  </si>
  <si>
    <t>SerCo (Trans)</t>
  </si>
  <si>
    <t>NIFC</t>
  </si>
  <si>
    <t>AFRICOM</t>
  </si>
  <si>
    <t>Outdoor Rec</t>
  </si>
  <si>
    <t>Firing Range</t>
  </si>
  <si>
    <t>Building 1</t>
  </si>
  <si>
    <t>Building 2</t>
  </si>
  <si>
    <t>Building 20</t>
  </si>
  <si>
    <t>Building 29</t>
  </si>
  <si>
    <t>Building 31</t>
  </si>
  <si>
    <t>Building 56</t>
  </si>
  <si>
    <t>Building 86</t>
  </si>
  <si>
    <t>Building 179</t>
  </si>
  <si>
    <t>Building 491</t>
  </si>
  <si>
    <t>Building 581</t>
  </si>
  <si>
    <t>Building 590</t>
  </si>
  <si>
    <t>Building 662</t>
  </si>
  <si>
    <t>Building 551</t>
  </si>
  <si>
    <t>Building 552</t>
  </si>
  <si>
    <t>Building 1205</t>
  </si>
  <si>
    <t>Building 84</t>
  </si>
  <si>
    <t>Building 1002</t>
  </si>
  <si>
    <t>16 01 07</t>
  </si>
  <si>
    <t>Building 188</t>
  </si>
  <si>
    <t>Site 16</t>
  </si>
  <si>
    <t>Gate 7 (Contractor Gate)</t>
  </si>
  <si>
    <t>Bldg 76 COMMISSARY (CAT 3)</t>
  </si>
  <si>
    <t>Bldg 230 / CATM</t>
  </si>
  <si>
    <t>Bldg 913/906 24Hr Accumulation Point/Compound</t>
  </si>
  <si>
    <t>Bldg 1466 / MUNS Mx</t>
  </si>
  <si>
    <t>Bldg 890 / Dorm</t>
  </si>
  <si>
    <t>Bldg 1212 / Hotpit</t>
  </si>
  <si>
    <t>T/T</t>
  </si>
  <si>
    <t>M/W/Th/F</t>
  </si>
  <si>
    <t>Bulk carrier/ General Waste)</t>
  </si>
  <si>
    <t>As needed/Weekly</t>
  </si>
  <si>
    <t>Lodging Units</t>
  </si>
  <si>
    <t>408 Recycling Collection Area</t>
  </si>
  <si>
    <t>84 JAC</t>
  </si>
  <si>
    <t>84 JAC IT</t>
  </si>
  <si>
    <t>100 JAC</t>
  </si>
  <si>
    <t>303 JAC</t>
  </si>
  <si>
    <t>314 JAC</t>
  </si>
  <si>
    <t>318 Emergency Control Room</t>
  </si>
  <si>
    <t>320 JAC</t>
  </si>
  <si>
    <t>326 DE</t>
  </si>
  <si>
    <t>328 Fire Dept.</t>
  </si>
  <si>
    <t>342 AAFES Shopette</t>
  </si>
  <si>
    <t>344 Chapel</t>
  </si>
  <si>
    <t>346 Post Office</t>
  </si>
  <si>
    <t>348 JAC</t>
  </si>
  <si>
    <t>400 Comm</t>
  </si>
  <si>
    <t>401 JAC</t>
  </si>
  <si>
    <t>402 SerCo (Trans)</t>
  </si>
  <si>
    <t>403 JAC</t>
  </si>
  <si>
    <t>404 JAC</t>
  </si>
  <si>
    <t>407 NIFC</t>
  </si>
  <si>
    <t>409 SF</t>
  </si>
  <si>
    <t>411 Comm</t>
  </si>
  <si>
    <t>412 AFRICOM</t>
  </si>
  <si>
    <t>414 JAC</t>
  </si>
  <si>
    <t>415 JAC</t>
  </si>
  <si>
    <t>420 AFRICOM</t>
  </si>
  <si>
    <t>501 Outdoor Rec</t>
  </si>
  <si>
    <t>612 Firing Range</t>
  </si>
  <si>
    <t xml:space="preserve"> LVIS Gate</t>
  </si>
  <si>
    <r>
      <t>26.8  m</t>
    </r>
    <r>
      <rPr>
        <vertAlign val="super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Bulk Carrier</t>
    </r>
  </si>
  <si>
    <r>
      <t>6.1  m</t>
    </r>
    <r>
      <rPr>
        <vertAlign val="super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skip</t>
    </r>
  </si>
  <si>
    <t>MSA/ Ammo</t>
  </si>
  <si>
    <t>Building 40/ Ammo</t>
  </si>
  <si>
    <t>MSA/Ammo</t>
  </si>
  <si>
    <t>Building 1/ MGS</t>
  </si>
  <si>
    <t>Building 14/ LRSVM</t>
  </si>
  <si>
    <t>Building 481/ MSA Admin</t>
  </si>
  <si>
    <t>Building 481/ MSA Admin (DMR)</t>
  </si>
  <si>
    <t>Building 1/ MGSA(DMR)</t>
  </si>
  <si>
    <t>Building 40/ AMMO (DMR)</t>
  </si>
  <si>
    <t>Building 491/Food Waste Bin</t>
  </si>
  <si>
    <t>Appendix B - Tasks &amp; Estimated Frequencies: Det 6: Heathrow</t>
  </si>
  <si>
    <t>2 AIRLLINKS INDUSTRIAL ESTATE</t>
  </si>
  <si>
    <t xml:space="preserve">140 ltr Glass </t>
  </si>
  <si>
    <t>700 Child Care Center</t>
  </si>
  <si>
    <t>Building 778/ Rehab Centre Cess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</si>
</sst>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sz val="14"/>
      <color rgb="FF25396E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5396E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221F1F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221F1F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0C0C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3" fillId="0" borderId="0" xfId="0" applyFont="1" applyAlignment="1">
      <alignment horizontal="left"/>
    </xf>
    <xf numFmtId="0" fontId="5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0" fontId="10" fillId="0" borderId="0" xfId="0" applyFont="1"/>
    <xf numFmtId="0" fontId="13" fillId="0" borderId="0" xfId="0" applyFont="1"/>
    <xf numFmtId="0" fontId="8" fillId="0" borderId="0" xfId="0" applyFont="1" applyFill="1"/>
    <xf numFmtId="0" fontId="13" fillId="0" borderId="0" xfId="0" applyFont="1" applyFill="1"/>
    <xf numFmtId="0" fontId="0" fillId="0" borderId="19" xfId="0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Fill="1"/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justify" vertical="center" wrapText="1"/>
    </xf>
    <xf numFmtId="0" fontId="12" fillId="0" borderId="1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0" fillId="0" borderId="1" xfId="0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8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/>
    </xf>
    <xf numFmtId="0" fontId="18" fillId="0" borderId="0" xfId="0" applyFont="1" applyFill="1"/>
    <xf numFmtId="0" fontId="0" fillId="0" borderId="1" xfId="0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left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5" fillId="4" borderId="19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justify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Border="1"/>
    <xf numFmtId="0" fontId="12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17" fillId="0" borderId="1" xfId="0" applyFont="1" applyFill="1" applyBorder="1" applyAlignment="1">
      <alignment horizontal="justify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justify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justify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justify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Font="1" applyFill="1"/>
    <xf numFmtId="0" fontId="12" fillId="0" borderId="1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5" xfId="0" applyFont="1" applyBorder="1"/>
    <xf numFmtId="0" fontId="12" fillId="0" borderId="1" xfId="0" applyFont="1" applyBorder="1"/>
    <xf numFmtId="0" fontId="12" fillId="0" borderId="36" xfId="0" applyFont="1" applyBorder="1"/>
    <xf numFmtId="0" fontId="12" fillId="0" borderId="31" xfId="0" applyFont="1" applyBorder="1"/>
    <xf numFmtId="0" fontId="12" fillId="0" borderId="1" xfId="0" applyFont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2" fillId="0" borderId="33" xfId="0" applyFont="1" applyBorder="1"/>
    <xf numFmtId="0" fontId="12" fillId="0" borderId="34" xfId="0" applyFont="1" applyBorder="1"/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" fontId="19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0" fillId="4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19" xfId="0" applyFont="1" applyFill="1" applyBorder="1"/>
    <xf numFmtId="0" fontId="12" fillId="0" borderId="4" xfId="0" applyFont="1" applyFill="1" applyBorder="1"/>
    <xf numFmtId="0" fontId="0" fillId="3" borderId="13" xfId="0" applyFont="1" applyFill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16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0" fillId="2" borderId="17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horizont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24" fillId="7" borderId="27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6" borderId="25" xfId="0" applyFont="1" applyFill="1" applyBorder="1" applyAlignment="1">
      <alignment horizontal="center" vertical="center" wrapText="1"/>
    </xf>
    <xf numFmtId="0" fontId="0" fillId="6" borderId="24" xfId="0" applyFont="1" applyFill="1" applyBorder="1" applyAlignment="1">
      <alignment horizontal="center" vertical="center" wrapText="1"/>
    </xf>
    <xf numFmtId="0" fontId="0" fillId="6" borderId="26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/>
    </xf>
    <xf numFmtId="0" fontId="12" fillId="0" borderId="18" xfId="0" applyFont="1" applyFill="1" applyBorder="1" applyAlignment="1">
      <alignment horizontal="left"/>
    </xf>
    <xf numFmtId="0" fontId="15" fillId="0" borderId="19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/>
    </xf>
    <xf numFmtId="0" fontId="16" fillId="0" borderId="18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5" borderId="19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 wrapText="1"/>
    </xf>
    <xf numFmtId="0" fontId="12" fillId="4" borderId="19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7" fillId="7" borderId="19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L233"/>
  <sheetViews>
    <sheetView zoomScaleNormal="100" workbookViewId="0">
      <pane ySplit="3" topLeftCell="A66" activePane="bottomLeft" state="frozen"/>
      <selection pane="bottomLeft" activeCell="J161" sqref="J161"/>
    </sheetView>
  </sheetViews>
  <sheetFormatPr defaultRowHeight="15" x14ac:dyDescent="0.25"/>
  <cols>
    <col min="1" max="1" width="12.28515625" style="1" bestFit="1" customWidth="1"/>
    <col min="2" max="2" width="47.42578125" style="7" customWidth="1"/>
    <col min="3" max="5" width="21.7109375" style="1" customWidth="1"/>
    <col min="6" max="6" width="21.7109375" style="7" customWidth="1"/>
    <col min="7" max="7" width="56.28515625" customWidth="1"/>
    <col min="9" max="9" width="17.7109375" customWidth="1"/>
  </cols>
  <sheetData>
    <row r="2" spans="2:7" ht="21" x14ac:dyDescent="0.35">
      <c r="B2" s="126" t="s">
        <v>5</v>
      </c>
      <c r="C2" s="127"/>
      <c r="D2" s="127"/>
      <c r="E2" s="127"/>
      <c r="F2" s="128"/>
      <c r="G2" s="18"/>
    </row>
    <row r="3" spans="2:7" ht="30" x14ac:dyDescent="0.25">
      <c r="B3" s="2" t="s">
        <v>53</v>
      </c>
      <c r="C3" s="2" t="s">
        <v>0</v>
      </c>
      <c r="D3" s="2" t="s">
        <v>3</v>
      </c>
      <c r="E3" s="2" t="s">
        <v>2</v>
      </c>
      <c r="F3" s="74" t="s">
        <v>1</v>
      </c>
      <c r="G3" s="18"/>
    </row>
    <row r="4" spans="2:7" ht="15.75" customHeight="1" x14ac:dyDescent="0.25">
      <c r="B4" s="4" t="s">
        <v>67</v>
      </c>
      <c r="C4" s="3" t="s">
        <v>4</v>
      </c>
      <c r="D4" s="3">
        <v>1</v>
      </c>
      <c r="E4" s="3" t="s">
        <v>8</v>
      </c>
      <c r="F4" s="75" t="s">
        <v>9</v>
      </c>
      <c r="G4" s="18"/>
    </row>
    <row r="5" spans="2:7" ht="15.75" customHeight="1" x14ac:dyDescent="0.25">
      <c r="B5" s="4" t="s">
        <v>68</v>
      </c>
      <c r="C5" s="3" t="s">
        <v>4</v>
      </c>
      <c r="D5" s="3">
        <v>1</v>
      </c>
      <c r="E5" s="3" t="s">
        <v>8</v>
      </c>
      <c r="F5" s="75" t="s">
        <v>10</v>
      </c>
      <c r="G5" s="18"/>
    </row>
    <row r="6" spans="2:7" ht="15.75" customHeight="1" x14ac:dyDescent="0.25">
      <c r="B6" s="4" t="s">
        <v>69</v>
      </c>
      <c r="C6" s="3" t="s">
        <v>4</v>
      </c>
      <c r="D6" s="3">
        <v>2</v>
      </c>
      <c r="E6" s="3" t="s">
        <v>8</v>
      </c>
      <c r="F6" s="75" t="s">
        <v>9</v>
      </c>
      <c r="G6" s="18"/>
    </row>
    <row r="7" spans="2:7" ht="15.75" customHeight="1" x14ac:dyDescent="0.25">
      <c r="B7" s="4" t="s">
        <v>70</v>
      </c>
      <c r="C7" s="3" t="s">
        <v>4</v>
      </c>
      <c r="D7" s="3">
        <v>1</v>
      </c>
      <c r="E7" s="3" t="s">
        <v>8</v>
      </c>
      <c r="F7" s="75" t="s">
        <v>9</v>
      </c>
      <c r="G7" s="18"/>
    </row>
    <row r="8" spans="2:7" ht="15.75" customHeight="1" x14ac:dyDescent="0.25">
      <c r="B8" s="4" t="s">
        <v>476</v>
      </c>
      <c r="C8" s="3" t="s">
        <v>4</v>
      </c>
      <c r="D8" s="3">
        <v>1</v>
      </c>
      <c r="E8" s="3" t="s">
        <v>8</v>
      </c>
      <c r="F8" s="75" t="s">
        <v>10</v>
      </c>
      <c r="G8" s="18"/>
    </row>
    <row r="9" spans="2:7" ht="15.75" customHeight="1" x14ac:dyDescent="0.25">
      <c r="B9" s="4" t="s">
        <v>71</v>
      </c>
      <c r="C9" s="3" t="s">
        <v>4</v>
      </c>
      <c r="D9" s="3">
        <v>2</v>
      </c>
      <c r="E9" s="3" t="s">
        <v>8</v>
      </c>
      <c r="F9" s="75" t="s">
        <v>11</v>
      </c>
      <c r="G9" s="18"/>
    </row>
    <row r="10" spans="2:7" ht="15.75" customHeight="1" x14ac:dyDescent="0.25">
      <c r="B10" s="4" t="s">
        <v>72</v>
      </c>
      <c r="C10" s="3" t="s">
        <v>4</v>
      </c>
      <c r="D10" s="3">
        <v>1</v>
      </c>
      <c r="E10" s="3" t="s">
        <v>8</v>
      </c>
      <c r="F10" s="75" t="s">
        <v>12</v>
      </c>
      <c r="G10" s="18"/>
    </row>
    <row r="11" spans="2:7" ht="15.75" customHeight="1" x14ac:dyDescent="0.25">
      <c r="B11" s="4" t="s">
        <v>73</v>
      </c>
      <c r="C11" s="3" t="s">
        <v>4</v>
      </c>
      <c r="D11" s="3">
        <v>2</v>
      </c>
      <c r="E11" s="3" t="s">
        <v>8</v>
      </c>
      <c r="F11" s="75" t="s">
        <v>11</v>
      </c>
      <c r="G11" s="18"/>
    </row>
    <row r="12" spans="2:7" ht="15.75" customHeight="1" x14ac:dyDescent="0.25">
      <c r="B12" s="4" t="s">
        <v>74</v>
      </c>
      <c r="C12" s="3" t="s">
        <v>4</v>
      </c>
      <c r="D12" s="3">
        <v>1</v>
      </c>
      <c r="E12" s="3" t="s">
        <v>8</v>
      </c>
      <c r="F12" s="75" t="s">
        <v>13</v>
      </c>
      <c r="G12" s="18"/>
    </row>
    <row r="13" spans="2:7" ht="15.75" customHeight="1" x14ac:dyDescent="0.25">
      <c r="B13" s="4" t="s">
        <v>75</v>
      </c>
      <c r="C13" s="3" t="s">
        <v>4</v>
      </c>
      <c r="D13" s="3">
        <v>1</v>
      </c>
      <c r="E13" s="3" t="s">
        <v>8</v>
      </c>
      <c r="F13" s="75" t="s">
        <v>11</v>
      </c>
      <c r="G13" s="18"/>
    </row>
    <row r="14" spans="2:7" ht="15.75" customHeight="1" x14ac:dyDescent="0.25">
      <c r="B14" s="4" t="s">
        <v>76</v>
      </c>
      <c r="C14" s="3" t="s">
        <v>4</v>
      </c>
      <c r="D14" s="3">
        <v>2</v>
      </c>
      <c r="E14" s="3" t="s">
        <v>8</v>
      </c>
      <c r="F14" s="75" t="s">
        <v>10</v>
      </c>
      <c r="G14" s="18"/>
    </row>
    <row r="15" spans="2:7" ht="15.75" customHeight="1" x14ac:dyDescent="0.25">
      <c r="B15" s="4" t="s">
        <v>77</v>
      </c>
      <c r="C15" s="3" t="s">
        <v>4</v>
      </c>
      <c r="D15" s="3">
        <v>1</v>
      </c>
      <c r="E15" s="3" t="s">
        <v>8</v>
      </c>
      <c r="F15" s="75" t="s">
        <v>10</v>
      </c>
      <c r="G15" s="18"/>
    </row>
    <row r="16" spans="2:7" ht="15.75" customHeight="1" x14ac:dyDescent="0.25">
      <c r="B16" s="4" t="s">
        <v>78</v>
      </c>
      <c r="C16" s="3" t="s">
        <v>4</v>
      </c>
      <c r="D16" s="3">
        <v>1</v>
      </c>
      <c r="E16" s="3" t="s">
        <v>8</v>
      </c>
      <c r="F16" s="75" t="s">
        <v>10</v>
      </c>
      <c r="G16" s="18"/>
    </row>
    <row r="17" spans="2:7" ht="15.75" customHeight="1" x14ac:dyDescent="0.25">
      <c r="B17" s="17" t="s">
        <v>79</v>
      </c>
      <c r="C17" s="123" t="s">
        <v>4</v>
      </c>
      <c r="D17" s="123">
        <v>1</v>
      </c>
      <c r="E17" s="123" t="s">
        <v>8</v>
      </c>
      <c r="F17" s="124" t="s">
        <v>10</v>
      </c>
      <c r="G17" s="18"/>
    </row>
    <row r="18" spans="2:7" ht="15.75" customHeight="1" x14ac:dyDescent="0.25">
      <c r="B18" s="17" t="s">
        <v>663</v>
      </c>
      <c r="C18" s="123" t="s">
        <v>4</v>
      </c>
      <c r="D18" s="123">
        <v>2</v>
      </c>
      <c r="E18" s="123" t="s">
        <v>8</v>
      </c>
      <c r="F18" s="124" t="s">
        <v>10</v>
      </c>
      <c r="G18" s="81"/>
    </row>
    <row r="19" spans="2:7" ht="15.75" customHeight="1" x14ac:dyDescent="0.25">
      <c r="B19" s="17" t="s">
        <v>80</v>
      </c>
      <c r="C19" s="123" t="s">
        <v>4</v>
      </c>
      <c r="D19" s="123">
        <v>1</v>
      </c>
      <c r="E19" s="123" t="s">
        <v>8</v>
      </c>
      <c r="F19" s="124" t="s">
        <v>14</v>
      </c>
      <c r="G19" s="18"/>
    </row>
    <row r="20" spans="2:7" ht="15.75" customHeight="1" x14ac:dyDescent="0.25">
      <c r="B20" s="17" t="s">
        <v>81</v>
      </c>
      <c r="C20" s="123" t="s">
        <v>4</v>
      </c>
      <c r="D20" s="123">
        <v>3</v>
      </c>
      <c r="E20" s="123" t="s">
        <v>8</v>
      </c>
      <c r="F20" s="124" t="s">
        <v>15</v>
      </c>
      <c r="G20" s="18"/>
    </row>
    <row r="21" spans="2:7" ht="15.75" customHeight="1" x14ac:dyDescent="0.25">
      <c r="B21" s="17" t="s">
        <v>82</v>
      </c>
      <c r="C21" s="123" t="s">
        <v>4</v>
      </c>
      <c r="D21" s="123">
        <v>2</v>
      </c>
      <c r="E21" s="123" t="s">
        <v>8</v>
      </c>
      <c r="F21" s="124" t="s">
        <v>11</v>
      </c>
      <c r="G21" s="18"/>
    </row>
    <row r="22" spans="2:7" ht="15.75" customHeight="1" x14ac:dyDescent="0.25">
      <c r="B22" s="4" t="s">
        <v>83</v>
      </c>
      <c r="C22" s="3" t="s">
        <v>4</v>
      </c>
      <c r="D22" s="3">
        <v>3</v>
      </c>
      <c r="E22" s="3" t="s">
        <v>8</v>
      </c>
      <c r="F22" s="75" t="s">
        <v>15</v>
      </c>
      <c r="G22" s="18"/>
    </row>
    <row r="23" spans="2:7" ht="15.75" customHeight="1" x14ac:dyDescent="0.25">
      <c r="B23" s="4" t="s">
        <v>84</v>
      </c>
      <c r="C23" s="3" t="s">
        <v>4</v>
      </c>
      <c r="D23" s="3">
        <v>1</v>
      </c>
      <c r="E23" s="3" t="s">
        <v>8</v>
      </c>
      <c r="F23" s="75" t="s">
        <v>15</v>
      </c>
      <c r="G23" s="18"/>
    </row>
    <row r="24" spans="2:7" ht="15.75" customHeight="1" x14ac:dyDescent="0.25">
      <c r="B24" s="4" t="s">
        <v>85</v>
      </c>
      <c r="C24" s="3" t="s">
        <v>4</v>
      </c>
      <c r="D24" s="3">
        <v>1</v>
      </c>
      <c r="E24" s="3" t="s">
        <v>8</v>
      </c>
      <c r="F24" s="75" t="s">
        <v>11</v>
      </c>
      <c r="G24" s="18"/>
    </row>
    <row r="25" spans="2:7" ht="15.75" customHeight="1" x14ac:dyDescent="0.25">
      <c r="B25" s="4" t="s">
        <v>475</v>
      </c>
      <c r="C25" s="3" t="s">
        <v>4</v>
      </c>
      <c r="D25" s="3">
        <v>2</v>
      </c>
      <c r="E25" s="3" t="s">
        <v>8</v>
      </c>
      <c r="F25" s="75" t="s">
        <v>11</v>
      </c>
      <c r="G25" s="18"/>
    </row>
    <row r="26" spans="2:7" ht="15.75" customHeight="1" x14ac:dyDescent="0.25">
      <c r="B26" s="4" t="s">
        <v>86</v>
      </c>
      <c r="C26" s="3" t="s">
        <v>4</v>
      </c>
      <c r="D26" s="3">
        <v>2</v>
      </c>
      <c r="E26" s="3" t="s">
        <v>8</v>
      </c>
      <c r="F26" s="75" t="s">
        <v>15</v>
      </c>
      <c r="G26" s="18"/>
    </row>
    <row r="27" spans="2:7" ht="15.75" customHeight="1" x14ac:dyDescent="0.25">
      <c r="B27" s="4" t="s">
        <v>87</v>
      </c>
      <c r="C27" s="3" t="s">
        <v>4</v>
      </c>
      <c r="D27" s="3">
        <v>1</v>
      </c>
      <c r="E27" s="3" t="s">
        <v>8</v>
      </c>
      <c r="F27" s="75" t="s">
        <v>16</v>
      </c>
      <c r="G27" s="18"/>
    </row>
    <row r="28" spans="2:7" ht="15.75" customHeight="1" x14ac:dyDescent="0.25">
      <c r="B28" s="4" t="s">
        <v>88</v>
      </c>
      <c r="C28" s="3" t="s">
        <v>4</v>
      </c>
      <c r="D28" s="3">
        <v>1</v>
      </c>
      <c r="E28" s="3" t="s">
        <v>8</v>
      </c>
      <c r="F28" s="75" t="s">
        <v>14</v>
      </c>
      <c r="G28" s="18"/>
    </row>
    <row r="29" spans="2:7" ht="15.75" customHeight="1" x14ac:dyDescent="0.25">
      <c r="B29" s="4" t="s">
        <v>89</v>
      </c>
      <c r="C29" s="3" t="s">
        <v>4</v>
      </c>
      <c r="D29" s="3">
        <v>2</v>
      </c>
      <c r="E29" s="3" t="s">
        <v>8</v>
      </c>
      <c r="F29" s="75" t="s">
        <v>10</v>
      </c>
      <c r="G29" s="18"/>
    </row>
    <row r="30" spans="2:7" ht="15.75" customHeight="1" x14ac:dyDescent="0.25">
      <c r="B30" s="4" t="s">
        <v>90</v>
      </c>
      <c r="C30" s="3" t="s">
        <v>4</v>
      </c>
      <c r="D30" s="3">
        <v>1</v>
      </c>
      <c r="E30" s="3" t="s">
        <v>8</v>
      </c>
      <c r="F30" s="75" t="s">
        <v>10</v>
      </c>
      <c r="G30" s="18"/>
    </row>
    <row r="31" spans="2:7" ht="15.75" customHeight="1" x14ac:dyDescent="0.25">
      <c r="B31" s="4" t="s">
        <v>91</v>
      </c>
      <c r="C31" s="3" t="s">
        <v>4</v>
      </c>
      <c r="D31" s="3">
        <v>3</v>
      </c>
      <c r="E31" s="3" t="s">
        <v>8</v>
      </c>
      <c r="F31" s="75" t="s">
        <v>15</v>
      </c>
      <c r="G31" s="18"/>
    </row>
    <row r="32" spans="2:7" ht="15.75" customHeight="1" x14ac:dyDescent="0.25">
      <c r="B32" s="4" t="s">
        <v>92</v>
      </c>
      <c r="C32" s="3" t="s">
        <v>4</v>
      </c>
      <c r="D32" s="3">
        <v>2</v>
      </c>
      <c r="E32" s="3" t="s">
        <v>8</v>
      </c>
      <c r="F32" s="75" t="s">
        <v>10</v>
      </c>
      <c r="G32" s="18"/>
    </row>
    <row r="33" spans="1:12" ht="15.75" customHeight="1" x14ac:dyDescent="0.25">
      <c r="B33" s="4" t="s">
        <v>93</v>
      </c>
      <c r="C33" s="3" t="s">
        <v>4</v>
      </c>
      <c r="D33" s="3">
        <v>1</v>
      </c>
      <c r="E33" s="3" t="s">
        <v>8</v>
      </c>
      <c r="F33" s="75" t="s">
        <v>17</v>
      </c>
      <c r="G33" s="18"/>
    </row>
    <row r="34" spans="1:12" ht="15.75" customHeight="1" x14ac:dyDescent="0.25">
      <c r="B34" s="4" t="s">
        <v>94</v>
      </c>
      <c r="C34" s="3" t="s">
        <v>4</v>
      </c>
      <c r="D34" s="3">
        <v>1</v>
      </c>
      <c r="E34" s="3" t="s">
        <v>8</v>
      </c>
      <c r="F34" s="75" t="s">
        <v>17</v>
      </c>
      <c r="G34" s="18"/>
    </row>
    <row r="35" spans="1:12" ht="15.75" customHeight="1" x14ac:dyDescent="0.25">
      <c r="B35" s="4" t="s">
        <v>95</v>
      </c>
      <c r="C35" s="3" t="s">
        <v>18</v>
      </c>
      <c r="D35" s="3">
        <v>1</v>
      </c>
      <c r="E35" s="3" t="s">
        <v>8</v>
      </c>
      <c r="F35" s="75" t="s">
        <v>435</v>
      </c>
      <c r="G35" s="18"/>
    </row>
    <row r="36" spans="1:12" ht="15.75" customHeight="1" x14ac:dyDescent="0.25">
      <c r="B36" s="4" t="s">
        <v>96</v>
      </c>
      <c r="C36" s="3" t="s">
        <v>19</v>
      </c>
      <c r="D36" s="3">
        <v>1</v>
      </c>
      <c r="E36" s="3" t="s">
        <v>8</v>
      </c>
      <c r="F36" s="75" t="s">
        <v>10</v>
      </c>
      <c r="G36" s="18"/>
    </row>
    <row r="37" spans="1:12" ht="15.75" customHeight="1" x14ac:dyDescent="0.25">
      <c r="B37" s="4" t="s">
        <v>97</v>
      </c>
      <c r="C37" s="3" t="s">
        <v>19</v>
      </c>
      <c r="D37" s="3">
        <v>1</v>
      </c>
      <c r="E37" s="3" t="s">
        <v>8</v>
      </c>
      <c r="F37" s="75" t="s">
        <v>10</v>
      </c>
      <c r="G37" s="18"/>
    </row>
    <row r="38" spans="1:12" ht="15.75" customHeight="1" x14ac:dyDescent="0.25">
      <c r="B38" s="4" t="s">
        <v>98</v>
      </c>
      <c r="C38" s="3" t="s">
        <v>19</v>
      </c>
      <c r="D38" s="3">
        <v>1</v>
      </c>
      <c r="E38" s="3" t="s">
        <v>8</v>
      </c>
      <c r="F38" s="75" t="s">
        <v>20</v>
      </c>
      <c r="G38" s="18"/>
    </row>
    <row r="39" spans="1:12" ht="15.75" customHeight="1" x14ac:dyDescent="0.25">
      <c r="B39" s="4" t="s">
        <v>99</v>
      </c>
      <c r="C39" s="3" t="s">
        <v>19</v>
      </c>
      <c r="D39" s="3">
        <v>1</v>
      </c>
      <c r="E39" s="3" t="s">
        <v>8</v>
      </c>
      <c r="F39" s="75" t="s">
        <v>17</v>
      </c>
      <c r="G39" s="18"/>
    </row>
    <row r="40" spans="1:12" ht="15.75" customHeight="1" x14ac:dyDescent="0.25">
      <c r="B40" s="61" t="s">
        <v>100</v>
      </c>
      <c r="C40" s="62" t="s">
        <v>19</v>
      </c>
      <c r="D40" s="62">
        <v>1</v>
      </c>
      <c r="E40" s="62" t="s">
        <v>8</v>
      </c>
      <c r="F40" s="77" t="s">
        <v>9</v>
      </c>
      <c r="G40" s="18"/>
    </row>
    <row r="41" spans="1:12" ht="15.75" customHeight="1" x14ac:dyDescent="0.25">
      <c r="B41" s="63" t="s">
        <v>101</v>
      </c>
      <c r="C41" s="64" t="s">
        <v>19</v>
      </c>
      <c r="D41" s="64">
        <v>1</v>
      </c>
      <c r="E41" s="64" t="s">
        <v>8</v>
      </c>
      <c r="F41" s="78" t="s">
        <v>20</v>
      </c>
      <c r="G41" s="18"/>
    </row>
    <row r="42" spans="1:12" s="46" customFormat="1" ht="23.25" customHeight="1" x14ac:dyDescent="0.25">
      <c r="A42" s="1"/>
      <c r="B42" s="4" t="s">
        <v>102</v>
      </c>
      <c r="C42" s="3" t="s">
        <v>19</v>
      </c>
      <c r="D42" s="3">
        <v>1</v>
      </c>
      <c r="E42" s="3" t="s">
        <v>8</v>
      </c>
      <c r="F42" s="75" t="s">
        <v>20</v>
      </c>
      <c r="G42" s="18"/>
      <c r="H42"/>
      <c r="I42"/>
      <c r="J42"/>
      <c r="K42"/>
      <c r="L42"/>
    </row>
    <row r="43" spans="1:12" ht="15.75" customHeight="1" x14ac:dyDescent="0.25">
      <c r="B43" s="4" t="s">
        <v>103</v>
      </c>
      <c r="C43" s="3" t="s">
        <v>19</v>
      </c>
      <c r="D43" s="3">
        <v>1</v>
      </c>
      <c r="E43" s="3" t="s">
        <v>8</v>
      </c>
      <c r="F43" s="75" t="s">
        <v>10</v>
      </c>
      <c r="G43" s="18"/>
    </row>
    <row r="44" spans="1:12" ht="15.75" customHeight="1" x14ac:dyDescent="0.25">
      <c r="B44" s="4" t="s">
        <v>104</v>
      </c>
      <c r="C44" s="3" t="s">
        <v>19</v>
      </c>
      <c r="D44" s="3">
        <v>6</v>
      </c>
      <c r="E44" s="3" t="s">
        <v>8</v>
      </c>
      <c r="F44" s="75" t="s">
        <v>15</v>
      </c>
      <c r="G44" s="18"/>
    </row>
    <row r="45" spans="1:12" ht="15.75" customHeight="1" x14ac:dyDescent="0.25">
      <c r="B45" s="4" t="s">
        <v>104</v>
      </c>
      <c r="C45" s="3" t="s">
        <v>21</v>
      </c>
      <c r="D45" s="3">
        <v>2</v>
      </c>
      <c r="E45" s="3" t="s">
        <v>8</v>
      </c>
      <c r="F45" s="75" t="s">
        <v>474</v>
      </c>
      <c r="G45" s="18"/>
    </row>
    <row r="46" spans="1:12" ht="15.75" customHeight="1" x14ac:dyDescent="0.25">
      <c r="B46" s="4" t="s">
        <v>105</v>
      </c>
      <c r="C46" s="3" t="s">
        <v>4</v>
      </c>
      <c r="D46" s="3">
        <v>1</v>
      </c>
      <c r="E46" s="3" t="s">
        <v>8</v>
      </c>
      <c r="F46" s="75" t="s">
        <v>20</v>
      </c>
      <c r="G46" s="18"/>
    </row>
    <row r="47" spans="1:12" ht="15.75" customHeight="1" x14ac:dyDescent="0.25">
      <c r="B47" s="4" t="s">
        <v>106</v>
      </c>
      <c r="C47" s="3" t="s">
        <v>4</v>
      </c>
      <c r="D47" s="3">
        <v>1</v>
      </c>
      <c r="E47" s="3" t="s">
        <v>8</v>
      </c>
      <c r="F47" s="75" t="s">
        <v>17</v>
      </c>
      <c r="G47" s="18"/>
    </row>
    <row r="48" spans="1:12" ht="15.75" customHeight="1" x14ac:dyDescent="0.25">
      <c r="B48" s="4" t="s">
        <v>107</v>
      </c>
      <c r="C48" s="3" t="s">
        <v>4</v>
      </c>
      <c r="D48" s="3">
        <v>2</v>
      </c>
      <c r="E48" s="3" t="s">
        <v>8</v>
      </c>
      <c r="F48" s="75" t="s">
        <v>10</v>
      </c>
      <c r="G48" s="18"/>
    </row>
    <row r="49" spans="2:7" ht="15.75" customHeight="1" x14ac:dyDescent="0.25">
      <c r="B49" s="4" t="s">
        <v>108</v>
      </c>
      <c r="C49" s="3" t="s">
        <v>4</v>
      </c>
      <c r="D49" s="3">
        <v>1</v>
      </c>
      <c r="E49" s="3" t="s">
        <v>8</v>
      </c>
      <c r="F49" s="75" t="s">
        <v>9</v>
      </c>
      <c r="G49" s="18"/>
    </row>
    <row r="50" spans="2:7" ht="15.75" customHeight="1" x14ac:dyDescent="0.25">
      <c r="B50" s="4" t="s">
        <v>473</v>
      </c>
      <c r="C50" s="3" t="s">
        <v>4</v>
      </c>
      <c r="D50" s="3">
        <v>3</v>
      </c>
      <c r="E50" s="3" t="s">
        <v>8</v>
      </c>
      <c r="F50" s="75" t="s">
        <v>15</v>
      </c>
      <c r="G50" s="18"/>
    </row>
    <row r="51" spans="2:7" ht="15.75" customHeight="1" x14ac:dyDescent="0.25">
      <c r="B51" s="4" t="s">
        <v>473</v>
      </c>
      <c r="C51" s="3" t="s">
        <v>22</v>
      </c>
      <c r="D51" s="3">
        <v>3</v>
      </c>
      <c r="E51" s="3" t="s">
        <v>8</v>
      </c>
      <c r="F51" s="75" t="s">
        <v>10</v>
      </c>
      <c r="G51" s="18"/>
    </row>
    <row r="52" spans="2:7" ht="15.75" customHeight="1" x14ac:dyDescent="0.25">
      <c r="B52" s="4" t="s">
        <v>109</v>
      </c>
      <c r="C52" s="3" t="s">
        <v>4</v>
      </c>
      <c r="D52" s="3">
        <v>1</v>
      </c>
      <c r="E52" s="3" t="s">
        <v>8</v>
      </c>
      <c r="F52" s="75" t="s">
        <v>23</v>
      </c>
      <c r="G52" s="18"/>
    </row>
    <row r="53" spans="2:7" ht="15.75" customHeight="1" x14ac:dyDescent="0.25">
      <c r="B53" s="4" t="s">
        <v>110</v>
      </c>
      <c r="C53" s="3" t="s">
        <v>4</v>
      </c>
      <c r="D53" s="3">
        <v>1</v>
      </c>
      <c r="E53" s="3" t="s">
        <v>8</v>
      </c>
      <c r="F53" s="75" t="s">
        <v>23</v>
      </c>
      <c r="G53" s="18"/>
    </row>
    <row r="54" spans="2:7" ht="15.75" customHeight="1" x14ac:dyDescent="0.25">
      <c r="B54" s="4" t="s">
        <v>472</v>
      </c>
      <c r="C54" s="3" t="s">
        <v>4</v>
      </c>
      <c r="D54" s="3">
        <v>1</v>
      </c>
      <c r="E54" s="3" t="s">
        <v>8</v>
      </c>
      <c r="F54" s="75" t="s">
        <v>10</v>
      </c>
      <c r="G54" s="18"/>
    </row>
    <row r="55" spans="2:7" ht="15.75" customHeight="1" x14ac:dyDescent="0.25">
      <c r="B55" s="4" t="s">
        <v>111</v>
      </c>
      <c r="C55" s="3" t="s">
        <v>4</v>
      </c>
      <c r="D55" s="3">
        <v>1</v>
      </c>
      <c r="E55" s="3" t="s">
        <v>8</v>
      </c>
      <c r="F55" s="75" t="s">
        <v>24</v>
      </c>
      <c r="G55" s="18"/>
    </row>
    <row r="56" spans="2:7" ht="15.75" customHeight="1" x14ac:dyDescent="0.25">
      <c r="B56" s="4" t="s">
        <v>471</v>
      </c>
      <c r="C56" s="3" t="s">
        <v>4</v>
      </c>
      <c r="D56" s="3">
        <v>1</v>
      </c>
      <c r="E56" s="3" t="s">
        <v>8</v>
      </c>
      <c r="F56" s="75" t="s">
        <v>25</v>
      </c>
      <c r="G56" s="18"/>
    </row>
    <row r="57" spans="2:7" ht="15.75" customHeight="1" x14ac:dyDescent="0.25">
      <c r="B57" s="4" t="s">
        <v>112</v>
      </c>
      <c r="C57" s="3" t="s">
        <v>4</v>
      </c>
      <c r="D57" s="3">
        <v>1</v>
      </c>
      <c r="E57" s="3" t="s">
        <v>8</v>
      </c>
      <c r="F57" s="75" t="s">
        <v>25</v>
      </c>
      <c r="G57" s="18"/>
    </row>
    <row r="58" spans="2:7" ht="15.75" customHeight="1" x14ac:dyDescent="0.25">
      <c r="B58" s="4" t="s">
        <v>113</v>
      </c>
      <c r="C58" s="3" t="s">
        <v>4</v>
      </c>
      <c r="D58" s="3">
        <v>1</v>
      </c>
      <c r="E58" s="3" t="s">
        <v>8</v>
      </c>
      <c r="F58" s="75" t="s">
        <v>10</v>
      </c>
      <c r="G58" s="18"/>
    </row>
    <row r="59" spans="2:7" ht="15.75" customHeight="1" x14ac:dyDescent="0.25">
      <c r="B59" s="4" t="s">
        <v>114</v>
      </c>
      <c r="C59" s="3" t="s">
        <v>4</v>
      </c>
      <c r="D59" s="3">
        <v>1</v>
      </c>
      <c r="E59" s="3" t="s">
        <v>8</v>
      </c>
      <c r="F59" s="75" t="s">
        <v>26</v>
      </c>
      <c r="G59" s="18"/>
    </row>
    <row r="60" spans="2:7" ht="15.75" customHeight="1" x14ac:dyDescent="0.25">
      <c r="B60" s="4" t="s">
        <v>115</v>
      </c>
      <c r="C60" s="3" t="s">
        <v>4</v>
      </c>
      <c r="D60" s="3">
        <v>1</v>
      </c>
      <c r="E60" s="3" t="s">
        <v>8</v>
      </c>
      <c r="F60" s="75" t="s">
        <v>26</v>
      </c>
      <c r="G60" s="18"/>
    </row>
    <row r="61" spans="2:7" ht="15.75" customHeight="1" x14ac:dyDescent="0.25">
      <c r="B61" s="4" t="s">
        <v>116</v>
      </c>
      <c r="C61" s="3" t="s">
        <v>4</v>
      </c>
      <c r="D61" s="3">
        <v>3</v>
      </c>
      <c r="E61" s="3" t="s">
        <v>8</v>
      </c>
      <c r="F61" s="75" t="s">
        <v>26</v>
      </c>
      <c r="G61" s="18"/>
    </row>
    <row r="62" spans="2:7" ht="15.75" customHeight="1" x14ac:dyDescent="0.25">
      <c r="B62" s="4" t="s">
        <v>470</v>
      </c>
      <c r="C62" s="3" t="s">
        <v>4</v>
      </c>
      <c r="D62" s="3">
        <v>1</v>
      </c>
      <c r="E62" s="3" t="s">
        <v>8</v>
      </c>
      <c r="F62" s="75" t="s">
        <v>9</v>
      </c>
      <c r="G62" s="18"/>
    </row>
    <row r="63" spans="2:7" ht="15.75" customHeight="1" x14ac:dyDescent="0.25">
      <c r="B63" s="4" t="s">
        <v>469</v>
      </c>
      <c r="C63" s="3" t="s">
        <v>4</v>
      </c>
      <c r="D63" s="3">
        <v>1</v>
      </c>
      <c r="E63" s="3" t="s">
        <v>8</v>
      </c>
      <c r="F63" s="75" t="s">
        <v>20</v>
      </c>
      <c r="G63" s="18"/>
    </row>
    <row r="64" spans="2:7" ht="15.75" customHeight="1" x14ac:dyDescent="0.25">
      <c r="B64" s="4" t="s">
        <v>468</v>
      </c>
      <c r="C64" s="3" t="s">
        <v>4</v>
      </c>
      <c r="D64" s="3">
        <v>1</v>
      </c>
      <c r="E64" s="3" t="s">
        <v>8</v>
      </c>
      <c r="F64" s="75" t="s">
        <v>20</v>
      </c>
      <c r="G64" s="18"/>
    </row>
    <row r="65" spans="2:7" ht="15.75" customHeight="1" x14ac:dyDescent="0.25">
      <c r="B65" s="4" t="s">
        <v>467</v>
      </c>
      <c r="C65" s="3" t="s">
        <v>4</v>
      </c>
      <c r="D65" s="3">
        <v>1</v>
      </c>
      <c r="E65" s="3" t="s">
        <v>8</v>
      </c>
      <c r="F65" s="75" t="s">
        <v>20</v>
      </c>
      <c r="G65" s="18"/>
    </row>
    <row r="66" spans="2:7" ht="15.75" customHeight="1" x14ac:dyDescent="0.25">
      <c r="B66" s="4" t="s">
        <v>117</v>
      </c>
      <c r="C66" s="3" t="s">
        <v>4</v>
      </c>
      <c r="D66" s="3">
        <v>4</v>
      </c>
      <c r="E66" s="3" t="s">
        <v>8</v>
      </c>
      <c r="F66" s="75" t="s">
        <v>10</v>
      </c>
      <c r="G66" s="18"/>
    </row>
    <row r="67" spans="2:7" ht="15.75" customHeight="1" x14ac:dyDescent="0.25">
      <c r="B67" s="4" t="s">
        <v>118</v>
      </c>
      <c r="C67" s="3" t="s">
        <v>4</v>
      </c>
      <c r="D67" s="3">
        <v>1</v>
      </c>
      <c r="E67" s="3" t="s">
        <v>8</v>
      </c>
      <c r="F67" s="75" t="s">
        <v>9</v>
      </c>
      <c r="G67" s="18"/>
    </row>
    <row r="68" spans="2:7" ht="15.75" customHeight="1" x14ac:dyDescent="0.25">
      <c r="B68" s="4" t="s">
        <v>119</v>
      </c>
      <c r="C68" s="3" t="s">
        <v>4</v>
      </c>
      <c r="D68" s="3">
        <v>1</v>
      </c>
      <c r="E68" s="3" t="s">
        <v>8</v>
      </c>
      <c r="F68" s="75" t="s">
        <v>24</v>
      </c>
      <c r="G68" s="18"/>
    </row>
    <row r="69" spans="2:7" ht="15.75" customHeight="1" x14ac:dyDescent="0.25">
      <c r="B69" s="4" t="s">
        <v>120</v>
      </c>
      <c r="C69" s="3" t="s">
        <v>4</v>
      </c>
      <c r="D69" s="3">
        <v>1</v>
      </c>
      <c r="E69" s="3" t="s">
        <v>8</v>
      </c>
      <c r="F69" s="75" t="s">
        <v>26</v>
      </c>
      <c r="G69" s="18"/>
    </row>
    <row r="70" spans="2:7" ht="15.75" customHeight="1" x14ac:dyDescent="0.25">
      <c r="B70" s="4" t="s">
        <v>121</v>
      </c>
      <c r="C70" s="3" t="s">
        <v>4</v>
      </c>
      <c r="D70" s="3">
        <v>1</v>
      </c>
      <c r="E70" s="3" t="s">
        <v>8</v>
      </c>
      <c r="F70" s="75" t="s">
        <v>20</v>
      </c>
      <c r="G70" s="18"/>
    </row>
    <row r="71" spans="2:7" ht="15.75" customHeight="1" x14ac:dyDescent="0.25">
      <c r="B71" s="4" t="s">
        <v>122</v>
      </c>
      <c r="C71" s="3" t="s">
        <v>4</v>
      </c>
      <c r="D71" s="3">
        <v>2</v>
      </c>
      <c r="E71" s="3" t="s">
        <v>8</v>
      </c>
      <c r="F71" s="75" t="s">
        <v>9</v>
      </c>
      <c r="G71" s="18"/>
    </row>
    <row r="72" spans="2:7" ht="15.75" customHeight="1" x14ac:dyDescent="0.25">
      <c r="B72" s="4" t="s">
        <v>123</v>
      </c>
      <c r="C72" s="3" t="s">
        <v>4</v>
      </c>
      <c r="D72" s="3">
        <v>1</v>
      </c>
      <c r="E72" s="3" t="s">
        <v>8</v>
      </c>
      <c r="F72" s="75" t="s">
        <v>10</v>
      </c>
      <c r="G72" s="18"/>
    </row>
    <row r="73" spans="2:7" ht="15.75" customHeight="1" x14ac:dyDescent="0.25">
      <c r="B73" s="4" t="s">
        <v>124</v>
      </c>
      <c r="C73" s="3" t="s">
        <v>4</v>
      </c>
      <c r="D73" s="3">
        <v>1</v>
      </c>
      <c r="E73" s="3" t="s">
        <v>8</v>
      </c>
      <c r="F73" s="75" t="s">
        <v>14</v>
      </c>
      <c r="G73" s="18"/>
    </row>
    <row r="74" spans="2:7" ht="15.75" customHeight="1" x14ac:dyDescent="0.25">
      <c r="B74" s="4" t="s">
        <v>466</v>
      </c>
      <c r="C74" s="3" t="s">
        <v>4</v>
      </c>
      <c r="D74" s="3">
        <v>1</v>
      </c>
      <c r="E74" s="3" t="s">
        <v>8</v>
      </c>
      <c r="F74" s="75" t="s">
        <v>26</v>
      </c>
      <c r="G74" s="18"/>
    </row>
    <row r="75" spans="2:7" ht="15.75" customHeight="1" x14ac:dyDescent="0.25">
      <c r="B75" s="86" t="s">
        <v>662</v>
      </c>
      <c r="C75" s="87" t="s">
        <v>4</v>
      </c>
      <c r="D75" s="87">
        <v>1</v>
      </c>
      <c r="E75" s="87" t="s">
        <v>8</v>
      </c>
      <c r="F75" s="88" t="s">
        <v>278</v>
      </c>
      <c r="G75" s="18"/>
    </row>
    <row r="76" spans="2:7" ht="15.75" customHeight="1" x14ac:dyDescent="0.25">
      <c r="B76" s="4" t="s">
        <v>465</v>
      </c>
      <c r="C76" s="3" t="s">
        <v>4</v>
      </c>
      <c r="D76" s="3">
        <v>2</v>
      </c>
      <c r="E76" s="3" t="s">
        <v>8</v>
      </c>
      <c r="F76" s="75" t="s">
        <v>26</v>
      </c>
      <c r="G76" s="18"/>
    </row>
    <row r="77" spans="2:7" ht="15.75" customHeight="1" x14ac:dyDescent="0.25">
      <c r="B77" s="4" t="s">
        <v>125</v>
      </c>
      <c r="C77" s="3" t="s">
        <v>4</v>
      </c>
      <c r="D77" s="3">
        <v>1</v>
      </c>
      <c r="E77" s="3" t="s">
        <v>8</v>
      </c>
      <c r="F77" s="75" t="s">
        <v>26</v>
      </c>
      <c r="G77" s="18"/>
    </row>
    <row r="78" spans="2:7" ht="15.75" customHeight="1" x14ac:dyDescent="0.25">
      <c r="B78" s="4" t="s">
        <v>126</v>
      </c>
      <c r="C78" s="3" t="s">
        <v>4</v>
      </c>
      <c r="D78" s="3">
        <v>1</v>
      </c>
      <c r="E78" s="3" t="s">
        <v>8</v>
      </c>
      <c r="F78" s="75" t="s">
        <v>26</v>
      </c>
      <c r="G78" s="18"/>
    </row>
    <row r="79" spans="2:7" ht="15.75" customHeight="1" x14ac:dyDescent="0.25">
      <c r="B79" s="4" t="s">
        <v>464</v>
      </c>
      <c r="C79" s="3" t="s">
        <v>4</v>
      </c>
      <c r="D79" s="3">
        <v>1</v>
      </c>
      <c r="E79" s="3" t="s">
        <v>8</v>
      </c>
      <c r="F79" s="75" t="s">
        <v>26</v>
      </c>
      <c r="G79" s="18"/>
    </row>
    <row r="80" spans="2:7" ht="15.75" customHeight="1" x14ac:dyDescent="0.25">
      <c r="B80" s="4" t="s">
        <v>463</v>
      </c>
      <c r="C80" s="3" t="s">
        <v>4</v>
      </c>
      <c r="D80" s="3">
        <v>1</v>
      </c>
      <c r="E80" s="3" t="s">
        <v>8</v>
      </c>
      <c r="F80" s="75" t="s">
        <v>26</v>
      </c>
      <c r="G80" s="18"/>
    </row>
    <row r="81" spans="2:7" ht="15.75" customHeight="1" x14ac:dyDescent="0.25">
      <c r="B81" s="56" t="s">
        <v>480</v>
      </c>
      <c r="C81" s="9" t="s">
        <v>481</v>
      </c>
      <c r="D81" s="9">
        <v>2</v>
      </c>
      <c r="E81" s="9" t="s">
        <v>27</v>
      </c>
      <c r="F81" s="79" t="s">
        <v>278</v>
      </c>
      <c r="G81" s="18"/>
    </row>
    <row r="82" spans="2:7" ht="15.75" customHeight="1" x14ac:dyDescent="0.25">
      <c r="B82" s="6" t="s">
        <v>462</v>
      </c>
      <c r="C82" s="5" t="s">
        <v>4</v>
      </c>
      <c r="D82" s="5">
        <v>1</v>
      </c>
      <c r="E82" s="5" t="s">
        <v>8</v>
      </c>
      <c r="F82" s="76" t="s">
        <v>26</v>
      </c>
      <c r="G82" s="18"/>
    </row>
    <row r="83" spans="2:7" ht="15.75" customHeight="1" x14ac:dyDescent="0.25">
      <c r="B83" s="4" t="s">
        <v>461</v>
      </c>
      <c r="C83" s="3" t="s">
        <v>4</v>
      </c>
      <c r="D83" s="3">
        <v>1</v>
      </c>
      <c r="E83" s="3" t="s">
        <v>8</v>
      </c>
      <c r="F83" s="75" t="s">
        <v>25</v>
      </c>
      <c r="G83" s="18"/>
    </row>
    <row r="84" spans="2:7" ht="15.75" x14ac:dyDescent="0.25">
      <c r="B84" s="26" t="s">
        <v>460</v>
      </c>
      <c r="C84" s="27" t="s">
        <v>4</v>
      </c>
      <c r="D84" s="27">
        <v>1</v>
      </c>
      <c r="E84" s="27" t="s">
        <v>8</v>
      </c>
      <c r="F84" s="80" t="s">
        <v>26</v>
      </c>
      <c r="G84" s="82"/>
    </row>
    <row r="85" spans="2:7" ht="15.75" x14ac:dyDescent="0.25">
      <c r="B85" s="26" t="s">
        <v>127</v>
      </c>
      <c r="C85" s="27" t="s">
        <v>28</v>
      </c>
      <c r="D85" s="27">
        <v>3</v>
      </c>
      <c r="E85" s="27" t="s">
        <v>29</v>
      </c>
      <c r="F85" s="80" t="s">
        <v>30</v>
      </c>
      <c r="G85" s="82"/>
    </row>
    <row r="86" spans="2:7" ht="15.75" x14ac:dyDescent="0.25">
      <c r="B86" s="26" t="s">
        <v>128</v>
      </c>
      <c r="C86" s="27" t="s">
        <v>28</v>
      </c>
      <c r="D86" s="27">
        <v>1</v>
      </c>
      <c r="E86" s="27" t="s">
        <v>29</v>
      </c>
      <c r="F86" s="80" t="s">
        <v>30</v>
      </c>
      <c r="G86" s="82"/>
    </row>
    <row r="87" spans="2:7" ht="15.75" x14ac:dyDescent="0.25">
      <c r="B87" s="26" t="s">
        <v>129</v>
      </c>
      <c r="C87" s="27" t="s">
        <v>28</v>
      </c>
      <c r="D87" s="27">
        <v>1</v>
      </c>
      <c r="E87" s="27" t="s">
        <v>29</v>
      </c>
      <c r="F87" s="80" t="s">
        <v>30</v>
      </c>
      <c r="G87" s="82"/>
    </row>
    <row r="88" spans="2:7" ht="15.75" x14ac:dyDescent="0.25">
      <c r="B88" s="26" t="s">
        <v>130</v>
      </c>
      <c r="C88" s="27" t="s">
        <v>28</v>
      </c>
      <c r="D88" s="27">
        <v>2</v>
      </c>
      <c r="E88" s="27" t="s">
        <v>29</v>
      </c>
      <c r="F88" s="80" t="s">
        <v>30</v>
      </c>
      <c r="G88" s="82"/>
    </row>
    <row r="89" spans="2:7" ht="15.75" x14ac:dyDescent="0.25">
      <c r="B89" s="26" t="s">
        <v>83</v>
      </c>
      <c r="C89" s="27" t="s">
        <v>28</v>
      </c>
      <c r="D89" s="27">
        <v>1</v>
      </c>
      <c r="E89" s="27" t="s">
        <v>29</v>
      </c>
      <c r="F89" s="80" t="s">
        <v>30</v>
      </c>
      <c r="G89" s="82"/>
    </row>
    <row r="90" spans="2:7" ht="15.75" x14ac:dyDescent="0.25">
      <c r="B90" s="26" t="s">
        <v>231</v>
      </c>
      <c r="C90" s="27" t="s">
        <v>234</v>
      </c>
      <c r="D90" s="27" t="s">
        <v>196</v>
      </c>
      <c r="E90" s="27" t="s">
        <v>189</v>
      </c>
      <c r="F90" s="80" t="s">
        <v>519</v>
      </c>
      <c r="G90" s="18"/>
    </row>
    <row r="91" spans="2:7" ht="15.75" x14ac:dyDescent="0.25">
      <c r="B91" s="26" t="s">
        <v>235</v>
      </c>
      <c r="C91" s="27" t="s">
        <v>195</v>
      </c>
      <c r="D91" s="27" t="s">
        <v>196</v>
      </c>
      <c r="E91" s="27" t="s">
        <v>189</v>
      </c>
      <c r="F91" s="80" t="s">
        <v>48</v>
      </c>
      <c r="G91" s="18"/>
    </row>
    <row r="92" spans="2:7" ht="15.75" x14ac:dyDescent="0.25">
      <c r="B92" s="26" t="s">
        <v>236</v>
      </c>
      <c r="C92" s="27" t="s">
        <v>195</v>
      </c>
      <c r="D92" s="27" t="s">
        <v>196</v>
      </c>
      <c r="E92" s="27" t="s">
        <v>190</v>
      </c>
      <c r="F92" s="80" t="s">
        <v>48</v>
      </c>
      <c r="G92" s="18"/>
    </row>
    <row r="93" spans="2:7" ht="15.75" x14ac:dyDescent="0.25">
      <c r="B93" s="4" t="s">
        <v>237</v>
      </c>
      <c r="C93" s="5" t="s">
        <v>234</v>
      </c>
      <c r="D93" s="3" t="s">
        <v>196</v>
      </c>
      <c r="E93" s="3" t="s">
        <v>190</v>
      </c>
      <c r="F93" s="75" t="s">
        <v>48</v>
      </c>
      <c r="G93" s="18"/>
    </row>
    <row r="94" spans="2:7" ht="15.75" x14ac:dyDescent="0.25">
      <c r="B94" s="4" t="s">
        <v>238</v>
      </c>
      <c r="C94" s="5" t="s">
        <v>234</v>
      </c>
      <c r="D94" s="3" t="s">
        <v>196</v>
      </c>
      <c r="E94" s="3" t="s">
        <v>190</v>
      </c>
      <c r="F94" s="75" t="s">
        <v>48</v>
      </c>
      <c r="G94" s="18"/>
    </row>
    <row r="95" spans="2:7" ht="15.75" x14ac:dyDescent="0.25">
      <c r="B95" s="4" t="s">
        <v>239</v>
      </c>
      <c r="C95" s="5" t="s">
        <v>234</v>
      </c>
      <c r="D95" s="3" t="s">
        <v>196</v>
      </c>
      <c r="E95" s="3" t="s">
        <v>190</v>
      </c>
      <c r="F95" s="75" t="s">
        <v>278</v>
      </c>
      <c r="G95" s="18"/>
    </row>
    <row r="96" spans="2:7" ht="15.75" x14ac:dyDescent="0.25">
      <c r="B96" s="4" t="s">
        <v>240</v>
      </c>
      <c r="C96" s="5" t="s">
        <v>234</v>
      </c>
      <c r="D96" s="3" t="s">
        <v>196</v>
      </c>
      <c r="E96" s="3" t="s">
        <v>190</v>
      </c>
      <c r="F96" s="75" t="s">
        <v>48</v>
      </c>
      <c r="G96" s="18"/>
    </row>
    <row r="97" spans="2:7" ht="15.75" x14ac:dyDescent="0.25">
      <c r="B97" s="4" t="s">
        <v>241</v>
      </c>
      <c r="C97" s="5" t="s">
        <v>234</v>
      </c>
      <c r="D97" s="3" t="s">
        <v>196</v>
      </c>
      <c r="E97" s="3" t="s">
        <v>190</v>
      </c>
      <c r="F97" s="75" t="s">
        <v>48</v>
      </c>
      <c r="G97" s="18"/>
    </row>
    <row r="98" spans="2:7" ht="15.75" x14ac:dyDescent="0.25">
      <c r="B98" s="4" t="s">
        <v>242</v>
      </c>
      <c r="C98" s="5" t="s">
        <v>234</v>
      </c>
      <c r="D98" s="3" t="s">
        <v>196</v>
      </c>
      <c r="E98" s="3" t="s">
        <v>190</v>
      </c>
      <c r="F98" s="75" t="s">
        <v>48</v>
      </c>
      <c r="G98" s="18"/>
    </row>
    <row r="99" spans="2:7" ht="15.75" x14ac:dyDescent="0.25">
      <c r="B99" s="4" t="s">
        <v>243</v>
      </c>
      <c r="C99" s="5" t="s">
        <v>234</v>
      </c>
      <c r="D99" s="3" t="s">
        <v>196</v>
      </c>
      <c r="E99" s="3" t="s">
        <v>190</v>
      </c>
      <c r="F99" s="75" t="s">
        <v>48</v>
      </c>
      <c r="G99" s="18"/>
    </row>
    <row r="100" spans="2:7" ht="15.75" x14ac:dyDescent="0.25">
      <c r="B100" s="4" t="s">
        <v>244</v>
      </c>
      <c r="C100" s="5" t="s">
        <v>234</v>
      </c>
      <c r="D100" s="3" t="s">
        <v>196</v>
      </c>
      <c r="E100" s="3" t="s">
        <v>190</v>
      </c>
      <c r="F100" s="75" t="s">
        <v>48</v>
      </c>
      <c r="G100" s="18"/>
    </row>
    <row r="101" spans="2:7" ht="15.75" x14ac:dyDescent="0.25">
      <c r="B101" s="4" t="s">
        <v>245</v>
      </c>
      <c r="C101" s="5" t="s">
        <v>234</v>
      </c>
      <c r="D101" s="3" t="s">
        <v>196</v>
      </c>
      <c r="E101" s="3" t="s">
        <v>190</v>
      </c>
      <c r="F101" s="75" t="s">
        <v>278</v>
      </c>
      <c r="G101" s="18"/>
    </row>
    <row r="102" spans="2:7" ht="15.75" x14ac:dyDescent="0.25">
      <c r="B102" s="4" t="s">
        <v>246</v>
      </c>
      <c r="C102" s="5" t="s">
        <v>234</v>
      </c>
      <c r="D102" s="3" t="s">
        <v>196</v>
      </c>
      <c r="E102" s="3" t="s">
        <v>190</v>
      </c>
      <c r="F102" s="76" t="s">
        <v>48</v>
      </c>
      <c r="G102" s="18"/>
    </row>
    <row r="103" spans="2:7" ht="15.75" x14ac:dyDescent="0.25">
      <c r="B103" s="4" t="s">
        <v>247</v>
      </c>
      <c r="C103" s="5" t="s">
        <v>234</v>
      </c>
      <c r="D103" s="3" t="s">
        <v>196</v>
      </c>
      <c r="E103" s="3" t="s">
        <v>190</v>
      </c>
      <c r="F103" s="76" t="s">
        <v>48</v>
      </c>
      <c r="G103" s="18"/>
    </row>
    <row r="104" spans="2:7" ht="15.75" x14ac:dyDescent="0.25">
      <c r="B104" s="4" t="s">
        <v>248</v>
      </c>
      <c r="C104" s="5" t="s">
        <v>234</v>
      </c>
      <c r="D104" s="3" t="s">
        <v>196</v>
      </c>
      <c r="E104" s="3" t="s">
        <v>190</v>
      </c>
      <c r="F104" s="76" t="s">
        <v>48</v>
      </c>
      <c r="G104" s="18"/>
    </row>
    <row r="105" spans="2:7" ht="15.75" x14ac:dyDescent="0.25">
      <c r="B105" s="4" t="s">
        <v>249</v>
      </c>
      <c r="C105" s="5" t="s">
        <v>234</v>
      </c>
      <c r="D105" s="3" t="s">
        <v>196</v>
      </c>
      <c r="E105" s="3" t="s">
        <v>190</v>
      </c>
      <c r="F105" s="75" t="s">
        <v>278</v>
      </c>
      <c r="G105" s="18"/>
    </row>
    <row r="106" spans="2:7" ht="15.75" x14ac:dyDescent="0.25">
      <c r="B106" s="4" t="s">
        <v>250</v>
      </c>
      <c r="C106" s="5" t="s">
        <v>234</v>
      </c>
      <c r="D106" s="3" t="s">
        <v>196</v>
      </c>
      <c r="E106" s="3" t="s">
        <v>190</v>
      </c>
      <c r="F106" s="76" t="s">
        <v>48</v>
      </c>
      <c r="G106" s="18"/>
    </row>
    <row r="107" spans="2:7" ht="15.75" x14ac:dyDescent="0.25">
      <c r="B107" s="4" t="s">
        <v>251</v>
      </c>
      <c r="C107" s="5" t="s">
        <v>234</v>
      </c>
      <c r="D107" s="3" t="s">
        <v>196</v>
      </c>
      <c r="E107" s="3" t="s">
        <v>190</v>
      </c>
      <c r="F107" s="76" t="s">
        <v>48</v>
      </c>
      <c r="G107" s="18"/>
    </row>
    <row r="108" spans="2:7" ht="15.75" x14ac:dyDescent="0.25">
      <c r="B108" s="4" t="s">
        <v>252</v>
      </c>
      <c r="C108" s="5" t="s">
        <v>234</v>
      </c>
      <c r="D108" s="3" t="s">
        <v>196</v>
      </c>
      <c r="E108" s="3" t="s">
        <v>190</v>
      </c>
      <c r="F108" s="75" t="s">
        <v>278</v>
      </c>
      <c r="G108" s="18"/>
    </row>
    <row r="109" spans="2:7" ht="15.75" x14ac:dyDescent="0.25">
      <c r="B109" s="4" t="s">
        <v>253</v>
      </c>
      <c r="C109" s="5" t="s">
        <v>234</v>
      </c>
      <c r="D109" s="3" t="s">
        <v>196</v>
      </c>
      <c r="E109" s="3" t="s">
        <v>190</v>
      </c>
      <c r="F109" s="4" t="s">
        <v>278</v>
      </c>
      <c r="G109" s="18"/>
    </row>
    <row r="110" spans="2:7" ht="15.75" x14ac:dyDescent="0.25">
      <c r="B110" s="4" t="s">
        <v>254</v>
      </c>
      <c r="C110" s="5" t="s">
        <v>234</v>
      </c>
      <c r="D110" s="3" t="s">
        <v>196</v>
      </c>
      <c r="E110" s="3" t="s">
        <v>190</v>
      </c>
      <c r="F110" s="4" t="s">
        <v>278</v>
      </c>
      <c r="G110" s="18"/>
    </row>
    <row r="111" spans="2:7" ht="15.75" x14ac:dyDescent="0.25">
      <c r="B111" s="4" t="s">
        <v>255</v>
      </c>
      <c r="C111" s="5" t="s">
        <v>234</v>
      </c>
      <c r="D111" s="3" t="s">
        <v>196</v>
      </c>
      <c r="E111" s="3" t="s">
        <v>190</v>
      </c>
      <c r="F111" s="4" t="s">
        <v>278</v>
      </c>
      <c r="G111" s="18"/>
    </row>
    <row r="112" spans="2:7" ht="15.75" x14ac:dyDescent="0.25">
      <c r="B112" s="4" t="s">
        <v>256</v>
      </c>
      <c r="C112" s="5" t="s">
        <v>234</v>
      </c>
      <c r="D112" s="3" t="s">
        <v>196</v>
      </c>
      <c r="E112" s="3" t="s">
        <v>190</v>
      </c>
      <c r="F112" s="4" t="s">
        <v>278</v>
      </c>
      <c r="G112" s="18"/>
    </row>
    <row r="113" spans="2:7" ht="15.75" x14ac:dyDescent="0.25">
      <c r="B113" s="4" t="s">
        <v>257</v>
      </c>
      <c r="C113" s="5" t="s">
        <v>234</v>
      </c>
      <c r="D113" s="3" t="s">
        <v>196</v>
      </c>
      <c r="E113" s="3" t="s">
        <v>190</v>
      </c>
      <c r="F113" s="6" t="s">
        <v>48</v>
      </c>
      <c r="G113" s="18"/>
    </row>
    <row r="114" spans="2:7" ht="15.75" x14ac:dyDescent="0.25">
      <c r="B114" s="6" t="s">
        <v>258</v>
      </c>
      <c r="C114" s="5" t="s">
        <v>234</v>
      </c>
      <c r="D114" s="3" t="s">
        <v>196</v>
      </c>
      <c r="E114" s="3" t="s">
        <v>190</v>
      </c>
      <c r="F114" s="6" t="s">
        <v>48</v>
      </c>
      <c r="G114" s="18"/>
    </row>
    <row r="115" spans="2:7" ht="15.75" x14ac:dyDescent="0.25">
      <c r="B115" s="6" t="s">
        <v>259</v>
      </c>
      <c r="C115" s="5" t="s">
        <v>234</v>
      </c>
      <c r="D115" s="3" t="s">
        <v>196</v>
      </c>
      <c r="E115" s="3" t="s">
        <v>190</v>
      </c>
      <c r="F115" s="6" t="s">
        <v>48</v>
      </c>
      <c r="G115" s="18"/>
    </row>
    <row r="116" spans="2:7" ht="15.75" x14ac:dyDescent="0.25">
      <c r="B116" s="6" t="s">
        <v>260</v>
      </c>
      <c r="C116" s="5" t="s">
        <v>234</v>
      </c>
      <c r="D116" s="3" t="s">
        <v>196</v>
      </c>
      <c r="E116" s="3" t="s">
        <v>190</v>
      </c>
      <c r="F116" s="6" t="s">
        <v>191</v>
      </c>
      <c r="G116" s="18"/>
    </row>
    <row r="117" spans="2:7" ht="15.75" x14ac:dyDescent="0.25">
      <c r="B117" s="6" t="s">
        <v>261</v>
      </c>
      <c r="C117" s="5" t="s">
        <v>234</v>
      </c>
      <c r="D117" s="3" t="s">
        <v>196</v>
      </c>
      <c r="E117" s="3" t="s">
        <v>190</v>
      </c>
      <c r="F117" s="6" t="s">
        <v>191</v>
      </c>
      <c r="G117" s="18"/>
    </row>
    <row r="118" spans="2:7" ht="15.75" x14ac:dyDescent="0.25">
      <c r="B118" s="6" t="s">
        <v>262</v>
      </c>
      <c r="C118" s="5" t="s">
        <v>234</v>
      </c>
      <c r="D118" s="3" t="s">
        <v>196</v>
      </c>
      <c r="E118" s="5" t="s">
        <v>192</v>
      </c>
      <c r="F118" s="6" t="s">
        <v>48</v>
      </c>
      <c r="G118" s="18"/>
    </row>
    <row r="119" spans="2:7" ht="15.75" x14ac:dyDescent="0.25">
      <c r="B119" s="6" t="s">
        <v>263</v>
      </c>
      <c r="C119" s="5" t="s">
        <v>234</v>
      </c>
      <c r="D119" s="3" t="s">
        <v>196</v>
      </c>
      <c r="E119" s="5" t="s">
        <v>192</v>
      </c>
      <c r="F119" s="6" t="s">
        <v>48</v>
      </c>
      <c r="G119" s="18"/>
    </row>
    <row r="120" spans="2:7" ht="15.75" x14ac:dyDescent="0.25">
      <c r="B120" s="6" t="s">
        <v>264</v>
      </c>
      <c r="C120" s="5" t="s">
        <v>234</v>
      </c>
      <c r="D120" s="3" t="s">
        <v>196</v>
      </c>
      <c r="E120" s="5" t="s">
        <v>192</v>
      </c>
      <c r="F120" s="6" t="s">
        <v>279</v>
      </c>
      <c r="G120" s="18"/>
    </row>
    <row r="121" spans="2:7" ht="15.75" x14ac:dyDescent="0.25">
      <c r="B121" s="6" t="s">
        <v>265</v>
      </c>
      <c r="C121" s="5" t="s">
        <v>234</v>
      </c>
      <c r="D121" s="3" t="s">
        <v>196</v>
      </c>
      <c r="E121" s="5" t="s">
        <v>192</v>
      </c>
      <c r="F121" s="6" t="s">
        <v>279</v>
      </c>
      <c r="G121" s="18"/>
    </row>
    <row r="122" spans="2:7" ht="15.75" x14ac:dyDescent="0.25">
      <c r="B122" s="6" t="s">
        <v>266</v>
      </c>
      <c r="C122" s="5" t="s">
        <v>234</v>
      </c>
      <c r="D122" s="3" t="s">
        <v>196</v>
      </c>
      <c r="E122" s="5" t="s">
        <v>192</v>
      </c>
      <c r="F122" s="6" t="s">
        <v>48</v>
      </c>
      <c r="G122" s="18"/>
    </row>
    <row r="123" spans="2:7" ht="15.75" x14ac:dyDescent="0.25">
      <c r="B123" s="6" t="s">
        <v>267</v>
      </c>
      <c r="C123" s="5" t="s">
        <v>234</v>
      </c>
      <c r="D123" s="3" t="s">
        <v>196</v>
      </c>
      <c r="E123" s="5" t="s">
        <v>192</v>
      </c>
      <c r="F123" s="6" t="s">
        <v>48</v>
      </c>
      <c r="G123" s="18"/>
    </row>
    <row r="124" spans="2:7" ht="15.75" x14ac:dyDescent="0.25">
      <c r="B124" s="6" t="s">
        <v>268</v>
      </c>
      <c r="C124" s="5" t="s">
        <v>234</v>
      </c>
      <c r="D124" s="3" t="s">
        <v>196</v>
      </c>
      <c r="E124" s="5" t="s">
        <v>192</v>
      </c>
      <c r="F124" s="6" t="s">
        <v>48</v>
      </c>
      <c r="G124" s="18"/>
    </row>
    <row r="125" spans="2:7" ht="15.75" x14ac:dyDescent="0.25">
      <c r="B125" s="6" t="s">
        <v>269</v>
      </c>
      <c r="C125" s="5" t="s">
        <v>234</v>
      </c>
      <c r="D125" s="3" t="s">
        <v>196</v>
      </c>
      <c r="E125" s="5" t="s">
        <v>192</v>
      </c>
      <c r="F125" s="6" t="s">
        <v>279</v>
      </c>
      <c r="G125" s="18"/>
    </row>
    <row r="126" spans="2:7" ht="15.75" x14ac:dyDescent="0.25">
      <c r="B126" s="6" t="s">
        <v>270</v>
      </c>
      <c r="C126" s="5" t="s">
        <v>234</v>
      </c>
      <c r="D126" s="3" t="s">
        <v>196</v>
      </c>
      <c r="E126" s="5" t="s">
        <v>192</v>
      </c>
      <c r="F126" s="6" t="s">
        <v>279</v>
      </c>
      <c r="G126" s="18"/>
    </row>
    <row r="127" spans="2:7" ht="15.75" x14ac:dyDescent="0.25">
      <c r="B127" s="6" t="s">
        <v>271</v>
      </c>
      <c r="C127" s="5" t="s">
        <v>234</v>
      </c>
      <c r="D127" s="3" t="s">
        <v>196</v>
      </c>
      <c r="E127" s="5" t="s">
        <v>192</v>
      </c>
      <c r="F127" s="6" t="s">
        <v>279</v>
      </c>
      <c r="G127" s="18"/>
    </row>
    <row r="128" spans="2:7" ht="15.75" x14ac:dyDescent="0.25">
      <c r="B128" s="6" t="s">
        <v>272</v>
      </c>
      <c r="C128" s="5" t="s">
        <v>234</v>
      </c>
      <c r="D128" s="3" t="s">
        <v>196</v>
      </c>
      <c r="E128" s="5" t="s">
        <v>192</v>
      </c>
      <c r="F128" s="6" t="s">
        <v>48</v>
      </c>
      <c r="G128" s="18"/>
    </row>
    <row r="129" spans="2:7" ht="15.75" x14ac:dyDescent="0.25">
      <c r="B129" s="6" t="s">
        <v>273</v>
      </c>
      <c r="C129" s="5" t="s">
        <v>234</v>
      </c>
      <c r="D129" s="3" t="s">
        <v>196</v>
      </c>
      <c r="E129" s="5" t="s">
        <v>192</v>
      </c>
      <c r="F129" s="6" t="s">
        <v>279</v>
      </c>
      <c r="G129" s="18"/>
    </row>
    <row r="130" spans="2:7" ht="15.75" x14ac:dyDescent="0.25">
      <c r="B130" s="6" t="s">
        <v>274</v>
      </c>
      <c r="C130" s="5" t="s">
        <v>234</v>
      </c>
      <c r="D130" s="3" t="s">
        <v>196</v>
      </c>
      <c r="E130" s="5" t="s">
        <v>192</v>
      </c>
      <c r="F130" s="6" t="s">
        <v>279</v>
      </c>
      <c r="G130" s="18"/>
    </row>
    <row r="131" spans="2:7" ht="15.75" x14ac:dyDescent="0.25">
      <c r="B131" s="6" t="s">
        <v>275</v>
      </c>
      <c r="C131" s="5" t="s">
        <v>234</v>
      </c>
      <c r="D131" s="3" t="s">
        <v>196</v>
      </c>
      <c r="E131" s="5" t="s">
        <v>192</v>
      </c>
      <c r="F131" s="6" t="s">
        <v>48</v>
      </c>
      <c r="G131" s="18"/>
    </row>
    <row r="132" spans="2:7" ht="15.75" x14ac:dyDescent="0.25">
      <c r="B132" s="6" t="s">
        <v>276</v>
      </c>
      <c r="C132" s="5" t="s">
        <v>234</v>
      </c>
      <c r="D132" s="3" t="s">
        <v>196</v>
      </c>
      <c r="E132" s="5" t="s">
        <v>192</v>
      </c>
      <c r="F132" s="6" t="s">
        <v>279</v>
      </c>
      <c r="G132" s="18"/>
    </row>
    <row r="133" spans="2:7" ht="15.75" x14ac:dyDescent="0.25">
      <c r="B133" s="6" t="s">
        <v>277</v>
      </c>
      <c r="C133" s="5" t="s">
        <v>234</v>
      </c>
      <c r="D133" s="3" t="s">
        <v>196</v>
      </c>
      <c r="E133" s="5" t="s">
        <v>193</v>
      </c>
      <c r="F133" s="6" t="s">
        <v>30</v>
      </c>
      <c r="G133" s="18"/>
    </row>
    <row r="134" spans="2:7" ht="15.75" x14ac:dyDescent="0.25">
      <c r="B134" s="6" t="s">
        <v>223</v>
      </c>
      <c r="C134" s="5" t="s">
        <v>234</v>
      </c>
      <c r="D134" s="3" t="s">
        <v>196</v>
      </c>
      <c r="E134" s="5" t="s">
        <v>193</v>
      </c>
      <c r="F134" s="6" t="s">
        <v>30</v>
      </c>
      <c r="G134" s="18"/>
    </row>
    <row r="135" spans="2:7" ht="15.75" x14ac:dyDescent="0.25">
      <c r="B135" s="6" t="s">
        <v>281</v>
      </c>
      <c r="C135" s="5" t="s">
        <v>234</v>
      </c>
      <c r="D135" s="3" t="s">
        <v>196</v>
      </c>
      <c r="E135" s="8" t="s">
        <v>225</v>
      </c>
      <c r="F135" s="6" t="s">
        <v>30</v>
      </c>
      <c r="G135" s="18"/>
    </row>
    <row r="136" spans="2:7" ht="18.75" x14ac:dyDescent="0.25">
      <c r="B136" s="56" t="s">
        <v>482</v>
      </c>
      <c r="C136" s="9" t="s">
        <v>483</v>
      </c>
      <c r="D136" s="9">
        <v>1</v>
      </c>
      <c r="E136" s="9" t="s">
        <v>8</v>
      </c>
      <c r="F136" s="56" t="s">
        <v>484</v>
      </c>
      <c r="G136" s="18"/>
    </row>
    <row r="137" spans="2:7" ht="15.75" x14ac:dyDescent="0.25">
      <c r="B137" s="12" t="s">
        <v>477</v>
      </c>
      <c r="C137" s="13" t="s">
        <v>19</v>
      </c>
      <c r="D137" s="13">
        <v>1</v>
      </c>
      <c r="E137" s="13" t="s">
        <v>8</v>
      </c>
      <c r="F137" s="12" t="s">
        <v>20</v>
      </c>
      <c r="G137" s="18"/>
    </row>
    <row r="138" spans="2:7" ht="15.75" x14ac:dyDescent="0.25">
      <c r="B138" s="20" t="s">
        <v>486</v>
      </c>
      <c r="C138" s="13" t="s">
        <v>19</v>
      </c>
      <c r="D138" s="13">
        <v>1</v>
      </c>
      <c r="E138" s="13" t="s">
        <v>8</v>
      </c>
      <c r="F138" s="20" t="s">
        <v>10</v>
      </c>
      <c r="G138" s="18"/>
    </row>
    <row r="139" spans="2:7" ht="15.75" x14ac:dyDescent="0.25">
      <c r="B139" s="16" t="s">
        <v>512</v>
      </c>
      <c r="C139" s="15" t="s">
        <v>4</v>
      </c>
      <c r="D139" s="15">
        <v>1</v>
      </c>
      <c r="E139" s="15" t="s">
        <v>8</v>
      </c>
      <c r="F139" s="17" t="s">
        <v>30</v>
      </c>
      <c r="G139" s="19"/>
    </row>
    <row r="140" spans="2:7" ht="15.75" x14ac:dyDescent="0.25">
      <c r="B140" s="16" t="s">
        <v>513</v>
      </c>
      <c r="C140" s="15" t="s">
        <v>4</v>
      </c>
      <c r="D140" s="15">
        <v>1</v>
      </c>
      <c r="E140" s="15" t="s">
        <v>8</v>
      </c>
      <c r="F140" s="17" t="s">
        <v>30</v>
      </c>
      <c r="G140" s="18"/>
    </row>
    <row r="141" spans="2:7" ht="15.75" x14ac:dyDescent="0.25">
      <c r="B141" s="26" t="s">
        <v>516</v>
      </c>
      <c r="C141" s="27" t="s">
        <v>28</v>
      </c>
      <c r="D141" s="27">
        <v>1</v>
      </c>
      <c r="E141" s="27" t="s">
        <v>29</v>
      </c>
      <c r="F141" s="26" t="s">
        <v>30</v>
      </c>
      <c r="G141" s="18"/>
    </row>
    <row r="142" spans="2:7" ht="15.75" x14ac:dyDescent="0.25">
      <c r="B142" s="51" t="s">
        <v>517</v>
      </c>
      <c r="C142" s="27" t="s">
        <v>28</v>
      </c>
      <c r="D142" s="27">
        <v>1</v>
      </c>
      <c r="E142" s="27" t="s">
        <v>29</v>
      </c>
      <c r="F142" s="26" t="s">
        <v>30</v>
      </c>
      <c r="G142" s="18"/>
    </row>
    <row r="143" spans="2:7" x14ac:dyDescent="0.25">
      <c r="B143" s="31" t="s">
        <v>533</v>
      </c>
      <c r="C143" s="54" t="s">
        <v>534</v>
      </c>
      <c r="D143" s="54">
        <v>1</v>
      </c>
      <c r="E143" s="68" t="s">
        <v>535</v>
      </c>
      <c r="F143" s="32" t="s">
        <v>278</v>
      </c>
      <c r="G143" s="18"/>
    </row>
    <row r="144" spans="2:7" x14ac:dyDescent="0.25">
      <c r="B144" s="31" t="s">
        <v>536</v>
      </c>
      <c r="C144" s="54" t="s">
        <v>534</v>
      </c>
      <c r="D144" s="54">
        <v>1</v>
      </c>
      <c r="E144" s="68" t="s">
        <v>535</v>
      </c>
      <c r="F144" s="32" t="s">
        <v>278</v>
      </c>
      <c r="G144" s="18"/>
    </row>
    <row r="145" spans="2:7" x14ac:dyDescent="0.25">
      <c r="B145" s="31" t="s">
        <v>537</v>
      </c>
      <c r="C145" s="54" t="s">
        <v>538</v>
      </c>
      <c r="D145" s="54">
        <v>1</v>
      </c>
      <c r="E145" s="33" t="s">
        <v>190</v>
      </c>
      <c r="F145" s="31" t="s">
        <v>539</v>
      </c>
      <c r="G145" s="18"/>
    </row>
    <row r="146" spans="2:7" x14ac:dyDescent="0.25">
      <c r="B146" s="31" t="s">
        <v>540</v>
      </c>
      <c r="C146" s="54" t="s">
        <v>541</v>
      </c>
      <c r="D146" s="54">
        <v>1</v>
      </c>
      <c r="E146" s="33" t="s">
        <v>190</v>
      </c>
      <c r="F146" s="31" t="s">
        <v>30</v>
      </c>
      <c r="G146" s="18"/>
    </row>
    <row r="147" spans="2:7" x14ac:dyDescent="0.25">
      <c r="B147" s="34" t="s">
        <v>542</v>
      </c>
      <c r="C147" s="35" t="s">
        <v>4</v>
      </c>
      <c r="D147" s="35">
        <v>1</v>
      </c>
      <c r="E147" s="35" t="s">
        <v>190</v>
      </c>
      <c r="F147" s="34" t="s">
        <v>26</v>
      </c>
      <c r="G147" s="18"/>
    </row>
    <row r="148" spans="2:7" x14ac:dyDescent="0.25">
      <c r="B148" s="34" t="s">
        <v>446</v>
      </c>
      <c r="C148" s="35"/>
      <c r="D148" s="35" t="s">
        <v>196</v>
      </c>
      <c r="E148" s="35"/>
      <c r="F148" s="34" t="s">
        <v>191</v>
      </c>
      <c r="G148" s="18"/>
    </row>
    <row r="149" spans="2:7" x14ac:dyDescent="0.25">
      <c r="B149" s="34" t="s">
        <v>543</v>
      </c>
      <c r="C149" s="35" t="s">
        <v>4</v>
      </c>
      <c r="D149" s="35">
        <v>2</v>
      </c>
      <c r="E149" s="35" t="s">
        <v>8</v>
      </c>
      <c r="F149" s="36" t="s">
        <v>26</v>
      </c>
      <c r="G149" s="18"/>
    </row>
    <row r="150" spans="2:7" x14ac:dyDescent="0.25">
      <c r="B150" s="34" t="s">
        <v>544</v>
      </c>
      <c r="C150" s="35" t="s">
        <v>4</v>
      </c>
      <c r="D150" s="35">
        <v>2</v>
      </c>
      <c r="E150" s="35" t="s">
        <v>8</v>
      </c>
      <c r="F150" s="36" t="s">
        <v>26</v>
      </c>
      <c r="G150" s="18"/>
    </row>
    <row r="151" spans="2:7" x14ac:dyDescent="0.25">
      <c r="B151" s="34" t="s">
        <v>545</v>
      </c>
      <c r="C151" s="35" t="s">
        <v>546</v>
      </c>
      <c r="D151" s="37" t="s">
        <v>196</v>
      </c>
      <c r="E151" s="37" t="s">
        <v>190</v>
      </c>
      <c r="F151" s="36" t="s">
        <v>435</v>
      </c>
      <c r="G151" s="18"/>
    </row>
    <row r="152" spans="2:7" ht="15.75" x14ac:dyDescent="0.25">
      <c r="B152" s="48" t="s">
        <v>67</v>
      </c>
      <c r="C152" s="55" t="s">
        <v>552</v>
      </c>
      <c r="D152" s="29">
        <v>1</v>
      </c>
      <c r="E152" s="69" t="s">
        <v>33</v>
      </c>
      <c r="F152" s="49" t="s">
        <v>48</v>
      </c>
      <c r="G152" s="18"/>
    </row>
    <row r="153" spans="2:7" ht="15.75" x14ac:dyDescent="0.25">
      <c r="B153" s="48" t="s">
        <v>68</v>
      </c>
      <c r="C153" s="55" t="s">
        <v>552</v>
      </c>
      <c r="D153" s="29">
        <v>1</v>
      </c>
      <c r="E153" s="69" t="s">
        <v>33</v>
      </c>
      <c r="F153" s="49" t="s">
        <v>48</v>
      </c>
      <c r="G153" s="18"/>
    </row>
    <row r="154" spans="2:7" ht="15.75" x14ac:dyDescent="0.25">
      <c r="B154" s="48" t="s">
        <v>548</v>
      </c>
      <c r="C154" s="55" t="s">
        <v>552</v>
      </c>
      <c r="D154" s="29">
        <v>6</v>
      </c>
      <c r="E154" s="69" t="s">
        <v>33</v>
      </c>
      <c r="F154" s="49" t="s">
        <v>48</v>
      </c>
      <c r="G154" s="18"/>
    </row>
    <row r="155" spans="2:7" ht="15.75" x14ac:dyDescent="0.25">
      <c r="B155" s="48" t="s">
        <v>70</v>
      </c>
      <c r="C155" s="55" t="s">
        <v>552</v>
      </c>
      <c r="D155" s="29">
        <v>3</v>
      </c>
      <c r="E155" s="69" t="s">
        <v>33</v>
      </c>
      <c r="F155" s="49" t="s">
        <v>48</v>
      </c>
      <c r="G155" s="18"/>
    </row>
    <row r="156" spans="2:7" ht="15.75" x14ac:dyDescent="0.25">
      <c r="B156" s="48" t="s">
        <v>476</v>
      </c>
      <c r="C156" s="55" t="s">
        <v>552</v>
      </c>
      <c r="D156" s="29">
        <v>2</v>
      </c>
      <c r="E156" s="69" t="s">
        <v>33</v>
      </c>
      <c r="F156" s="49" t="s">
        <v>48</v>
      </c>
      <c r="G156" s="18"/>
    </row>
    <row r="157" spans="2:7" ht="15.75" x14ac:dyDescent="0.25">
      <c r="B157" s="48" t="s">
        <v>71</v>
      </c>
      <c r="C157" s="55" t="s">
        <v>552</v>
      </c>
      <c r="D157" s="29">
        <v>4</v>
      </c>
      <c r="E157" s="69" t="s">
        <v>33</v>
      </c>
      <c r="F157" s="49" t="s">
        <v>48</v>
      </c>
      <c r="G157" s="18"/>
    </row>
    <row r="158" spans="2:7" ht="15.75" x14ac:dyDescent="0.25">
      <c r="B158" s="48" t="s">
        <v>549</v>
      </c>
      <c r="C158" s="55" t="s">
        <v>552</v>
      </c>
      <c r="D158" s="29">
        <v>2</v>
      </c>
      <c r="E158" s="69" t="s">
        <v>33</v>
      </c>
      <c r="F158" s="49" t="s">
        <v>48</v>
      </c>
      <c r="G158" s="18"/>
    </row>
    <row r="159" spans="2:7" ht="15.75" x14ac:dyDescent="0.25">
      <c r="B159" s="48" t="s">
        <v>73</v>
      </c>
      <c r="C159" s="69" t="s">
        <v>552</v>
      </c>
      <c r="D159" s="29">
        <v>2</v>
      </c>
      <c r="E159" s="69" t="s">
        <v>33</v>
      </c>
      <c r="F159" s="49" t="s">
        <v>48</v>
      </c>
      <c r="G159" s="18"/>
    </row>
    <row r="160" spans="2:7" ht="15.75" x14ac:dyDescent="0.25">
      <c r="B160" s="48" t="s">
        <v>74</v>
      </c>
      <c r="C160" s="69" t="s">
        <v>552</v>
      </c>
      <c r="D160" s="29">
        <v>2</v>
      </c>
      <c r="E160" s="69" t="s">
        <v>33</v>
      </c>
      <c r="F160" s="49" t="s">
        <v>48</v>
      </c>
      <c r="G160" s="18"/>
    </row>
    <row r="161" spans="2:7" ht="15.75" x14ac:dyDescent="0.25">
      <c r="B161" s="48" t="s">
        <v>75</v>
      </c>
      <c r="C161" s="69" t="s">
        <v>552</v>
      </c>
      <c r="D161" s="29">
        <v>1</v>
      </c>
      <c r="E161" s="69" t="s">
        <v>33</v>
      </c>
      <c r="F161" s="49" t="s">
        <v>48</v>
      </c>
      <c r="G161" s="18"/>
    </row>
    <row r="162" spans="2:7" ht="15.75" x14ac:dyDescent="0.25">
      <c r="B162" s="48" t="s">
        <v>76</v>
      </c>
      <c r="C162" s="89" t="s">
        <v>552</v>
      </c>
      <c r="D162" s="98">
        <v>6</v>
      </c>
      <c r="E162" s="89" t="s">
        <v>33</v>
      </c>
      <c r="F162" s="121" t="s">
        <v>48</v>
      </c>
      <c r="G162" s="18"/>
    </row>
    <row r="163" spans="2:7" ht="15.75" x14ac:dyDescent="0.25">
      <c r="B163" s="48" t="s">
        <v>77</v>
      </c>
      <c r="C163" s="89" t="s">
        <v>552</v>
      </c>
      <c r="D163" s="98">
        <v>1</v>
      </c>
      <c r="E163" s="89" t="s">
        <v>33</v>
      </c>
      <c r="F163" s="121" t="s">
        <v>48</v>
      </c>
      <c r="G163" s="18"/>
    </row>
    <row r="164" spans="2:7" ht="15.75" x14ac:dyDescent="0.25">
      <c r="B164" s="48" t="s">
        <v>78</v>
      </c>
      <c r="C164" s="89" t="s">
        <v>552</v>
      </c>
      <c r="D164" s="98">
        <v>10</v>
      </c>
      <c r="E164" s="89" t="s">
        <v>33</v>
      </c>
      <c r="F164" s="121" t="s">
        <v>48</v>
      </c>
      <c r="G164" s="18"/>
    </row>
    <row r="165" spans="2:7" ht="15.75" x14ac:dyDescent="0.25">
      <c r="B165" s="65" t="s">
        <v>79</v>
      </c>
      <c r="C165" s="70" t="s">
        <v>552</v>
      </c>
      <c r="D165" s="66">
        <v>3</v>
      </c>
      <c r="E165" s="89" t="s">
        <v>33</v>
      </c>
      <c r="F165" s="121" t="s">
        <v>48</v>
      </c>
      <c r="G165" s="18"/>
    </row>
    <row r="166" spans="2:7" ht="15.75" x14ac:dyDescent="0.25">
      <c r="B166" s="48" t="s">
        <v>663</v>
      </c>
      <c r="C166" s="89" t="s">
        <v>552</v>
      </c>
      <c r="D166" s="98">
        <v>4</v>
      </c>
      <c r="E166" s="89" t="s">
        <v>33</v>
      </c>
      <c r="F166" s="121" t="s">
        <v>48</v>
      </c>
      <c r="G166" s="18"/>
    </row>
    <row r="167" spans="2:7" ht="15.75" x14ac:dyDescent="0.25">
      <c r="B167" s="71" t="s">
        <v>550</v>
      </c>
      <c r="C167" s="72" t="s">
        <v>552</v>
      </c>
      <c r="D167" s="73">
        <v>1</v>
      </c>
      <c r="E167" s="89" t="s">
        <v>33</v>
      </c>
      <c r="F167" s="121" t="s">
        <v>48</v>
      </c>
      <c r="G167" s="18"/>
    </row>
    <row r="168" spans="2:7" ht="31.5" x14ac:dyDescent="0.25">
      <c r="B168" s="48" t="s">
        <v>661</v>
      </c>
      <c r="C168" s="89" t="s">
        <v>552</v>
      </c>
      <c r="D168" s="99">
        <v>1</v>
      </c>
      <c r="E168" s="89" t="s">
        <v>554</v>
      </c>
      <c r="F168" s="121" t="s">
        <v>48</v>
      </c>
      <c r="G168" s="18"/>
    </row>
    <row r="169" spans="2:7" ht="15.75" x14ac:dyDescent="0.25">
      <c r="B169" s="48" t="s">
        <v>81</v>
      </c>
      <c r="C169" s="89" t="s">
        <v>552</v>
      </c>
      <c r="D169" s="98">
        <v>6</v>
      </c>
      <c r="E169" s="89" t="s">
        <v>33</v>
      </c>
      <c r="F169" s="121" t="s">
        <v>48</v>
      </c>
      <c r="G169" s="18"/>
    </row>
    <row r="170" spans="2:7" ht="15.75" x14ac:dyDescent="0.25">
      <c r="B170" s="48" t="s">
        <v>82</v>
      </c>
      <c r="C170" s="89" t="s">
        <v>552</v>
      </c>
      <c r="D170" s="98">
        <v>5</v>
      </c>
      <c r="E170" s="89" t="s">
        <v>33</v>
      </c>
      <c r="F170" s="121" t="s">
        <v>48</v>
      </c>
      <c r="G170" s="18"/>
    </row>
    <row r="171" spans="2:7" ht="15.75" x14ac:dyDescent="0.25">
      <c r="B171" s="48" t="s">
        <v>83</v>
      </c>
      <c r="C171" s="89" t="s">
        <v>552</v>
      </c>
      <c r="D171" s="98">
        <v>8</v>
      </c>
      <c r="E171" s="89" t="s">
        <v>33</v>
      </c>
      <c r="F171" s="121" t="s">
        <v>48</v>
      </c>
      <c r="G171" s="18"/>
    </row>
    <row r="172" spans="2:7" ht="15.75" x14ac:dyDescent="0.25">
      <c r="B172" s="48" t="s">
        <v>84</v>
      </c>
      <c r="C172" s="69" t="s">
        <v>552</v>
      </c>
      <c r="D172" s="29">
        <v>6</v>
      </c>
      <c r="E172" s="69" t="s">
        <v>33</v>
      </c>
      <c r="F172" s="49" t="s">
        <v>48</v>
      </c>
      <c r="G172" s="18"/>
    </row>
    <row r="173" spans="2:7" ht="15.75" x14ac:dyDescent="0.25">
      <c r="B173" s="48" t="s">
        <v>85</v>
      </c>
      <c r="C173" s="69" t="s">
        <v>552</v>
      </c>
      <c r="D173" s="29">
        <v>1</v>
      </c>
      <c r="E173" s="69" t="s">
        <v>33</v>
      </c>
      <c r="F173" s="49" t="s">
        <v>48</v>
      </c>
      <c r="G173" s="18"/>
    </row>
    <row r="174" spans="2:7" ht="15.75" x14ac:dyDescent="0.25">
      <c r="B174" s="48" t="s">
        <v>475</v>
      </c>
      <c r="C174" s="69" t="s">
        <v>552</v>
      </c>
      <c r="D174" s="29">
        <v>2</v>
      </c>
      <c r="E174" s="69" t="s">
        <v>33</v>
      </c>
      <c r="F174" s="49" t="s">
        <v>48</v>
      </c>
      <c r="G174" s="18"/>
    </row>
    <row r="175" spans="2:7" ht="15.75" x14ac:dyDescent="0.25">
      <c r="B175" s="48" t="s">
        <v>86</v>
      </c>
      <c r="C175" s="69" t="s">
        <v>552</v>
      </c>
      <c r="D175" s="29">
        <v>4</v>
      </c>
      <c r="E175" s="69" t="s">
        <v>33</v>
      </c>
      <c r="F175" s="49" t="s">
        <v>48</v>
      </c>
      <c r="G175" s="18"/>
    </row>
    <row r="176" spans="2:7" ht="15.75" x14ac:dyDescent="0.25">
      <c r="B176" s="48" t="s">
        <v>87</v>
      </c>
      <c r="C176" s="69" t="s">
        <v>552</v>
      </c>
      <c r="D176" s="29">
        <v>6</v>
      </c>
      <c r="E176" s="69" t="s">
        <v>33</v>
      </c>
      <c r="F176" s="49" t="s">
        <v>48</v>
      </c>
      <c r="G176" s="18"/>
    </row>
    <row r="177" spans="2:7" ht="15.75" x14ac:dyDescent="0.25">
      <c r="B177" s="48" t="s">
        <v>88</v>
      </c>
      <c r="C177" s="69" t="s">
        <v>552</v>
      </c>
      <c r="D177" s="29">
        <v>2</v>
      </c>
      <c r="E177" s="69" t="s">
        <v>33</v>
      </c>
      <c r="F177" s="49" t="s">
        <v>48</v>
      </c>
      <c r="G177" s="18"/>
    </row>
    <row r="178" spans="2:7" ht="15.75" x14ac:dyDescent="0.25">
      <c r="B178" s="48" t="s">
        <v>89</v>
      </c>
      <c r="C178" s="69" t="s">
        <v>552</v>
      </c>
      <c r="D178" s="29">
        <v>2</v>
      </c>
      <c r="E178" s="69" t="s">
        <v>33</v>
      </c>
      <c r="F178" s="49" t="s">
        <v>48</v>
      </c>
      <c r="G178" s="18"/>
    </row>
    <row r="179" spans="2:7" ht="15.75" x14ac:dyDescent="0.25">
      <c r="B179" s="48" t="s">
        <v>90</v>
      </c>
      <c r="C179" s="69" t="s">
        <v>552</v>
      </c>
      <c r="D179" s="29">
        <v>1</v>
      </c>
      <c r="E179" s="69" t="s">
        <v>33</v>
      </c>
      <c r="F179" s="49" t="s">
        <v>48</v>
      </c>
      <c r="G179" s="18"/>
    </row>
    <row r="180" spans="2:7" ht="15.75" x14ac:dyDescent="0.25">
      <c r="B180" s="48" t="s">
        <v>91</v>
      </c>
      <c r="C180" s="69" t="s">
        <v>552</v>
      </c>
      <c r="D180" s="29">
        <v>6</v>
      </c>
      <c r="E180" s="69" t="s">
        <v>33</v>
      </c>
      <c r="F180" s="49" t="s">
        <v>48</v>
      </c>
      <c r="G180" s="18"/>
    </row>
    <row r="181" spans="2:7" ht="15.75" x14ac:dyDescent="0.25">
      <c r="B181" s="48" t="s">
        <v>92</v>
      </c>
      <c r="C181" s="69" t="s">
        <v>552</v>
      </c>
      <c r="D181" s="29">
        <v>4</v>
      </c>
      <c r="E181" s="69" t="s">
        <v>33</v>
      </c>
      <c r="F181" s="49" t="s">
        <v>48</v>
      </c>
      <c r="G181" s="18"/>
    </row>
    <row r="182" spans="2:7" ht="15.75" x14ac:dyDescent="0.25">
      <c r="B182" s="48" t="s">
        <v>93</v>
      </c>
      <c r="C182" s="55" t="s">
        <v>552</v>
      </c>
      <c r="D182" s="29">
        <v>1</v>
      </c>
      <c r="E182" s="69" t="s">
        <v>33</v>
      </c>
      <c r="F182" s="49" t="s">
        <v>48</v>
      </c>
      <c r="G182" s="18"/>
    </row>
    <row r="183" spans="2:7" ht="15.75" x14ac:dyDescent="0.25">
      <c r="B183" s="48" t="s">
        <v>94</v>
      </c>
      <c r="C183" s="55" t="s">
        <v>552</v>
      </c>
      <c r="D183" s="29">
        <v>1</v>
      </c>
      <c r="E183" s="69" t="s">
        <v>33</v>
      </c>
      <c r="F183" s="49" t="s">
        <v>48</v>
      </c>
      <c r="G183" s="18"/>
    </row>
    <row r="184" spans="2:7" ht="15.75" x14ac:dyDescent="0.25">
      <c r="B184" s="48" t="s">
        <v>96</v>
      </c>
      <c r="C184" s="55" t="s">
        <v>552</v>
      </c>
      <c r="D184" s="29">
        <v>1</v>
      </c>
      <c r="E184" s="69" t="s">
        <v>33</v>
      </c>
      <c r="F184" s="49" t="s">
        <v>48</v>
      </c>
      <c r="G184" s="18"/>
    </row>
    <row r="185" spans="2:7" ht="15.75" x14ac:dyDescent="0.25">
      <c r="B185" s="48" t="s">
        <v>97</v>
      </c>
      <c r="C185" s="55" t="s">
        <v>552</v>
      </c>
      <c r="D185" s="29">
        <v>1</v>
      </c>
      <c r="E185" s="69" t="s">
        <v>33</v>
      </c>
      <c r="F185" s="49" t="s">
        <v>48</v>
      </c>
      <c r="G185" s="18"/>
    </row>
    <row r="186" spans="2:7" ht="15.75" x14ac:dyDescent="0.25">
      <c r="B186" s="48" t="s">
        <v>98</v>
      </c>
      <c r="C186" s="69" t="s">
        <v>552</v>
      </c>
      <c r="D186" s="29">
        <v>1</v>
      </c>
      <c r="E186" s="69" t="s">
        <v>33</v>
      </c>
      <c r="F186" s="49" t="s">
        <v>48</v>
      </c>
      <c r="G186" s="18"/>
    </row>
    <row r="187" spans="2:7" ht="15.75" x14ac:dyDescent="0.25">
      <c r="B187" s="48" t="s">
        <v>99</v>
      </c>
      <c r="C187" s="69" t="s">
        <v>552</v>
      </c>
      <c r="D187" s="29">
        <v>1</v>
      </c>
      <c r="E187" s="69" t="s">
        <v>33</v>
      </c>
      <c r="F187" s="49" t="s">
        <v>48</v>
      </c>
      <c r="G187" s="18"/>
    </row>
    <row r="188" spans="2:7" ht="15.75" x14ac:dyDescent="0.25">
      <c r="B188" s="48" t="s">
        <v>101</v>
      </c>
      <c r="C188" s="69" t="s">
        <v>552</v>
      </c>
      <c r="D188" s="29">
        <v>1</v>
      </c>
      <c r="E188" s="69" t="s">
        <v>33</v>
      </c>
      <c r="F188" s="49" t="s">
        <v>48</v>
      </c>
      <c r="G188" s="18"/>
    </row>
    <row r="189" spans="2:7" ht="15.75" x14ac:dyDescent="0.25">
      <c r="B189" s="48" t="s">
        <v>102</v>
      </c>
      <c r="C189" s="69" t="s">
        <v>552</v>
      </c>
      <c r="D189" s="29">
        <v>1</v>
      </c>
      <c r="E189" s="69" t="s">
        <v>33</v>
      </c>
      <c r="F189" s="49" t="s">
        <v>48</v>
      </c>
      <c r="G189" s="18"/>
    </row>
    <row r="190" spans="2:7" ht="15.75" x14ac:dyDescent="0.25">
      <c r="B190" s="48" t="s">
        <v>551</v>
      </c>
      <c r="C190" s="69" t="s">
        <v>552</v>
      </c>
      <c r="D190" s="29">
        <v>4</v>
      </c>
      <c r="E190" s="69" t="s">
        <v>33</v>
      </c>
      <c r="F190" s="49" t="s">
        <v>48</v>
      </c>
      <c r="G190" s="18"/>
    </row>
    <row r="191" spans="2:7" ht="15.75" x14ac:dyDescent="0.25">
      <c r="B191" s="48" t="s">
        <v>104</v>
      </c>
      <c r="C191" s="69" t="s">
        <v>552</v>
      </c>
      <c r="D191" s="29">
        <v>7</v>
      </c>
      <c r="E191" s="69" t="s">
        <v>33</v>
      </c>
      <c r="F191" s="49" t="s">
        <v>48</v>
      </c>
      <c r="G191" s="18"/>
    </row>
    <row r="192" spans="2:7" ht="15.75" x14ac:dyDescent="0.25">
      <c r="B192" s="48" t="s">
        <v>105</v>
      </c>
      <c r="C192" s="69" t="s">
        <v>552</v>
      </c>
      <c r="D192" s="29">
        <v>1</v>
      </c>
      <c r="E192" s="69" t="s">
        <v>33</v>
      </c>
      <c r="F192" s="49" t="s">
        <v>48</v>
      </c>
      <c r="G192" s="18"/>
    </row>
    <row r="193" spans="2:7" ht="15.75" x14ac:dyDescent="0.25">
      <c r="B193" s="48" t="s">
        <v>106</v>
      </c>
      <c r="C193" s="69" t="s">
        <v>552</v>
      </c>
      <c r="D193" s="29">
        <v>1</v>
      </c>
      <c r="E193" s="69" t="s">
        <v>33</v>
      </c>
      <c r="F193" s="49" t="s">
        <v>48</v>
      </c>
      <c r="G193" s="18"/>
    </row>
    <row r="194" spans="2:7" ht="15.75" x14ac:dyDescent="0.25">
      <c r="B194" s="48" t="s">
        <v>107</v>
      </c>
      <c r="C194" s="69" t="s">
        <v>552</v>
      </c>
      <c r="D194" s="29">
        <v>1</v>
      </c>
      <c r="E194" s="69" t="s">
        <v>33</v>
      </c>
      <c r="F194" s="49" t="s">
        <v>48</v>
      </c>
      <c r="G194" s="18"/>
    </row>
    <row r="195" spans="2:7" ht="15.75" x14ac:dyDescent="0.25">
      <c r="B195" s="48" t="s">
        <v>108</v>
      </c>
      <c r="C195" s="69" t="s">
        <v>552</v>
      </c>
      <c r="D195" s="29">
        <v>1</v>
      </c>
      <c r="E195" s="69" t="s">
        <v>33</v>
      </c>
      <c r="F195" s="49" t="s">
        <v>48</v>
      </c>
      <c r="G195" s="18"/>
    </row>
    <row r="196" spans="2:7" ht="15.75" x14ac:dyDescent="0.25">
      <c r="B196" s="48" t="s">
        <v>473</v>
      </c>
      <c r="C196" s="69" t="s">
        <v>552</v>
      </c>
      <c r="D196" s="29">
        <v>3</v>
      </c>
      <c r="E196" s="69" t="s">
        <v>33</v>
      </c>
      <c r="F196" s="49" t="s">
        <v>48</v>
      </c>
      <c r="G196" s="18"/>
    </row>
    <row r="197" spans="2:7" ht="15.75" x14ac:dyDescent="0.25">
      <c r="B197" s="48" t="s">
        <v>109</v>
      </c>
      <c r="C197" s="69" t="s">
        <v>552</v>
      </c>
      <c r="D197" s="29">
        <v>1</v>
      </c>
      <c r="E197" s="69" t="s">
        <v>33</v>
      </c>
      <c r="F197" s="49" t="s">
        <v>48</v>
      </c>
      <c r="G197" s="18"/>
    </row>
    <row r="198" spans="2:7" ht="15.75" x14ac:dyDescent="0.25">
      <c r="B198" s="48" t="s">
        <v>110</v>
      </c>
      <c r="C198" s="69" t="s">
        <v>552</v>
      </c>
      <c r="D198" s="29">
        <v>3</v>
      </c>
      <c r="E198" s="69" t="s">
        <v>33</v>
      </c>
      <c r="F198" s="49" t="s">
        <v>48</v>
      </c>
      <c r="G198" s="18"/>
    </row>
    <row r="199" spans="2:7" ht="15.75" x14ac:dyDescent="0.25">
      <c r="B199" s="48" t="s">
        <v>664</v>
      </c>
      <c r="C199" s="69" t="s">
        <v>552</v>
      </c>
      <c r="D199" s="29">
        <v>2</v>
      </c>
      <c r="E199" s="69" t="s">
        <v>33</v>
      </c>
      <c r="F199" s="49" t="s">
        <v>48</v>
      </c>
      <c r="G199" s="18"/>
    </row>
    <row r="200" spans="2:7" ht="15.75" x14ac:dyDescent="0.25">
      <c r="B200" s="48" t="s">
        <v>111</v>
      </c>
      <c r="C200" s="69" t="s">
        <v>552</v>
      </c>
      <c r="D200" s="29">
        <v>1</v>
      </c>
      <c r="E200" s="69" t="s">
        <v>33</v>
      </c>
      <c r="F200" s="49" t="s">
        <v>48</v>
      </c>
      <c r="G200" s="18"/>
    </row>
    <row r="201" spans="2:7" ht="15.75" x14ac:dyDescent="0.25">
      <c r="B201" s="48" t="s">
        <v>471</v>
      </c>
      <c r="C201" s="69" t="s">
        <v>552</v>
      </c>
      <c r="D201" s="29">
        <v>1</v>
      </c>
      <c r="E201" s="69" t="s">
        <v>33</v>
      </c>
      <c r="F201" s="49" t="s">
        <v>48</v>
      </c>
      <c r="G201" s="18"/>
    </row>
    <row r="202" spans="2:7" ht="15.75" x14ac:dyDescent="0.25">
      <c r="B202" s="48" t="s">
        <v>113</v>
      </c>
      <c r="C202" s="69" t="s">
        <v>552</v>
      </c>
      <c r="D202" s="29">
        <v>1</v>
      </c>
      <c r="E202" s="69" t="s">
        <v>33</v>
      </c>
      <c r="F202" s="49" t="s">
        <v>48</v>
      </c>
      <c r="G202" s="18"/>
    </row>
    <row r="203" spans="2:7" ht="15.75" x14ac:dyDescent="0.25">
      <c r="B203" s="48" t="s">
        <v>114</v>
      </c>
      <c r="C203" s="69" t="s">
        <v>552</v>
      </c>
      <c r="D203" s="29">
        <v>1</v>
      </c>
      <c r="E203" s="69" t="s">
        <v>33</v>
      </c>
      <c r="F203" s="49" t="s">
        <v>48</v>
      </c>
      <c r="G203" s="18"/>
    </row>
    <row r="204" spans="2:7" ht="15.75" x14ac:dyDescent="0.25">
      <c r="B204" s="48" t="s">
        <v>115</v>
      </c>
      <c r="C204" s="69" t="s">
        <v>552</v>
      </c>
      <c r="D204" s="29">
        <v>1</v>
      </c>
      <c r="E204" s="69" t="s">
        <v>33</v>
      </c>
      <c r="F204" s="49" t="s">
        <v>48</v>
      </c>
      <c r="G204" s="18"/>
    </row>
    <row r="205" spans="2:7" ht="15.75" x14ac:dyDescent="0.25">
      <c r="B205" s="48" t="s">
        <v>116</v>
      </c>
      <c r="C205" s="69" t="s">
        <v>552</v>
      </c>
      <c r="D205" s="29">
        <v>1</v>
      </c>
      <c r="E205" s="69" t="s">
        <v>33</v>
      </c>
      <c r="F205" s="49" t="s">
        <v>48</v>
      </c>
      <c r="G205" s="18"/>
    </row>
    <row r="206" spans="2:7" ht="15.75" x14ac:dyDescent="0.25">
      <c r="B206" s="48" t="s">
        <v>470</v>
      </c>
      <c r="C206" s="69" t="s">
        <v>552</v>
      </c>
      <c r="D206" s="29">
        <v>1</v>
      </c>
      <c r="E206" s="69" t="s">
        <v>33</v>
      </c>
      <c r="F206" s="49" t="s">
        <v>48</v>
      </c>
      <c r="G206" s="18"/>
    </row>
    <row r="207" spans="2:7" ht="15.75" x14ac:dyDescent="0.25">
      <c r="B207" s="48" t="s">
        <v>469</v>
      </c>
      <c r="C207" s="55" t="s">
        <v>552</v>
      </c>
      <c r="D207" s="29">
        <v>1</v>
      </c>
      <c r="E207" s="69" t="s">
        <v>33</v>
      </c>
      <c r="F207" s="49" t="s">
        <v>48</v>
      </c>
      <c r="G207" s="18"/>
    </row>
    <row r="208" spans="2:7" ht="15.75" x14ac:dyDescent="0.25">
      <c r="B208" s="48" t="s">
        <v>468</v>
      </c>
      <c r="C208" s="55" t="s">
        <v>552</v>
      </c>
      <c r="D208" s="29">
        <v>1</v>
      </c>
      <c r="E208" s="69" t="s">
        <v>33</v>
      </c>
      <c r="F208" s="49" t="s">
        <v>48</v>
      </c>
      <c r="G208" s="18"/>
    </row>
    <row r="209" spans="2:7" ht="15.75" x14ac:dyDescent="0.25">
      <c r="B209" s="48" t="s">
        <v>467</v>
      </c>
      <c r="C209" s="55" t="s">
        <v>552</v>
      </c>
      <c r="D209" s="29">
        <v>1</v>
      </c>
      <c r="E209" s="69" t="s">
        <v>33</v>
      </c>
      <c r="F209" s="49" t="s">
        <v>48</v>
      </c>
      <c r="G209" s="18"/>
    </row>
    <row r="210" spans="2:7" ht="15.75" x14ac:dyDescent="0.25">
      <c r="B210" s="48" t="s">
        <v>117</v>
      </c>
      <c r="C210" s="55" t="s">
        <v>552</v>
      </c>
      <c r="D210" s="29">
        <v>2</v>
      </c>
      <c r="E210" s="69" t="s">
        <v>33</v>
      </c>
      <c r="F210" s="49" t="s">
        <v>48</v>
      </c>
      <c r="G210" s="18"/>
    </row>
    <row r="211" spans="2:7" ht="15.75" x14ac:dyDescent="0.25">
      <c r="B211" s="48" t="s">
        <v>118</v>
      </c>
      <c r="C211" s="55" t="s">
        <v>552</v>
      </c>
      <c r="D211" s="29">
        <v>2</v>
      </c>
      <c r="E211" s="69" t="s">
        <v>33</v>
      </c>
      <c r="F211" s="49" t="s">
        <v>48</v>
      </c>
      <c r="G211" s="18"/>
    </row>
    <row r="212" spans="2:7" ht="15.75" x14ac:dyDescent="0.25">
      <c r="B212" s="48" t="s">
        <v>119</v>
      </c>
      <c r="C212" s="55" t="s">
        <v>552</v>
      </c>
      <c r="D212" s="29">
        <v>1</v>
      </c>
      <c r="E212" s="69" t="s">
        <v>33</v>
      </c>
      <c r="F212" s="49" t="s">
        <v>48</v>
      </c>
      <c r="G212" s="18"/>
    </row>
    <row r="213" spans="2:7" ht="15.75" x14ac:dyDescent="0.25">
      <c r="B213" s="48" t="s">
        <v>120</v>
      </c>
      <c r="C213" s="55" t="s">
        <v>552</v>
      </c>
      <c r="D213" s="29">
        <v>1</v>
      </c>
      <c r="E213" s="69" t="s">
        <v>33</v>
      </c>
      <c r="F213" s="49" t="s">
        <v>48</v>
      </c>
      <c r="G213" s="18"/>
    </row>
    <row r="214" spans="2:7" ht="15.75" x14ac:dyDescent="0.25">
      <c r="B214" s="48" t="s">
        <v>121</v>
      </c>
      <c r="C214" s="55" t="s">
        <v>552</v>
      </c>
      <c r="D214" s="29">
        <v>1</v>
      </c>
      <c r="E214" s="69" t="s">
        <v>33</v>
      </c>
      <c r="F214" s="49" t="s">
        <v>48</v>
      </c>
      <c r="G214" s="18"/>
    </row>
    <row r="215" spans="2:7" ht="15.75" x14ac:dyDescent="0.25">
      <c r="B215" s="48" t="s">
        <v>122</v>
      </c>
      <c r="C215" s="55" t="s">
        <v>552</v>
      </c>
      <c r="D215" s="29">
        <v>1</v>
      </c>
      <c r="E215" s="69" t="s">
        <v>33</v>
      </c>
      <c r="F215" s="49" t="s">
        <v>48</v>
      </c>
      <c r="G215" s="18"/>
    </row>
    <row r="216" spans="2:7" ht="15.75" x14ac:dyDescent="0.25">
      <c r="B216" s="48" t="s">
        <v>123</v>
      </c>
      <c r="C216" s="55" t="s">
        <v>552</v>
      </c>
      <c r="D216" s="29">
        <v>1</v>
      </c>
      <c r="E216" s="69" t="s">
        <v>33</v>
      </c>
      <c r="F216" s="49" t="s">
        <v>48</v>
      </c>
      <c r="G216" s="18"/>
    </row>
    <row r="217" spans="2:7" ht="15.75" x14ac:dyDescent="0.25">
      <c r="B217" s="48" t="s">
        <v>124</v>
      </c>
      <c r="C217" s="55" t="s">
        <v>552</v>
      </c>
      <c r="D217" s="29">
        <v>1</v>
      </c>
      <c r="E217" s="69" t="s">
        <v>33</v>
      </c>
      <c r="F217" s="49" t="s">
        <v>48</v>
      </c>
      <c r="G217" s="18"/>
    </row>
    <row r="218" spans="2:7" ht="15.75" x14ac:dyDescent="0.25">
      <c r="B218" s="48" t="s">
        <v>466</v>
      </c>
      <c r="C218" s="55" t="s">
        <v>552</v>
      </c>
      <c r="D218" s="29">
        <v>1</v>
      </c>
      <c r="E218" s="69" t="s">
        <v>33</v>
      </c>
      <c r="F218" s="49" t="s">
        <v>48</v>
      </c>
      <c r="G218" s="18"/>
    </row>
    <row r="219" spans="2:7" ht="15.75" x14ac:dyDescent="0.25">
      <c r="B219" s="48" t="s">
        <v>465</v>
      </c>
      <c r="C219" s="55" t="s">
        <v>552</v>
      </c>
      <c r="D219" s="29">
        <v>1</v>
      </c>
      <c r="E219" s="69" t="s">
        <v>33</v>
      </c>
      <c r="F219" s="49" t="s">
        <v>48</v>
      </c>
      <c r="G219" s="18"/>
    </row>
    <row r="220" spans="2:7" ht="15.75" x14ac:dyDescent="0.25">
      <c r="B220" s="48" t="s">
        <v>125</v>
      </c>
      <c r="C220" s="55" t="s">
        <v>552</v>
      </c>
      <c r="D220" s="29">
        <v>2</v>
      </c>
      <c r="E220" s="69" t="s">
        <v>33</v>
      </c>
      <c r="F220" s="49" t="s">
        <v>48</v>
      </c>
      <c r="G220" s="18"/>
    </row>
    <row r="221" spans="2:7" ht="15.75" x14ac:dyDescent="0.25">
      <c r="B221" s="48" t="s">
        <v>126</v>
      </c>
      <c r="C221" s="55" t="s">
        <v>552</v>
      </c>
      <c r="D221" s="29">
        <v>1</v>
      </c>
      <c r="E221" s="69" t="s">
        <v>33</v>
      </c>
      <c r="F221" s="49" t="s">
        <v>48</v>
      </c>
      <c r="G221" s="18"/>
    </row>
    <row r="222" spans="2:7" ht="15.75" x14ac:dyDescent="0.25">
      <c r="B222" s="48" t="s">
        <v>464</v>
      </c>
      <c r="C222" s="55" t="s">
        <v>552</v>
      </c>
      <c r="D222" s="29">
        <v>1</v>
      </c>
      <c r="E222" s="69" t="s">
        <v>33</v>
      </c>
      <c r="F222" s="49" t="s">
        <v>48</v>
      </c>
      <c r="G222" s="18"/>
    </row>
    <row r="223" spans="2:7" ht="15.75" x14ac:dyDescent="0.25">
      <c r="B223" s="48" t="s">
        <v>463</v>
      </c>
      <c r="C223" s="55" t="s">
        <v>552</v>
      </c>
      <c r="D223" s="29">
        <v>1</v>
      </c>
      <c r="E223" s="69" t="s">
        <v>33</v>
      </c>
      <c r="F223" s="49" t="s">
        <v>48</v>
      </c>
      <c r="G223" s="18"/>
    </row>
    <row r="224" spans="2:7" ht="15.75" x14ac:dyDescent="0.25">
      <c r="B224" s="48" t="s">
        <v>462</v>
      </c>
      <c r="C224" s="55" t="s">
        <v>552</v>
      </c>
      <c r="D224" s="29">
        <v>1</v>
      </c>
      <c r="E224" s="69" t="s">
        <v>33</v>
      </c>
      <c r="F224" s="49" t="s">
        <v>48</v>
      </c>
      <c r="G224" s="18"/>
    </row>
    <row r="225" spans="2:7" ht="15.75" x14ac:dyDescent="0.25">
      <c r="B225" s="48" t="s">
        <v>461</v>
      </c>
      <c r="C225" s="55" t="s">
        <v>552</v>
      </c>
      <c r="D225" s="29">
        <v>1</v>
      </c>
      <c r="E225" s="69" t="s">
        <v>33</v>
      </c>
      <c r="F225" s="49" t="s">
        <v>48</v>
      </c>
      <c r="G225" s="18"/>
    </row>
    <row r="226" spans="2:7" ht="15.75" x14ac:dyDescent="0.25">
      <c r="B226" s="48" t="s">
        <v>460</v>
      </c>
      <c r="C226" s="55" t="s">
        <v>552</v>
      </c>
      <c r="D226" s="29">
        <v>1</v>
      </c>
      <c r="E226" s="69" t="s">
        <v>33</v>
      </c>
      <c r="F226" s="49" t="s">
        <v>48</v>
      </c>
      <c r="G226" s="18"/>
    </row>
    <row r="227" spans="2:7" ht="15.75" x14ac:dyDescent="0.25">
      <c r="B227" s="50" t="s">
        <v>477</v>
      </c>
      <c r="C227" s="55" t="s">
        <v>552</v>
      </c>
      <c r="D227" s="29">
        <v>1</v>
      </c>
      <c r="E227" s="69" t="s">
        <v>33</v>
      </c>
      <c r="F227" s="49" t="s">
        <v>48</v>
      </c>
      <c r="G227" s="18"/>
    </row>
    <row r="228" spans="2:7" ht="15.75" x14ac:dyDescent="0.25">
      <c r="B228" s="57" t="s">
        <v>486</v>
      </c>
      <c r="C228" s="55" t="s">
        <v>552</v>
      </c>
      <c r="D228" s="29">
        <v>1</v>
      </c>
      <c r="E228" s="69" t="s">
        <v>33</v>
      </c>
      <c r="F228" s="49" t="s">
        <v>48</v>
      </c>
      <c r="G228" s="18"/>
    </row>
    <row r="229" spans="2:7" x14ac:dyDescent="0.25">
      <c r="B229" s="51" t="s">
        <v>512</v>
      </c>
      <c r="C229" s="55" t="s">
        <v>552</v>
      </c>
      <c r="D229" s="29">
        <v>1</v>
      </c>
      <c r="E229" s="69" t="s">
        <v>33</v>
      </c>
      <c r="F229" s="49" t="s">
        <v>48</v>
      </c>
      <c r="G229" s="18"/>
    </row>
    <row r="230" spans="2:7" x14ac:dyDescent="0.25">
      <c r="B230" s="51" t="s">
        <v>513</v>
      </c>
      <c r="C230" s="55" t="s">
        <v>552</v>
      </c>
      <c r="D230" s="29">
        <v>1</v>
      </c>
      <c r="E230" s="69" t="s">
        <v>33</v>
      </c>
      <c r="F230" s="49" t="s">
        <v>48</v>
      </c>
      <c r="G230" s="18"/>
    </row>
    <row r="231" spans="2:7" x14ac:dyDescent="0.25">
      <c r="B231" s="51" t="s">
        <v>543</v>
      </c>
      <c r="C231" s="55" t="s">
        <v>552</v>
      </c>
      <c r="D231" s="29">
        <v>1</v>
      </c>
      <c r="E231" s="69" t="s">
        <v>33</v>
      </c>
      <c r="F231" s="49" t="s">
        <v>48</v>
      </c>
    </row>
    <row r="232" spans="2:7" x14ac:dyDescent="0.25">
      <c r="B232" s="51" t="s">
        <v>544</v>
      </c>
      <c r="C232" s="55" t="s">
        <v>552</v>
      </c>
      <c r="D232" s="29">
        <v>1</v>
      </c>
      <c r="E232" s="69" t="s">
        <v>33</v>
      </c>
      <c r="F232" s="49" t="s">
        <v>48</v>
      </c>
    </row>
    <row r="233" spans="2:7" ht="15.75" x14ac:dyDescent="0.25">
      <c r="B233" s="51" t="s">
        <v>270</v>
      </c>
      <c r="C233" s="27" t="s">
        <v>234</v>
      </c>
      <c r="D233" s="27" t="s">
        <v>196</v>
      </c>
      <c r="E233" s="27" t="s">
        <v>192</v>
      </c>
      <c r="F233" s="26" t="s">
        <v>48</v>
      </c>
    </row>
  </sheetData>
  <autoFilter ref="A3:F236" xr:uid="{00000000-0009-0000-0000-000000000000}"/>
  <mergeCells count="1">
    <mergeCell ref="B2:F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46"/>
  <sheetViews>
    <sheetView workbookViewId="0">
      <pane ySplit="3" topLeftCell="A19" activePane="bottomLeft" state="frozen"/>
      <selection pane="bottomLeft" activeCell="K36" sqref="K36"/>
    </sheetView>
  </sheetViews>
  <sheetFormatPr defaultRowHeight="15.75" x14ac:dyDescent="0.25"/>
  <cols>
    <col min="1" max="1" width="6.42578125" style="58" customWidth="1"/>
    <col min="2" max="2" width="32.42578125" style="58" bestFit="1" customWidth="1"/>
    <col min="3" max="3" width="19.85546875" style="58" bestFit="1" customWidth="1"/>
    <col min="4" max="4" width="8.140625" style="58" bestFit="1" customWidth="1"/>
    <col min="5" max="5" width="10.7109375" style="58" bestFit="1" customWidth="1"/>
    <col min="6" max="6" width="19" style="58" customWidth="1"/>
    <col min="7" max="7" width="24.140625" style="60" customWidth="1"/>
    <col min="8" max="16384" width="9.140625" style="60"/>
  </cols>
  <sheetData>
    <row r="1" spans="1:7" x14ac:dyDescent="0.25">
      <c r="A1" s="100"/>
      <c r="B1" s="100"/>
      <c r="C1" s="100"/>
      <c r="D1" s="100"/>
      <c r="E1" s="100"/>
      <c r="F1" s="100"/>
    </row>
    <row r="2" spans="1:7" x14ac:dyDescent="0.25">
      <c r="A2" s="100"/>
      <c r="B2" s="129" t="s">
        <v>7</v>
      </c>
      <c r="C2" s="130"/>
      <c r="D2" s="130"/>
      <c r="E2" s="130"/>
      <c r="F2" s="130"/>
    </row>
    <row r="3" spans="1:7" ht="47.25" x14ac:dyDescent="0.25">
      <c r="A3" s="101"/>
      <c r="B3" s="102" t="s">
        <v>34</v>
      </c>
      <c r="C3" s="102" t="s">
        <v>0</v>
      </c>
      <c r="D3" s="102" t="s">
        <v>3</v>
      </c>
      <c r="E3" s="102" t="s">
        <v>2</v>
      </c>
      <c r="F3" s="102" t="s">
        <v>1</v>
      </c>
    </row>
    <row r="4" spans="1:7" x14ac:dyDescent="0.25">
      <c r="A4" s="103"/>
      <c r="B4" s="96" t="s">
        <v>56</v>
      </c>
      <c r="C4" s="97" t="s">
        <v>19</v>
      </c>
      <c r="D4" s="97">
        <v>1</v>
      </c>
      <c r="E4" s="97" t="s">
        <v>8</v>
      </c>
      <c r="F4" s="96" t="s">
        <v>9</v>
      </c>
      <c r="G4" s="67"/>
    </row>
    <row r="5" spans="1:7" ht="15.75" customHeight="1" x14ac:dyDescent="0.25">
      <c r="A5" s="103"/>
      <c r="B5" s="96" t="s">
        <v>57</v>
      </c>
      <c r="C5" s="97" t="s">
        <v>19</v>
      </c>
      <c r="D5" s="97">
        <v>4</v>
      </c>
      <c r="E5" s="97" t="s">
        <v>8</v>
      </c>
      <c r="F5" s="96" t="s">
        <v>9</v>
      </c>
      <c r="G5" s="67"/>
    </row>
    <row r="6" spans="1:7" ht="15.75" customHeight="1" x14ac:dyDescent="0.25">
      <c r="A6" s="103"/>
      <c r="B6" s="96" t="s">
        <v>57</v>
      </c>
      <c r="C6" s="97" t="s">
        <v>699</v>
      </c>
      <c r="D6" s="97">
        <v>1</v>
      </c>
      <c r="E6" s="97" t="s">
        <v>8</v>
      </c>
      <c r="F6" s="96" t="s">
        <v>435</v>
      </c>
      <c r="G6" s="67"/>
    </row>
    <row r="7" spans="1:7" ht="15.75" customHeight="1" x14ac:dyDescent="0.25">
      <c r="A7" s="104"/>
      <c r="B7" s="96" t="s">
        <v>59</v>
      </c>
      <c r="C7" s="97" t="s">
        <v>19</v>
      </c>
      <c r="D7" s="97">
        <v>2</v>
      </c>
      <c r="E7" s="97" t="s">
        <v>8</v>
      </c>
      <c r="F7" s="96" t="s">
        <v>9</v>
      </c>
      <c r="G7" s="67"/>
    </row>
    <row r="8" spans="1:7" ht="15.75" customHeight="1" x14ac:dyDescent="0.25">
      <c r="A8" s="105"/>
      <c r="B8" s="106" t="s">
        <v>60</v>
      </c>
      <c r="C8" s="107" t="s">
        <v>19</v>
      </c>
      <c r="D8" s="107">
        <v>1</v>
      </c>
      <c r="E8" s="107" t="s">
        <v>8</v>
      </c>
      <c r="F8" s="106" t="s">
        <v>20</v>
      </c>
    </row>
    <row r="9" spans="1:7" ht="23.25" customHeight="1" x14ac:dyDescent="0.25">
      <c r="A9" s="105"/>
      <c r="B9" s="106" t="s">
        <v>61</v>
      </c>
      <c r="C9" s="107" t="s">
        <v>19</v>
      </c>
      <c r="D9" s="107">
        <v>1</v>
      </c>
      <c r="E9" s="107" t="s">
        <v>8</v>
      </c>
      <c r="F9" s="106" t="s">
        <v>9</v>
      </c>
    </row>
    <row r="10" spans="1:7" ht="15.75" customHeight="1" x14ac:dyDescent="0.25">
      <c r="A10" s="105"/>
      <c r="B10" s="106" t="s">
        <v>62</v>
      </c>
      <c r="C10" s="107" t="s">
        <v>19</v>
      </c>
      <c r="D10" s="107">
        <v>2</v>
      </c>
      <c r="E10" s="107" t="s">
        <v>8</v>
      </c>
      <c r="F10" s="106" t="s">
        <v>9</v>
      </c>
    </row>
    <row r="11" spans="1:7" ht="15.75" customHeight="1" x14ac:dyDescent="0.25">
      <c r="A11" s="105"/>
      <c r="B11" s="106" t="s">
        <v>63</v>
      </c>
      <c r="C11" s="107" t="s">
        <v>19</v>
      </c>
      <c r="D11" s="107">
        <v>2</v>
      </c>
      <c r="E11" s="107" t="s">
        <v>8</v>
      </c>
      <c r="F11" s="106" t="s">
        <v>9</v>
      </c>
    </row>
    <row r="12" spans="1:7" ht="15.75" customHeight="1" x14ac:dyDescent="0.25">
      <c r="A12" s="105"/>
      <c r="B12" s="106" t="s">
        <v>479</v>
      </c>
      <c r="C12" s="107" t="s">
        <v>19</v>
      </c>
      <c r="D12" s="107">
        <v>2</v>
      </c>
      <c r="E12" s="107" t="s">
        <v>8</v>
      </c>
      <c r="F12" s="106" t="s">
        <v>9</v>
      </c>
    </row>
    <row r="13" spans="1:7" ht="15.75" customHeight="1" x14ac:dyDescent="0.25">
      <c r="A13" s="105"/>
      <c r="B13" s="106" t="s">
        <v>64</v>
      </c>
      <c r="C13" s="107" t="s">
        <v>19</v>
      </c>
      <c r="D13" s="107">
        <v>1</v>
      </c>
      <c r="E13" s="107" t="s">
        <v>8</v>
      </c>
      <c r="F13" s="106" t="s">
        <v>478</v>
      </c>
    </row>
    <row r="14" spans="1:7" ht="15.75" customHeight="1" x14ac:dyDescent="0.25">
      <c r="A14" s="105"/>
      <c r="B14" s="106" t="s">
        <v>65</v>
      </c>
      <c r="C14" s="107" t="s">
        <v>19</v>
      </c>
      <c r="D14" s="107">
        <v>1</v>
      </c>
      <c r="E14" s="107" t="s">
        <v>8</v>
      </c>
      <c r="F14" s="106" t="s">
        <v>20</v>
      </c>
    </row>
    <row r="15" spans="1:7" ht="15.75" customHeight="1" x14ac:dyDescent="0.25">
      <c r="A15" s="105"/>
      <c r="B15" s="106" t="s">
        <v>660</v>
      </c>
      <c r="C15" s="107" t="s">
        <v>19</v>
      </c>
      <c r="D15" s="107">
        <v>1</v>
      </c>
      <c r="E15" s="107" t="s">
        <v>8</v>
      </c>
      <c r="F15" s="106" t="s">
        <v>20</v>
      </c>
    </row>
    <row r="16" spans="1:7" ht="18" x14ac:dyDescent="0.25">
      <c r="A16" s="105"/>
      <c r="B16" s="106" t="s">
        <v>66</v>
      </c>
      <c r="C16" s="107" t="s">
        <v>700</v>
      </c>
      <c r="D16" s="107">
        <v>1</v>
      </c>
      <c r="E16" s="107" t="s">
        <v>32</v>
      </c>
      <c r="F16" s="106" t="s">
        <v>436</v>
      </c>
    </row>
    <row r="17" spans="1:6" ht="15.75" customHeight="1" x14ac:dyDescent="0.25">
      <c r="A17" s="105"/>
      <c r="B17" s="106" t="s">
        <v>485</v>
      </c>
      <c r="C17" s="107" t="s">
        <v>19</v>
      </c>
      <c r="D17" s="107">
        <v>1</v>
      </c>
      <c r="E17" s="107" t="s">
        <v>8</v>
      </c>
      <c r="F17" s="106" t="s">
        <v>278</v>
      </c>
    </row>
    <row r="18" spans="1:6" x14ac:dyDescent="0.25">
      <c r="A18" s="105"/>
      <c r="B18" s="106" t="s">
        <v>58</v>
      </c>
      <c r="C18" s="107" t="s">
        <v>19</v>
      </c>
      <c r="D18" s="107">
        <v>4</v>
      </c>
      <c r="E18" s="107" t="s">
        <v>8</v>
      </c>
      <c r="F18" s="106" t="s">
        <v>9</v>
      </c>
    </row>
    <row r="19" spans="1:6" ht="31.5" x14ac:dyDescent="0.25">
      <c r="A19" s="105"/>
      <c r="B19" s="106" t="s">
        <v>233</v>
      </c>
      <c r="C19" s="107" t="s">
        <v>207</v>
      </c>
      <c r="D19" s="107" t="s">
        <v>196</v>
      </c>
      <c r="E19" s="107" t="s">
        <v>189</v>
      </c>
      <c r="F19" s="106" t="s">
        <v>194</v>
      </c>
    </row>
    <row r="20" spans="1:6" x14ac:dyDescent="0.25">
      <c r="A20" s="105"/>
      <c r="B20" s="106" t="s">
        <v>198</v>
      </c>
      <c r="C20" s="107" t="s">
        <v>207</v>
      </c>
      <c r="D20" s="107" t="s">
        <v>196</v>
      </c>
      <c r="E20" s="107" t="s">
        <v>190</v>
      </c>
      <c r="F20" s="106" t="s">
        <v>191</v>
      </c>
    </row>
    <row r="21" spans="1:6" x14ac:dyDescent="0.25">
      <c r="A21" s="105"/>
      <c r="B21" s="106" t="s">
        <v>197</v>
      </c>
      <c r="C21" s="107" t="s">
        <v>207</v>
      </c>
      <c r="D21" s="107" t="s">
        <v>196</v>
      </c>
      <c r="E21" s="107" t="s">
        <v>190</v>
      </c>
      <c r="F21" s="106" t="s">
        <v>191</v>
      </c>
    </row>
    <row r="22" spans="1:6" x14ac:dyDescent="0.25">
      <c r="A22" s="105"/>
      <c r="B22" s="106" t="s">
        <v>199</v>
      </c>
      <c r="C22" s="107" t="s">
        <v>207</v>
      </c>
      <c r="D22" s="107" t="s">
        <v>196</v>
      </c>
      <c r="E22" s="107" t="s">
        <v>190</v>
      </c>
      <c r="F22" s="106" t="s">
        <v>191</v>
      </c>
    </row>
    <row r="23" spans="1:6" x14ac:dyDescent="0.25">
      <c r="A23" s="105"/>
      <c r="B23" s="106" t="s">
        <v>200</v>
      </c>
      <c r="C23" s="107" t="s">
        <v>207</v>
      </c>
      <c r="D23" s="107" t="s">
        <v>196</v>
      </c>
      <c r="E23" s="107" t="s">
        <v>190</v>
      </c>
      <c r="F23" s="106" t="s">
        <v>191</v>
      </c>
    </row>
    <row r="24" spans="1:6" x14ac:dyDescent="0.25">
      <c r="A24" s="105"/>
      <c r="B24" s="106" t="s">
        <v>201</v>
      </c>
      <c r="C24" s="107" t="s">
        <v>207</v>
      </c>
      <c r="D24" s="107" t="s">
        <v>196</v>
      </c>
      <c r="E24" s="107" t="s">
        <v>190</v>
      </c>
      <c r="F24" s="106" t="s">
        <v>191</v>
      </c>
    </row>
    <row r="25" spans="1:6" x14ac:dyDescent="0.25">
      <c r="A25" s="105"/>
      <c r="B25" s="106" t="s">
        <v>202</v>
      </c>
      <c r="C25" s="107" t="s">
        <v>207</v>
      </c>
      <c r="D25" s="107" t="s">
        <v>196</v>
      </c>
      <c r="E25" s="107" t="s">
        <v>192</v>
      </c>
      <c r="F25" s="106" t="s">
        <v>48</v>
      </c>
    </row>
    <row r="26" spans="1:6" x14ac:dyDescent="0.25">
      <c r="A26" s="105"/>
      <c r="B26" s="106" t="s">
        <v>203</v>
      </c>
      <c r="C26" s="107" t="s">
        <v>207</v>
      </c>
      <c r="D26" s="107" t="s">
        <v>196</v>
      </c>
      <c r="E26" s="107" t="s">
        <v>192</v>
      </c>
      <c r="F26" s="106" t="s">
        <v>48</v>
      </c>
    </row>
    <row r="27" spans="1:6" x14ac:dyDescent="0.25">
      <c r="A27" s="105"/>
      <c r="B27" s="106" t="s">
        <v>204</v>
      </c>
      <c r="C27" s="107" t="s">
        <v>207</v>
      </c>
      <c r="D27" s="107" t="s">
        <v>196</v>
      </c>
      <c r="E27" s="107" t="s">
        <v>192</v>
      </c>
      <c r="F27" s="106" t="s">
        <v>48</v>
      </c>
    </row>
    <row r="28" spans="1:6" x14ac:dyDescent="0.25">
      <c r="A28" s="105"/>
      <c r="B28" s="106" t="s">
        <v>205</v>
      </c>
      <c r="C28" s="107" t="s">
        <v>207</v>
      </c>
      <c r="D28" s="107" t="s">
        <v>196</v>
      </c>
      <c r="E28" s="107" t="s">
        <v>192</v>
      </c>
      <c r="F28" s="106" t="s">
        <v>48</v>
      </c>
    </row>
    <row r="29" spans="1:6" x14ac:dyDescent="0.25">
      <c r="A29" s="105"/>
      <c r="B29" s="106" t="s">
        <v>206</v>
      </c>
      <c r="C29" s="107" t="s">
        <v>207</v>
      </c>
      <c r="D29" s="107" t="s">
        <v>196</v>
      </c>
      <c r="E29" s="107" t="s">
        <v>192</v>
      </c>
      <c r="F29" s="106" t="s">
        <v>48</v>
      </c>
    </row>
    <row r="30" spans="1:6" x14ac:dyDescent="0.25">
      <c r="A30" s="105"/>
      <c r="B30" s="106" t="s">
        <v>497</v>
      </c>
      <c r="C30" s="107" t="s">
        <v>207</v>
      </c>
      <c r="D30" s="107" t="s">
        <v>196</v>
      </c>
      <c r="E30" s="107" t="s">
        <v>193</v>
      </c>
      <c r="F30" s="106" t="s">
        <v>30</v>
      </c>
    </row>
    <row r="31" spans="1:6" x14ac:dyDescent="0.25">
      <c r="A31" s="105"/>
      <c r="B31" s="106" t="s">
        <v>498</v>
      </c>
      <c r="C31" s="107" t="s">
        <v>207</v>
      </c>
      <c r="D31" s="107" t="s">
        <v>196</v>
      </c>
      <c r="E31" s="107" t="s">
        <v>193</v>
      </c>
      <c r="F31" s="106" t="s">
        <v>30</v>
      </c>
    </row>
    <row r="32" spans="1:6" x14ac:dyDescent="0.25">
      <c r="A32" s="105"/>
      <c r="B32" s="106" t="s">
        <v>55</v>
      </c>
      <c r="C32" s="107" t="s">
        <v>552</v>
      </c>
      <c r="D32" s="107">
        <v>1</v>
      </c>
      <c r="E32" s="107" t="s">
        <v>33</v>
      </c>
      <c r="F32" s="108" t="s">
        <v>48</v>
      </c>
    </row>
    <row r="33" spans="1:6" x14ac:dyDescent="0.25">
      <c r="A33" s="105"/>
      <c r="B33" s="106" t="s">
        <v>553</v>
      </c>
      <c r="C33" s="107" t="s">
        <v>552</v>
      </c>
      <c r="D33" s="107">
        <v>1</v>
      </c>
      <c r="E33" s="107" t="s">
        <v>554</v>
      </c>
      <c r="F33" s="108" t="s">
        <v>48</v>
      </c>
    </row>
    <row r="34" spans="1:6" x14ac:dyDescent="0.25">
      <c r="A34" s="105"/>
      <c r="B34" s="106" t="s">
        <v>56</v>
      </c>
      <c r="C34" s="107" t="s">
        <v>552</v>
      </c>
      <c r="D34" s="107">
        <v>1</v>
      </c>
      <c r="E34" s="107" t="s">
        <v>33</v>
      </c>
      <c r="F34" s="108" t="s">
        <v>48</v>
      </c>
    </row>
    <row r="35" spans="1:6" x14ac:dyDescent="0.25">
      <c r="A35" s="105"/>
      <c r="B35" s="106" t="s">
        <v>57</v>
      </c>
      <c r="C35" s="107" t="s">
        <v>552</v>
      </c>
      <c r="D35" s="107">
        <v>1</v>
      </c>
      <c r="E35" s="107" t="s">
        <v>33</v>
      </c>
      <c r="F35" s="108" t="s">
        <v>48</v>
      </c>
    </row>
    <row r="36" spans="1:6" x14ac:dyDescent="0.25">
      <c r="A36" s="105"/>
      <c r="B36" s="106" t="s">
        <v>59</v>
      </c>
      <c r="C36" s="107" t="s">
        <v>552</v>
      </c>
      <c r="D36" s="107">
        <v>1</v>
      </c>
      <c r="E36" s="107" t="s">
        <v>33</v>
      </c>
      <c r="F36" s="108" t="s">
        <v>48</v>
      </c>
    </row>
    <row r="37" spans="1:6" x14ac:dyDescent="0.25">
      <c r="A37" s="105"/>
      <c r="B37" s="106" t="s">
        <v>60</v>
      </c>
      <c r="C37" s="107" t="s">
        <v>552</v>
      </c>
      <c r="D37" s="107">
        <v>1</v>
      </c>
      <c r="E37" s="107" t="s">
        <v>33</v>
      </c>
      <c r="F37" s="108" t="s">
        <v>48</v>
      </c>
    </row>
    <row r="38" spans="1:6" x14ac:dyDescent="0.25">
      <c r="A38" s="105"/>
      <c r="B38" s="106" t="s">
        <v>61</v>
      </c>
      <c r="C38" s="107" t="s">
        <v>552</v>
      </c>
      <c r="D38" s="107">
        <v>3</v>
      </c>
      <c r="E38" s="107" t="s">
        <v>33</v>
      </c>
      <c r="F38" s="108" t="s">
        <v>48</v>
      </c>
    </row>
    <row r="39" spans="1:6" x14ac:dyDescent="0.25">
      <c r="A39" s="105"/>
      <c r="B39" s="106" t="s">
        <v>62</v>
      </c>
      <c r="C39" s="107" t="s">
        <v>552</v>
      </c>
      <c r="D39" s="107">
        <v>1</v>
      </c>
      <c r="E39" s="107" t="s">
        <v>33</v>
      </c>
      <c r="F39" s="108" t="s">
        <v>48</v>
      </c>
    </row>
    <row r="40" spans="1:6" x14ac:dyDescent="0.25">
      <c r="A40" s="105"/>
      <c r="B40" s="106" t="s">
        <v>63</v>
      </c>
      <c r="C40" s="107" t="s">
        <v>552</v>
      </c>
      <c r="D40" s="107">
        <v>3</v>
      </c>
      <c r="E40" s="107" t="s">
        <v>33</v>
      </c>
      <c r="F40" s="108" t="s">
        <v>48</v>
      </c>
    </row>
    <row r="41" spans="1:6" x14ac:dyDescent="0.25">
      <c r="A41" s="105"/>
      <c r="B41" s="106" t="s">
        <v>479</v>
      </c>
      <c r="C41" s="107" t="s">
        <v>552</v>
      </c>
      <c r="D41" s="107">
        <v>10</v>
      </c>
      <c r="E41" s="107" t="s">
        <v>33</v>
      </c>
      <c r="F41" s="108" t="s">
        <v>48</v>
      </c>
    </row>
    <row r="42" spans="1:6" x14ac:dyDescent="0.25">
      <c r="A42" s="105"/>
      <c r="B42" s="106" t="s">
        <v>64</v>
      </c>
      <c r="C42" s="107" t="s">
        <v>552</v>
      </c>
      <c r="D42" s="107">
        <v>1</v>
      </c>
      <c r="E42" s="107" t="s">
        <v>33</v>
      </c>
      <c r="F42" s="108" t="s">
        <v>48</v>
      </c>
    </row>
    <row r="43" spans="1:6" x14ac:dyDescent="0.25">
      <c r="A43" s="105"/>
      <c r="B43" s="106" t="s">
        <v>65</v>
      </c>
      <c r="C43" s="107" t="s">
        <v>552</v>
      </c>
      <c r="D43" s="107">
        <v>1</v>
      </c>
      <c r="E43" s="107" t="s">
        <v>33</v>
      </c>
      <c r="F43" s="108" t="s">
        <v>48</v>
      </c>
    </row>
    <row r="44" spans="1:6" x14ac:dyDescent="0.25">
      <c r="A44" s="105"/>
      <c r="B44" s="106" t="s">
        <v>485</v>
      </c>
      <c r="C44" s="107" t="s">
        <v>552</v>
      </c>
      <c r="D44" s="107">
        <v>1</v>
      </c>
      <c r="E44" s="107" t="s">
        <v>33</v>
      </c>
      <c r="F44" s="108" t="s">
        <v>48</v>
      </c>
    </row>
    <row r="45" spans="1:6" x14ac:dyDescent="0.25">
      <c r="A45" s="105"/>
      <c r="B45" s="106" t="s">
        <v>58</v>
      </c>
      <c r="C45" s="107" t="s">
        <v>552</v>
      </c>
      <c r="D45" s="107">
        <v>1</v>
      </c>
      <c r="E45" s="107" t="s">
        <v>33</v>
      </c>
      <c r="F45" s="108" t="s">
        <v>48</v>
      </c>
    </row>
    <row r="46" spans="1:6" x14ac:dyDescent="0.25">
      <c r="A46" s="59"/>
      <c r="B46" s="59"/>
      <c r="C46" s="59"/>
      <c r="D46" s="59"/>
      <c r="E46" s="59"/>
      <c r="F46" s="59"/>
    </row>
  </sheetData>
  <autoFilter ref="A3:F45" xr:uid="{00000000-0009-0000-0000-000001000000}"/>
  <mergeCells count="1">
    <mergeCell ref="B2:F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N163"/>
  <sheetViews>
    <sheetView topLeftCell="A110" workbookViewId="0">
      <selection activeCell="K81" sqref="K81"/>
    </sheetView>
  </sheetViews>
  <sheetFormatPr defaultRowHeight="15" x14ac:dyDescent="0.25"/>
  <cols>
    <col min="2" max="2" width="41.42578125" style="1" customWidth="1"/>
    <col min="3" max="6" width="21.7109375" style="1" customWidth="1"/>
  </cols>
  <sheetData>
    <row r="2" spans="2:6" ht="21" x14ac:dyDescent="0.35">
      <c r="B2" s="126" t="s">
        <v>6</v>
      </c>
      <c r="C2" s="131"/>
      <c r="D2" s="131"/>
      <c r="E2" s="131"/>
      <c r="F2" s="131"/>
    </row>
    <row r="3" spans="2:6" ht="30" x14ac:dyDescent="0.25">
      <c r="B3" s="90" t="s">
        <v>54</v>
      </c>
      <c r="C3" s="90" t="s">
        <v>0</v>
      </c>
      <c r="D3" s="90" t="s">
        <v>3</v>
      </c>
      <c r="E3" s="90" t="s">
        <v>2</v>
      </c>
      <c r="F3" s="90" t="s">
        <v>1</v>
      </c>
    </row>
    <row r="4" spans="2:6" ht="15.75" customHeight="1" x14ac:dyDescent="0.25">
      <c r="B4" s="109" t="s">
        <v>131</v>
      </c>
      <c r="C4" s="110" t="s">
        <v>4</v>
      </c>
      <c r="D4" s="110">
        <v>1</v>
      </c>
      <c r="E4" s="110" t="s">
        <v>8</v>
      </c>
      <c r="F4" s="109" t="s">
        <v>26</v>
      </c>
    </row>
    <row r="5" spans="2:6" ht="15.75" customHeight="1" x14ac:dyDescent="0.25">
      <c r="B5" s="111" t="s">
        <v>132</v>
      </c>
      <c r="C5" s="110" t="s">
        <v>4</v>
      </c>
      <c r="D5" s="110">
        <v>2</v>
      </c>
      <c r="E5" s="110" t="s">
        <v>8</v>
      </c>
      <c r="F5" s="111" t="s">
        <v>13</v>
      </c>
    </row>
    <row r="6" spans="2:6" ht="15.75" customHeight="1" x14ac:dyDescent="0.25">
      <c r="B6" s="111" t="s">
        <v>133</v>
      </c>
      <c r="C6" s="110" t="s">
        <v>4</v>
      </c>
      <c r="D6" s="110">
        <v>1</v>
      </c>
      <c r="E6" s="110" t="s">
        <v>8</v>
      </c>
      <c r="F6" s="111" t="s">
        <v>10</v>
      </c>
    </row>
    <row r="7" spans="2:6" ht="15.75" customHeight="1" x14ac:dyDescent="0.25">
      <c r="B7" s="111" t="s">
        <v>134</v>
      </c>
      <c r="C7" s="110" t="s">
        <v>4</v>
      </c>
      <c r="D7" s="110">
        <v>1</v>
      </c>
      <c r="E7" s="110" t="s">
        <v>8</v>
      </c>
      <c r="F7" s="111" t="s">
        <v>10</v>
      </c>
    </row>
    <row r="8" spans="2:6" ht="15.75" customHeight="1" x14ac:dyDescent="0.25">
      <c r="B8" s="111" t="s">
        <v>135</v>
      </c>
      <c r="C8" s="110" t="s">
        <v>4</v>
      </c>
      <c r="D8" s="110">
        <v>1</v>
      </c>
      <c r="E8" s="110" t="s">
        <v>8</v>
      </c>
      <c r="F8" s="111" t="s">
        <v>10</v>
      </c>
    </row>
    <row r="9" spans="2:6" ht="15.75" customHeight="1" x14ac:dyDescent="0.25">
      <c r="B9" s="111" t="s">
        <v>136</v>
      </c>
      <c r="C9" s="110" t="s">
        <v>4</v>
      </c>
      <c r="D9" s="110">
        <v>1</v>
      </c>
      <c r="E9" s="110" t="s">
        <v>8</v>
      </c>
      <c r="F9" s="111" t="s">
        <v>10</v>
      </c>
    </row>
    <row r="10" spans="2:6" ht="15.75" customHeight="1" x14ac:dyDescent="0.25">
      <c r="B10" s="111" t="s">
        <v>137</v>
      </c>
      <c r="C10" s="110" t="s">
        <v>4</v>
      </c>
      <c r="D10" s="110">
        <v>4</v>
      </c>
      <c r="E10" s="110" t="s">
        <v>8</v>
      </c>
      <c r="F10" s="111" t="s">
        <v>10</v>
      </c>
    </row>
    <row r="11" spans="2:6" ht="15.75" customHeight="1" x14ac:dyDescent="0.25">
      <c r="B11" s="111" t="s">
        <v>138</v>
      </c>
      <c r="C11" s="110" t="s">
        <v>4</v>
      </c>
      <c r="D11" s="110">
        <v>1</v>
      </c>
      <c r="E11" s="110" t="s">
        <v>8</v>
      </c>
      <c r="F11" s="111" t="s">
        <v>665</v>
      </c>
    </row>
    <row r="12" spans="2:6" ht="15.75" customHeight="1" x14ac:dyDescent="0.25">
      <c r="B12" s="111" t="s">
        <v>139</v>
      </c>
      <c r="C12" s="110" t="s">
        <v>4</v>
      </c>
      <c r="D12" s="110">
        <v>1</v>
      </c>
      <c r="E12" s="110" t="s">
        <v>8</v>
      </c>
      <c r="F12" s="111" t="s">
        <v>10</v>
      </c>
    </row>
    <row r="13" spans="2:6" ht="15.75" customHeight="1" x14ac:dyDescent="0.25">
      <c r="B13" s="111" t="s">
        <v>140</v>
      </c>
      <c r="C13" s="110" t="s">
        <v>4</v>
      </c>
      <c r="D13" s="110">
        <v>2</v>
      </c>
      <c r="E13" s="110" t="s">
        <v>8</v>
      </c>
      <c r="F13" s="111" t="s">
        <v>10</v>
      </c>
    </row>
    <row r="14" spans="2:6" ht="15.75" customHeight="1" x14ac:dyDescent="0.25">
      <c r="B14" s="111" t="s">
        <v>141</v>
      </c>
      <c r="C14" s="110" t="s">
        <v>4</v>
      </c>
      <c r="D14" s="110">
        <v>1</v>
      </c>
      <c r="E14" s="110" t="s">
        <v>8</v>
      </c>
      <c r="F14" s="111" t="s">
        <v>10</v>
      </c>
    </row>
    <row r="15" spans="2:6" ht="15.75" customHeight="1" x14ac:dyDescent="0.25">
      <c r="B15" s="111" t="s">
        <v>142</v>
      </c>
      <c r="C15" s="110" t="s">
        <v>4</v>
      </c>
      <c r="D15" s="110">
        <v>1</v>
      </c>
      <c r="E15" s="110" t="s">
        <v>8</v>
      </c>
      <c r="F15" s="111" t="s">
        <v>666</v>
      </c>
    </row>
    <row r="16" spans="2:6" ht="15.75" customHeight="1" x14ac:dyDescent="0.25">
      <c r="B16" s="111" t="s">
        <v>143</v>
      </c>
      <c r="C16" s="110" t="s">
        <v>4</v>
      </c>
      <c r="D16" s="110">
        <v>1</v>
      </c>
      <c r="E16" s="110" t="s">
        <v>8</v>
      </c>
      <c r="F16" s="111" t="s">
        <v>13</v>
      </c>
    </row>
    <row r="17" spans="2:6" ht="15.75" customHeight="1" x14ac:dyDescent="0.25">
      <c r="B17" s="111" t="s">
        <v>144</v>
      </c>
      <c r="C17" s="110" t="s">
        <v>4</v>
      </c>
      <c r="D17" s="110">
        <v>1</v>
      </c>
      <c r="E17" s="110" t="s">
        <v>8</v>
      </c>
      <c r="F17" s="111" t="s">
        <v>25</v>
      </c>
    </row>
    <row r="18" spans="2:6" ht="15.75" customHeight="1" x14ac:dyDescent="0.25">
      <c r="B18" s="111" t="s">
        <v>145</v>
      </c>
      <c r="C18" s="110" t="s">
        <v>4</v>
      </c>
      <c r="D18" s="110">
        <v>1</v>
      </c>
      <c r="E18" s="110" t="s">
        <v>8</v>
      </c>
      <c r="F18" s="111" t="s">
        <v>666</v>
      </c>
    </row>
    <row r="19" spans="2:6" ht="15.75" customHeight="1" x14ac:dyDescent="0.25">
      <c r="B19" s="111" t="s">
        <v>146</v>
      </c>
      <c r="C19" s="110" t="s">
        <v>4</v>
      </c>
      <c r="D19" s="110">
        <v>1</v>
      </c>
      <c r="E19" s="110" t="s">
        <v>8</v>
      </c>
      <c r="F19" s="111" t="s">
        <v>9</v>
      </c>
    </row>
    <row r="20" spans="2:6" ht="15.75" customHeight="1" x14ac:dyDescent="0.25">
      <c r="B20" s="111" t="s">
        <v>147</v>
      </c>
      <c r="C20" s="110" t="s">
        <v>4</v>
      </c>
      <c r="D20" s="110">
        <v>2</v>
      </c>
      <c r="E20" s="110" t="s">
        <v>8</v>
      </c>
      <c r="F20" s="111" t="s">
        <v>37</v>
      </c>
    </row>
    <row r="21" spans="2:6" ht="15.75" customHeight="1" x14ac:dyDescent="0.25">
      <c r="B21" s="111" t="s">
        <v>148</v>
      </c>
      <c r="C21" s="110" t="s">
        <v>4</v>
      </c>
      <c r="D21" s="110">
        <v>2</v>
      </c>
      <c r="E21" s="110" t="s">
        <v>8</v>
      </c>
      <c r="F21" s="111" t="s">
        <v>37</v>
      </c>
    </row>
    <row r="22" spans="2:6" ht="15.75" customHeight="1" x14ac:dyDescent="0.25">
      <c r="B22" s="111" t="s">
        <v>149</v>
      </c>
      <c r="C22" s="110" t="s">
        <v>4</v>
      </c>
      <c r="D22" s="110">
        <v>1</v>
      </c>
      <c r="E22" s="110" t="s">
        <v>8</v>
      </c>
      <c r="F22" s="111" t="s">
        <v>10</v>
      </c>
    </row>
    <row r="23" spans="2:6" ht="15.75" customHeight="1" x14ac:dyDescent="0.25">
      <c r="B23" s="111" t="s">
        <v>150</v>
      </c>
      <c r="C23" s="110" t="s">
        <v>4</v>
      </c>
      <c r="D23" s="110">
        <v>1</v>
      </c>
      <c r="E23" s="110" t="s">
        <v>8</v>
      </c>
      <c r="F23" s="111" t="s">
        <v>10</v>
      </c>
    </row>
    <row r="24" spans="2:6" ht="15.75" customHeight="1" x14ac:dyDescent="0.25">
      <c r="B24" s="111" t="s">
        <v>151</v>
      </c>
      <c r="C24" s="110" t="s">
        <v>4</v>
      </c>
      <c r="D24" s="110">
        <v>2</v>
      </c>
      <c r="E24" s="110" t="s">
        <v>8</v>
      </c>
      <c r="F24" s="111" t="s">
        <v>37</v>
      </c>
    </row>
    <row r="25" spans="2:6" ht="15.75" customHeight="1" x14ac:dyDescent="0.25">
      <c r="B25" s="111" t="s">
        <v>152</v>
      </c>
      <c r="C25" s="110" t="s">
        <v>4</v>
      </c>
      <c r="D25" s="110">
        <v>1</v>
      </c>
      <c r="E25" s="110" t="s">
        <v>8</v>
      </c>
      <c r="F25" s="111" t="s">
        <v>14</v>
      </c>
    </row>
    <row r="26" spans="2:6" ht="15.75" customHeight="1" x14ac:dyDescent="0.25">
      <c r="B26" s="111" t="s">
        <v>153</v>
      </c>
      <c r="C26" s="110" t="s">
        <v>4</v>
      </c>
      <c r="D26" s="110">
        <v>1</v>
      </c>
      <c r="E26" s="110" t="s">
        <v>8</v>
      </c>
      <c r="F26" s="111" t="s">
        <v>9</v>
      </c>
    </row>
    <row r="27" spans="2:6" ht="15.75" customHeight="1" x14ac:dyDescent="0.25">
      <c r="B27" s="111" t="s">
        <v>154</v>
      </c>
      <c r="C27" s="110" t="s">
        <v>4</v>
      </c>
      <c r="D27" s="110">
        <v>1</v>
      </c>
      <c r="E27" s="110" t="s">
        <v>8</v>
      </c>
      <c r="F27" s="111" t="s">
        <v>10</v>
      </c>
    </row>
    <row r="28" spans="2:6" ht="15.75" customHeight="1" x14ac:dyDescent="0.25">
      <c r="B28" s="111" t="s">
        <v>155</v>
      </c>
      <c r="C28" s="110" t="s">
        <v>4</v>
      </c>
      <c r="D28" s="110">
        <v>1</v>
      </c>
      <c r="E28" s="110" t="s">
        <v>8</v>
      </c>
      <c r="F28" s="111" t="s">
        <v>10</v>
      </c>
    </row>
    <row r="29" spans="2:6" ht="15.75" customHeight="1" x14ac:dyDescent="0.25">
      <c r="B29" s="111" t="s">
        <v>156</v>
      </c>
      <c r="C29" s="110" t="s">
        <v>4</v>
      </c>
      <c r="D29" s="110">
        <v>1</v>
      </c>
      <c r="E29" s="110" t="s">
        <v>8</v>
      </c>
      <c r="F29" s="111" t="s">
        <v>35</v>
      </c>
    </row>
    <row r="30" spans="2:6" ht="15.75" customHeight="1" x14ac:dyDescent="0.25">
      <c r="B30" s="111" t="s">
        <v>157</v>
      </c>
      <c r="C30" s="110" t="s">
        <v>4</v>
      </c>
      <c r="D30" s="110">
        <v>1</v>
      </c>
      <c r="E30" s="110" t="s">
        <v>8</v>
      </c>
      <c r="F30" s="111" t="s">
        <v>10</v>
      </c>
    </row>
    <row r="31" spans="2:6" ht="15.75" customHeight="1" x14ac:dyDescent="0.25">
      <c r="B31" s="111" t="s">
        <v>158</v>
      </c>
      <c r="C31" s="110" t="s">
        <v>4</v>
      </c>
      <c r="D31" s="110">
        <v>1</v>
      </c>
      <c r="E31" s="110" t="s">
        <v>8</v>
      </c>
      <c r="F31" s="111" t="s">
        <v>10</v>
      </c>
    </row>
    <row r="32" spans="2:6" ht="15.75" customHeight="1" x14ac:dyDescent="0.25">
      <c r="B32" s="111" t="s">
        <v>159</v>
      </c>
      <c r="C32" s="110" t="s">
        <v>4</v>
      </c>
      <c r="D32" s="110">
        <v>1</v>
      </c>
      <c r="E32" s="110" t="s">
        <v>8</v>
      </c>
      <c r="F32" s="111" t="s">
        <v>36</v>
      </c>
    </row>
    <row r="33" spans="2:6" ht="15.75" customHeight="1" x14ac:dyDescent="0.25">
      <c r="B33" s="111" t="s">
        <v>160</v>
      </c>
      <c r="C33" s="110" t="s">
        <v>4</v>
      </c>
      <c r="D33" s="110">
        <v>1</v>
      </c>
      <c r="E33" s="110" t="s">
        <v>8</v>
      </c>
      <c r="F33" s="111" t="s">
        <v>10</v>
      </c>
    </row>
    <row r="34" spans="2:6" ht="15.75" customHeight="1" x14ac:dyDescent="0.25">
      <c r="B34" s="111" t="s">
        <v>161</v>
      </c>
      <c r="C34" s="110" t="s">
        <v>4</v>
      </c>
      <c r="D34" s="110">
        <v>1</v>
      </c>
      <c r="E34" s="110" t="s">
        <v>8</v>
      </c>
      <c r="F34" s="111" t="s">
        <v>10</v>
      </c>
    </row>
    <row r="35" spans="2:6" ht="15.75" customHeight="1" x14ac:dyDescent="0.25">
      <c r="B35" s="111" t="s">
        <v>162</v>
      </c>
      <c r="C35" s="110" t="s">
        <v>4</v>
      </c>
      <c r="D35" s="110">
        <v>1</v>
      </c>
      <c r="E35" s="110" t="s">
        <v>8</v>
      </c>
      <c r="F35" s="111" t="s">
        <v>10</v>
      </c>
    </row>
    <row r="36" spans="2:6" ht="15.75" customHeight="1" x14ac:dyDescent="0.25">
      <c r="B36" s="111" t="s">
        <v>163</v>
      </c>
      <c r="C36" s="110" t="s">
        <v>4</v>
      </c>
      <c r="D36" s="110">
        <v>1</v>
      </c>
      <c r="E36" s="110" t="s">
        <v>8</v>
      </c>
      <c r="F36" s="111" t="s">
        <v>9</v>
      </c>
    </row>
    <row r="37" spans="2:6" ht="15.75" customHeight="1" x14ac:dyDescent="0.25">
      <c r="B37" s="111" t="s">
        <v>164</v>
      </c>
      <c r="C37" s="110" t="s">
        <v>4</v>
      </c>
      <c r="D37" s="110">
        <v>1</v>
      </c>
      <c r="E37" s="110" t="s">
        <v>8</v>
      </c>
      <c r="F37" s="111" t="s">
        <v>9</v>
      </c>
    </row>
    <row r="38" spans="2:6" ht="15.75" customHeight="1" x14ac:dyDescent="0.25">
      <c r="B38" s="111" t="s">
        <v>165</v>
      </c>
      <c r="C38" s="110" t="s">
        <v>4</v>
      </c>
      <c r="D38" s="110">
        <v>1</v>
      </c>
      <c r="E38" s="110" t="s">
        <v>8</v>
      </c>
      <c r="F38" s="111" t="s">
        <v>9</v>
      </c>
    </row>
    <row r="39" spans="2:6" ht="15.75" customHeight="1" x14ac:dyDescent="0.25">
      <c r="B39" s="111" t="s">
        <v>166</v>
      </c>
      <c r="C39" s="110" t="s">
        <v>4</v>
      </c>
      <c r="D39" s="110">
        <v>1</v>
      </c>
      <c r="E39" s="110" t="s">
        <v>8</v>
      </c>
      <c r="F39" s="111" t="s">
        <v>10</v>
      </c>
    </row>
    <row r="40" spans="2:6" ht="15.75" customHeight="1" x14ac:dyDescent="0.25">
      <c r="B40" s="111" t="s">
        <v>167</v>
      </c>
      <c r="C40" s="110" t="s">
        <v>4</v>
      </c>
      <c r="D40" s="110">
        <v>1</v>
      </c>
      <c r="E40" s="110" t="s">
        <v>8</v>
      </c>
      <c r="F40" s="111" t="s">
        <v>9</v>
      </c>
    </row>
    <row r="41" spans="2:6" ht="15.75" customHeight="1" x14ac:dyDescent="0.25">
      <c r="B41" s="111" t="s">
        <v>168</v>
      </c>
      <c r="C41" s="110" t="s">
        <v>4</v>
      </c>
      <c r="D41" s="110">
        <v>2</v>
      </c>
      <c r="E41" s="110" t="s">
        <v>8</v>
      </c>
      <c r="F41" s="111" t="s">
        <v>9</v>
      </c>
    </row>
    <row r="42" spans="2:6" ht="15.75" customHeight="1" x14ac:dyDescent="0.25">
      <c r="B42" s="111" t="s">
        <v>169</v>
      </c>
      <c r="C42" s="110" t="s">
        <v>4</v>
      </c>
      <c r="D42" s="110">
        <v>1</v>
      </c>
      <c r="E42" s="110" t="s">
        <v>8</v>
      </c>
      <c r="F42" s="111" t="s">
        <v>10</v>
      </c>
    </row>
    <row r="43" spans="2:6" ht="15.75" customHeight="1" x14ac:dyDescent="0.25">
      <c r="B43" s="111" t="s">
        <v>170</v>
      </c>
      <c r="C43" s="110" t="s">
        <v>4</v>
      </c>
      <c r="D43" s="110">
        <v>1</v>
      </c>
      <c r="E43" s="110" t="s">
        <v>8</v>
      </c>
      <c r="F43" s="111" t="s">
        <v>23</v>
      </c>
    </row>
    <row r="44" spans="2:6" ht="15.75" customHeight="1" x14ac:dyDescent="0.25">
      <c r="B44" s="111" t="s">
        <v>171</v>
      </c>
      <c r="C44" s="110" t="s">
        <v>4</v>
      </c>
      <c r="D44" s="110">
        <v>1</v>
      </c>
      <c r="E44" s="110" t="s">
        <v>8</v>
      </c>
      <c r="F44" s="111" t="s">
        <v>9</v>
      </c>
    </row>
    <row r="45" spans="2:6" ht="15.75" customHeight="1" x14ac:dyDescent="0.25">
      <c r="B45" s="111" t="s">
        <v>172</v>
      </c>
      <c r="C45" s="110" t="s">
        <v>4</v>
      </c>
      <c r="D45" s="110">
        <v>1</v>
      </c>
      <c r="E45" s="110" t="s">
        <v>8</v>
      </c>
      <c r="F45" s="111" t="s">
        <v>9</v>
      </c>
    </row>
    <row r="46" spans="2:6" ht="15.75" customHeight="1" x14ac:dyDescent="0.25">
      <c r="B46" s="111" t="s">
        <v>173</v>
      </c>
      <c r="C46" s="110" t="s">
        <v>4</v>
      </c>
      <c r="D46" s="110">
        <v>1</v>
      </c>
      <c r="E46" s="110" t="s">
        <v>8</v>
      </c>
      <c r="F46" s="111" t="s">
        <v>10</v>
      </c>
    </row>
    <row r="47" spans="2:6" ht="15.75" customHeight="1" x14ac:dyDescent="0.25">
      <c r="B47" s="111" t="s">
        <v>174</v>
      </c>
      <c r="C47" s="110" t="s">
        <v>4</v>
      </c>
      <c r="D47" s="110">
        <v>1</v>
      </c>
      <c r="E47" s="110" t="s">
        <v>8</v>
      </c>
      <c r="F47" s="111" t="s">
        <v>10</v>
      </c>
    </row>
    <row r="48" spans="2:6" ht="15.75" customHeight="1" x14ac:dyDescent="0.25">
      <c r="B48" s="111" t="s">
        <v>175</v>
      </c>
      <c r="C48" s="110" t="s">
        <v>4</v>
      </c>
      <c r="D48" s="110">
        <v>1</v>
      </c>
      <c r="E48" s="110" t="s">
        <v>8</v>
      </c>
      <c r="F48" s="111" t="s">
        <v>10</v>
      </c>
    </row>
    <row r="49" spans="2:8" ht="15.75" customHeight="1" x14ac:dyDescent="0.25">
      <c r="B49" s="111" t="s">
        <v>176</v>
      </c>
      <c r="C49" s="110" t="s">
        <v>4</v>
      </c>
      <c r="D49" s="110">
        <v>1</v>
      </c>
      <c r="E49" s="110" t="s">
        <v>8</v>
      </c>
      <c r="F49" s="111" t="s">
        <v>9</v>
      </c>
    </row>
    <row r="50" spans="2:8" ht="15.75" customHeight="1" x14ac:dyDescent="0.25">
      <c r="B50" s="111" t="s">
        <v>177</v>
      </c>
      <c r="C50" s="110" t="s">
        <v>4</v>
      </c>
      <c r="D50" s="110">
        <v>1</v>
      </c>
      <c r="E50" s="110" t="s">
        <v>8</v>
      </c>
      <c r="F50" s="111" t="s">
        <v>9</v>
      </c>
    </row>
    <row r="51" spans="2:8" ht="15.75" customHeight="1" x14ac:dyDescent="0.25">
      <c r="B51" s="111" t="s">
        <v>178</v>
      </c>
      <c r="C51" s="110" t="s">
        <v>4</v>
      </c>
      <c r="D51" s="110">
        <v>1</v>
      </c>
      <c r="E51" s="110" t="s">
        <v>8</v>
      </c>
      <c r="F51" s="111" t="s">
        <v>25</v>
      </c>
    </row>
    <row r="52" spans="2:8" ht="15.75" customHeight="1" x14ac:dyDescent="0.25">
      <c r="B52" s="111" t="s">
        <v>179</v>
      </c>
      <c r="C52" s="110" t="s">
        <v>4</v>
      </c>
      <c r="D52" s="110">
        <v>1</v>
      </c>
      <c r="E52" s="110" t="s">
        <v>8</v>
      </c>
      <c r="F52" s="111" t="s">
        <v>9</v>
      </c>
    </row>
    <row r="53" spans="2:8" ht="15.75" customHeight="1" x14ac:dyDescent="0.25">
      <c r="B53" s="111" t="s">
        <v>180</v>
      </c>
      <c r="C53" s="110" t="s">
        <v>4</v>
      </c>
      <c r="D53" s="110">
        <v>3</v>
      </c>
      <c r="E53" s="110" t="s">
        <v>8</v>
      </c>
      <c r="F53" s="111" t="s">
        <v>10</v>
      </c>
    </row>
    <row r="54" spans="2:8" ht="15.75" customHeight="1" x14ac:dyDescent="0.25">
      <c r="B54" s="111" t="s">
        <v>181</v>
      </c>
      <c r="C54" s="110" t="s">
        <v>4</v>
      </c>
      <c r="D54" s="110">
        <v>1</v>
      </c>
      <c r="E54" s="110" t="s">
        <v>8</v>
      </c>
      <c r="F54" s="111" t="s">
        <v>10</v>
      </c>
    </row>
    <row r="55" spans="2:8" ht="15.75" customHeight="1" x14ac:dyDescent="0.25">
      <c r="B55" s="111" t="s">
        <v>182</v>
      </c>
      <c r="C55" s="110" t="s">
        <v>4</v>
      </c>
      <c r="D55" s="110">
        <v>1</v>
      </c>
      <c r="E55" s="110" t="s">
        <v>8</v>
      </c>
      <c r="F55" s="111" t="s">
        <v>10</v>
      </c>
    </row>
    <row r="56" spans="2:8" ht="15.75" customHeight="1" x14ac:dyDescent="0.25">
      <c r="B56" s="111" t="s">
        <v>183</v>
      </c>
      <c r="C56" s="110" t="s">
        <v>4</v>
      </c>
      <c r="D56" s="110">
        <v>1</v>
      </c>
      <c r="E56" s="110" t="s">
        <v>8</v>
      </c>
      <c r="F56" s="111" t="s">
        <v>13</v>
      </c>
    </row>
    <row r="57" spans="2:8" ht="15.75" customHeight="1" x14ac:dyDescent="0.25">
      <c r="B57" s="111" t="s">
        <v>184</v>
      </c>
      <c r="C57" s="110" t="s">
        <v>4</v>
      </c>
      <c r="D57" s="110">
        <v>1</v>
      </c>
      <c r="E57" s="110" t="s">
        <v>8</v>
      </c>
      <c r="F57" s="111" t="s">
        <v>10</v>
      </c>
    </row>
    <row r="58" spans="2:8" ht="15.75" customHeight="1" x14ac:dyDescent="0.25">
      <c r="B58" s="111" t="s">
        <v>185</v>
      </c>
      <c r="C58" s="110" t="s">
        <v>4</v>
      </c>
      <c r="D58" s="110">
        <v>1</v>
      </c>
      <c r="E58" s="110" t="s">
        <v>8</v>
      </c>
      <c r="F58" s="111" t="s">
        <v>23</v>
      </c>
    </row>
    <row r="59" spans="2:8" ht="15.75" customHeight="1" x14ac:dyDescent="0.25">
      <c r="B59" s="111" t="s">
        <v>496</v>
      </c>
      <c r="C59" s="110" t="s">
        <v>493</v>
      </c>
      <c r="D59" s="110">
        <v>1</v>
      </c>
      <c r="E59" s="110" t="s">
        <v>8</v>
      </c>
      <c r="F59" s="111" t="s">
        <v>494</v>
      </c>
    </row>
    <row r="60" spans="2:8" ht="15.75" customHeight="1" x14ac:dyDescent="0.25">
      <c r="B60" s="111" t="s">
        <v>186</v>
      </c>
      <c r="C60" s="110" t="s">
        <v>4</v>
      </c>
      <c r="D60" s="110">
        <v>1</v>
      </c>
      <c r="E60" s="110" t="s">
        <v>8</v>
      </c>
      <c r="F60" s="111" t="s">
        <v>10</v>
      </c>
    </row>
    <row r="61" spans="2:8" ht="15.75" customHeight="1" x14ac:dyDescent="0.25">
      <c r="B61" s="111" t="s">
        <v>491</v>
      </c>
      <c r="C61" s="110" t="s">
        <v>492</v>
      </c>
      <c r="D61" s="110">
        <v>1</v>
      </c>
      <c r="E61" s="110" t="s">
        <v>8</v>
      </c>
      <c r="F61" s="111" t="s">
        <v>40</v>
      </c>
      <c r="G61" s="122"/>
      <c r="H61" s="92"/>
    </row>
    <row r="62" spans="2:8" ht="15.75" customHeight="1" x14ac:dyDescent="0.25">
      <c r="B62" s="111" t="s">
        <v>183</v>
      </c>
      <c r="C62" s="112" t="s">
        <v>38</v>
      </c>
      <c r="D62" s="110">
        <v>1</v>
      </c>
      <c r="E62" s="110" t="s">
        <v>39</v>
      </c>
      <c r="F62" s="111" t="s">
        <v>40</v>
      </c>
      <c r="H62" s="92"/>
    </row>
    <row r="63" spans="2:8" ht="15.75" customHeight="1" x14ac:dyDescent="0.25">
      <c r="B63" s="113" t="s">
        <v>183</v>
      </c>
      <c r="C63" s="114" t="s">
        <v>488</v>
      </c>
      <c r="D63" s="115">
        <v>1</v>
      </c>
      <c r="E63" s="115" t="s">
        <v>490</v>
      </c>
      <c r="F63" s="113" t="s">
        <v>489</v>
      </c>
      <c r="H63" s="92"/>
    </row>
    <row r="64" spans="2:8" ht="15.75" customHeight="1" x14ac:dyDescent="0.25">
      <c r="B64" s="111" t="s">
        <v>187</v>
      </c>
      <c r="C64" s="112" t="s">
        <v>41</v>
      </c>
      <c r="D64" s="110">
        <v>1</v>
      </c>
      <c r="E64" s="110" t="s">
        <v>32</v>
      </c>
      <c r="F64" s="111" t="s">
        <v>42</v>
      </c>
      <c r="H64" s="92"/>
    </row>
    <row r="65" spans="2:14" ht="15.75" customHeight="1" x14ac:dyDescent="0.25">
      <c r="B65" s="111" t="s">
        <v>187</v>
      </c>
      <c r="C65" s="112" t="s">
        <v>43</v>
      </c>
      <c r="D65" s="110">
        <v>1</v>
      </c>
      <c r="E65" s="110" t="s">
        <v>44</v>
      </c>
      <c r="F65" s="111" t="s">
        <v>45</v>
      </c>
    </row>
    <row r="66" spans="2:14" ht="15.75" customHeight="1" x14ac:dyDescent="0.25">
      <c r="B66" s="111" t="s">
        <v>187</v>
      </c>
      <c r="C66" s="112" t="s">
        <v>46</v>
      </c>
      <c r="D66" s="110">
        <v>1</v>
      </c>
      <c r="E66" s="110" t="s">
        <v>47</v>
      </c>
      <c r="F66" s="111" t="s">
        <v>45</v>
      </c>
    </row>
    <row r="67" spans="2:14" ht="15.75" customHeight="1" x14ac:dyDescent="0.25">
      <c r="B67" s="111" t="s">
        <v>163</v>
      </c>
      <c r="C67" s="112" t="s">
        <v>46</v>
      </c>
      <c r="D67" s="110">
        <v>1</v>
      </c>
      <c r="E67" s="110" t="s">
        <v>8</v>
      </c>
      <c r="F67" s="111" t="s">
        <v>48</v>
      </c>
    </row>
    <row r="68" spans="2:14" ht="15.75" customHeight="1" x14ac:dyDescent="0.25">
      <c r="B68" s="111" t="s">
        <v>167</v>
      </c>
      <c r="C68" s="112" t="s">
        <v>43</v>
      </c>
      <c r="D68" s="110">
        <v>1</v>
      </c>
      <c r="E68" s="110" t="s">
        <v>44</v>
      </c>
      <c r="F68" s="111" t="s">
        <v>48</v>
      </c>
      <c r="G68" s="14"/>
      <c r="H68" s="14"/>
    </row>
    <row r="69" spans="2:14" ht="15.75" customHeight="1" x14ac:dyDescent="0.25">
      <c r="B69" s="111" t="s">
        <v>167</v>
      </c>
      <c r="C69" s="112" t="s">
        <v>667</v>
      </c>
      <c r="D69" s="110">
        <v>1</v>
      </c>
      <c r="E69" s="110" t="s">
        <v>8</v>
      </c>
      <c r="F69" s="111" t="s">
        <v>489</v>
      </c>
      <c r="G69" s="14"/>
      <c r="H69" s="14"/>
    </row>
    <row r="70" spans="2:14" ht="15.75" customHeight="1" x14ac:dyDescent="0.25">
      <c r="B70" s="111" t="s">
        <v>188</v>
      </c>
      <c r="C70" s="112" t="s">
        <v>49</v>
      </c>
      <c r="D70" s="110">
        <v>1</v>
      </c>
      <c r="E70" s="110" t="s">
        <v>50</v>
      </c>
      <c r="F70" s="111" t="s">
        <v>48</v>
      </c>
      <c r="G70" s="14"/>
      <c r="H70" s="14"/>
    </row>
    <row r="71" spans="2:14" ht="15.75" customHeight="1" x14ac:dyDescent="0.25">
      <c r="B71" s="111" t="s">
        <v>188</v>
      </c>
      <c r="C71" s="112" t="s">
        <v>43</v>
      </c>
      <c r="D71" s="110">
        <v>1</v>
      </c>
      <c r="E71" s="110" t="s">
        <v>44</v>
      </c>
      <c r="F71" s="111" t="s">
        <v>48</v>
      </c>
      <c r="G71" s="14"/>
      <c r="H71" s="14"/>
      <c r="N71" t="s">
        <v>380</v>
      </c>
    </row>
    <row r="72" spans="2:14" ht="15.75" customHeight="1" x14ac:dyDescent="0.25">
      <c r="B72" s="111" t="s">
        <v>188</v>
      </c>
      <c r="C72" s="112" t="s">
        <v>46</v>
      </c>
      <c r="D72" s="110">
        <v>1</v>
      </c>
      <c r="E72" s="110" t="s">
        <v>8</v>
      </c>
      <c r="F72" s="111" t="s">
        <v>48</v>
      </c>
      <c r="G72" s="14"/>
      <c r="H72" s="14"/>
    </row>
    <row r="73" spans="2:14" ht="15.75" customHeight="1" x14ac:dyDescent="0.25">
      <c r="B73" s="111" t="s">
        <v>188</v>
      </c>
      <c r="C73" s="112" t="s">
        <v>51</v>
      </c>
      <c r="D73" s="110">
        <v>1</v>
      </c>
      <c r="E73" s="110" t="s">
        <v>52</v>
      </c>
      <c r="F73" s="111" t="s">
        <v>48</v>
      </c>
      <c r="G73" s="14"/>
      <c r="H73" s="14"/>
    </row>
    <row r="74" spans="2:14" ht="15.75" customHeight="1" x14ac:dyDescent="0.25">
      <c r="B74" s="85" t="s">
        <v>135</v>
      </c>
      <c r="C74" s="83" t="s">
        <v>527</v>
      </c>
      <c r="D74" s="83">
        <v>6</v>
      </c>
      <c r="E74" s="83" t="s">
        <v>33</v>
      </c>
      <c r="F74" s="85" t="s">
        <v>30</v>
      </c>
      <c r="G74" s="14"/>
      <c r="H74" s="14"/>
    </row>
    <row r="75" spans="2:14" ht="15.75" customHeight="1" x14ac:dyDescent="0.25">
      <c r="B75" s="85" t="s">
        <v>136</v>
      </c>
      <c r="C75" s="83" t="s">
        <v>527</v>
      </c>
      <c r="D75" s="83">
        <v>3</v>
      </c>
      <c r="E75" s="83" t="s">
        <v>33</v>
      </c>
      <c r="F75" s="85" t="s">
        <v>30</v>
      </c>
      <c r="G75" s="14"/>
      <c r="H75" s="14"/>
    </row>
    <row r="76" spans="2:14" ht="15.75" customHeight="1" x14ac:dyDescent="0.25">
      <c r="B76" s="85" t="s">
        <v>137</v>
      </c>
      <c r="C76" s="83" t="s">
        <v>527</v>
      </c>
      <c r="D76" s="83">
        <v>6</v>
      </c>
      <c r="E76" s="83" t="s">
        <v>33</v>
      </c>
      <c r="F76" s="85" t="s">
        <v>30</v>
      </c>
      <c r="G76" s="14"/>
      <c r="H76" s="14"/>
    </row>
    <row r="77" spans="2:14" ht="15.75" customHeight="1" x14ac:dyDescent="0.25">
      <c r="B77" s="85" t="s">
        <v>147</v>
      </c>
      <c r="C77" s="83" t="s">
        <v>527</v>
      </c>
      <c r="D77" s="83">
        <v>5</v>
      </c>
      <c r="E77" s="83" t="s">
        <v>33</v>
      </c>
      <c r="F77" s="85" t="s">
        <v>30</v>
      </c>
      <c r="G77" s="14"/>
      <c r="H77" s="14"/>
    </row>
    <row r="78" spans="2:14" ht="15.75" customHeight="1" x14ac:dyDescent="0.25">
      <c r="B78" s="85" t="s">
        <v>148</v>
      </c>
      <c r="C78" s="83" t="s">
        <v>527</v>
      </c>
      <c r="D78" s="83">
        <v>5</v>
      </c>
      <c r="E78" s="83" t="s">
        <v>33</v>
      </c>
      <c r="F78" s="85" t="s">
        <v>30</v>
      </c>
    </row>
    <row r="79" spans="2:14" ht="15.75" customHeight="1" x14ac:dyDescent="0.25">
      <c r="B79" s="85" t="s">
        <v>162</v>
      </c>
      <c r="C79" s="83" t="s">
        <v>31</v>
      </c>
      <c r="D79" s="83">
        <v>6</v>
      </c>
      <c r="E79" s="83" t="s">
        <v>33</v>
      </c>
      <c r="F79" s="85" t="s">
        <v>30</v>
      </c>
    </row>
    <row r="80" spans="2:14" ht="15.75" customHeight="1" x14ac:dyDescent="0.25">
      <c r="B80" s="85" t="s">
        <v>232</v>
      </c>
      <c r="C80" s="83" t="s">
        <v>234</v>
      </c>
      <c r="D80" s="83" t="s">
        <v>196</v>
      </c>
      <c r="E80" s="83" t="s">
        <v>189</v>
      </c>
      <c r="F80" s="85" t="s">
        <v>48</v>
      </c>
      <c r="H80" s="11"/>
    </row>
    <row r="81" spans="1:8" ht="15.75" customHeight="1" x14ac:dyDescent="0.25">
      <c r="A81" s="10"/>
      <c r="B81" s="85" t="s">
        <v>208</v>
      </c>
      <c r="C81" s="83" t="s">
        <v>280</v>
      </c>
      <c r="D81" s="83" t="s">
        <v>196</v>
      </c>
      <c r="E81" s="83" t="s">
        <v>190</v>
      </c>
      <c r="F81" s="85" t="s">
        <v>48</v>
      </c>
    </row>
    <row r="82" spans="1:8" ht="15.75" x14ac:dyDescent="0.25">
      <c r="B82" s="85" t="s">
        <v>487</v>
      </c>
      <c r="C82" s="83" t="s">
        <v>280</v>
      </c>
      <c r="D82" s="83" t="s">
        <v>196</v>
      </c>
      <c r="E82" s="83" t="s">
        <v>190</v>
      </c>
      <c r="F82" s="85" t="s">
        <v>48</v>
      </c>
    </row>
    <row r="83" spans="1:8" ht="15.75" x14ac:dyDescent="0.25">
      <c r="B83" s="85" t="s">
        <v>209</v>
      </c>
      <c r="C83" s="83" t="s">
        <v>280</v>
      </c>
      <c r="D83" s="83" t="s">
        <v>196</v>
      </c>
      <c r="E83" s="83" t="s">
        <v>190</v>
      </c>
      <c r="F83" s="85" t="s">
        <v>48</v>
      </c>
    </row>
    <row r="84" spans="1:8" ht="15.75" x14ac:dyDescent="0.25">
      <c r="B84" s="125" t="s">
        <v>715</v>
      </c>
      <c r="C84" s="27" t="s">
        <v>280</v>
      </c>
      <c r="D84" s="27" t="s">
        <v>196</v>
      </c>
      <c r="E84" s="27" t="s">
        <v>190</v>
      </c>
      <c r="F84" s="125" t="s">
        <v>48</v>
      </c>
    </row>
    <row r="85" spans="1:8" ht="15.75" x14ac:dyDescent="0.25">
      <c r="B85" s="116" t="s">
        <v>495</v>
      </c>
      <c r="C85" s="117" t="s">
        <v>280</v>
      </c>
      <c r="D85" s="118" t="s">
        <v>196</v>
      </c>
      <c r="E85" s="83" t="s">
        <v>190</v>
      </c>
      <c r="F85" s="84" t="s">
        <v>48</v>
      </c>
    </row>
    <row r="86" spans="1:8" ht="15.75" x14ac:dyDescent="0.25">
      <c r="B86" s="85" t="s">
        <v>210</v>
      </c>
      <c r="C86" s="83" t="s">
        <v>280</v>
      </c>
      <c r="D86" s="83" t="s">
        <v>196</v>
      </c>
      <c r="E86" s="83" t="s">
        <v>190</v>
      </c>
      <c r="F86" s="85" t="s">
        <v>48</v>
      </c>
    </row>
    <row r="87" spans="1:8" s="11" customFormat="1" ht="15.75" x14ac:dyDescent="0.25">
      <c r="B87" s="85" t="s">
        <v>211</v>
      </c>
      <c r="C87" s="83" t="s">
        <v>280</v>
      </c>
      <c r="D87" s="83" t="s">
        <v>196</v>
      </c>
      <c r="E87" s="83" t="s">
        <v>190</v>
      </c>
      <c r="F87" s="85" t="s">
        <v>230</v>
      </c>
      <c r="G87"/>
      <c r="H87"/>
    </row>
    <row r="88" spans="1:8" ht="15.75" x14ac:dyDescent="0.25">
      <c r="B88" s="85" t="s">
        <v>212</v>
      </c>
      <c r="C88" s="83" t="s">
        <v>280</v>
      </c>
      <c r="D88" s="83" t="s">
        <v>196</v>
      </c>
      <c r="E88" s="83" t="s">
        <v>190</v>
      </c>
      <c r="F88" s="85" t="s">
        <v>230</v>
      </c>
    </row>
    <row r="89" spans="1:8" ht="15.75" x14ac:dyDescent="0.25">
      <c r="B89" s="85" t="s">
        <v>213</v>
      </c>
      <c r="C89" s="83" t="s">
        <v>280</v>
      </c>
      <c r="D89" s="83" t="s">
        <v>196</v>
      </c>
      <c r="E89" s="83" t="s">
        <v>190</v>
      </c>
      <c r="F89" s="85" t="s">
        <v>229</v>
      </c>
    </row>
    <row r="90" spans="1:8" ht="15.75" x14ac:dyDescent="0.25">
      <c r="B90" s="84" t="s">
        <v>514</v>
      </c>
      <c r="C90" s="83" t="s">
        <v>280</v>
      </c>
      <c r="D90" s="118" t="s">
        <v>196</v>
      </c>
      <c r="E90" s="83" t="s">
        <v>190</v>
      </c>
      <c r="F90" s="84" t="s">
        <v>40</v>
      </c>
    </row>
    <row r="91" spans="1:8" ht="15.75" x14ac:dyDescent="0.25">
      <c r="B91" s="85" t="s">
        <v>214</v>
      </c>
      <c r="C91" s="83" t="s">
        <v>280</v>
      </c>
      <c r="D91" s="83" t="s">
        <v>196</v>
      </c>
      <c r="E91" s="83" t="s">
        <v>190</v>
      </c>
      <c r="F91" s="85" t="s">
        <v>228</v>
      </c>
    </row>
    <row r="92" spans="1:8" ht="15.75" x14ac:dyDescent="0.25">
      <c r="B92" s="85" t="s">
        <v>215</v>
      </c>
      <c r="C92" s="83" t="s">
        <v>280</v>
      </c>
      <c r="D92" s="83" t="s">
        <v>196</v>
      </c>
      <c r="E92" s="83" t="s">
        <v>190</v>
      </c>
      <c r="F92" s="85" t="s">
        <v>227</v>
      </c>
    </row>
    <row r="93" spans="1:8" ht="15.75" x14ac:dyDescent="0.25">
      <c r="B93" s="85" t="s">
        <v>216</v>
      </c>
      <c r="C93" s="83" t="s">
        <v>280</v>
      </c>
      <c r="D93" s="83" t="s">
        <v>196</v>
      </c>
      <c r="E93" s="83" t="s">
        <v>192</v>
      </c>
      <c r="F93" s="85" t="s">
        <v>48</v>
      </c>
    </row>
    <row r="94" spans="1:8" ht="15.75" x14ac:dyDescent="0.25">
      <c r="B94" s="84" t="s">
        <v>217</v>
      </c>
      <c r="C94" s="83" t="s">
        <v>280</v>
      </c>
      <c r="D94" s="83" t="s">
        <v>196</v>
      </c>
      <c r="E94" s="83" t="s">
        <v>192</v>
      </c>
      <c r="F94" s="85" t="s">
        <v>48</v>
      </c>
    </row>
    <row r="95" spans="1:8" ht="15.75" x14ac:dyDescent="0.25">
      <c r="B95" s="84" t="s">
        <v>218</v>
      </c>
      <c r="C95" s="83" t="s">
        <v>280</v>
      </c>
      <c r="D95" s="83" t="s">
        <v>196</v>
      </c>
      <c r="E95" s="83" t="s">
        <v>192</v>
      </c>
      <c r="F95" s="85" t="s">
        <v>48</v>
      </c>
    </row>
    <row r="96" spans="1:8" ht="15.75" x14ac:dyDescent="0.25">
      <c r="B96" s="84" t="s">
        <v>219</v>
      </c>
      <c r="C96" s="83" t="s">
        <v>280</v>
      </c>
      <c r="D96" s="83" t="s">
        <v>196</v>
      </c>
      <c r="E96" s="83" t="s">
        <v>192</v>
      </c>
      <c r="F96" s="84" t="s">
        <v>48</v>
      </c>
    </row>
    <row r="97" spans="2:7" ht="15.75" x14ac:dyDescent="0.25">
      <c r="B97" s="84" t="s">
        <v>220</v>
      </c>
      <c r="C97" s="83" t="s">
        <v>280</v>
      </c>
      <c r="D97" s="83" t="s">
        <v>196</v>
      </c>
      <c r="E97" s="83" t="s">
        <v>192</v>
      </c>
      <c r="F97" s="84" t="s">
        <v>48</v>
      </c>
    </row>
    <row r="98" spans="2:7" ht="15.75" x14ac:dyDescent="0.25">
      <c r="B98" s="84" t="s">
        <v>221</v>
      </c>
      <c r="C98" s="83" t="s">
        <v>280</v>
      </c>
      <c r="D98" s="83" t="s">
        <v>196</v>
      </c>
      <c r="E98" s="83" t="s">
        <v>192</v>
      </c>
      <c r="F98" s="84" t="s">
        <v>48</v>
      </c>
      <c r="G98" s="21"/>
    </row>
    <row r="99" spans="2:7" ht="15.75" x14ac:dyDescent="0.25">
      <c r="B99" s="84" t="s">
        <v>499</v>
      </c>
      <c r="C99" s="83" t="s">
        <v>280</v>
      </c>
      <c r="D99" s="83" t="s">
        <v>500</v>
      </c>
      <c r="E99" s="83"/>
      <c r="F99" s="84" t="s">
        <v>501</v>
      </c>
    </row>
    <row r="100" spans="2:7" ht="31.5" x14ac:dyDescent="0.25">
      <c r="B100" s="84" t="s">
        <v>222</v>
      </c>
      <c r="C100" s="83" t="s">
        <v>280</v>
      </c>
      <c r="D100" s="83" t="s">
        <v>196</v>
      </c>
      <c r="E100" s="83" t="s">
        <v>193</v>
      </c>
      <c r="F100" s="84" t="s">
        <v>226</v>
      </c>
    </row>
    <row r="101" spans="2:7" ht="15.75" x14ac:dyDescent="0.25">
      <c r="B101" s="84" t="s">
        <v>223</v>
      </c>
      <c r="C101" s="83" t="s">
        <v>280</v>
      </c>
      <c r="D101" s="83" t="s">
        <v>196</v>
      </c>
      <c r="E101" s="83" t="s">
        <v>193</v>
      </c>
      <c r="F101" s="84" t="s">
        <v>668</v>
      </c>
    </row>
    <row r="102" spans="2:7" ht="31.5" x14ac:dyDescent="0.25">
      <c r="B102" s="84" t="s">
        <v>224</v>
      </c>
      <c r="C102" s="83" t="s">
        <v>280</v>
      </c>
      <c r="D102" s="83" t="s">
        <v>196</v>
      </c>
      <c r="E102" s="83" t="s">
        <v>225</v>
      </c>
      <c r="F102" s="84" t="s">
        <v>419</v>
      </c>
    </row>
    <row r="103" spans="2:7" ht="15.75" x14ac:dyDescent="0.25">
      <c r="B103" s="85" t="s">
        <v>520</v>
      </c>
      <c r="C103" s="83" t="s">
        <v>527</v>
      </c>
      <c r="D103" s="83">
        <v>6</v>
      </c>
      <c r="E103" s="83" t="s">
        <v>33</v>
      </c>
      <c r="F103" s="85" t="s">
        <v>48</v>
      </c>
    </row>
    <row r="104" spans="2:7" ht="15.75" x14ac:dyDescent="0.25">
      <c r="B104" s="85" t="s">
        <v>521</v>
      </c>
      <c r="C104" s="83" t="s">
        <v>527</v>
      </c>
      <c r="D104" s="83">
        <v>5</v>
      </c>
      <c r="E104" s="83" t="s">
        <v>33</v>
      </c>
      <c r="F104" s="85" t="s">
        <v>48</v>
      </c>
    </row>
    <row r="105" spans="2:7" ht="15.75" x14ac:dyDescent="0.25">
      <c r="B105" s="85" t="s">
        <v>522</v>
      </c>
      <c r="C105" s="83" t="s">
        <v>527</v>
      </c>
      <c r="D105" s="83">
        <v>3</v>
      </c>
      <c r="E105" s="83" t="s">
        <v>33</v>
      </c>
      <c r="F105" s="85" t="s">
        <v>48</v>
      </c>
    </row>
    <row r="106" spans="2:7" ht="15.75" x14ac:dyDescent="0.25">
      <c r="B106" s="85" t="s">
        <v>523</v>
      </c>
      <c r="C106" s="83" t="s">
        <v>527</v>
      </c>
      <c r="D106" s="83">
        <v>3</v>
      </c>
      <c r="E106" s="83" t="s">
        <v>33</v>
      </c>
      <c r="F106" s="85" t="s">
        <v>48</v>
      </c>
    </row>
    <row r="107" spans="2:7" ht="15.75" x14ac:dyDescent="0.25">
      <c r="B107" s="85" t="s">
        <v>524</v>
      </c>
      <c r="C107" s="83" t="s">
        <v>527</v>
      </c>
      <c r="D107" s="83">
        <v>3</v>
      </c>
      <c r="E107" s="83" t="s">
        <v>33</v>
      </c>
      <c r="F107" s="85" t="s">
        <v>48</v>
      </c>
    </row>
    <row r="108" spans="2:7" ht="15.75" x14ac:dyDescent="0.25">
      <c r="B108" s="85" t="s">
        <v>525</v>
      </c>
      <c r="C108" s="83" t="s">
        <v>527</v>
      </c>
      <c r="D108" s="83">
        <v>3</v>
      </c>
      <c r="E108" s="83" t="s">
        <v>33</v>
      </c>
      <c r="F108" s="85" t="s">
        <v>48</v>
      </c>
    </row>
    <row r="109" spans="2:7" ht="15.75" x14ac:dyDescent="0.25">
      <c r="B109" s="85" t="s">
        <v>526</v>
      </c>
      <c r="C109" s="83" t="s">
        <v>527</v>
      </c>
      <c r="D109" s="83">
        <v>3</v>
      </c>
      <c r="E109" s="83" t="s">
        <v>33</v>
      </c>
      <c r="F109" s="85" t="s">
        <v>48</v>
      </c>
    </row>
    <row r="110" spans="2:7" ht="15.75" x14ac:dyDescent="0.25">
      <c r="B110" s="85" t="s">
        <v>131</v>
      </c>
      <c r="C110" s="94" t="s">
        <v>532</v>
      </c>
      <c r="D110" s="94">
        <v>1</v>
      </c>
      <c r="E110" s="83" t="s">
        <v>33</v>
      </c>
      <c r="F110" s="85" t="s">
        <v>48</v>
      </c>
    </row>
    <row r="111" spans="2:7" ht="15.75" x14ac:dyDescent="0.25">
      <c r="B111" s="85" t="s">
        <v>132</v>
      </c>
      <c r="C111" s="94" t="s">
        <v>532</v>
      </c>
      <c r="D111" s="94">
        <v>5</v>
      </c>
      <c r="E111" s="83" t="s">
        <v>33</v>
      </c>
      <c r="F111" s="85" t="s">
        <v>48</v>
      </c>
    </row>
    <row r="112" spans="2:7" ht="15.75" x14ac:dyDescent="0.25">
      <c r="B112" s="85" t="s">
        <v>133</v>
      </c>
      <c r="C112" s="94" t="s">
        <v>532</v>
      </c>
      <c r="D112" s="94">
        <v>3</v>
      </c>
      <c r="E112" s="83" t="s">
        <v>33</v>
      </c>
      <c r="F112" s="85" t="s">
        <v>48</v>
      </c>
    </row>
    <row r="113" spans="2:6" ht="15.75" x14ac:dyDescent="0.25">
      <c r="B113" s="85" t="s">
        <v>134</v>
      </c>
      <c r="C113" s="94" t="s">
        <v>532</v>
      </c>
      <c r="D113" s="94">
        <v>3</v>
      </c>
      <c r="E113" s="83" t="s">
        <v>33</v>
      </c>
      <c r="F113" s="85" t="s">
        <v>48</v>
      </c>
    </row>
    <row r="114" spans="2:6" ht="15.75" x14ac:dyDescent="0.25">
      <c r="B114" s="85" t="s">
        <v>528</v>
      </c>
      <c r="C114" s="94" t="s">
        <v>532</v>
      </c>
      <c r="D114" s="94">
        <v>1</v>
      </c>
      <c r="E114" s="83" t="s">
        <v>33</v>
      </c>
      <c r="F114" s="85" t="s">
        <v>48</v>
      </c>
    </row>
    <row r="115" spans="2:6" ht="15.75" x14ac:dyDescent="0.25">
      <c r="B115" s="85" t="s">
        <v>138</v>
      </c>
      <c r="C115" s="94" t="s">
        <v>532</v>
      </c>
      <c r="D115" s="94">
        <v>2</v>
      </c>
      <c r="E115" s="83" t="s">
        <v>33</v>
      </c>
      <c r="F115" s="85" t="s">
        <v>48</v>
      </c>
    </row>
    <row r="116" spans="2:6" ht="15.75" x14ac:dyDescent="0.25">
      <c r="B116" s="85" t="s">
        <v>139</v>
      </c>
      <c r="C116" s="94" t="s">
        <v>532</v>
      </c>
      <c r="D116" s="94">
        <v>6</v>
      </c>
      <c r="E116" s="83" t="s">
        <v>33</v>
      </c>
      <c r="F116" s="85" t="s">
        <v>48</v>
      </c>
    </row>
    <row r="117" spans="2:6" ht="15.75" x14ac:dyDescent="0.25">
      <c r="B117" s="85" t="s">
        <v>140</v>
      </c>
      <c r="C117" s="94" t="s">
        <v>532</v>
      </c>
      <c r="D117" s="94">
        <v>3</v>
      </c>
      <c r="E117" s="83" t="s">
        <v>33</v>
      </c>
      <c r="F117" s="85" t="s">
        <v>48</v>
      </c>
    </row>
    <row r="118" spans="2:6" ht="15.75" x14ac:dyDescent="0.25">
      <c r="B118" s="85" t="s">
        <v>142</v>
      </c>
      <c r="C118" s="94" t="s">
        <v>532</v>
      </c>
      <c r="D118" s="94">
        <v>2</v>
      </c>
      <c r="E118" s="83" t="s">
        <v>33</v>
      </c>
      <c r="F118" s="85" t="s">
        <v>48</v>
      </c>
    </row>
    <row r="119" spans="2:6" ht="15.75" x14ac:dyDescent="0.25">
      <c r="B119" s="85" t="s">
        <v>529</v>
      </c>
      <c r="C119" s="94" t="s">
        <v>532</v>
      </c>
      <c r="D119" s="94">
        <v>1</v>
      </c>
      <c r="E119" s="83" t="s">
        <v>33</v>
      </c>
      <c r="F119" s="85" t="s">
        <v>48</v>
      </c>
    </row>
    <row r="120" spans="2:6" ht="15.75" x14ac:dyDescent="0.25">
      <c r="B120" s="85" t="s">
        <v>144</v>
      </c>
      <c r="C120" s="94" t="s">
        <v>532</v>
      </c>
      <c r="D120" s="94">
        <v>2</v>
      </c>
      <c r="E120" s="83" t="s">
        <v>33</v>
      </c>
      <c r="F120" s="85" t="s">
        <v>48</v>
      </c>
    </row>
    <row r="121" spans="2:6" ht="15.75" x14ac:dyDescent="0.25">
      <c r="B121" s="85" t="s">
        <v>146</v>
      </c>
      <c r="C121" s="94" t="s">
        <v>532</v>
      </c>
      <c r="D121" s="94">
        <v>5</v>
      </c>
      <c r="E121" s="83" t="s">
        <v>33</v>
      </c>
      <c r="F121" s="85" t="s">
        <v>48</v>
      </c>
    </row>
    <row r="122" spans="2:6" ht="15.75" x14ac:dyDescent="0.25">
      <c r="B122" s="85" t="s">
        <v>149</v>
      </c>
      <c r="C122" s="94" t="s">
        <v>532</v>
      </c>
      <c r="D122" s="94">
        <v>3</v>
      </c>
      <c r="E122" s="83" t="s">
        <v>33</v>
      </c>
      <c r="F122" s="85" t="s">
        <v>48</v>
      </c>
    </row>
    <row r="123" spans="2:6" ht="15.75" x14ac:dyDescent="0.25">
      <c r="B123" s="85" t="s">
        <v>150</v>
      </c>
      <c r="C123" s="94" t="s">
        <v>532</v>
      </c>
      <c r="D123" s="94">
        <v>3</v>
      </c>
      <c r="E123" s="83" t="s">
        <v>33</v>
      </c>
      <c r="F123" s="85" t="s">
        <v>48</v>
      </c>
    </row>
    <row r="124" spans="2:6" ht="15.75" x14ac:dyDescent="0.25">
      <c r="B124" s="85" t="s">
        <v>530</v>
      </c>
      <c r="C124" s="94" t="s">
        <v>532</v>
      </c>
      <c r="D124" s="94">
        <v>5</v>
      </c>
      <c r="E124" s="83" t="s">
        <v>33</v>
      </c>
      <c r="F124" s="85" t="s">
        <v>48</v>
      </c>
    </row>
    <row r="125" spans="2:6" ht="15.75" x14ac:dyDescent="0.25">
      <c r="B125" s="85" t="s">
        <v>153</v>
      </c>
      <c r="C125" s="94" t="s">
        <v>532</v>
      </c>
      <c r="D125" s="94">
        <v>5</v>
      </c>
      <c r="E125" s="83" t="s">
        <v>33</v>
      </c>
      <c r="F125" s="85" t="s">
        <v>48</v>
      </c>
    </row>
    <row r="126" spans="2:6" ht="15.75" x14ac:dyDescent="0.25">
      <c r="B126" s="85" t="s">
        <v>154</v>
      </c>
      <c r="C126" s="94" t="s">
        <v>532</v>
      </c>
      <c r="D126" s="94">
        <v>5</v>
      </c>
      <c r="E126" s="83" t="s">
        <v>33</v>
      </c>
      <c r="F126" s="85" t="s">
        <v>48</v>
      </c>
    </row>
    <row r="127" spans="2:6" ht="15.75" x14ac:dyDescent="0.25">
      <c r="B127" s="85" t="s">
        <v>155</v>
      </c>
      <c r="C127" s="94" t="s">
        <v>532</v>
      </c>
      <c r="D127" s="94">
        <v>5</v>
      </c>
      <c r="E127" s="83" t="s">
        <v>33</v>
      </c>
      <c r="F127" s="85" t="s">
        <v>48</v>
      </c>
    </row>
    <row r="128" spans="2:6" ht="15.75" x14ac:dyDescent="0.25">
      <c r="B128" s="85" t="s">
        <v>156</v>
      </c>
      <c r="C128" s="94" t="s">
        <v>532</v>
      </c>
      <c r="D128" s="94">
        <v>5</v>
      </c>
      <c r="E128" s="83" t="s">
        <v>33</v>
      </c>
      <c r="F128" s="85" t="s">
        <v>48</v>
      </c>
    </row>
    <row r="129" spans="2:6" ht="15.75" x14ac:dyDescent="0.25">
      <c r="B129" s="85" t="s">
        <v>157</v>
      </c>
      <c r="C129" s="94" t="s">
        <v>532</v>
      </c>
      <c r="D129" s="94">
        <v>5</v>
      </c>
      <c r="E129" s="83" t="s">
        <v>33</v>
      </c>
      <c r="F129" s="85" t="s">
        <v>48</v>
      </c>
    </row>
    <row r="130" spans="2:6" ht="15.75" x14ac:dyDescent="0.25">
      <c r="B130" s="85" t="s">
        <v>158</v>
      </c>
      <c r="C130" s="94" t="s">
        <v>532</v>
      </c>
      <c r="D130" s="94">
        <v>5</v>
      </c>
      <c r="E130" s="83" t="s">
        <v>33</v>
      </c>
      <c r="F130" s="85" t="s">
        <v>48</v>
      </c>
    </row>
    <row r="131" spans="2:6" ht="15.75" x14ac:dyDescent="0.25">
      <c r="B131" s="85" t="s">
        <v>159</v>
      </c>
      <c r="C131" s="94" t="s">
        <v>532</v>
      </c>
      <c r="D131" s="94">
        <v>5</v>
      </c>
      <c r="E131" s="83" t="s">
        <v>33</v>
      </c>
      <c r="F131" s="85" t="s">
        <v>48</v>
      </c>
    </row>
    <row r="132" spans="2:6" ht="15.75" x14ac:dyDescent="0.25">
      <c r="B132" s="85" t="s">
        <v>160</v>
      </c>
      <c r="C132" s="94" t="s">
        <v>532</v>
      </c>
      <c r="D132" s="94">
        <v>5</v>
      </c>
      <c r="E132" s="83" t="s">
        <v>33</v>
      </c>
      <c r="F132" s="85" t="s">
        <v>48</v>
      </c>
    </row>
    <row r="133" spans="2:6" ht="15.75" x14ac:dyDescent="0.25">
      <c r="B133" s="85" t="s">
        <v>163</v>
      </c>
      <c r="C133" s="94" t="s">
        <v>532</v>
      </c>
      <c r="D133" s="94">
        <v>4</v>
      </c>
      <c r="E133" s="83" t="s">
        <v>33</v>
      </c>
      <c r="F133" s="85" t="s">
        <v>48</v>
      </c>
    </row>
    <row r="134" spans="2:6" ht="15.75" x14ac:dyDescent="0.25">
      <c r="B134" s="85" t="s">
        <v>164</v>
      </c>
      <c r="C134" s="94" t="s">
        <v>532</v>
      </c>
      <c r="D134" s="94">
        <v>4</v>
      </c>
      <c r="E134" s="83" t="s">
        <v>33</v>
      </c>
      <c r="F134" s="85" t="s">
        <v>48</v>
      </c>
    </row>
    <row r="135" spans="2:6" ht="15.75" x14ac:dyDescent="0.25">
      <c r="B135" s="85" t="s">
        <v>165</v>
      </c>
      <c r="C135" s="94" t="s">
        <v>532</v>
      </c>
      <c r="D135" s="94">
        <v>5</v>
      </c>
      <c r="E135" s="83" t="s">
        <v>33</v>
      </c>
      <c r="F135" s="85" t="s">
        <v>48</v>
      </c>
    </row>
    <row r="136" spans="2:6" ht="15.75" x14ac:dyDescent="0.25">
      <c r="B136" s="85" t="s">
        <v>166</v>
      </c>
      <c r="C136" s="94" t="s">
        <v>532</v>
      </c>
      <c r="D136" s="94">
        <v>5</v>
      </c>
      <c r="E136" s="83" t="s">
        <v>33</v>
      </c>
      <c r="F136" s="85" t="s">
        <v>48</v>
      </c>
    </row>
    <row r="137" spans="2:6" ht="15.75" x14ac:dyDescent="0.25">
      <c r="B137" s="85" t="s">
        <v>167</v>
      </c>
      <c r="C137" s="94" t="s">
        <v>532</v>
      </c>
      <c r="D137" s="94">
        <v>4</v>
      </c>
      <c r="E137" s="83" t="s">
        <v>33</v>
      </c>
      <c r="F137" s="85" t="s">
        <v>48</v>
      </c>
    </row>
    <row r="138" spans="2:6" ht="15.75" x14ac:dyDescent="0.25">
      <c r="B138" s="85" t="s">
        <v>168</v>
      </c>
      <c r="C138" s="94" t="s">
        <v>532</v>
      </c>
      <c r="D138" s="94">
        <v>5</v>
      </c>
      <c r="E138" s="83" t="s">
        <v>33</v>
      </c>
      <c r="F138" s="85" t="s">
        <v>48</v>
      </c>
    </row>
    <row r="139" spans="2:6" ht="15.75" x14ac:dyDescent="0.25">
      <c r="B139" s="85" t="s">
        <v>531</v>
      </c>
      <c r="C139" s="94" t="s">
        <v>532</v>
      </c>
      <c r="D139" s="94">
        <v>5</v>
      </c>
      <c r="E139" s="83" t="s">
        <v>33</v>
      </c>
      <c r="F139" s="85" t="s">
        <v>48</v>
      </c>
    </row>
    <row r="140" spans="2:6" ht="15.75" x14ac:dyDescent="0.25">
      <c r="B140" s="85" t="s">
        <v>170</v>
      </c>
      <c r="C140" s="94" t="s">
        <v>532</v>
      </c>
      <c r="D140" s="94">
        <v>5</v>
      </c>
      <c r="E140" s="83" t="s">
        <v>33</v>
      </c>
      <c r="F140" s="85" t="s">
        <v>48</v>
      </c>
    </row>
    <row r="141" spans="2:6" ht="15.75" x14ac:dyDescent="0.25">
      <c r="B141" s="85" t="s">
        <v>171</v>
      </c>
      <c r="C141" s="94" t="s">
        <v>532</v>
      </c>
      <c r="D141" s="94">
        <v>5</v>
      </c>
      <c r="E141" s="83" t="s">
        <v>33</v>
      </c>
      <c r="F141" s="85" t="s">
        <v>48</v>
      </c>
    </row>
    <row r="142" spans="2:6" ht="15.75" x14ac:dyDescent="0.25">
      <c r="B142" s="85" t="s">
        <v>172</v>
      </c>
      <c r="C142" s="94" t="s">
        <v>532</v>
      </c>
      <c r="D142" s="94">
        <v>5</v>
      </c>
      <c r="E142" s="83" t="s">
        <v>33</v>
      </c>
      <c r="F142" s="85" t="s">
        <v>48</v>
      </c>
    </row>
    <row r="143" spans="2:6" ht="15.75" x14ac:dyDescent="0.25">
      <c r="B143" s="85" t="s">
        <v>173</v>
      </c>
      <c r="C143" s="94" t="s">
        <v>532</v>
      </c>
      <c r="D143" s="94">
        <v>5</v>
      </c>
      <c r="E143" s="83" t="s">
        <v>33</v>
      </c>
      <c r="F143" s="85" t="s">
        <v>48</v>
      </c>
    </row>
    <row r="144" spans="2:6" ht="15.75" x14ac:dyDescent="0.25">
      <c r="B144" s="85" t="s">
        <v>174</v>
      </c>
      <c r="C144" s="94" t="s">
        <v>532</v>
      </c>
      <c r="D144" s="94">
        <v>5</v>
      </c>
      <c r="E144" s="83" t="s">
        <v>33</v>
      </c>
      <c r="F144" s="85" t="s">
        <v>48</v>
      </c>
    </row>
    <row r="145" spans="2:6" ht="15.75" x14ac:dyDescent="0.25">
      <c r="B145" s="85" t="s">
        <v>175</v>
      </c>
      <c r="C145" s="94" t="s">
        <v>532</v>
      </c>
      <c r="D145" s="94">
        <v>5</v>
      </c>
      <c r="E145" s="83" t="s">
        <v>33</v>
      </c>
      <c r="F145" s="85" t="s">
        <v>48</v>
      </c>
    </row>
    <row r="146" spans="2:6" ht="15.75" x14ac:dyDescent="0.25">
      <c r="B146" s="85" t="s">
        <v>176</v>
      </c>
      <c r="C146" s="94" t="s">
        <v>532</v>
      </c>
      <c r="D146" s="94">
        <v>5</v>
      </c>
      <c r="E146" s="83" t="s">
        <v>33</v>
      </c>
      <c r="F146" s="85" t="s">
        <v>48</v>
      </c>
    </row>
    <row r="147" spans="2:6" ht="15.75" x14ac:dyDescent="0.25">
      <c r="B147" s="85" t="s">
        <v>177</v>
      </c>
      <c r="C147" s="94" t="s">
        <v>532</v>
      </c>
      <c r="D147" s="94">
        <v>5</v>
      </c>
      <c r="E147" s="83" t="s">
        <v>33</v>
      </c>
      <c r="F147" s="85" t="s">
        <v>48</v>
      </c>
    </row>
    <row r="148" spans="2:6" ht="15.75" x14ac:dyDescent="0.25">
      <c r="B148" s="85" t="s">
        <v>178</v>
      </c>
      <c r="C148" s="94" t="s">
        <v>532</v>
      </c>
      <c r="D148" s="94">
        <v>2</v>
      </c>
      <c r="E148" s="83" t="s">
        <v>33</v>
      </c>
      <c r="F148" s="85" t="s">
        <v>48</v>
      </c>
    </row>
    <row r="149" spans="2:6" ht="15.75" x14ac:dyDescent="0.25">
      <c r="B149" s="85" t="s">
        <v>179</v>
      </c>
      <c r="C149" s="94" t="s">
        <v>532</v>
      </c>
      <c r="D149" s="94">
        <v>5</v>
      </c>
      <c r="E149" s="83" t="s">
        <v>33</v>
      </c>
      <c r="F149" s="85" t="s">
        <v>48</v>
      </c>
    </row>
    <row r="150" spans="2:6" ht="15.75" x14ac:dyDescent="0.25">
      <c r="B150" s="85" t="s">
        <v>180</v>
      </c>
      <c r="C150" s="94" t="s">
        <v>532</v>
      </c>
      <c r="D150" s="94">
        <v>5</v>
      </c>
      <c r="E150" s="83" t="s">
        <v>33</v>
      </c>
      <c r="F150" s="85" t="s">
        <v>48</v>
      </c>
    </row>
    <row r="151" spans="2:6" ht="15.75" x14ac:dyDescent="0.25">
      <c r="B151" s="85" t="s">
        <v>181</v>
      </c>
      <c r="C151" s="94" t="s">
        <v>532</v>
      </c>
      <c r="D151" s="94">
        <v>5</v>
      </c>
      <c r="E151" s="83" t="s">
        <v>33</v>
      </c>
      <c r="F151" s="85" t="s">
        <v>48</v>
      </c>
    </row>
    <row r="152" spans="2:6" ht="15.75" x14ac:dyDescent="0.25">
      <c r="B152" s="85" t="s">
        <v>182</v>
      </c>
      <c r="C152" s="94" t="s">
        <v>532</v>
      </c>
      <c r="D152" s="94">
        <v>5</v>
      </c>
      <c r="E152" s="83" t="s">
        <v>33</v>
      </c>
      <c r="F152" s="85" t="s">
        <v>48</v>
      </c>
    </row>
    <row r="153" spans="2:6" ht="15.75" x14ac:dyDescent="0.25">
      <c r="B153" s="85" t="s">
        <v>183</v>
      </c>
      <c r="C153" s="94" t="s">
        <v>532</v>
      </c>
      <c r="D153" s="94">
        <v>1</v>
      </c>
      <c r="E153" s="83" t="s">
        <v>33</v>
      </c>
      <c r="F153" s="85" t="s">
        <v>48</v>
      </c>
    </row>
    <row r="154" spans="2:6" ht="15.75" x14ac:dyDescent="0.25">
      <c r="B154" s="85" t="s">
        <v>184</v>
      </c>
      <c r="C154" s="94" t="s">
        <v>532</v>
      </c>
      <c r="D154" s="94">
        <v>5</v>
      </c>
      <c r="E154" s="83" t="s">
        <v>33</v>
      </c>
      <c r="F154" s="85" t="s">
        <v>48</v>
      </c>
    </row>
    <row r="155" spans="2:6" ht="15.75" x14ac:dyDescent="0.25">
      <c r="B155" s="85" t="s">
        <v>185</v>
      </c>
      <c r="C155" s="94" t="s">
        <v>532</v>
      </c>
      <c r="D155" s="94">
        <v>5</v>
      </c>
      <c r="E155" s="83" t="s">
        <v>33</v>
      </c>
      <c r="F155" s="85" t="s">
        <v>48</v>
      </c>
    </row>
    <row r="156" spans="2:6" ht="15.75" x14ac:dyDescent="0.25">
      <c r="B156" s="85" t="s">
        <v>496</v>
      </c>
      <c r="C156" s="94" t="s">
        <v>532</v>
      </c>
      <c r="D156" s="94">
        <v>1</v>
      </c>
      <c r="E156" s="83" t="s">
        <v>33</v>
      </c>
      <c r="F156" s="85" t="s">
        <v>48</v>
      </c>
    </row>
    <row r="157" spans="2:6" ht="15.75" x14ac:dyDescent="0.25">
      <c r="B157" s="85" t="s">
        <v>186</v>
      </c>
      <c r="C157" s="94" t="s">
        <v>532</v>
      </c>
      <c r="D157" s="94">
        <v>5</v>
      </c>
      <c r="E157" s="83" t="s">
        <v>33</v>
      </c>
      <c r="F157" s="85" t="s">
        <v>48</v>
      </c>
    </row>
    <row r="158" spans="2:6" ht="15.75" x14ac:dyDescent="0.25">
      <c r="B158" s="96" t="s">
        <v>185</v>
      </c>
      <c r="C158" s="93" t="s">
        <v>532</v>
      </c>
      <c r="D158" s="93">
        <v>5</v>
      </c>
      <c r="E158" s="97" t="s">
        <v>33</v>
      </c>
      <c r="F158" s="96" t="s">
        <v>48</v>
      </c>
    </row>
    <row r="159" spans="2:6" ht="15.75" x14ac:dyDescent="0.25">
      <c r="B159" s="96" t="s">
        <v>496</v>
      </c>
      <c r="C159" s="93" t="s">
        <v>532</v>
      </c>
      <c r="D159" s="93">
        <v>1</v>
      </c>
      <c r="E159" s="97" t="s">
        <v>33</v>
      </c>
      <c r="F159" s="96" t="s">
        <v>48</v>
      </c>
    </row>
    <row r="160" spans="2:6" ht="15.75" x14ac:dyDescent="0.25">
      <c r="B160" s="96" t="s">
        <v>186</v>
      </c>
      <c r="C160" s="93" t="s">
        <v>532</v>
      </c>
      <c r="D160" s="93">
        <v>5</v>
      </c>
      <c r="E160" s="97" t="s">
        <v>33</v>
      </c>
      <c r="F160" s="96" t="s">
        <v>48</v>
      </c>
    </row>
    <row r="161" spans="2:6" ht="15.75" x14ac:dyDescent="0.25">
      <c r="B161" s="28"/>
      <c r="C161" s="28"/>
      <c r="D161" s="28"/>
      <c r="E161" s="52"/>
      <c r="F161" s="28"/>
    </row>
    <row r="162" spans="2:6" ht="15.75" x14ac:dyDescent="0.25">
      <c r="B162" s="28"/>
      <c r="C162" s="28"/>
      <c r="D162" s="28"/>
      <c r="E162" s="52"/>
      <c r="F162" s="28"/>
    </row>
    <row r="163" spans="2:6" x14ac:dyDescent="0.25">
      <c r="E163" s="30"/>
    </row>
  </sheetData>
  <autoFilter ref="B3:F105" xr:uid="{00000000-0001-0000-0200-000000000000}"/>
  <mergeCells count="1">
    <mergeCell ref="B2:F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O126"/>
  <sheetViews>
    <sheetView topLeftCell="C78" workbookViewId="0">
      <selection activeCell="I102" sqref="I102"/>
    </sheetView>
  </sheetViews>
  <sheetFormatPr defaultRowHeight="15" x14ac:dyDescent="0.25"/>
  <cols>
    <col min="1" max="2" width="0" hidden="1" customWidth="1"/>
    <col min="9" max="9" width="10.7109375" customWidth="1"/>
  </cols>
  <sheetData>
    <row r="2" spans="3:14" ht="15" customHeight="1" thickBot="1" x14ac:dyDescent="0.3"/>
    <row r="3" spans="3:14" ht="15.75" customHeight="1" x14ac:dyDescent="0.25">
      <c r="C3" s="169" t="s">
        <v>316</v>
      </c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1"/>
    </row>
    <row r="4" spans="3:14" ht="15" customHeight="1" thickBot="1" x14ac:dyDescent="0.3">
      <c r="C4" s="172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</row>
    <row r="5" spans="3:14" x14ac:dyDescent="0.25">
      <c r="C5" s="175" t="s">
        <v>315</v>
      </c>
      <c r="D5" s="176"/>
      <c r="E5" s="176"/>
      <c r="F5" s="176"/>
      <c r="G5" s="179" t="s">
        <v>0</v>
      </c>
      <c r="H5" s="179"/>
      <c r="I5" s="179" t="s">
        <v>3</v>
      </c>
      <c r="J5" s="179"/>
      <c r="K5" s="179" t="s">
        <v>2</v>
      </c>
      <c r="L5" s="179"/>
      <c r="M5" s="179" t="s">
        <v>1</v>
      </c>
      <c r="N5" s="181"/>
    </row>
    <row r="6" spans="3:14" ht="15" customHeight="1" thickBot="1" x14ac:dyDescent="0.3">
      <c r="C6" s="177"/>
      <c r="D6" s="178"/>
      <c r="E6" s="178"/>
      <c r="F6" s="178"/>
      <c r="G6" s="180"/>
      <c r="H6" s="180"/>
      <c r="I6" s="180"/>
      <c r="J6" s="180"/>
      <c r="K6" s="180"/>
      <c r="L6" s="180"/>
      <c r="M6" s="180"/>
      <c r="N6" s="182"/>
    </row>
    <row r="7" spans="3:14" ht="15" customHeight="1" x14ac:dyDescent="0.25">
      <c r="C7" s="161" t="s">
        <v>314</v>
      </c>
      <c r="D7" s="162"/>
      <c r="E7" s="162"/>
      <c r="F7" s="162"/>
      <c r="G7" s="158" t="s">
        <v>4</v>
      </c>
      <c r="H7" s="159"/>
      <c r="I7" s="158">
        <v>1</v>
      </c>
      <c r="J7" s="158"/>
      <c r="K7" s="158" t="s">
        <v>286</v>
      </c>
      <c r="L7" s="158"/>
      <c r="M7" s="158" t="s">
        <v>288</v>
      </c>
      <c r="N7" s="158"/>
    </row>
    <row r="8" spans="3:14" ht="15" customHeight="1" x14ac:dyDescent="0.25">
      <c r="C8" s="156" t="s">
        <v>313</v>
      </c>
      <c r="D8" s="157"/>
      <c r="E8" s="157"/>
      <c r="F8" s="157"/>
      <c r="G8" s="158" t="s">
        <v>4</v>
      </c>
      <c r="H8" s="159"/>
      <c r="I8" s="158">
        <v>1</v>
      </c>
      <c r="J8" s="158"/>
      <c r="K8" s="158" t="s">
        <v>286</v>
      </c>
      <c r="L8" s="158"/>
      <c r="M8" s="158" t="s">
        <v>288</v>
      </c>
      <c r="N8" s="158"/>
    </row>
    <row r="9" spans="3:14" ht="15" customHeight="1" x14ac:dyDescent="0.25">
      <c r="C9" s="156" t="s">
        <v>312</v>
      </c>
      <c r="D9" s="157"/>
      <c r="E9" s="157"/>
      <c r="F9" s="157"/>
      <c r="G9" s="158" t="s">
        <v>4</v>
      </c>
      <c r="H9" s="159"/>
      <c r="I9" s="158">
        <v>1</v>
      </c>
      <c r="J9" s="158"/>
      <c r="K9" s="158" t="s">
        <v>286</v>
      </c>
      <c r="L9" s="158"/>
      <c r="M9" s="158" t="s">
        <v>288</v>
      </c>
      <c r="N9" s="158"/>
    </row>
    <row r="10" spans="3:14" ht="15" customHeight="1" x14ac:dyDescent="0.25">
      <c r="C10" s="156" t="s">
        <v>311</v>
      </c>
      <c r="D10" s="157"/>
      <c r="E10" s="157"/>
      <c r="F10" s="157"/>
      <c r="G10" s="158" t="s">
        <v>4</v>
      </c>
      <c r="H10" s="159"/>
      <c r="I10" s="160">
        <v>1</v>
      </c>
      <c r="J10" s="160"/>
      <c r="K10" s="158" t="s">
        <v>286</v>
      </c>
      <c r="L10" s="158"/>
      <c r="M10" s="158" t="s">
        <v>288</v>
      </c>
      <c r="N10" s="158"/>
    </row>
    <row r="11" spans="3:14" ht="15" customHeight="1" x14ac:dyDescent="0.25">
      <c r="C11" s="156" t="s">
        <v>310</v>
      </c>
      <c r="D11" s="157"/>
      <c r="E11" s="157"/>
      <c r="F11" s="157"/>
      <c r="G11" s="158" t="s">
        <v>4</v>
      </c>
      <c r="H11" s="159"/>
      <c r="I11" s="160">
        <v>1</v>
      </c>
      <c r="J11" s="160"/>
      <c r="K11" s="158" t="s">
        <v>286</v>
      </c>
      <c r="L11" s="158"/>
      <c r="M11" s="158" t="s">
        <v>288</v>
      </c>
      <c r="N11" s="158"/>
    </row>
    <row r="12" spans="3:14" ht="15" customHeight="1" x14ac:dyDescent="0.25">
      <c r="C12" s="156" t="s">
        <v>309</v>
      </c>
      <c r="D12" s="157"/>
      <c r="E12" s="157"/>
      <c r="F12" s="157"/>
      <c r="G12" s="158" t="s">
        <v>4</v>
      </c>
      <c r="H12" s="159"/>
      <c r="I12" s="160">
        <v>1</v>
      </c>
      <c r="J12" s="160"/>
      <c r="K12" s="158" t="s">
        <v>286</v>
      </c>
      <c r="L12" s="158"/>
      <c r="M12" s="158" t="s">
        <v>288</v>
      </c>
      <c r="N12" s="158"/>
    </row>
    <row r="13" spans="3:14" ht="15" customHeight="1" x14ac:dyDescent="0.25">
      <c r="C13" s="156" t="s">
        <v>308</v>
      </c>
      <c r="D13" s="157"/>
      <c r="E13" s="157"/>
      <c r="F13" s="157"/>
      <c r="G13" s="158" t="s">
        <v>4</v>
      </c>
      <c r="H13" s="159"/>
      <c r="I13" s="160">
        <v>1</v>
      </c>
      <c r="J13" s="160"/>
      <c r="K13" s="158" t="s">
        <v>286</v>
      </c>
      <c r="L13" s="158"/>
      <c r="M13" s="158" t="s">
        <v>288</v>
      </c>
      <c r="N13" s="158"/>
    </row>
    <row r="14" spans="3:14" ht="15" customHeight="1" x14ac:dyDescent="0.25">
      <c r="C14" s="156" t="s">
        <v>307</v>
      </c>
      <c r="D14" s="157"/>
      <c r="E14" s="157"/>
      <c r="F14" s="157"/>
      <c r="G14" s="158" t="s">
        <v>4</v>
      </c>
      <c r="H14" s="159"/>
      <c r="I14" s="160">
        <v>1</v>
      </c>
      <c r="J14" s="160"/>
      <c r="K14" s="158" t="s">
        <v>286</v>
      </c>
      <c r="L14" s="158"/>
      <c r="M14" s="158" t="s">
        <v>288</v>
      </c>
      <c r="N14" s="158"/>
    </row>
    <row r="15" spans="3:14" ht="15" customHeight="1" x14ac:dyDescent="0.25">
      <c r="C15" s="156" t="s">
        <v>306</v>
      </c>
      <c r="D15" s="157"/>
      <c r="E15" s="157"/>
      <c r="F15" s="157"/>
      <c r="G15" s="158" t="s">
        <v>4</v>
      </c>
      <c r="H15" s="159"/>
      <c r="I15" s="160">
        <v>2</v>
      </c>
      <c r="J15" s="160"/>
      <c r="K15" s="158" t="s">
        <v>286</v>
      </c>
      <c r="L15" s="158"/>
      <c r="M15" s="158" t="s">
        <v>288</v>
      </c>
      <c r="N15" s="158"/>
    </row>
    <row r="16" spans="3:14" ht="31.5" customHeight="1" x14ac:dyDescent="0.25">
      <c r="C16" s="156" t="s">
        <v>305</v>
      </c>
      <c r="D16" s="157"/>
      <c r="E16" s="157"/>
      <c r="F16" s="157"/>
      <c r="G16" s="158" t="s">
        <v>4</v>
      </c>
      <c r="H16" s="159"/>
      <c r="I16" s="160">
        <v>2</v>
      </c>
      <c r="J16" s="160"/>
      <c r="K16" s="158" t="s">
        <v>286</v>
      </c>
      <c r="L16" s="158"/>
      <c r="M16" s="158" t="s">
        <v>304</v>
      </c>
      <c r="N16" s="158"/>
    </row>
    <row r="17" spans="3:14" ht="31.5" customHeight="1" x14ac:dyDescent="0.25">
      <c r="C17" s="156" t="s">
        <v>301</v>
      </c>
      <c r="D17" s="157"/>
      <c r="E17" s="157"/>
      <c r="F17" s="157"/>
      <c r="G17" s="158" t="s">
        <v>300</v>
      </c>
      <c r="H17" s="159"/>
      <c r="I17" s="160">
        <v>1</v>
      </c>
      <c r="J17" s="160"/>
      <c r="K17" s="158" t="s">
        <v>303</v>
      </c>
      <c r="L17" s="158"/>
      <c r="M17" s="158" t="s">
        <v>420</v>
      </c>
      <c r="N17" s="158"/>
    </row>
    <row r="18" spans="3:14" ht="15" customHeight="1" x14ac:dyDescent="0.25">
      <c r="C18" s="156" t="s">
        <v>301</v>
      </c>
      <c r="D18" s="157"/>
      <c r="E18" s="157"/>
      <c r="F18" s="157"/>
      <c r="G18" s="158" t="s">
        <v>300</v>
      </c>
      <c r="H18" s="159"/>
      <c r="I18" s="160">
        <v>1</v>
      </c>
      <c r="J18" s="160"/>
      <c r="K18" s="158" t="s">
        <v>302</v>
      </c>
      <c r="L18" s="158"/>
      <c r="M18" s="158" t="s">
        <v>420</v>
      </c>
      <c r="N18" s="158"/>
    </row>
    <row r="19" spans="3:14" ht="15" customHeight="1" x14ac:dyDescent="0.25">
      <c r="C19" s="156" t="s">
        <v>299</v>
      </c>
      <c r="D19" s="157"/>
      <c r="E19" s="157"/>
      <c r="F19" s="157"/>
      <c r="G19" s="158" t="s">
        <v>4</v>
      </c>
      <c r="H19" s="159"/>
      <c r="I19" s="160">
        <v>1</v>
      </c>
      <c r="J19" s="160"/>
      <c r="K19" s="158" t="s">
        <v>286</v>
      </c>
      <c r="L19" s="158"/>
      <c r="M19" s="158" t="s">
        <v>288</v>
      </c>
      <c r="N19" s="158"/>
    </row>
    <row r="20" spans="3:14" ht="15" customHeight="1" x14ac:dyDescent="0.25">
      <c r="C20" s="156" t="s">
        <v>298</v>
      </c>
      <c r="D20" s="157"/>
      <c r="E20" s="157"/>
      <c r="F20" s="157"/>
      <c r="G20" s="158" t="s">
        <v>4</v>
      </c>
      <c r="H20" s="159"/>
      <c r="I20" s="160">
        <v>2</v>
      </c>
      <c r="J20" s="160"/>
      <c r="K20" s="158" t="s">
        <v>286</v>
      </c>
      <c r="L20" s="158"/>
      <c r="M20" s="158" t="s">
        <v>288</v>
      </c>
      <c r="N20" s="158"/>
    </row>
    <row r="21" spans="3:14" ht="15" customHeight="1" x14ac:dyDescent="0.25">
      <c r="C21" s="156" t="s">
        <v>297</v>
      </c>
      <c r="D21" s="157"/>
      <c r="E21" s="157"/>
      <c r="F21" s="157"/>
      <c r="G21" s="158" t="s">
        <v>4</v>
      </c>
      <c r="H21" s="159"/>
      <c r="I21" s="160">
        <v>1</v>
      </c>
      <c r="J21" s="160"/>
      <c r="K21" s="158" t="s">
        <v>286</v>
      </c>
      <c r="L21" s="158"/>
      <c r="M21" s="158" t="s">
        <v>288</v>
      </c>
      <c r="N21" s="158"/>
    </row>
    <row r="22" spans="3:14" ht="15" customHeight="1" x14ac:dyDescent="0.25">
      <c r="C22" s="156" t="s">
        <v>296</v>
      </c>
      <c r="D22" s="157"/>
      <c r="E22" s="157"/>
      <c r="F22" s="157"/>
      <c r="G22" s="158" t="s">
        <v>4</v>
      </c>
      <c r="H22" s="159"/>
      <c r="I22" s="160">
        <v>2</v>
      </c>
      <c r="J22" s="160"/>
      <c r="K22" s="158" t="s">
        <v>286</v>
      </c>
      <c r="L22" s="158"/>
      <c r="M22" s="158" t="s">
        <v>288</v>
      </c>
      <c r="N22" s="158"/>
    </row>
    <row r="23" spans="3:14" ht="15" customHeight="1" x14ac:dyDescent="0.25">
      <c r="C23" s="156" t="s">
        <v>295</v>
      </c>
      <c r="D23" s="157"/>
      <c r="E23" s="157"/>
      <c r="F23" s="157"/>
      <c r="G23" s="158" t="s">
        <v>4</v>
      </c>
      <c r="H23" s="159"/>
      <c r="I23" s="160">
        <v>1</v>
      </c>
      <c r="J23" s="160"/>
      <c r="K23" s="158" t="s">
        <v>286</v>
      </c>
      <c r="L23" s="158"/>
      <c r="M23" s="158" t="s">
        <v>288</v>
      </c>
      <c r="N23" s="158"/>
    </row>
    <row r="24" spans="3:14" ht="15" customHeight="1" x14ac:dyDescent="0.25">
      <c r="C24" s="156" t="s">
        <v>294</v>
      </c>
      <c r="D24" s="157"/>
      <c r="E24" s="157"/>
      <c r="F24" s="157"/>
      <c r="G24" s="158" t="s">
        <v>4</v>
      </c>
      <c r="H24" s="159"/>
      <c r="I24" s="160">
        <v>1</v>
      </c>
      <c r="J24" s="160"/>
      <c r="K24" s="158" t="s">
        <v>286</v>
      </c>
      <c r="L24" s="158"/>
      <c r="M24" s="158" t="s">
        <v>288</v>
      </c>
      <c r="N24" s="158"/>
    </row>
    <row r="25" spans="3:14" ht="15" customHeight="1" x14ac:dyDescent="0.25">
      <c r="C25" s="156" t="s">
        <v>293</v>
      </c>
      <c r="D25" s="157"/>
      <c r="E25" s="157"/>
      <c r="F25" s="157"/>
      <c r="G25" s="158" t="s">
        <v>4</v>
      </c>
      <c r="H25" s="159"/>
      <c r="I25" s="160">
        <v>1</v>
      </c>
      <c r="J25" s="160"/>
      <c r="K25" s="158" t="s">
        <v>286</v>
      </c>
      <c r="L25" s="158"/>
      <c r="M25" s="158" t="s">
        <v>288</v>
      </c>
      <c r="N25" s="158"/>
    </row>
    <row r="26" spans="3:14" ht="15" customHeight="1" x14ac:dyDescent="0.25">
      <c r="C26" s="156" t="s">
        <v>292</v>
      </c>
      <c r="D26" s="157"/>
      <c r="E26" s="157"/>
      <c r="F26" s="157"/>
      <c r="G26" s="158" t="s">
        <v>4</v>
      </c>
      <c r="H26" s="159"/>
      <c r="I26" s="160">
        <v>1</v>
      </c>
      <c r="J26" s="160"/>
      <c r="K26" s="158" t="s">
        <v>286</v>
      </c>
      <c r="L26" s="158"/>
      <c r="M26" s="158" t="s">
        <v>288</v>
      </c>
      <c r="N26" s="158"/>
    </row>
    <row r="27" spans="3:14" ht="15" customHeight="1" x14ac:dyDescent="0.25">
      <c r="C27" s="156" t="s">
        <v>291</v>
      </c>
      <c r="D27" s="157"/>
      <c r="E27" s="157"/>
      <c r="F27" s="157"/>
      <c r="G27" s="158" t="s">
        <v>4</v>
      </c>
      <c r="H27" s="159"/>
      <c r="I27" s="160">
        <v>1</v>
      </c>
      <c r="J27" s="160"/>
      <c r="K27" s="158" t="s">
        <v>286</v>
      </c>
      <c r="L27" s="158"/>
      <c r="M27" s="158" t="s">
        <v>288</v>
      </c>
      <c r="N27" s="158"/>
    </row>
    <row r="28" spans="3:14" ht="15" customHeight="1" x14ac:dyDescent="0.25">
      <c r="C28" s="156" t="s">
        <v>290</v>
      </c>
      <c r="D28" s="157"/>
      <c r="E28" s="157"/>
      <c r="F28" s="157"/>
      <c r="G28" s="158" t="s">
        <v>4</v>
      </c>
      <c r="H28" s="159"/>
      <c r="I28" s="160">
        <v>1</v>
      </c>
      <c r="J28" s="160"/>
      <c r="K28" s="158" t="s">
        <v>286</v>
      </c>
      <c r="L28" s="158"/>
      <c r="M28" s="158" t="s">
        <v>288</v>
      </c>
      <c r="N28" s="158"/>
    </row>
    <row r="29" spans="3:14" ht="15" customHeight="1" x14ac:dyDescent="0.25">
      <c r="C29" s="156" t="s">
        <v>289</v>
      </c>
      <c r="D29" s="157"/>
      <c r="E29" s="157"/>
      <c r="F29" s="157"/>
      <c r="G29" s="158" t="s">
        <v>4</v>
      </c>
      <c r="H29" s="159"/>
      <c r="I29" s="160">
        <v>1</v>
      </c>
      <c r="J29" s="160"/>
      <c r="K29" s="158" t="s">
        <v>286</v>
      </c>
      <c r="L29" s="158"/>
      <c r="M29" s="158" t="s">
        <v>288</v>
      </c>
      <c r="N29" s="158"/>
    </row>
    <row r="30" spans="3:14" ht="15" customHeight="1" x14ac:dyDescent="0.25">
      <c r="C30" s="156" t="s">
        <v>669</v>
      </c>
      <c r="D30" s="157"/>
      <c r="E30" s="157"/>
      <c r="F30" s="157"/>
      <c r="G30" s="158" t="s">
        <v>336</v>
      </c>
      <c r="H30" s="159"/>
      <c r="I30" s="160">
        <v>10</v>
      </c>
      <c r="J30" s="160"/>
      <c r="K30" s="158" t="s">
        <v>287</v>
      </c>
      <c r="L30" s="158"/>
      <c r="M30" s="158" t="s">
        <v>17</v>
      </c>
      <c r="N30" s="158"/>
    </row>
    <row r="31" spans="3:14" ht="15" customHeight="1" x14ac:dyDescent="0.25">
      <c r="C31" s="156" t="s">
        <v>285</v>
      </c>
      <c r="D31" s="157"/>
      <c r="E31" s="157"/>
      <c r="F31" s="157"/>
      <c r="G31" s="158" t="s">
        <v>336</v>
      </c>
      <c r="H31" s="159"/>
      <c r="I31" s="160">
        <v>146</v>
      </c>
      <c r="J31" s="160"/>
      <c r="K31" s="158" t="s">
        <v>287</v>
      </c>
      <c r="L31" s="158"/>
      <c r="M31" s="158" t="s">
        <v>282</v>
      </c>
      <c r="N31" s="158"/>
    </row>
    <row r="32" spans="3:14" ht="15" customHeight="1" x14ac:dyDescent="0.25">
      <c r="C32" s="156" t="s">
        <v>669</v>
      </c>
      <c r="D32" s="157"/>
      <c r="E32" s="157"/>
      <c r="F32" s="157"/>
      <c r="G32" s="158" t="s">
        <v>336</v>
      </c>
      <c r="H32" s="159"/>
      <c r="I32" s="160">
        <v>10</v>
      </c>
      <c r="J32" s="160"/>
      <c r="K32" s="158" t="s">
        <v>286</v>
      </c>
      <c r="L32" s="158"/>
      <c r="M32" s="158" t="s">
        <v>17</v>
      </c>
      <c r="N32" s="158"/>
    </row>
    <row r="33" spans="1:15" ht="15" customHeight="1" x14ac:dyDescent="0.25">
      <c r="C33" s="156" t="s">
        <v>285</v>
      </c>
      <c r="D33" s="157"/>
      <c r="E33" s="157"/>
      <c r="F33" s="157"/>
      <c r="G33" s="158" t="s">
        <v>336</v>
      </c>
      <c r="H33" s="159"/>
      <c r="I33" s="160">
        <v>143</v>
      </c>
      <c r="J33" s="160"/>
      <c r="K33" s="158" t="s">
        <v>286</v>
      </c>
      <c r="L33" s="158"/>
      <c r="M33" s="158" t="s">
        <v>282</v>
      </c>
      <c r="N33" s="158"/>
    </row>
    <row r="34" spans="1:15" ht="15" customHeight="1" x14ac:dyDescent="0.25">
      <c r="C34" s="156" t="s">
        <v>669</v>
      </c>
      <c r="D34" s="157"/>
      <c r="E34" s="157"/>
      <c r="F34" s="157"/>
      <c r="G34" s="158" t="s">
        <v>336</v>
      </c>
      <c r="H34" s="159"/>
      <c r="I34" s="158">
        <v>10</v>
      </c>
      <c r="J34" s="158"/>
      <c r="K34" s="158" t="s">
        <v>287</v>
      </c>
      <c r="L34" s="158"/>
      <c r="M34" s="158" t="s">
        <v>17</v>
      </c>
      <c r="N34" s="158"/>
    </row>
    <row r="35" spans="1:15" ht="15" customHeight="1" x14ac:dyDescent="0.25">
      <c r="A35" s="38">
        <v>451</v>
      </c>
      <c r="B35" s="39" t="s">
        <v>575</v>
      </c>
      <c r="C35" s="156" t="s">
        <v>285</v>
      </c>
      <c r="D35" s="157"/>
      <c r="E35" s="157"/>
      <c r="F35" s="157"/>
      <c r="G35" s="158" t="s">
        <v>336</v>
      </c>
      <c r="H35" s="159"/>
      <c r="I35" s="158">
        <v>143</v>
      </c>
      <c r="J35" s="158"/>
      <c r="K35" s="158" t="s">
        <v>283</v>
      </c>
      <c r="L35" s="158"/>
      <c r="M35" s="158" t="s">
        <v>282</v>
      </c>
      <c r="N35" s="158"/>
    </row>
    <row r="36" spans="1:15" ht="15" customHeight="1" x14ac:dyDescent="0.25">
      <c r="A36" s="40">
        <v>490</v>
      </c>
      <c r="B36" s="41" t="s">
        <v>576</v>
      </c>
      <c r="C36" s="164" t="s">
        <v>446</v>
      </c>
      <c r="D36" s="165"/>
      <c r="E36" s="165"/>
      <c r="F36" s="165"/>
      <c r="G36" s="163" t="s">
        <v>442</v>
      </c>
      <c r="H36" s="166"/>
      <c r="I36" s="163">
        <v>400</v>
      </c>
      <c r="J36" s="163"/>
      <c r="K36" s="163" t="s">
        <v>447</v>
      </c>
      <c r="L36" s="163"/>
      <c r="M36" s="163" t="s">
        <v>454</v>
      </c>
      <c r="N36" s="163"/>
    </row>
    <row r="37" spans="1:15" ht="15.75" customHeight="1" x14ac:dyDescent="0.25">
      <c r="A37" s="40">
        <v>498</v>
      </c>
      <c r="B37" s="41" t="s">
        <v>577</v>
      </c>
      <c r="C37" s="167" t="s">
        <v>448</v>
      </c>
      <c r="D37" s="167"/>
      <c r="E37" s="167"/>
      <c r="F37" s="167"/>
      <c r="G37" s="168">
        <v>12000</v>
      </c>
      <c r="H37" s="163"/>
      <c r="I37" s="163">
        <v>1</v>
      </c>
      <c r="J37" s="163"/>
      <c r="K37" s="163" t="s">
        <v>447</v>
      </c>
      <c r="L37" s="163"/>
      <c r="M37" s="163" t="s">
        <v>48</v>
      </c>
      <c r="N37" s="163"/>
    </row>
    <row r="38" spans="1:15" x14ac:dyDescent="0.25">
      <c r="A38" s="40">
        <v>501</v>
      </c>
      <c r="B38" s="41" t="s">
        <v>578</v>
      </c>
      <c r="C38" s="145" t="s">
        <v>333</v>
      </c>
      <c r="D38" s="145"/>
      <c r="E38" s="145"/>
      <c r="F38" s="145"/>
      <c r="G38" s="132" t="s">
        <v>547</v>
      </c>
      <c r="H38" s="132"/>
      <c r="I38" s="132">
        <v>1</v>
      </c>
      <c r="J38" s="132"/>
      <c r="K38" s="132" t="s">
        <v>574</v>
      </c>
      <c r="L38" s="132"/>
      <c r="M38" s="132" t="s">
        <v>48</v>
      </c>
      <c r="N38" s="132"/>
    </row>
    <row r="39" spans="1:15" x14ac:dyDescent="0.25">
      <c r="A39" s="42">
        <v>502</v>
      </c>
      <c r="B39" s="39" t="s">
        <v>579</v>
      </c>
      <c r="C39" s="146" t="s">
        <v>671</v>
      </c>
      <c r="D39" s="146"/>
      <c r="E39" s="146"/>
      <c r="F39" s="146"/>
      <c r="G39" s="147" t="s">
        <v>547</v>
      </c>
      <c r="H39" s="147"/>
      <c r="I39" s="147">
        <v>1</v>
      </c>
      <c r="J39" s="147"/>
      <c r="K39" s="147" t="s">
        <v>574</v>
      </c>
      <c r="L39" s="147"/>
      <c r="M39" s="147" t="s">
        <v>48</v>
      </c>
      <c r="N39" s="147"/>
      <c r="O39" s="91"/>
    </row>
    <row r="40" spans="1:15" x14ac:dyDescent="0.25">
      <c r="A40" s="42">
        <v>511</v>
      </c>
      <c r="B40" s="41" t="s">
        <v>580</v>
      </c>
      <c r="C40" s="146" t="s">
        <v>672</v>
      </c>
      <c r="D40" s="146"/>
      <c r="E40" s="146"/>
      <c r="F40" s="146"/>
      <c r="G40" s="147" t="s">
        <v>547</v>
      </c>
      <c r="H40" s="147"/>
      <c r="I40" s="147">
        <v>1</v>
      </c>
      <c r="J40" s="147"/>
      <c r="K40" s="147" t="s">
        <v>574</v>
      </c>
      <c r="L40" s="147"/>
      <c r="M40" s="147" t="s">
        <v>48</v>
      </c>
      <c r="N40" s="147"/>
      <c r="O40" s="91"/>
    </row>
    <row r="41" spans="1:15" x14ac:dyDescent="0.25">
      <c r="A41" s="43">
        <v>516</v>
      </c>
      <c r="B41" s="95" t="s">
        <v>581</v>
      </c>
      <c r="C41" s="146" t="s">
        <v>673</v>
      </c>
      <c r="D41" s="146"/>
      <c r="E41" s="146"/>
      <c r="F41" s="146"/>
      <c r="G41" s="147" t="s">
        <v>547</v>
      </c>
      <c r="H41" s="147"/>
      <c r="I41" s="147">
        <v>1</v>
      </c>
      <c r="J41" s="147"/>
      <c r="K41" s="147" t="s">
        <v>574</v>
      </c>
      <c r="L41" s="147"/>
      <c r="M41" s="147" t="s">
        <v>48</v>
      </c>
      <c r="N41" s="147"/>
      <c r="O41" s="91"/>
    </row>
    <row r="42" spans="1:15" x14ac:dyDescent="0.25">
      <c r="A42" s="42">
        <v>558</v>
      </c>
      <c r="B42" s="41" t="s">
        <v>582</v>
      </c>
      <c r="C42" s="146" t="s">
        <v>674</v>
      </c>
      <c r="D42" s="146"/>
      <c r="E42" s="146"/>
      <c r="F42" s="146"/>
      <c r="G42" s="147" t="s">
        <v>547</v>
      </c>
      <c r="H42" s="147"/>
      <c r="I42" s="147">
        <v>1</v>
      </c>
      <c r="J42" s="147"/>
      <c r="K42" s="147" t="s">
        <v>574</v>
      </c>
      <c r="L42" s="147"/>
      <c r="M42" s="147" t="s">
        <v>48</v>
      </c>
      <c r="N42" s="147"/>
      <c r="O42" s="91"/>
    </row>
    <row r="43" spans="1:15" x14ac:dyDescent="0.25">
      <c r="A43" s="42">
        <v>560</v>
      </c>
      <c r="B43" s="41" t="s">
        <v>583</v>
      </c>
      <c r="C43" s="146" t="s">
        <v>675</v>
      </c>
      <c r="D43" s="146"/>
      <c r="E43" s="146"/>
      <c r="F43" s="146"/>
      <c r="G43" s="147" t="s">
        <v>547</v>
      </c>
      <c r="H43" s="147"/>
      <c r="I43" s="147">
        <v>1</v>
      </c>
      <c r="J43" s="147"/>
      <c r="K43" s="147" t="s">
        <v>574</v>
      </c>
      <c r="L43" s="147"/>
      <c r="M43" s="147" t="s">
        <v>48</v>
      </c>
      <c r="N43" s="147"/>
      <c r="O43" s="91"/>
    </row>
    <row r="44" spans="1:15" x14ac:dyDescent="0.25">
      <c r="A44" s="42">
        <v>560</v>
      </c>
      <c r="B44" s="39" t="s">
        <v>584</v>
      </c>
      <c r="C44" s="146" t="s">
        <v>329</v>
      </c>
      <c r="D44" s="146"/>
      <c r="E44" s="146"/>
      <c r="F44" s="146"/>
      <c r="G44" s="147" t="s">
        <v>547</v>
      </c>
      <c r="H44" s="147"/>
      <c r="I44" s="147">
        <v>1</v>
      </c>
      <c r="J44" s="147"/>
      <c r="K44" s="147" t="s">
        <v>574</v>
      </c>
      <c r="L44" s="147"/>
      <c r="M44" s="147" t="s">
        <v>48</v>
      </c>
      <c r="N44" s="147"/>
      <c r="O44" s="91"/>
    </row>
    <row r="45" spans="1:15" x14ac:dyDescent="0.25">
      <c r="A45" s="42">
        <v>561</v>
      </c>
      <c r="B45" s="41" t="s">
        <v>585</v>
      </c>
      <c r="C45" s="146" t="s">
        <v>676</v>
      </c>
      <c r="D45" s="146"/>
      <c r="E45" s="146"/>
      <c r="F45" s="146"/>
      <c r="G45" s="147" t="s">
        <v>547</v>
      </c>
      <c r="H45" s="147"/>
      <c r="I45" s="147">
        <v>1</v>
      </c>
      <c r="J45" s="147"/>
      <c r="K45" s="147" t="s">
        <v>574</v>
      </c>
      <c r="L45" s="147"/>
      <c r="M45" s="147" t="s">
        <v>48</v>
      </c>
      <c r="N45" s="147"/>
      <c r="O45" s="91"/>
    </row>
    <row r="46" spans="1:15" x14ac:dyDescent="0.25">
      <c r="A46" s="42">
        <v>562</v>
      </c>
      <c r="B46" s="39" t="s">
        <v>586</v>
      </c>
      <c r="C46" s="146" t="s">
        <v>677</v>
      </c>
      <c r="D46" s="146"/>
      <c r="E46" s="146"/>
      <c r="F46" s="146"/>
      <c r="G46" s="147" t="s">
        <v>547</v>
      </c>
      <c r="H46" s="147"/>
      <c r="I46" s="147">
        <v>1</v>
      </c>
      <c r="J46" s="147"/>
      <c r="K46" s="147" t="s">
        <v>574</v>
      </c>
      <c r="L46" s="147"/>
      <c r="M46" s="147" t="s">
        <v>48</v>
      </c>
      <c r="N46" s="147"/>
      <c r="O46" s="91"/>
    </row>
    <row r="47" spans="1:15" x14ac:dyDescent="0.25">
      <c r="A47" s="43">
        <v>564</v>
      </c>
      <c r="B47" s="41" t="s">
        <v>587</v>
      </c>
      <c r="C47" s="146" t="s">
        <v>678</v>
      </c>
      <c r="D47" s="146"/>
      <c r="E47" s="146"/>
      <c r="F47" s="146"/>
      <c r="G47" s="147" t="s">
        <v>547</v>
      </c>
      <c r="H47" s="147"/>
      <c r="I47" s="147">
        <v>1</v>
      </c>
      <c r="J47" s="147"/>
      <c r="K47" s="147" t="s">
        <v>574</v>
      </c>
      <c r="L47" s="147"/>
      <c r="M47" s="147" t="s">
        <v>48</v>
      </c>
      <c r="N47" s="147"/>
      <c r="O47" s="91"/>
    </row>
    <row r="48" spans="1:15" x14ac:dyDescent="0.25">
      <c r="A48" s="42">
        <v>572</v>
      </c>
      <c r="B48" s="95" t="s">
        <v>588</v>
      </c>
      <c r="C48" s="146" t="s">
        <v>679</v>
      </c>
      <c r="D48" s="146"/>
      <c r="E48" s="146"/>
      <c r="F48" s="146"/>
      <c r="G48" s="147" t="s">
        <v>547</v>
      </c>
      <c r="H48" s="147"/>
      <c r="I48" s="147">
        <v>1</v>
      </c>
      <c r="J48" s="147"/>
      <c r="K48" s="147" t="s">
        <v>574</v>
      </c>
      <c r="L48" s="147"/>
      <c r="M48" s="147" t="s">
        <v>48</v>
      </c>
      <c r="N48" s="147"/>
      <c r="O48" s="91"/>
    </row>
    <row r="49" spans="1:15" x14ac:dyDescent="0.25">
      <c r="A49" s="42">
        <v>577</v>
      </c>
      <c r="B49" s="39" t="s">
        <v>589</v>
      </c>
      <c r="C49" s="146" t="s">
        <v>680</v>
      </c>
      <c r="D49" s="146"/>
      <c r="E49" s="146"/>
      <c r="F49" s="146"/>
      <c r="G49" s="147" t="s">
        <v>547</v>
      </c>
      <c r="H49" s="147"/>
      <c r="I49" s="147">
        <v>1</v>
      </c>
      <c r="J49" s="147"/>
      <c r="K49" s="147" t="s">
        <v>574</v>
      </c>
      <c r="L49" s="147"/>
      <c r="M49" s="147" t="s">
        <v>48</v>
      </c>
      <c r="N49" s="147"/>
      <c r="O49" s="91"/>
    </row>
    <row r="50" spans="1:15" x14ac:dyDescent="0.25">
      <c r="A50" s="42">
        <v>582</v>
      </c>
      <c r="B50" s="41" t="s">
        <v>590</v>
      </c>
      <c r="C50" s="146" t="s">
        <v>681</v>
      </c>
      <c r="D50" s="146"/>
      <c r="E50" s="146"/>
      <c r="F50" s="146"/>
      <c r="G50" s="147" t="s">
        <v>547</v>
      </c>
      <c r="H50" s="147"/>
      <c r="I50" s="147">
        <v>1</v>
      </c>
      <c r="J50" s="147"/>
      <c r="K50" s="147" t="s">
        <v>574</v>
      </c>
      <c r="L50" s="147"/>
      <c r="M50" s="147" t="s">
        <v>48</v>
      </c>
      <c r="N50" s="147"/>
      <c r="O50" s="91"/>
    </row>
    <row r="51" spans="1:15" x14ac:dyDescent="0.25">
      <c r="A51" s="42">
        <v>584</v>
      </c>
      <c r="B51" s="39" t="s">
        <v>591</v>
      </c>
      <c r="C51" s="146" t="s">
        <v>682</v>
      </c>
      <c r="D51" s="146"/>
      <c r="E51" s="146"/>
      <c r="F51" s="146"/>
      <c r="G51" s="147" t="s">
        <v>547</v>
      </c>
      <c r="H51" s="147"/>
      <c r="I51" s="147">
        <v>1</v>
      </c>
      <c r="J51" s="147"/>
      <c r="K51" s="147" t="s">
        <v>574</v>
      </c>
      <c r="L51" s="147"/>
      <c r="M51" s="147" t="s">
        <v>48</v>
      </c>
      <c r="N51" s="147"/>
      <c r="O51" s="91"/>
    </row>
    <row r="52" spans="1:15" x14ac:dyDescent="0.25">
      <c r="A52" s="42">
        <v>586</v>
      </c>
      <c r="B52" s="41" t="s">
        <v>592</v>
      </c>
      <c r="C52" s="146" t="s">
        <v>683</v>
      </c>
      <c r="D52" s="146"/>
      <c r="E52" s="146"/>
      <c r="F52" s="146"/>
      <c r="G52" s="147" t="s">
        <v>547</v>
      </c>
      <c r="H52" s="147"/>
      <c r="I52" s="147">
        <v>1</v>
      </c>
      <c r="J52" s="147"/>
      <c r="K52" s="147" t="s">
        <v>574</v>
      </c>
      <c r="L52" s="147"/>
      <c r="M52" s="147" t="s">
        <v>48</v>
      </c>
      <c r="N52" s="147"/>
      <c r="O52" s="91"/>
    </row>
    <row r="53" spans="1:15" x14ac:dyDescent="0.25">
      <c r="A53" s="42">
        <v>592</v>
      </c>
      <c r="B53" s="39" t="s">
        <v>593</v>
      </c>
      <c r="C53" s="146" t="s">
        <v>684</v>
      </c>
      <c r="D53" s="146"/>
      <c r="E53" s="146"/>
      <c r="F53" s="146"/>
      <c r="G53" s="147" t="s">
        <v>547</v>
      </c>
      <c r="H53" s="147"/>
      <c r="I53" s="147">
        <v>1</v>
      </c>
      <c r="J53" s="147"/>
      <c r="K53" s="147" t="s">
        <v>574</v>
      </c>
      <c r="L53" s="147"/>
      <c r="M53" s="147" t="s">
        <v>48</v>
      </c>
      <c r="N53" s="147"/>
      <c r="O53" s="91"/>
    </row>
    <row r="54" spans="1:15" x14ac:dyDescent="0.25">
      <c r="A54" s="42">
        <v>594</v>
      </c>
      <c r="B54" s="41" t="s">
        <v>594</v>
      </c>
      <c r="C54" s="146" t="s">
        <v>685</v>
      </c>
      <c r="D54" s="146"/>
      <c r="E54" s="146"/>
      <c r="F54" s="146"/>
      <c r="G54" s="147" t="s">
        <v>547</v>
      </c>
      <c r="H54" s="147"/>
      <c r="I54" s="147">
        <v>1</v>
      </c>
      <c r="J54" s="147"/>
      <c r="K54" s="147" t="s">
        <v>574</v>
      </c>
      <c r="L54" s="147"/>
      <c r="M54" s="147" t="s">
        <v>48</v>
      </c>
      <c r="N54" s="147"/>
      <c r="O54" s="91"/>
    </row>
    <row r="55" spans="1:15" x14ac:dyDescent="0.25">
      <c r="A55" s="42">
        <v>596</v>
      </c>
      <c r="B55" s="41" t="s">
        <v>595</v>
      </c>
      <c r="C55" s="146" t="s">
        <v>686</v>
      </c>
      <c r="D55" s="146"/>
      <c r="E55" s="146"/>
      <c r="F55" s="146"/>
      <c r="G55" s="147" t="s">
        <v>547</v>
      </c>
      <c r="H55" s="147"/>
      <c r="I55" s="147">
        <v>1</v>
      </c>
      <c r="J55" s="147"/>
      <c r="K55" s="147" t="s">
        <v>574</v>
      </c>
      <c r="L55" s="147"/>
      <c r="M55" s="147" t="s">
        <v>48</v>
      </c>
      <c r="N55" s="147"/>
      <c r="O55" s="91"/>
    </row>
    <row r="56" spans="1:15" x14ac:dyDescent="0.25">
      <c r="A56" s="42">
        <v>613</v>
      </c>
      <c r="B56" s="39" t="s">
        <v>596</v>
      </c>
      <c r="C56" s="146" t="s">
        <v>687</v>
      </c>
      <c r="D56" s="146"/>
      <c r="E56" s="146"/>
      <c r="F56" s="146"/>
      <c r="G56" s="147" t="s">
        <v>547</v>
      </c>
      <c r="H56" s="147"/>
      <c r="I56" s="147">
        <v>1</v>
      </c>
      <c r="J56" s="147"/>
      <c r="K56" s="147" t="s">
        <v>574</v>
      </c>
      <c r="L56" s="147"/>
      <c r="M56" s="147" t="s">
        <v>48</v>
      </c>
      <c r="N56" s="147"/>
      <c r="O56" s="91"/>
    </row>
    <row r="57" spans="1:15" x14ac:dyDescent="0.25">
      <c r="A57" s="42">
        <v>616</v>
      </c>
      <c r="B57" s="41" t="s">
        <v>597</v>
      </c>
      <c r="C57" s="146" t="s">
        <v>688</v>
      </c>
      <c r="D57" s="146"/>
      <c r="E57" s="146"/>
      <c r="F57" s="146"/>
      <c r="G57" s="147" t="s">
        <v>547</v>
      </c>
      <c r="H57" s="147"/>
      <c r="I57" s="147">
        <v>1</v>
      </c>
      <c r="J57" s="147"/>
      <c r="K57" s="147" t="s">
        <v>574</v>
      </c>
      <c r="L57" s="147"/>
      <c r="M57" s="147" t="s">
        <v>48</v>
      </c>
      <c r="N57" s="147"/>
      <c r="O57" s="91"/>
    </row>
    <row r="58" spans="1:15" x14ac:dyDescent="0.25">
      <c r="A58" s="42">
        <v>623</v>
      </c>
      <c r="B58" s="39" t="s">
        <v>598</v>
      </c>
      <c r="C58" s="146" t="s">
        <v>689</v>
      </c>
      <c r="D58" s="146"/>
      <c r="E58" s="146"/>
      <c r="F58" s="146"/>
      <c r="G58" s="147" t="s">
        <v>547</v>
      </c>
      <c r="H58" s="147"/>
      <c r="I58" s="147">
        <v>1</v>
      </c>
      <c r="J58" s="147"/>
      <c r="K58" s="147" t="s">
        <v>574</v>
      </c>
      <c r="L58" s="147"/>
      <c r="M58" s="147" t="s">
        <v>48</v>
      </c>
      <c r="N58" s="147"/>
      <c r="O58" s="91"/>
    </row>
    <row r="59" spans="1:15" x14ac:dyDescent="0.25">
      <c r="A59" s="42">
        <v>626</v>
      </c>
      <c r="B59" s="41" t="s">
        <v>599</v>
      </c>
      <c r="C59" s="146" t="s">
        <v>690</v>
      </c>
      <c r="D59" s="146"/>
      <c r="E59" s="146"/>
      <c r="F59" s="146"/>
      <c r="G59" s="147" t="s">
        <v>547</v>
      </c>
      <c r="H59" s="147"/>
      <c r="I59" s="147">
        <v>1</v>
      </c>
      <c r="J59" s="147"/>
      <c r="K59" s="147" t="s">
        <v>574</v>
      </c>
      <c r="L59" s="147"/>
      <c r="M59" s="147" t="s">
        <v>48</v>
      </c>
      <c r="N59" s="147"/>
      <c r="O59" s="91"/>
    </row>
    <row r="60" spans="1:15" x14ac:dyDescent="0.25">
      <c r="A60" s="42">
        <v>637</v>
      </c>
      <c r="B60" s="39" t="s">
        <v>600</v>
      </c>
      <c r="C60" s="146" t="s">
        <v>691</v>
      </c>
      <c r="D60" s="146"/>
      <c r="E60" s="146"/>
      <c r="F60" s="146"/>
      <c r="G60" s="147" t="s">
        <v>547</v>
      </c>
      <c r="H60" s="147"/>
      <c r="I60" s="147">
        <v>1</v>
      </c>
      <c r="J60" s="147"/>
      <c r="K60" s="147" t="s">
        <v>574</v>
      </c>
      <c r="L60" s="147"/>
      <c r="M60" s="147" t="s">
        <v>48</v>
      </c>
      <c r="N60" s="147"/>
      <c r="O60" s="91"/>
    </row>
    <row r="61" spans="1:15" x14ac:dyDescent="0.25">
      <c r="A61" s="42">
        <v>628</v>
      </c>
      <c r="B61" s="41" t="s">
        <v>601</v>
      </c>
      <c r="C61" s="146" t="s">
        <v>692</v>
      </c>
      <c r="D61" s="146"/>
      <c r="E61" s="146"/>
      <c r="F61" s="146"/>
      <c r="G61" s="147" t="s">
        <v>547</v>
      </c>
      <c r="H61" s="147"/>
      <c r="I61" s="147">
        <v>1</v>
      </c>
      <c r="J61" s="147"/>
      <c r="K61" s="147" t="s">
        <v>574</v>
      </c>
      <c r="L61" s="147"/>
      <c r="M61" s="147" t="s">
        <v>48</v>
      </c>
      <c r="N61" s="147"/>
      <c r="O61" s="91"/>
    </row>
    <row r="62" spans="1:15" x14ac:dyDescent="0.25">
      <c r="A62" s="42">
        <v>639</v>
      </c>
      <c r="B62" s="41" t="s">
        <v>601</v>
      </c>
      <c r="C62" s="146" t="s">
        <v>693</v>
      </c>
      <c r="D62" s="146"/>
      <c r="E62" s="146"/>
      <c r="F62" s="146"/>
      <c r="G62" s="147" t="s">
        <v>547</v>
      </c>
      <c r="H62" s="147"/>
      <c r="I62" s="147">
        <v>1</v>
      </c>
      <c r="J62" s="147"/>
      <c r="K62" s="147" t="s">
        <v>574</v>
      </c>
      <c r="L62" s="147"/>
      <c r="M62" s="147" t="s">
        <v>48</v>
      </c>
      <c r="N62" s="147"/>
      <c r="O62" s="91"/>
    </row>
    <row r="63" spans="1:15" x14ac:dyDescent="0.25">
      <c r="A63" s="42">
        <v>640</v>
      </c>
      <c r="B63" s="41" t="s">
        <v>601</v>
      </c>
      <c r="C63" s="146" t="s">
        <v>694</v>
      </c>
      <c r="D63" s="146"/>
      <c r="E63" s="146"/>
      <c r="F63" s="146"/>
      <c r="G63" s="147" t="s">
        <v>547</v>
      </c>
      <c r="H63" s="147"/>
      <c r="I63" s="147">
        <v>1</v>
      </c>
      <c r="J63" s="147"/>
      <c r="K63" s="147" t="s">
        <v>574</v>
      </c>
      <c r="L63" s="147"/>
      <c r="M63" s="147" t="s">
        <v>48</v>
      </c>
      <c r="N63" s="147"/>
      <c r="O63" s="91"/>
    </row>
    <row r="64" spans="1:15" x14ac:dyDescent="0.25">
      <c r="A64" s="42">
        <v>648</v>
      </c>
      <c r="B64" s="39" t="s">
        <v>602</v>
      </c>
      <c r="C64" s="146" t="s">
        <v>695</v>
      </c>
      <c r="D64" s="146"/>
      <c r="E64" s="146"/>
      <c r="F64" s="146"/>
      <c r="G64" s="147" t="s">
        <v>547</v>
      </c>
      <c r="H64" s="147"/>
      <c r="I64" s="147">
        <v>3</v>
      </c>
      <c r="J64" s="147"/>
      <c r="K64" s="147" t="s">
        <v>574</v>
      </c>
      <c r="L64" s="147"/>
      <c r="M64" s="147" t="s">
        <v>48</v>
      </c>
      <c r="N64" s="147"/>
      <c r="O64" s="91"/>
    </row>
    <row r="65" spans="1:15" x14ac:dyDescent="0.25">
      <c r="A65" s="42">
        <v>652</v>
      </c>
      <c r="B65" s="41" t="s">
        <v>603</v>
      </c>
      <c r="C65" s="146" t="s">
        <v>696</v>
      </c>
      <c r="D65" s="146"/>
      <c r="E65" s="146"/>
      <c r="F65" s="146"/>
      <c r="G65" s="147" t="s">
        <v>547</v>
      </c>
      <c r="H65" s="147"/>
      <c r="I65" s="147">
        <v>1</v>
      </c>
      <c r="J65" s="147"/>
      <c r="K65" s="147" t="s">
        <v>574</v>
      </c>
      <c r="L65" s="147"/>
      <c r="M65" s="147" t="s">
        <v>48</v>
      </c>
      <c r="N65" s="147"/>
      <c r="O65" s="91"/>
    </row>
    <row r="66" spans="1:15" x14ac:dyDescent="0.25">
      <c r="A66" s="42">
        <v>671</v>
      </c>
      <c r="B66" s="41" t="s">
        <v>604</v>
      </c>
      <c r="C66" s="146" t="s">
        <v>697</v>
      </c>
      <c r="D66" s="146"/>
      <c r="E66" s="146"/>
      <c r="F66" s="146"/>
      <c r="G66" s="147" t="s">
        <v>547</v>
      </c>
      <c r="H66" s="147"/>
      <c r="I66" s="147">
        <v>1</v>
      </c>
      <c r="J66" s="147"/>
      <c r="K66" s="147" t="s">
        <v>574</v>
      </c>
      <c r="L66" s="147"/>
      <c r="M66" s="147" t="s">
        <v>48</v>
      </c>
      <c r="N66" s="147"/>
      <c r="O66" s="91"/>
    </row>
    <row r="67" spans="1:15" x14ac:dyDescent="0.25">
      <c r="A67" s="42">
        <v>675</v>
      </c>
      <c r="B67" s="41" t="s">
        <v>605</v>
      </c>
      <c r="C67" s="146" t="s">
        <v>698</v>
      </c>
      <c r="D67" s="146"/>
      <c r="E67" s="146"/>
      <c r="F67" s="146"/>
      <c r="G67" s="147" t="s">
        <v>547</v>
      </c>
      <c r="H67" s="147"/>
      <c r="I67" s="147">
        <v>1</v>
      </c>
      <c r="J67" s="147"/>
      <c r="K67" s="147" t="s">
        <v>574</v>
      </c>
      <c r="L67" s="147"/>
      <c r="M67" s="147" t="s">
        <v>48</v>
      </c>
      <c r="N67" s="147"/>
      <c r="O67" s="91"/>
    </row>
    <row r="68" spans="1:15" ht="15.75" thickBot="1" x14ac:dyDescent="0.3">
      <c r="A68" s="42">
        <v>678</v>
      </c>
      <c r="B68" s="39" t="s">
        <v>606</v>
      </c>
      <c r="C68" s="146" t="s">
        <v>333</v>
      </c>
      <c r="D68" s="146"/>
      <c r="E68" s="146"/>
      <c r="F68" s="146"/>
      <c r="G68" s="147" t="s">
        <v>547</v>
      </c>
      <c r="H68" s="147"/>
      <c r="I68" s="151">
        <v>1</v>
      </c>
      <c r="J68" s="152"/>
      <c r="K68" s="147" t="s">
        <v>574</v>
      </c>
      <c r="L68" s="147"/>
      <c r="M68" s="147" t="s">
        <v>48</v>
      </c>
      <c r="N68" s="147"/>
      <c r="O68" s="91"/>
    </row>
    <row r="69" spans="1:15" ht="15.75" x14ac:dyDescent="0.25">
      <c r="A69" s="42">
        <v>678</v>
      </c>
      <c r="B69" s="41" t="s">
        <v>607</v>
      </c>
      <c r="C69" s="154" t="str">
        <f>C20</f>
        <v>623 Clinic</v>
      </c>
      <c r="D69" s="155"/>
      <c r="E69" s="155"/>
      <c r="F69" s="155"/>
      <c r="G69" s="148" t="s">
        <v>623</v>
      </c>
      <c r="H69" s="148"/>
      <c r="I69" s="153">
        <v>1</v>
      </c>
      <c r="J69" s="153"/>
      <c r="K69" s="148" t="s">
        <v>624</v>
      </c>
      <c r="L69" s="148"/>
      <c r="M69" s="149" t="s">
        <v>518</v>
      </c>
      <c r="N69" s="150"/>
    </row>
    <row r="70" spans="1:15" ht="15.75" x14ac:dyDescent="0.25">
      <c r="A70" s="42">
        <v>680</v>
      </c>
      <c r="B70" s="39" t="s">
        <v>608</v>
      </c>
      <c r="C70" s="141" t="str">
        <f t="shared" ref="C70:C89" si="0">C21</f>
        <v>616 Bowling Center</v>
      </c>
      <c r="D70" s="142"/>
      <c r="E70" s="142"/>
      <c r="F70" s="142"/>
      <c r="G70" s="132" t="s">
        <v>623</v>
      </c>
      <c r="H70" s="132"/>
      <c r="K70" s="132" t="s">
        <v>624</v>
      </c>
      <c r="L70" s="132"/>
      <c r="M70" s="133" t="s">
        <v>518</v>
      </c>
      <c r="N70" s="134"/>
    </row>
    <row r="71" spans="1:15" ht="15.75" x14ac:dyDescent="0.25">
      <c r="A71" s="42">
        <v>682</v>
      </c>
      <c r="B71" s="41" t="s">
        <v>609</v>
      </c>
      <c r="C71" s="141" t="str">
        <f t="shared" si="0"/>
        <v>693 High School</v>
      </c>
      <c r="D71" s="142"/>
      <c r="E71" s="142"/>
      <c r="F71" s="142"/>
      <c r="G71" s="132" t="s">
        <v>623</v>
      </c>
      <c r="H71" s="132"/>
      <c r="K71" s="132" t="s">
        <v>624</v>
      </c>
      <c r="L71" s="132"/>
      <c r="M71" s="133" t="s">
        <v>518</v>
      </c>
      <c r="N71" s="134"/>
    </row>
    <row r="72" spans="1:15" ht="15.75" x14ac:dyDescent="0.25">
      <c r="A72" s="42">
        <v>685</v>
      </c>
      <c r="B72" s="41" t="s">
        <v>610</v>
      </c>
      <c r="C72" s="141" t="str">
        <f t="shared" si="0"/>
        <v>675 Lodgings</v>
      </c>
      <c r="D72" s="142"/>
      <c r="E72" s="142"/>
      <c r="F72" s="142"/>
      <c r="G72" s="132" t="s">
        <v>623</v>
      </c>
      <c r="H72" s="132"/>
      <c r="K72" s="132" t="s">
        <v>624</v>
      </c>
      <c r="L72" s="132"/>
      <c r="M72" s="133" t="s">
        <v>518</v>
      </c>
      <c r="N72" s="134"/>
    </row>
    <row r="73" spans="1:15" ht="15.75" x14ac:dyDescent="0.25">
      <c r="A73" s="42">
        <v>685</v>
      </c>
      <c r="B73" s="39" t="s">
        <v>611</v>
      </c>
      <c r="C73" s="141" t="str">
        <f t="shared" si="0"/>
        <v>680 Teen Center</v>
      </c>
      <c r="D73" s="142"/>
      <c r="E73" s="142"/>
      <c r="F73" s="142"/>
      <c r="G73" s="132" t="s">
        <v>623</v>
      </c>
      <c r="H73" s="132"/>
      <c r="K73" s="132" t="s">
        <v>624</v>
      </c>
      <c r="L73" s="132"/>
      <c r="M73" s="133" t="s">
        <v>518</v>
      </c>
      <c r="N73" s="134"/>
    </row>
    <row r="74" spans="1:15" ht="15.75" x14ac:dyDescent="0.25">
      <c r="A74" s="42">
        <v>685</v>
      </c>
      <c r="B74" s="41" t="s">
        <v>612</v>
      </c>
      <c r="C74" s="141" t="str">
        <f t="shared" si="0"/>
        <v>699 Scouts</v>
      </c>
      <c r="D74" s="142"/>
      <c r="E74" s="142"/>
      <c r="F74" s="142"/>
      <c r="G74" s="132" t="s">
        <v>623</v>
      </c>
      <c r="H74" s="132"/>
      <c r="K74" s="132" t="s">
        <v>624</v>
      </c>
      <c r="L74" s="132"/>
      <c r="M74" s="133" t="s">
        <v>518</v>
      </c>
      <c r="N74" s="134"/>
    </row>
    <row r="75" spans="1:15" ht="15.75" x14ac:dyDescent="0.25">
      <c r="A75" s="42">
        <v>687</v>
      </c>
      <c r="B75" s="41" t="s">
        <v>613</v>
      </c>
      <c r="C75" s="141" t="str">
        <f t="shared" si="0"/>
        <v>577 Former Shoppette</v>
      </c>
      <c r="D75" s="142"/>
      <c r="E75" s="142"/>
      <c r="F75" s="142"/>
      <c r="G75" s="132" t="s">
        <v>623</v>
      </c>
      <c r="H75" s="132"/>
      <c r="K75" s="132" t="s">
        <v>624</v>
      </c>
      <c r="L75" s="132"/>
      <c r="M75" s="133" t="s">
        <v>518</v>
      </c>
      <c r="N75" s="134"/>
    </row>
    <row r="76" spans="1:15" ht="15.75" x14ac:dyDescent="0.25">
      <c r="A76" s="42">
        <v>691</v>
      </c>
      <c r="B76" s="41" t="s">
        <v>614</v>
      </c>
      <c r="C76" s="141" t="str">
        <f t="shared" si="0"/>
        <v>637 Stukeley Inn</v>
      </c>
      <c r="D76" s="142"/>
      <c r="E76" s="142"/>
      <c r="F76" s="142"/>
      <c r="G76" s="132" t="s">
        <v>623</v>
      </c>
      <c r="H76" s="132"/>
      <c r="K76" s="132" t="s">
        <v>624</v>
      </c>
      <c r="L76" s="132"/>
      <c r="M76" s="133" t="s">
        <v>518</v>
      </c>
      <c r="N76" s="134"/>
    </row>
    <row r="77" spans="1:15" ht="15.75" x14ac:dyDescent="0.25">
      <c r="A77" s="42">
        <v>693</v>
      </c>
      <c r="B77" s="41" t="s">
        <v>615</v>
      </c>
      <c r="C77" s="141" t="str">
        <f t="shared" si="0"/>
        <v>640 Britannia Inn</v>
      </c>
      <c r="D77" s="142"/>
      <c r="E77" s="142"/>
      <c r="F77" s="142"/>
      <c r="G77" s="132" t="s">
        <v>623</v>
      </c>
      <c r="H77" s="132"/>
      <c r="K77" s="132" t="s">
        <v>624</v>
      </c>
      <c r="L77" s="132"/>
      <c r="M77" s="133" t="s">
        <v>518</v>
      </c>
      <c r="N77" s="134"/>
    </row>
    <row r="78" spans="1:15" ht="15.75" x14ac:dyDescent="0.25">
      <c r="A78" s="42">
        <v>693</v>
      </c>
      <c r="B78" s="39" t="s">
        <v>616</v>
      </c>
      <c r="C78" s="141" t="str">
        <f t="shared" si="0"/>
        <v>B124</v>
      </c>
      <c r="D78" s="142"/>
      <c r="E78" s="142"/>
      <c r="F78" s="142"/>
      <c r="G78" s="132" t="s">
        <v>623</v>
      </c>
      <c r="H78" s="132"/>
      <c r="K78" s="132" t="s">
        <v>624</v>
      </c>
      <c r="L78" s="132"/>
      <c r="M78" s="133" t="s">
        <v>518</v>
      </c>
      <c r="N78" s="134"/>
    </row>
    <row r="79" spans="1:15" ht="15.75" x14ac:dyDescent="0.25">
      <c r="A79" s="42">
        <v>694</v>
      </c>
      <c r="B79" s="41" t="s">
        <v>617</v>
      </c>
      <c r="C79" s="141" t="str">
        <f t="shared" si="0"/>
        <v>Lodging Units</v>
      </c>
      <c r="D79" s="142"/>
      <c r="E79" s="142"/>
      <c r="F79" s="142"/>
      <c r="G79" s="132" t="s">
        <v>623</v>
      </c>
      <c r="H79" s="132"/>
      <c r="K79" s="132" t="s">
        <v>624</v>
      </c>
      <c r="L79" s="132"/>
      <c r="M79" s="133" t="s">
        <v>518</v>
      </c>
      <c r="N79" s="134"/>
    </row>
    <row r="80" spans="1:15" ht="15.75" x14ac:dyDescent="0.25">
      <c r="A80" s="42"/>
      <c r="B80" s="41" t="s">
        <v>618</v>
      </c>
      <c r="C80" s="141" t="str">
        <f t="shared" si="0"/>
        <v xml:space="preserve">BASE HOUSING </v>
      </c>
      <c r="D80" s="142"/>
      <c r="E80" s="142"/>
      <c r="F80" s="142"/>
      <c r="G80" s="132" t="s">
        <v>623</v>
      </c>
      <c r="H80" s="132"/>
      <c r="K80" s="132" t="s">
        <v>624</v>
      </c>
      <c r="L80" s="132"/>
      <c r="M80" s="133" t="s">
        <v>518</v>
      </c>
      <c r="N80" s="134"/>
    </row>
    <row r="81" spans="1:14" ht="15.75" x14ac:dyDescent="0.25">
      <c r="A81" s="42"/>
      <c r="B81" s="41" t="s">
        <v>619</v>
      </c>
      <c r="C81" s="141" t="str">
        <f t="shared" si="0"/>
        <v>Lodging Units</v>
      </c>
      <c r="D81" s="142"/>
      <c r="E81" s="142"/>
      <c r="F81" s="142"/>
      <c r="G81" s="132" t="s">
        <v>623</v>
      </c>
      <c r="H81" s="132"/>
      <c r="K81" s="132" t="s">
        <v>624</v>
      </c>
      <c r="L81" s="132"/>
      <c r="M81" s="133" t="s">
        <v>518</v>
      </c>
      <c r="N81" s="134"/>
    </row>
    <row r="82" spans="1:14" ht="15.75" x14ac:dyDescent="0.25">
      <c r="A82" s="42"/>
      <c r="B82" s="41" t="s">
        <v>620</v>
      </c>
      <c r="C82" s="141" t="str">
        <f t="shared" si="0"/>
        <v xml:space="preserve">BASE HOUSING </v>
      </c>
      <c r="D82" s="142"/>
      <c r="E82" s="142"/>
      <c r="F82" s="142"/>
      <c r="G82" s="132" t="s">
        <v>623</v>
      </c>
      <c r="H82" s="132"/>
      <c r="K82" s="132" t="s">
        <v>624</v>
      </c>
      <c r="L82" s="132"/>
      <c r="M82" s="133" t="s">
        <v>518</v>
      </c>
      <c r="N82" s="134"/>
    </row>
    <row r="83" spans="1:14" ht="15.75" x14ac:dyDescent="0.25">
      <c r="A83" s="42" t="s">
        <v>621</v>
      </c>
      <c r="B83" s="41" t="s">
        <v>622</v>
      </c>
      <c r="C83" s="141" t="str">
        <f t="shared" si="0"/>
        <v>Lodging Units</v>
      </c>
      <c r="D83" s="142"/>
      <c r="E83" s="142"/>
      <c r="F83" s="142"/>
      <c r="G83" s="132" t="s">
        <v>623</v>
      </c>
      <c r="H83" s="132"/>
      <c r="K83" s="132" t="s">
        <v>624</v>
      </c>
      <c r="L83" s="132"/>
      <c r="M83" s="133" t="s">
        <v>518</v>
      </c>
      <c r="N83" s="134"/>
    </row>
    <row r="84" spans="1:14" ht="16.5" customHeight="1" x14ac:dyDescent="0.25">
      <c r="C84" s="141" t="str">
        <f t="shared" si="0"/>
        <v xml:space="preserve">BASE HOUSING </v>
      </c>
      <c r="D84" s="142"/>
      <c r="E84" s="142"/>
      <c r="F84" s="142"/>
      <c r="G84" s="132" t="s">
        <v>623</v>
      </c>
      <c r="H84" s="132"/>
      <c r="K84" s="132" t="s">
        <v>624</v>
      </c>
      <c r="L84" s="132"/>
      <c r="M84" s="133" t="s">
        <v>518</v>
      </c>
      <c r="N84" s="134"/>
    </row>
    <row r="85" spans="1:14" ht="16.5" customHeight="1" x14ac:dyDescent="0.25">
      <c r="C85" s="141" t="str">
        <f t="shared" si="0"/>
        <v>Road Gullies</v>
      </c>
      <c r="D85" s="142"/>
      <c r="E85" s="142"/>
      <c r="F85" s="142"/>
      <c r="G85" s="132" t="s">
        <v>623</v>
      </c>
      <c r="H85" s="132"/>
      <c r="K85" s="132" t="s">
        <v>624</v>
      </c>
      <c r="L85" s="132"/>
      <c r="M85" s="133" t="s">
        <v>518</v>
      </c>
      <c r="N85" s="134"/>
    </row>
    <row r="86" spans="1:14" ht="16.5" customHeight="1" x14ac:dyDescent="0.25">
      <c r="C86" s="141" t="str">
        <f t="shared" si="0"/>
        <v>Sewage Plant/Works</v>
      </c>
      <c r="D86" s="142"/>
      <c r="E86" s="142"/>
      <c r="F86" s="142"/>
      <c r="G86" s="132" t="s">
        <v>623</v>
      </c>
      <c r="H86" s="132"/>
      <c r="K86" s="132" t="s">
        <v>624</v>
      </c>
      <c r="L86" s="132"/>
      <c r="M86" s="133" t="s">
        <v>518</v>
      </c>
      <c r="N86" s="134"/>
    </row>
    <row r="87" spans="1:14" ht="16.5" customHeight="1" x14ac:dyDescent="0.25">
      <c r="C87" s="141" t="str">
        <f t="shared" si="0"/>
        <v>51 DLA</v>
      </c>
      <c r="D87" s="142"/>
      <c r="E87" s="142"/>
      <c r="F87" s="142"/>
      <c r="G87" s="132" t="s">
        <v>623</v>
      </c>
      <c r="H87" s="132"/>
      <c r="K87" s="132" t="s">
        <v>624</v>
      </c>
      <c r="L87" s="132"/>
      <c r="M87" s="133" t="s">
        <v>518</v>
      </c>
      <c r="N87" s="134"/>
    </row>
    <row r="88" spans="1:14" ht="16.5" customHeight="1" x14ac:dyDescent="0.25">
      <c r="C88" s="141" t="str">
        <f t="shared" si="0"/>
        <v>84 JAC</v>
      </c>
      <c r="D88" s="142"/>
      <c r="E88" s="142"/>
      <c r="F88" s="142"/>
      <c r="G88" s="132" t="s">
        <v>623</v>
      </c>
      <c r="H88" s="132"/>
      <c r="K88" s="132" t="s">
        <v>624</v>
      </c>
      <c r="L88" s="132"/>
      <c r="M88" s="133" t="s">
        <v>518</v>
      </c>
      <c r="N88" s="134"/>
    </row>
    <row r="89" spans="1:14" ht="16.5" customHeight="1" x14ac:dyDescent="0.25">
      <c r="C89" s="141" t="str">
        <f t="shared" si="0"/>
        <v>84 JAC IT</v>
      </c>
      <c r="D89" s="142"/>
      <c r="E89" s="142"/>
      <c r="F89" s="142"/>
      <c r="G89" s="132" t="s">
        <v>623</v>
      </c>
      <c r="H89" s="132"/>
      <c r="K89" s="132" t="s">
        <v>624</v>
      </c>
      <c r="L89" s="132"/>
      <c r="M89" s="133" t="s">
        <v>518</v>
      </c>
      <c r="N89" s="134"/>
    </row>
    <row r="90" spans="1:14" ht="16.5" customHeight="1" x14ac:dyDescent="0.25">
      <c r="C90" s="141" t="str">
        <f t="shared" ref="C90:C101" si="1">C42</f>
        <v>303 JAC</v>
      </c>
      <c r="D90" s="142"/>
      <c r="E90" s="142"/>
      <c r="F90" s="142"/>
      <c r="G90" s="132" t="s">
        <v>623</v>
      </c>
      <c r="H90" s="132"/>
      <c r="K90" s="132" t="s">
        <v>624</v>
      </c>
      <c r="L90" s="132"/>
      <c r="M90" s="133" t="s">
        <v>518</v>
      </c>
      <c r="N90" s="134"/>
    </row>
    <row r="91" spans="1:14" ht="16.5" customHeight="1" x14ac:dyDescent="0.25">
      <c r="C91" s="141" t="str">
        <f t="shared" si="1"/>
        <v>314 JAC</v>
      </c>
      <c r="D91" s="142"/>
      <c r="E91" s="142"/>
      <c r="F91" s="142"/>
      <c r="G91" s="132" t="s">
        <v>623</v>
      </c>
      <c r="H91" s="132"/>
      <c r="K91" s="132" t="s">
        <v>624</v>
      </c>
      <c r="L91" s="132"/>
      <c r="M91" s="133" t="s">
        <v>518</v>
      </c>
      <c r="N91" s="134"/>
    </row>
    <row r="92" spans="1:14" ht="16.5" customHeight="1" x14ac:dyDescent="0.25">
      <c r="C92" s="141" t="str">
        <f t="shared" si="1"/>
        <v>316 NYPD</v>
      </c>
      <c r="D92" s="142"/>
      <c r="E92" s="142"/>
      <c r="F92" s="142"/>
      <c r="G92" s="132" t="s">
        <v>623</v>
      </c>
      <c r="H92" s="132"/>
      <c r="K92" s="132" t="s">
        <v>624</v>
      </c>
      <c r="L92" s="132"/>
      <c r="M92" s="133" t="s">
        <v>518</v>
      </c>
      <c r="N92" s="134"/>
    </row>
    <row r="93" spans="1:14" ht="16.5" customHeight="1" x14ac:dyDescent="0.25">
      <c r="C93" s="141" t="str">
        <f t="shared" si="1"/>
        <v>318 Emergency Control Room</v>
      </c>
      <c r="D93" s="142"/>
      <c r="E93" s="142"/>
      <c r="F93" s="142"/>
      <c r="G93" s="132" t="s">
        <v>623</v>
      </c>
      <c r="H93" s="132"/>
      <c r="K93" s="132" t="s">
        <v>624</v>
      </c>
      <c r="L93" s="132"/>
      <c r="M93" s="133" t="s">
        <v>518</v>
      </c>
      <c r="N93" s="134"/>
    </row>
    <row r="94" spans="1:14" ht="16.5" customHeight="1" x14ac:dyDescent="0.25">
      <c r="C94" s="141" t="str">
        <f t="shared" si="1"/>
        <v>320 JAC</v>
      </c>
      <c r="D94" s="142"/>
      <c r="E94" s="142"/>
      <c r="F94" s="142"/>
      <c r="G94" s="132" t="s">
        <v>623</v>
      </c>
      <c r="H94" s="132"/>
      <c r="K94" s="132" t="s">
        <v>624</v>
      </c>
      <c r="L94" s="132"/>
      <c r="M94" s="133" t="s">
        <v>518</v>
      </c>
      <c r="N94" s="134"/>
    </row>
    <row r="95" spans="1:14" ht="16.5" customHeight="1" x14ac:dyDescent="0.25">
      <c r="C95" s="141" t="str">
        <f t="shared" si="1"/>
        <v>326 DE</v>
      </c>
      <c r="D95" s="142"/>
      <c r="E95" s="142"/>
      <c r="F95" s="142"/>
      <c r="G95" s="132" t="s">
        <v>623</v>
      </c>
      <c r="H95" s="132"/>
      <c r="K95" s="132" t="s">
        <v>624</v>
      </c>
      <c r="L95" s="132"/>
      <c r="M95" s="133" t="s">
        <v>518</v>
      </c>
      <c r="N95" s="134"/>
    </row>
    <row r="96" spans="1:14" ht="16.5" customHeight="1" x14ac:dyDescent="0.25">
      <c r="C96" s="141" t="str">
        <f t="shared" si="1"/>
        <v>328 Fire Dept.</v>
      </c>
      <c r="D96" s="142"/>
      <c r="E96" s="142"/>
      <c r="F96" s="142"/>
      <c r="G96" s="132" t="s">
        <v>623</v>
      </c>
      <c r="H96" s="132"/>
      <c r="K96" s="132" t="s">
        <v>624</v>
      </c>
      <c r="L96" s="132"/>
      <c r="M96" s="133" t="s">
        <v>518</v>
      </c>
      <c r="N96" s="134"/>
    </row>
    <row r="97" spans="3:14" ht="16.5" customHeight="1" x14ac:dyDescent="0.25">
      <c r="C97" s="141" t="str">
        <f t="shared" si="1"/>
        <v>342 AAFES Shopette</v>
      </c>
      <c r="D97" s="142"/>
      <c r="E97" s="142"/>
      <c r="F97" s="142"/>
      <c r="G97" s="132" t="s">
        <v>623</v>
      </c>
      <c r="H97" s="132"/>
      <c r="K97" s="132" t="s">
        <v>624</v>
      </c>
      <c r="L97" s="132"/>
      <c r="M97" s="133" t="s">
        <v>518</v>
      </c>
      <c r="N97" s="134"/>
    </row>
    <row r="98" spans="3:14" ht="16.5" customHeight="1" x14ac:dyDescent="0.25">
      <c r="C98" s="141" t="str">
        <f t="shared" si="1"/>
        <v>344 Chapel</v>
      </c>
      <c r="D98" s="142"/>
      <c r="E98" s="142"/>
      <c r="F98" s="142"/>
      <c r="G98" s="132" t="s">
        <v>623</v>
      </c>
      <c r="H98" s="132"/>
      <c r="K98" s="132" t="s">
        <v>624</v>
      </c>
      <c r="L98" s="132"/>
      <c r="M98" s="133" t="s">
        <v>518</v>
      </c>
      <c r="N98" s="134"/>
    </row>
    <row r="99" spans="3:14" ht="16.5" customHeight="1" x14ac:dyDescent="0.25">
      <c r="C99" s="141" t="str">
        <f t="shared" si="1"/>
        <v>346 Post Office</v>
      </c>
      <c r="D99" s="142"/>
      <c r="E99" s="142"/>
      <c r="F99" s="142"/>
      <c r="G99" s="132" t="s">
        <v>623</v>
      </c>
      <c r="H99" s="132"/>
      <c r="K99" s="132" t="s">
        <v>624</v>
      </c>
      <c r="L99" s="132"/>
      <c r="M99" s="133" t="s">
        <v>518</v>
      </c>
      <c r="N99" s="134"/>
    </row>
    <row r="100" spans="3:14" ht="16.5" customHeight="1" x14ac:dyDescent="0.25">
      <c r="C100" s="141" t="str">
        <f t="shared" si="1"/>
        <v>348 JAC</v>
      </c>
      <c r="D100" s="142"/>
      <c r="E100" s="142"/>
      <c r="F100" s="142"/>
      <c r="G100" s="132" t="s">
        <v>623</v>
      </c>
      <c r="H100" s="132"/>
      <c r="K100" s="132" t="s">
        <v>624</v>
      </c>
      <c r="L100" s="132"/>
      <c r="M100" s="133" t="s">
        <v>518</v>
      </c>
      <c r="N100" s="134"/>
    </row>
    <row r="101" spans="3:14" ht="16.5" customHeight="1" x14ac:dyDescent="0.25">
      <c r="C101" s="141" t="str">
        <f t="shared" si="1"/>
        <v>400 Comm</v>
      </c>
      <c r="D101" s="142"/>
      <c r="E101" s="142"/>
      <c r="F101" s="142"/>
      <c r="G101" s="132" t="s">
        <v>623</v>
      </c>
      <c r="H101" s="132"/>
      <c r="K101" s="132" t="s">
        <v>624</v>
      </c>
      <c r="L101" s="132"/>
      <c r="M101" s="133" t="s">
        <v>518</v>
      </c>
      <c r="N101" s="134"/>
    </row>
    <row r="102" spans="3:14" ht="16.5" customHeight="1" x14ac:dyDescent="0.25">
      <c r="C102" s="141" t="str">
        <f>C55</f>
        <v>402 SerCo (Trans)</v>
      </c>
      <c r="D102" s="142"/>
      <c r="E102" s="142"/>
      <c r="F102" s="142"/>
      <c r="G102" s="132" t="s">
        <v>623</v>
      </c>
      <c r="H102" s="132"/>
      <c r="K102" s="132" t="s">
        <v>624</v>
      </c>
      <c r="L102" s="132"/>
      <c r="M102" s="133" t="s">
        <v>518</v>
      </c>
      <c r="N102" s="134"/>
    </row>
    <row r="103" spans="3:14" ht="16.5" customHeight="1" x14ac:dyDescent="0.25">
      <c r="C103" s="141" t="str">
        <f>C56</f>
        <v>403 JAC</v>
      </c>
      <c r="D103" s="142"/>
      <c r="E103" s="142"/>
      <c r="F103" s="142"/>
      <c r="G103" s="132" t="s">
        <v>623</v>
      </c>
      <c r="H103" s="132"/>
      <c r="K103" s="132" t="s">
        <v>624</v>
      </c>
      <c r="L103" s="132"/>
      <c r="M103" s="133" t="s">
        <v>518</v>
      </c>
      <c r="N103" s="134"/>
    </row>
    <row r="104" spans="3:14" ht="16.5" customHeight="1" x14ac:dyDescent="0.25">
      <c r="C104" s="141" t="str">
        <f>C58</f>
        <v>407 NIFC</v>
      </c>
      <c r="D104" s="142"/>
      <c r="E104" s="142"/>
      <c r="F104" s="142"/>
      <c r="G104" s="140" t="s">
        <v>623</v>
      </c>
      <c r="H104" s="140"/>
      <c r="K104" s="132" t="s">
        <v>624</v>
      </c>
      <c r="L104" s="132"/>
      <c r="M104" s="138" t="s">
        <v>518</v>
      </c>
      <c r="N104" s="139"/>
    </row>
    <row r="105" spans="3:14" ht="16.5" customHeight="1" x14ac:dyDescent="0.25">
      <c r="C105" s="141" t="str">
        <f>C61</f>
        <v>412 AFRICOM</v>
      </c>
      <c r="D105" s="142"/>
      <c r="E105" s="142"/>
      <c r="F105" s="142"/>
      <c r="G105" s="132" t="s">
        <v>623</v>
      </c>
      <c r="H105" s="132"/>
      <c r="K105" s="132" t="s">
        <v>624</v>
      </c>
      <c r="L105" s="132"/>
      <c r="M105" s="133" t="s">
        <v>518</v>
      </c>
      <c r="N105" s="134"/>
    </row>
    <row r="106" spans="3:14" ht="16.5" customHeight="1" x14ac:dyDescent="0.25">
      <c r="C106" s="141" t="str">
        <f>C64</f>
        <v>420 AFRICOM</v>
      </c>
      <c r="D106" s="142"/>
      <c r="E106" s="142"/>
      <c r="F106" s="142"/>
      <c r="G106" s="132" t="s">
        <v>623</v>
      </c>
      <c r="H106" s="132"/>
      <c r="K106" s="132" t="s">
        <v>624</v>
      </c>
      <c r="L106" s="132"/>
      <c r="M106" s="133" t="s">
        <v>518</v>
      </c>
      <c r="N106" s="134"/>
    </row>
    <row r="107" spans="3:14" ht="16.5" customHeight="1" x14ac:dyDescent="0.25">
      <c r="C107" s="141" t="s">
        <v>714</v>
      </c>
      <c r="D107" s="142"/>
      <c r="E107" s="142"/>
      <c r="F107" s="142"/>
      <c r="G107" s="132" t="s">
        <v>623</v>
      </c>
      <c r="H107" s="132"/>
      <c r="K107" s="132" t="s">
        <v>624</v>
      </c>
      <c r="L107" s="132"/>
      <c r="M107" s="133" t="s">
        <v>518</v>
      </c>
      <c r="N107" s="134"/>
    </row>
    <row r="108" spans="3:14" ht="16.5" customHeight="1" x14ac:dyDescent="0.25">
      <c r="C108" s="141" t="str">
        <f>C66</f>
        <v>612 Firing Range</v>
      </c>
      <c r="D108" s="142"/>
      <c r="E108" s="142"/>
      <c r="F108" s="142"/>
      <c r="G108" s="132" t="s">
        <v>623</v>
      </c>
      <c r="H108" s="132"/>
      <c r="K108" s="132" t="s">
        <v>624</v>
      </c>
      <c r="L108" s="132"/>
      <c r="M108" s="133" t="s">
        <v>518</v>
      </c>
      <c r="N108" s="134"/>
    </row>
    <row r="109" spans="3:14" ht="16.5" customHeight="1" x14ac:dyDescent="0.25">
      <c r="C109" s="141" t="str">
        <f>C67</f>
        <v xml:space="preserve"> LVIS Gate</v>
      </c>
      <c r="D109" s="142"/>
      <c r="E109" s="142"/>
      <c r="F109" s="142"/>
      <c r="G109" s="132" t="s">
        <v>623</v>
      </c>
      <c r="H109" s="132"/>
      <c r="K109" s="132" t="s">
        <v>624</v>
      </c>
      <c r="L109" s="132"/>
      <c r="M109" s="133" t="s">
        <v>518</v>
      </c>
      <c r="N109" s="134"/>
    </row>
    <row r="110" spans="3:14" ht="16.5" customHeight="1" thickBot="1" x14ac:dyDescent="0.3">
      <c r="C110" s="143" t="str">
        <f>C68</f>
        <v>51 DLA</v>
      </c>
      <c r="D110" s="144"/>
      <c r="E110" s="144"/>
      <c r="F110" s="144"/>
      <c r="G110" s="135" t="s">
        <v>623</v>
      </c>
      <c r="H110" s="135"/>
      <c r="K110" s="135" t="s">
        <v>624</v>
      </c>
      <c r="L110" s="135"/>
      <c r="M110" s="136" t="s">
        <v>518</v>
      </c>
      <c r="N110" s="137"/>
    </row>
    <row r="111" spans="3:14" ht="16.5" customHeight="1" x14ac:dyDescent="0.25"/>
    <row r="112" spans="3:14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</sheetData>
  <mergeCells count="485">
    <mergeCell ref="C3:N4"/>
    <mergeCell ref="C5:F6"/>
    <mergeCell ref="G5:H6"/>
    <mergeCell ref="I5:J6"/>
    <mergeCell ref="K5:L6"/>
    <mergeCell ref="M5:N6"/>
    <mergeCell ref="I35:J35"/>
    <mergeCell ref="K35:L35"/>
    <mergeCell ref="M35:N35"/>
    <mergeCell ref="C35:F35"/>
    <mergeCell ref="G35:H35"/>
    <mergeCell ref="K34:L34"/>
    <mergeCell ref="M34:N34"/>
    <mergeCell ref="G33:H33"/>
    <mergeCell ref="I33:J33"/>
    <mergeCell ref="K33:L33"/>
    <mergeCell ref="M33:N33"/>
    <mergeCell ref="C32:F32"/>
    <mergeCell ref="G32:H32"/>
    <mergeCell ref="I32:J32"/>
    <mergeCell ref="K32:L32"/>
    <mergeCell ref="M32:N32"/>
    <mergeCell ref="C33:F33"/>
    <mergeCell ref="C27:F27"/>
    <mergeCell ref="K36:L36"/>
    <mergeCell ref="M36:N36"/>
    <mergeCell ref="K37:L37"/>
    <mergeCell ref="M37:N37"/>
    <mergeCell ref="G31:H31"/>
    <mergeCell ref="I31:J31"/>
    <mergeCell ref="K31:L31"/>
    <mergeCell ref="M31:N31"/>
    <mergeCell ref="C30:F30"/>
    <mergeCell ref="G30:H30"/>
    <mergeCell ref="I30:J30"/>
    <mergeCell ref="K30:L30"/>
    <mergeCell ref="M30:N30"/>
    <mergeCell ref="C31:F31"/>
    <mergeCell ref="C36:F36"/>
    <mergeCell ref="G36:H36"/>
    <mergeCell ref="C37:F37"/>
    <mergeCell ref="G37:H37"/>
    <mergeCell ref="I36:J36"/>
    <mergeCell ref="I37:J37"/>
    <mergeCell ref="C34:F34"/>
    <mergeCell ref="G34:H34"/>
    <mergeCell ref="I34:J34"/>
    <mergeCell ref="G27:H27"/>
    <mergeCell ref="I27:J27"/>
    <mergeCell ref="K27:L27"/>
    <mergeCell ref="M27:N27"/>
    <mergeCell ref="C28:F28"/>
    <mergeCell ref="G28:H28"/>
    <mergeCell ref="I28:J28"/>
    <mergeCell ref="K28:L28"/>
    <mergeCell ref="M28:N28"/>
    <mergeCell ref="C26:F26"/>
    <mergeCell ref="G26:H26"/>
    <mergeCell ref="I26:J26"/>
    <mergeCell ref="K26:L26"/>
    <mergeCell ref="M26:N26"/>
    <mergeCell ref="C25:F25"/>
    <mergeCell ref="G25:H25"/>
    <mergeCell ref="I25:J25"/>
    <mergeCell ref="K25:L25"/>
    <mergeCell ref="M25:N25"/>
    <mergeCell ref="C24:F24"/>
    <mergeCell ref="G24:H24"/>
    <mergeCell ref="I24:J24"/>
    <mergeCell ref="K24:L24"/>
    <mergeCell ref="M24:N24"/>
    <mergeCell ref="C23:F23"/>
    <mergeCell ref="G23:H23"/>
    <mergeCell ref="I23:J23"/>
    <mergeCell ref="K23:L23"/>
    <mergeCell ref="M23:N23"/>
    <mergeCell ref="C22:F22"/>
    <mergeCell ref="G22:H22"/>
    <mergeCell ref="I22:J22"/>
    <mergeCell ref="K22:L22"/>
    <mergeCell ref="M22:N22"/>
    <mergeCell ref="C21:F21"/>
    <mergeCell ref="G21:H21"/>
    <mergeCell ref="I21:J21"/>
    <mergeCell ref="K21:L21"/>
    <mergeCell ref="M21:N21"/>
    <mergeCell ref="C20:F20"/>
    <mergeCell ref="G20:H20"/>
    <mergeCell ref="I20:J20"/>
    <mergeCell ref="K20:L20"/>
    <mergeCell ref="M20:N20"/>
    <mergeCell ref="C19:F19"/>
    <mergeCell ref="G19:H19"/>
    <mergeCell ref="I19:J19"/>
    <mergeCell ref="K19:L19"/>
    <mergeCell ref="M19:N19"/>
    <mergeCell ref="C18:F18"/>
    <mergeCell ref="G18:H18"/>
    <mergeCell ref="I18:J18"/>
    <mergeCell ref="K18:L18"/>
    <mergeCell ref="M18:N18"/>
    <mergeCell ref="C17:F17"/>
    <mergeCell ref="G17:H17"/>
    <mergeCell ref="I17:J17"/>
    <mergeCell ref="K17:L17"/>
    <mergeCell ref="M17:N17"/>
    <mergeCell ref="C13:F13"/>
    <mergeCell ref="G13:H13"/>
    <mergeCell ref="I13:J13"/>
    <mergeCell ref="K13:L13"/>
    <mergeCell ref="M13:N13"/>
    <mergeCell ref="C16:F16"/>
    <mergeCell ref="G16:H16"/>
    <mergeCell ref="I16:J16"/>
    <mergeCell ref="K16:L16"/>
    <mergeCell ref="M16:N16"/>
    <mergeCell ref="C15:F15"/>
    <mergeCell ref="G15:H15"/>
    <mergeCell ref="I15:J15"/>
    <mergeCell ref="K15:L15"/>
    <mergeCell ref="M15:N15"/>
    <mergeCell ref="C7:F7"/>
    <mergeCell ref="G7:H7"/>
    <mergeCell ref="I7:J7"/>
    <mergeCell ref="K9:L9"/>
    <mergeCell ref="M9:N9"/>
    <mergeCell ref="C29:F29"/>
    <mergeCell ref="G29:H29"/>
    <mergeCell ref="I29:J29"/>
    <mergeCell ref="K29:L29"/>
    <mergeCell ref="M29:N29"/>
    <mergeCell ref="K7:L7"/>
    <mergeCell ref="M7:N7"/>
    <mergeCell ref="C10:F10"/>
    <mergeCell ref="G10:H10"/>
    <mergeCell ref="I10:J10"/>
    <mergeCell ref="K10:L10"/>
    <mergeCell ref="M10:N10"/>
    <mergeCell ref="C9:F9"/>
    <mergeCell ref="G9:H9"/>
    <mergeCell ref="I9:J9"/>
    <mergeCell ref="C12:F12"/>
    <mergeCell ref="G12:H12"/>
    <mergeCell ref="I12:J12"/>
    <mergeCell ref="K12:L12"/>
    <mergeCell ref="C97:F97"/>
    <mergeCell ref="G97:H97"/>
    <mergeCell ref="C94:F94"/>
    <mergeCell ref="G94:H94"/>
    <mergeCell ref="C95:F95"/>
    <mergeCell ref="G95:H95"/>
    <mergeCell ref="K97:L97"/>
    <mergeCell ref="M97:N97"/>
    <mergeCell ref="C8:F8"/>
    <mergeCell ref="G8:H8"/>
    <mergeCell ref="I8:J8"/>
    <mergeCell ref="K8:L8"/>
    <mergeCell ref="M8:N8"/>
    <mergeCell ref="M12:N12"/>
    <mergeCell ref="C11:F11"/>
    <mergeCell ref="G11:H11"/>
    <mergeCell ref="I11:J11"/>
    <mergeCell ref="K11:L11"/>
    <mergeCell ref="M11:N11"/>
    <mergeCell ref="C14:F14"/>
    <mergeCell ref="G14:H14"/>
    <mergeCell ref="I14:J14"/>
    <mergeCell ref="K14:L14"/>
    <mergeCell ref="M14:N14"/>
    <mergeCell ref="C91:F91"/>
    <mergeCell ref="G91:H91"/>
    <mergeCell ref="G92:H92"/>
    <mergeCell ref="C93:F93"/>
    <mergeCell ref="G93:H93"/>
    <mergeCell ref="C92:F92"/>
    <mergeCell ref="C96:F96"/>
    <mergeCell ref="G96:H96"/>
    <mergeCell ref="K94:L94"/>
    <mergeCell ref="K95:L95"/>
    <mergeCell ref="K96:L96"/>
    <mergeCell ref="C71:F71"/>
    <mergeCell ref="G71:H71"/>
    <mergeCell ref="C72:F72"/>
    <mergeCell ref="G72:H72"/>
    <mergeCell ref="C82:F82"/>
    <mergeCell ref="G82:H82"/>
    <mergeCell ref="C81:F81"/>
    <mergeCell ref="G81:H81"/>
    <mergeCell ref="K81:L81"/>
    <mergeCell ref="K82:L82"/>
    <mergeCell ref="C79:F79"/>
    <mergeCell ref="G79:H79"/>
    <mergeCell ref="C80:F80"/>
    <mergeCell ref="G80:H80"/>
    <mergeCell ref="K79:L79"/>
    <mergeCell ref="C73:F73"/>
    <mergeCell ref="G73:H73"/>
    <mergeCell ref="C74:F74"/>
    <mergeCell ref="G74:H74"/>
    <mergeCell ref="C75:F75"/>
    <mergeCell ref="G75:H75"/>
    <mergeCell ref="C76:F76"/>
    <mergeCell ref="G76:H76"/>
    <mergeCell ref="C78:F78"/>
    <mergeCell ref="C70:F70"/>
    <mergeCell ref="G70:H70"/>
    <mergeCell ref="G68:H68"/>
    <mergeCell ref="K68:L68"/>
    <mergeCell ref="M68:N68"/>
    <mergeCell ref="C68:F68"/>
    <mergeCell ref="G69:H69"/>
    <mergeCell ref="I68:J68"/>
    <mergeCell ref="I69:J69"/>
    <mergeCell ref="C69:F69"/>
    <mergeCell ref="C64:F64"/>
    <mergeCell ref="G64:H64"/>
    <mergeCell ref="I64:J64"/>
    <mergeCell ref="K64:L64"/>
    <mergeCell ref="M64:N64"/>
    <mergeCell ref="C65:F65"/>
    <mergeCell ref="G65:H65"/>
    <mergeCell ref="I65:J65"/>
    <mergeCell ref="K65:L65"/>
    <mergeCell ref="M65:N65"/>
    <mergeCell ref="C63:F63"/>
    <mergeCell ref="G63:H63"/>
    <mergeCell ref="I63:J63"/>
    <mergeCell ref="K63:L63"/>
    <mergeCell ref="M63:N63"/>
    <mergeCell ref="C62:F62"/>
    <mergeCell ref="G62:H62"/>
    <mergeCell ref="I62:J62"/>
    <mergeCell ref="K62:L62"/>
    <mergeCell ref="M62:N62"/>
    <mergeCell ref="C56:F56"/>
    <mergeCell ref="G56:H56"/>
    <mergeCell ref="I56:J56"/>
    <mergeCell ref="K56:L56"/>
    <mergeCell ref="M56:N56"/>
    <mergeCell ref="C57:F57"/>
    <mergeCell ref="G57:H57"/>
    <mergeCell ref="I57:J57"/>
    <mergeCell ref="K57:L57"/>
    <mergeCell ref="M57:N57"/>
    <mergeCell ref="C44:F44"/>
    <mergeCell ref="G44:H44"/>
    <mergeCell ref="I44:J44"/>
    <mergeCell ref="K44:L44"/>
    <mergeCell ref="M44:N44"/>
    <mergeCell ref="C45:F45"/>
    <mergeCell ref="G45:H45"/>
    <mergeCell ref="I45:J45"/>
    <mergeCell ref="K45:L45"/>
    <mergeCell ref="M45:N45"/>
    <mergeCell ref="C43:F43"/>
    <mergeCell ref="G43:H43"/>
    <mergeCell ref="I43:J43"/>
    <mergeCell ref="K43:L43"/>
    <mergeCell ref="M43:N43"/>
    <mergeCell ref="C42:F42"/>
    <mergeCell ref="G42:H42"/>
    <mergeCell ref="I42:J42"/>
    <mergeCell ref="K42:L42"/>
    <mergeCell ref="M42:N42"/>
    <mergeCell ref="C101:F101"/>
    <mergeCell ref="G101:H101"/>
    <mergeCell ref="C98:F98"/>
    <mergeCell ref="G98:H98"/>
    <mergeCell ref="C99:F99"/>
    <mergeCell ref="G99:H99"/>
    <mergeCell ref="C100:F100"/>
    <mergeCell ref="G100:H100"/>
    <mergeCell ref="K98:L98"/>
    <mergeCell ref="K99:L99"/>
    <mergeCell ref="C90:F90"/>
    <mergeCell ref="G90:H90"/>
    <mergeCell ref="C87:F87"/>
    <mergeCell ref="G87:H87"/>
    <mergeCell ref="C88:F88"/>
    <mergeCell ref="G88:H88"/>
    <mergeCell ref="C89:F89"/>
    <mergeCell ref="G89:H89"/>
    <mergeCell ref="K87:L87"/>
    <mergeCell ref="K88:L88"/>
    <mergeCell ref="C83:F83"/>
    <mergeCell ref="G83:H83"/>
    <mergeCell ref="C84:F84"/>
    <mergeCell ref="G84:H84"/>
    <mergeCell ref="K83:L83"/>
    <mergeCell ref="M83:N83"/>
    <mergeCell ref="K84:L84"/>
    <mergeCell ref="M84:N84"/>
    <mergeCell ref="C86:F86"/>
    <mergeCell ref="G86:H86"/>
    <mergeCell ref="K85:L85"/>
    <mergeCell ref="M85:N85"/>
    <mergeCell ref="K86:L86"/>
    <mergeCell ref="M86:N86"/>
    <mergeCell ref="C85:F85"/>
    <mergeCell ref="G85:H85"/>
    <mergeCell ref="G78:H78"/>
    <mergeCell ref="C77:F77"/>
    <mergeCell ref="G77:H77"/>
    <mergeCell ref="C66:F66"/>
    <mergeCell ref="G66:H66"/>
    <mergeCell ref="I66:J66"/>
    <mergeCell ref="K66:L66"/>
    <mergeCell ref="M66:N66"/>
    <mergeCell ref="C67:F67"/>
    <mergeCell ref="G67:H67"/>
    <mergeCell ref="I67:J67"/>
    <mergeCell ref="K67:L67"/>
    <mergeCell ref="M67:N67"/>
    <mergeCell ref="K74:L74"/>
    <mergeCell ref="M74:N74"/>
    <mergeCell ref="K75:L75"/>
    <mergeCell ref="M75:N75"/>
    <mergeCell ref="K76:L76"/>
    <mergeCell ref="M76:N76"/>
    <mergeCell ref="K69:L69"/>
    <mergeCell ref="M69:N69"/>
    <mergeCell ref="K70:L70"/>
    <mergeCell ref="M70:N70"/>
    <mergeCell ref="K71:L71"/>
    <mergeCell ref="C60:F60"/>
    <mergeCell ref="G60:H60"/>
    <mergeCell ref="I60:J60"/>
    <mergeCell ref="K60:L60"/>
    <mergeCell ref="M60:N60"/>
    <mergeCell ref="C61:F61"/>
    <mergeCell ref="G61:H61"/>
    <mergeCell ref="I61:J61"/>
    <mergeCell ref="K61:L61"/>
    <mergeCell ref="M61:N61"/>
    <mergeCell ref="C58:F58"/>
    <mergeCell ref="G58:H58"/>
    <mergeCell ref="I58:J58"/>
    <mergeCell ref="K58:L58"/>
    <mergeCell ref="M58:N58"/>
    <mergeCell ref="C59:F59"/>
    <mergeCell ref="G59:H59"/>
    <mergeCell ref="I59:J59"/>
    <mergeCell ref="K59:L59"/>
    <mergeCell ref="M59:N59"/>
    <mergeCell ref="I55:J55"/>
    <mergeCell ref="K55:L55"/>
    <mergeCell ref="M55:N55"/>
    <mergeCell ref="C52:F52"/>
    <mergeCell ref="G52:H52"/>
    <mergeCell ref="I52:J52"/>
    <mergeCell ref="K52:L52"/>
    <mergeCell ref="M52:N52"/>
    <mergeCell ref="C53:F53"/>
    <mergeCell ref="G53:H53"/>
    <mergeCell ref="I53:J53"/>
    <mergeCell ref="K53:L53"/>
    <mergeCell ref="M53:N53"/>
    <mergeCell ref="K54:L54"/>
    <mergeCell ref="M54:N54"/>
    <mergeCell ref="C55:F55"/>
    <mergeCell ref="G55:H55"/>
    <mergeCell ref="C54:F54"/>
    <mergeCell ref="G54:H54"/>
    <mergeCell ref="I54:J54"/>
    <mergeCell ref="M51:N51"/>
    <mergeCell ref="C48:F48"/>
    <mergeCell ref="G48:H48"/>
    <mergeCell ref="I48:J48"/>
    <mergeCell ref="K48:L48"/>
    <mergeCell ref="M48:N48"/>
    <mergeCell ref="C49:F49"/>
    <mergeCell ref="G49:H49"/>
    <mergeCell ref="I49:J49"/>
    <mergeCell ref="K49:L49"/>
    <mergeCell ref="M49:N49"/>
    <mergeCell ref="C51:F51"/>
    <mergeCell ref="G51:H51"/>
    <mergeCell ref="I51:J51"/>
    <mergeCell ref="K51:L51"/>
    <mergeCell ref="C50:F50"/>
    <mergeCell ref="G50:H50"/>
    <mergeCell ref="I50:J50"/>
    <mergeCell ref="K50:L50"/>
    <mergeCell ref="M50:N50"/>
    <mergeCell ref="C46:F46"/>
    <mergeCell ref="G46:H46"/>
    <mergeCell ref="I46:J46"/>
    <mergeCell ref="K46:L46"/>
    <mergeCell ref="M46:N46"/>
    <mergeCell ref="C47:F47"/>
    <mergeCell ref="G47:H47"/>
    <mergeCell ref="I47:J47"/>
    <mergeCell ref="K47:L47"/>
    <mergeCell ref="M47:N47"/>
    <mergeCell ref="C40:F40"/>
    <mergeCell ref="G40:H40"/>
    <mergeCell ref="I40:J40"/>
    <mergeCell ref="K40:L40"/>
    <mergeCell ref="M40:N40"/>
    <mergeCell ref="C41:F41"/>
    <mergeCell ref="G41:H41"/>
    <mergeCell ref="I41:J41"/>
    <mergeCell ref="K41:L41"/>
    <mergeCell ref="M41:N41"/>
    <mergeCell ref="C38:F38"/>
    <mergeCell ref="G38:H38"/>
    <mergeCell ref="I38:J38"/>
    <mergeCell ref="K38:L38"/>
    <mergeCell ref="M38:N38"/>
    <mergeCell ref="C39:F39"/>
    <mergeCell ref="G39:H39"/>
    <mergeCell ref="I39:J39"/>
    <mergeCell ref="K39:L39"/>
    <mergeCell ref="M39:N39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M98:N98"/>
    <mergeCell ref="M99:N99"/>
    <mergeCell ref="M94:N94"/>
    <mergeCell ref="M95:N95"/>
    <mergeCell ref="M96:N96"/>
    <mergeCell ref="K91:L91"/>
    <mergeCell ref="M91:N91"/>
    <mergeCell ref="K92:L92"/>
    <mergeCell ref="M92:N92"/>
    <mergeCell ref="K93:L93"/>
    <mergeCell ref="M93:N93"/>
    <mergeCell ref="M71:N71"/>
    <mergeCell ref="K72:L72"/>
    <mergeCell ref="M72:N72"/>
    <mergeCell ref="K73:L73"/>
    <mergeCell ref="M73:N73"/>
    <mergeCell ref="K89:L89"/>
    <mergeCell ref="M89:N89"/>
    <mergeCell ref="K90:L90"/>
    <mergeCell ref="M90:N90"/>
    <mergeCell ref="K77:L77"/>
    <mergeCell ref="M77:N77"/>
    <mergeCell ref="K78:L78"/>
    <mergeCell ref="M78:N78"/>
    <mergeCell ref="M79:N79"/>
    <mergeCell ref="K80:L80"/>
    <mergeCell ref="M80:N80"/>
    <mergeCell ref="M81:N81"/>
    <mergeCell ref="M82:N82"/>
    <mergeCell ref="M87:N87"/>
    <mergeCell ref="M88:N88"/>
    <mergeCell ref="K107:L107"/>
    <mergeCell ref="M107:N107"/>
    <mergeCell ref="K108:L108"/>
    <mergeCell ref="M108:N108"/>
    <mergeCell ref="K109:L109"/>
    <mergeCell ref="M109:N109"/>
    <mergeCell ref="K110:L110"/>
    <mergeCell ref="M110:N110"/>
    <mergeCell ref="K100:L100"/>
    <mergeCell ref="M100:N100"/>
    <mergeCell ref="K101:L101"/>
    <mergeCell ref="M101:N101"/>
    <mergeCell ref="K102:L102"/>
    <mergeCell ref="M102:N102"/>
    <mergeCell ref="K103:L103"/>
    <mergeCell ref="M103:N103"/>
    <mergeCell ref="K104:L104"/>
    <mergeCell ref="M104:N104"/>
    <mergeCell ref="K105:L105"/>
    <mergeCell ref="M105:N105"/>
    <mergeCell ref="K106:L106"/>
    <mergeCell ref="M106:N106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Q91"/>
  <sheetViews>
    <sheetView topLeftCell="D57" workbookViewId="0">
      <selection activeCell="T23" sqref="T23"/>
    </sheetView>
  </sheetViews>
  <sheetFormatPr defaultRowHeight="15" x14ac:dyDescent="0.25"/>
  <cols>
    <col min="1" max="3" width="0" hidden="1" customWidth="1"/>
  </cols>
  <sheetData>
    <row r="1" spans="4:15" ht="15.75" thickBot="1" x14ac:dyDescent="0.3"/>
    <row r="2" spans="4:15" ht="15" customHeight="1" x14ac:dyDescent="0.25">
      <c r="D2" s="169" t="s">
        <v>334</v>
      </c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/>
    </row>
    <row r="3" spans="4:15" ht="15.75" customHeight="1" thickBot="1" x14ac:dyDescent="0.3">
      <c r="D3" s="172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4"/>
    </row>
    <row r="4" spans="4:15" ht="15" customHeight="1" x14ac:dyDescent="0.25">
      <c r="D4" s="175" t="s">
        <v>315</v>
      </c>
      <c r="E4" s="176"/>
      <c r="F4" s="176"/>
      <c r="G4" s="176"/>
      <c r="H4" s="179" t="s">
        <v>0</v>
      </c>
      <c r="I4" s="179"/>
      <c r="J4" s="179" t="s">
        <v>3</v>
      </c>
      <c r="K4" s="179"/>
      <c r="L4" s="179" t="s">
        <v>2</v>
      </c>
      <c r="M4" s="179"/>
      <c r="N4" s="179" t="s">
        <v>1</v>
      </c>
      <c r="O4" s="181"/>
    </row>
    <row r="5" spans="4:15" x14ac:dyDescent="0.25">
      <c r="D5" s="183"/>
      <c r="E5" s="184"/>
      <c r="F5" s="184"/>
      <c r="G5" s="184"/>
      <c r="H5" s="180"/>
      <c r="I5" s="180"/>
      <c r="J5" s="180"/>
      <c r="K5" s="180"/>
      <c r="L5" s="180"/>
      <c r="M5" s="180"/>
      <c r="N5" s="180"/>
      <c r="O5" s="182"/>
    </row>
    <row r="6" spans="4:15" ht="15.75" customHeight="1" x14ac:dyDescent="0.25">
      <c r="D6" s="158" t="s">
        <v>333</v>
      </c>
      <c r="E6" s="158"/>
      <c r="F6" s="158"/>
      <c r="G6" s="158"/>
      <c r="H6" s="158" t="s">
        <v>4</v>
      </c>
      <c r="I6" s="158"/>
      <c r="J6" s="158">
        <v>1</v>
      </c>
      <c r="K6" s="158"/>
      <c r="L6" s="158" t="s">
        <v>286</v>
      </c>
      <c r="M6" s="158"/>
      <c r="N6" s="158" t="s">
        <v>288</v>
      </c>
      <c r="O6" s="158"/>
    </row>
    <row r="7" spans="4:15" ht="15" customHeight="1" x14ac:dyDescent="0.25">
      <c r="D7" s="158" t="s">
        <v>332</v>
      </c>
      <c r="E7" s="158"/>
      <c r="F7" s="158"/>
      <c r="G7" s="158"/>
      <c r="H7" s="158" t="s">
        <v>4</v>
      </c>
      <c r="I7" s="158"/>
      <c r="J7" s="158">
        <v>1</v>
      </c>
      <c r="K7" s="158"/>
      <c r="L7" s="158" t="s">
        <v>286</v>
      </c>
      <c r="M7" s="158"/>
      <c r="N7" s="158" t="s">
        <v>288</v>
      </c>
      <c r="O7" s="158"/>
    </row>
    <row r="8" spans="4:15" ht="15" customHeight="1" x14ac:dyDescent="0.25">
      <c r="D8" s="158" t="s">
        <v>331</v>
      </c>
      <c r="E8" s="158"/>
      <c r="F8" s="158"/>
      <c r="G8" s="158"/>
      <c r="H8" s="158" t="s">
        <v>4</v>
      </c>
      <c r="I8" s="158"/>
      <c r="J8" s="158">
        <v>1</v>
      </c>
      <c r="K8" s="158"/>
      <c r="L8" s="158" t="s">
        <v>286</v>
      </c>
      <c r="M8" s="158"/>
      <c r="N8" s="158" t="s">
        <v>288</v>
      </c>
      <c r="O8" s="158"/>
    </row>
    <row r="9" spans="4:15" ht="15" customHeight="1" x14ac:dyDescent="0.25">
      <c r="D9" s="158" t="s">
        <v>330</v>
      </c>
      <c r="E9" s="158"/>
      <c r="F9" s="158"/>
      <c r="G9" s="158"/>
      <c r="H9" s="158" t="s">
        <v>4</v>
      </c>
      <c r="I9" s="158"/>
      <c r="J9" s="158">
        <v>1</v>
      </c>
      <c r="K9" s="158"/>
      <c r="L9" s="158" t="s">
        <v>286</v>
      </c>
      <c r="M9" s="158"/>
      <c r="N9" s="158" t="s">
        <v>288</v>
      </c>
      <c r="O9" s="158"/>
    </row>
    <row r="10" spans="4:15" ht="15" customHeight="1" x14ac:dyDescent="0.25">
      <c r="D10" s="158" t="s">
        <v>329</v>
      </c>
      <c r="E10" s="158"/>
      <c r="F10" s="158"/>
      <c r="G10" s="158"/>
      <c r="H10" s="158" t="s">
        <v>4</v>
      </c>
      <c r="I10" s="158"/>
      <c r="J10" s="158">
        <v>1</v>
      </c>
      <c r="K10" s="158"/>
      <c r="L10" s="158" t="s">
        <v>286</v>
      </c>
      <c r="M10" s="158"/>
      <c r="N10" s="158" t="s">
        <v>288</v>
      </c>
      <c r="O10" s="158"/>
    </row>
    <row r="11" spans="4:15" ht="15" customHeight="1" x14ac:dyDescent="0.25">
      <c r="D11" s="158" t="s">
        <v>328</v>
      </c>
      <c r="E11" s="158"/>
      <c r="F11" s="158"/>
      <c r="G11" s="158"/>
      <c r="H11" s="158" t="s">
        <v>4</v>
      </c>
      <c r="I11" s="158"/>
      <c r="J11" s="158">
        <v>1</v>
      </c>
      <c r="K11" s="158"/>
      <c r="L11" s="158" t="s">
        <v>286</v>
      </c>
      <c r="M11" s="158"/>
      <c r="N11" s="158" t="s">
        <v>288</v>
      </c>
      <c r="O11" s="158"/>
    </row>
    <row r="12" spans="4:15" ht="15" customHeight="1" x14ac:dyDescent="0.25">
      <c r="D12" s="158" t="s">
        <v>327</v>
      </c>
      <c r="E12" s="158"/>
      <c r="F12" s="158"/>
      <c r="G12" s="158"/>
      <c r="H12" s="158" t="s">
        <v>4</v>
      </c>
      <c r="I12" s="158"/>
      <c r="J12" s="158">
        <v>1</v>
      </c>
      <c r="K12" s="158"/>
      <c r="L12" s="158" t="s">
        <v>286</v>
      </c>
      <c r="M12" s="158"/>
      <c r="N12" s="158" t="s">
        <v>288</v>
      </c>
      <c r="O12" s="158"/>
    </row>
    <row r="13" spans="4:15" ht="15" customHeight="1" x14ac:dyDescent="0.25">
      <c r="D13" s="158" t="s">
        <v>326</v>
      </c>
      <c r="E13" s="158"/>
      <c r="F13" s="158"/>
      <c r="G13" s="158"/>
      <c r="H13" s="158" t="s">
        <v>4</v>
      </c>
      <c r="I13" s="158"/>
      <c r="J13" s="158">
        <v>1</v>
      </c>
      <c r="K13" s="158"/>
      <c r="L13" s="158" t="s">
        <v>286</v>
      </c>
      <c r="M13" s="158"/>
      <c r="N13" s="158" t="s">
        <v>288</v>
      </c>
      <c r="O13" s="158"/>
    </row>
    <row r="14" spans="4:15" ht="15" customHeight="1" x14ac:dyDescent="0.25">
      <c r="D14" s="158" t="s">
        <v>325</v>
      </c>
      <c r="E14" s="158"/>
      <c r="F14" s="158"/>
      <c r="G14" s="158"/>
      <c r="H14" s="158" t="s">
        <v>4</v>
      </c>
      <c r="I14" s="158"/>
      <c r="J14" s="158">
        <v>1</v>
      </c>
      <c r="K14" s="158"/>
      <c r="L14" s="158" t="s">
        <v>286</v>
      </c>
      <c r="M14" s="158"/>
      <c r="N14" s="158" t="s">
        <v>288</v>
      </c>
      <c r="O14" s="158"/>
    </row>
    <row r="15" spans="4:15" ht="15" customHeight="1" x14ac:dyDescent="0.25">
      <c r="D15" s="158" t="s">
        <v>324</v>
      </c>
      <c r="E15" s="158"/>
      <c r="F15" s="158"/>
      <c r="G15" s="158"/>
      <c r="H15" s="158" t="s">
        <v>4</v>
      </c>
      <c r="I15" s="158"/>
      <c r="J15" s="158">
        <v>1</v>
      </c>
      <c r="K15" s="158"/>
      <c r="L15" s="158" t="s">
        <v>286</v>
      </c>
      <c r="M15" s="158"/>
      <c r="N15" s="158" t="s">
        <v>288</v>
      </c>
      <c r="O15" s="158"/>
    </row>
    <row r="16" spans="4:15" ht="15" customHeight="1" x14ac:dyDescent="0.25">
      <c r="D16" s="158" t="s">
        <v>323</v>
      </c>
      <c r="E16" s="158"/>
      <c r="F16" s="158"/>
      <c r="G16" s="158"/>
      <c r="H16" s="158" t="s">
        <v>300</v>
      </c>
      <c r="I16" s="158"/>
      <c r="J16" s="158">
        <v>1</v>
      </c>
      <c r="K16" s="158"/>
      <c r="L16" s="158" t="s">
        <v>303</v>
      </c>
      <c r="M16" s="158"/>
      <c r="N16" s="158" t="s">
        <v>421</v>
      </c>
      <c r="O16" s="158"/>
    </row>
    <row r="17" spans="1:17" ht="15" customHeight="1" x14ac:dyDescent="0.25">
      <c r="D17" s="158" t="s">
        <v>323</v>
      </c>
      <c r="E17" s="158"/>
      <c r="F17" s="158"/>
      <c r="G17" s="158"/>
      <c r="H17" s="158" t="s">
        <v>4</v>
      </c>
      <c r="I17" s="158"/>
      <c r="J17" s="158">
        <v>1</v>
      </c>
      <c r="K17" s="158"/>
      <c r="L17" s="158" t="s">
        <v>286</v>
      </c>
      <c r="M17" s="158"/>
      <c r="N17" s="158" t="s">
        <v>288</v>
      </c>
      <c r="O17" s="158"/>
    </row>
    <row r="18" spans="1:17" ht="15" customHeight="1" x14ac:dyDescent="0.25">
      <c r="D18" s="158" t="s">
        <v>322</v>
      </c>
      <c r="E18" s="158"/>
      <c r="F18" s="158"/>
      <c r="G18" s="158"/>
      <c r="H18" s="158" t="s">
        <v>4</v>
      </c>
      <c r="I18" s="158"/>
      <c r="J18" s="158">
        <v>1</v>
      </c>
      <c r="K18" s="158"/>
      <c r="L18" s="158" t="s">
        <v>286</v>
      </c>
      <c r="M18" s="158"/>
      <c r="N18" s="158" t="s">
        <v>288</v>
      </c>
      <c r="O18" s="158"/>
    </row>
    <row r="19" spans="1:17" ht="15" customHeight="1" x14ac:dyDescent="0.25">
      <c r="D19" s="158" t="s">
        <v>321</v>
      </c>
      <c r="E19" s="158"/>
      <c r="F19" s="158"/>
      <c r="G19" s="158"/>
      <c r="H19" s="158" t="s">
        <v>4</v>
      </c>
      <c r="I19" s="158"/>
      <c r="J19" s="158">
        <v>1</v>
      </c>
      <c r="K19" s="158"/>
      <c r="L19" s="158" t="s">
        <v>286</v>
      </c>
      <c r="M19" s="158"/>
      <c r="N19" s="158" t="s">
        <v>288</v>
      </c>
      <c r="O19" s="158"/>
    </row>
    <row r="20" spans="1:17" ht="15" customHeight="1" x14ac:dyDescent="0.25">
      <c r="D20" s="158" t="s">
        <v>320</v>
      </c>
      <c r="E20" s="158"/>
      <c r="F20" s="158"/>
      <c r="G20" s="158"/>
      <c r="H20" s="158" t="s">
        <v>4</v>
      </c>
      <c r="I20" s="158"/>
      <c r="J20" s="158">
        <v>1</v>
      </c>
      <c r="K20" s="158"/>
      <c r="L20" s="158" t="s">
        <v>286</v>
      </c>
      <c r="M20" s="158"/>
      <c r="N20" s="158" t="s">
        <v>288</v>
      </c>
      <c r="O20" s="158"/>
    </row>
    <row r="21" spans="1:17" ht="15" customHeight="1" x14ac:dyDescent="0.25">
      <c r="D21" s="158" t="s">
        <v>319</v>
      </c>
      <c r="E21" s="158"/>
      <c r="F21" s="158"/>
      <c r="G21" s="158"/>
      <c r="H21" s="158" t="s">
        <v>4</v>
      </c>
      <c r="I21" s="158"/>
      <c r="J21" s="158">
        <v>1</v>
      </c>
      <c r="K21" s="158"/>
      <c r="L21" s="158" t="s">
        <v>286</v>
      </c>
      <c r="M21" s="158"/>
      <c r="N21" s="158" t="s">
        <v>288</v>
      </c>
      <c r="O21" s="158"/>
    </row>
    <row r="22" spans="1:17" ht="15" customHeight="1" x14ac:dyDescent="0.25">
      <c r="D22" s="158" t="s">
        <v>318</v>
      </c>
      <c r="E22" s="158"/>
      <c r="F22" s="158"/>
      <c r="G22" s="158"/>
      <c r="H22" s="158" t="s">
        <v>4</v>
      </c>
      <c r="I22" s="158"/>
      <c r="J22" s="158">
        <v>1</v>
      </c>
      <c r="K22" s="158"/>
      <c r="L22" s="158" t="s">
        <v>286</v>
      </c>
      <c r="M22" s="158"/>
      <c r="N22" s="158" t="s">
        <v>288</v>
      </c>
      <c r="O22" s="158"/>
    </row>
    <row r="23" spans="1:17" ht="15" customHeight="1" x14ac:dyDescent="0.25">
      <c r="D23" s="158" t="s">
        <v>317</v>
      </c>
      <c r="E23" s="158"/>
      <c r="F23" s="158"/>
      <c r="G23" s="158"/>
      <c r="H23" s="158" t="s">
        <v>4</v>
      </c>
      <c r="I23" s="158"/>
      <c r="J23" s="158">
        <v>1</v>
      </c>
      <c r="K23" s="158"/>
      <c r="L23" s="158" t="s">
        <v>286</v>
      </c>
      <c r="M23" s="158"/>
      <c r="N23" s="158" t="s">
        <v>288</v>
      </c>
      <c r="O23" s="158"/>
    </row>
    <row r="24" spans="1:17" ht="15" customHeight="1" x14ac:dyDescent="0.25">
      <c r="D24" s="163" t="s">
        <v>446</v>
      </c>
      <c r="E24" s="163"/>
      <c r="F24" s="163"/>
      <c r="G24" s="163"/>
      <c r="H24" s="163" t="s">
        <v>442</v>
      </c>
      <c r="I24" s="163"/>
      <c r="J24" s="163">
        <v>300</v>
      </c>
      <c r="K24" s="163"/>
      <c r="L24" s="163" t="s">
        <v>447</v>
      </c>
      <c r="M24" s="163"/>
      <c r="N24" s="163" t="s">
        <v>454</v>
      </c>
      <c r="O24" s="163"/>
    </row>
    <row r="25" spans="1:17" ht="15" customHeight="1" x14ac:dyDescent="0.25">
      <c r="D25" s="163" t="s">
        <v>448</v>
      </c>
      <c r="E25" s="163"/>
      <c r="F25" s="163"/>
      <c r="G25" s="163"/>
      <c r="H25" s="163" t="s">
        <v>449</v>
      </c>
      <c r="I25" s="163"/>
      <c r="J25" s="163">
        <v>1</v>
      </c>
      <c r="K25" s="163"/>
      <c r="L25" s="163" t="s">
        <v>447</v>
      </c>
      <c r="M25" s="163"/>
      <c r="N25" s="163" t="s">
        <v>45</v>
      </c>
      <c r="O25" s="163"/>
    </row>
    <row r="26" spans="1:17" ht="15.75" customHeight="1" x14ac:dyDescent="0.25">
      <c r="D26" s="163" t="s">
        <v>450</v>
      </c>
      <c r="E26" s="163"/>
      <c r="F26" s="163"/>
      <c r="G26" s="163"/>
      <c r="H26" s="163" t="s">
        <v>451</v>
      </c>
      <c r="I26" s="163"/>
      <c r="J26" s="163">
        <v>1</v>
      </c>
      <c r="K26" s="163"/>
      <c r="L26" s="163" t="s">
        <v>452</v>
      </c>
      <c r="M26" s="163"/>
      <c r="N26" s="163" t="s">
        <v>453</v>
      </c>
      <c r="O26" s="163"/>
    </row>
    <row r="27" spans="1:17" x14ac:dyDescent="0.25">
      <c r="A27" s="42">
        <v>51</v>
      </c>
      <c r="B27" s="41" t="s">
        <v>625</v>
      </c>
      <c r="C27" s="25"/>
      <c r="D27" s="185" t="str">
        <f>A27&amp;" "&amp;B27</f>
        <v>51 DLA</v>
      </c>
      <c r="E27" s="185"/>
      <c r="F27" s="185"/>
      <c r="G27" s="185"/>
      <c r="H27" s="132" t="s">
        <v>547</v>
      </c>
      <c r="I27" s="132"/>
      <c r="J27" s="132">
        <v>1</v>
      </c>
      <c r="K27" s="132"/>
      <c r="L27" s="132" t="s">
        <v>574</v>
      </c>
      <c r="M27" s="132"/>
      <c r="N27" s="132" t="s">
        <v>48</v>
      </c>
      <c r="O27" s="132"/>
    </row>
    <row r="28" spans="1:17" x14ac:dyDescent="0.25">
      <c r="A28" s="42">
        <v>84</v>
      </c>
      <c r="B28" s="41" t="s">
        <v>626</v>
      </c>
      <c r="C28" s="25"/>
      <c r="D28" s="185" t="str">
        <f t="shared" ref="D28:D56" si="0">A28&amp;" "&amp;B28</f>
        <v>84 JAC</v>
      </c>
      <c r="E28" s="185"/>
      <c r="F28" s="185"/>
      <c r="G28" s="185"/>
      <c r="H28" s="132" t="s">
        <v>547</v>
      </c>
      <c r="I28" s="132"/>
      <c r="J28" s="132">
        <v>1</v>
      </c>
      <c r="K28" s="132"/>
      <c r="L28" s="132" t="s">
        <v>574</v>
      </c>
      <c r="M28" s="132"/>
      <c r="N28" s="132" t="s">
        <v>48</v>
      </c>
      <c r="O28" s="132"/>
    </row>
    <row r="29" spans="1:17" x14ac:dyDescent="0.25">
      <c r="A29" s="42">
        <v>84</v>
      </c>
      <c r="B29" s="41" t="s">
        <v>627</v>
      </c>
      <c r="C29" s="25"/>
      <c r="D29" s="185" t="str">
        <f t="shared" si="0"/>
        <v>84 JAC IT</v>
      </c>
      <c r="E29" s="185"/>
      <c r="F29" s="185"/>
      <c r="G29" s="185"/>
      <c r="H29" s="132" t="s">
        <v>547</v>
      </c>
      <c r="I29" s="132"/>
      <c r="J29" s="132">
        <v>1</v>
      </c>
      <c r="K29" s="132"/>
      <c r="L29" s="132" t="s">
        <v>574</v>
      </c>
      <c r="M29" s="132"/>
      <c r="N29" s="132" t="s">
        <v>48</v>
      </c>
      <c r="O29" s="132"/>
    </row>
    <row r="30" spans="1:17" x14ac:dyDescent="0.25">
      <c r="A30" s="42">
        <v>100</v>
      </c>
      <c r="B30" s="41" t="s">
        <v>626</v>
      </c>
      <c r="C30" s="25"/>
      <c r="D30" s="186" t="str">
        <f t="shared" si="0"/>
        <v>100 JAC</v>
      </c>
      <c r="E30" s="186"/>
      <c r="F30" s="186"/>
      <c r="G30" s="186"/>
      <c r="H30" s="147" t="s">
        <v>547</v>
      </c>
      <c r="I30" s="147"/>
      <c r="J30" s="147">
        <v>1</v>
      </c>
      <c r="K30" s="147"/>
      <c r="L30" s="147" t="s">
        <v>574</v>
      </c>
      <c r="M30" s="147"/>
      <c r="N30" s="147" t="s">
        <v>48</v>
      </c>
      <c r="O30" s="147"/>
      <c r="P30" s="91"/>
      <c r="Q30" s="91"/>
    </row>
    <row r="31" spans="1:17" x14ac:dyDescent="0.25">
      <c r="A31" s="42">
        <v>303</v>
      </c>
      <c r="B31" s="41" t="s">
        <v>626</v>
      </c>
      <c r="C31" s="25"/>
      <c r="D31" s="186" t="str">
        <f t="shared" si="0"/>
        <v>303 JAC</v>
      </c>
      <c r="E31" s="186"/>
      <c r="F31" s="186"/>
      <c r="G31" s="186"/>
      <c r="H31" s="147" t="s">
        <v>547</v>
      </c>
      <c r="I31" s="147"/>
      <c r="J31" s="147">
        <v>1</v>
      </c>
      <c r="K31" s="147"/>
      <c r="L31" s="147" t="s">
        <v>574</v>
      </c>
      <c r="M31" s="147"/>
      <c r="N31" s="147" t="s">
        <v>48</v>
      </c>
      <c r="O31" s="147"/>
      <c r="P31" s="91"/>
      <c r="Q31" s="91"/>
    </row>
    <row r="32" spans="1:17" x14ac:dyDescent="0.25">
      <c r="A32" s="42">
        <v>314</v>
      </c>
      <c r="B32" s="44" t="s">
        <v>626</v>
      </c>
      <c r="C32" s="45"/>
      <c r="D32" s="186" t="str">
        <f t="shared" si="0"/>
        <v>314 JAC</v>
      </c>
      <c r="E32" s="186"/>
      <c r="F32" s="186"/>
      <c r="G32" s="186"/>
      <c r="H32" s="147" t="s">
        <v>547</v>
      </c>
      <c r="I32" s="147"/>
      <c r="J32" s="147">
        <v>1</v>
      </c>
      <c r="K32" s="147"/>
      <c r="L32" s="147" t="s">
        <v>574</v>
      </c>
      <c r="M32" s="147"/>
      <c r="N32" s="147" t="s">
        <v>48</v>
      </c>
      <c r="O32" s="147"/>
      <c r="P32" s="91"/>
      <c r="Q32" s="91"/>
    </row>
    <row r="33" spans="1:17" x14ac:dyDescent="0.25">
      <c r="A33" s="42">
        <v>316</v>
      </c>
      <c r="B33" s="41" t="s">
        <v>628</v>
      </c>
      <c r="C33" s="25"/>
      <c r="D33" s="186" t="str">
        <f t="shared" si="0"/>
        <v>316 NYPD</v>
      </c>
      <c r="E33" s="186"/>
      <c r="F33" s="186"/>
      <c r="G33" s="186"/>
      <c r="H33" s="147" t="s">
        <v>547</v>
      </c>
      <c r="I33" s="147"/>
      <c r="J33" s="147">
        <v>1</v>
      </c>
      <c r="K33" s="147"/>
      <c r="L33" s="147" t="s">
        <v>574</v>
      </c>
      <c r="M33" s="147"/>
      <c r="N33" s="147" t="s">
        <v>48</v>
      </c>
      <c r="O33" s="147"/>
      <c r="P33" s="91"/>
      <c r="Q33" s="91"/>
    </row>
    <row r="34" spans="1:17" x14ac:dyDescent="0.25">
      <c r="A34" s="42">
        <v>318</v>
      </c>
      <c r="B34" s="41" t="s">
        <v>629</v>
      </c>
      <c r="C34" s="25"/>
      <c r="D34" s="186" t="str">
        <f t="shared" si="0"/>
        <v>318 Emergency Control Room</v>
      </c>
      <c r="E34" s="186"/>
      <c r="F34" s="186"/>
      <c r="G34" s="186"/>
      <c r="H34" s="147" t="s">
        <v>547</v>
      </c>
      <c r="I34" s="147"/>
      <c r="J34" s="147">
        <v>1</v>
      </c>
      <c r="K34" s="147"/>
      <c r="L34" s="147" t="s">
        <v>574</v>
      </c>
      <c r="M34" s="147"/>
      <c r="N34" s="147" t="s">
        <v>48</v>
      </c>
      <c r="O34" s="147"/>
      <c r="P34" s="91"/>
      <c r="Q34" s="91"/>
    </row>
    <row r="35" spans="1:17" x14ac:dyDescent="0.25">
      <c r="A35" s="42">
        <v>320</v>
      </c>
      <c r="B35" s="39" t="s">
        <v>626</v>
      </c>
      <c r="C35" s="46"/>
      <c r="D35" s="186" t="str">
        <f t="shared" si="0"/>
        <v>320 JAC</v>
      </c>
      <c r="E35" s="186"/>
      <c r="F35" s="186"/>
      <c r="G35" s="186"/>
      <c r="H35" s="147" t="s">
        <v>547</v>
      </c>
      <c r="I35" s="147"/>
      <c r="J35" s="147">
        <v>1</v>
      </c>
      <c r="K35" s="147"/>
      <c r="L35" s="147" t="s">
        <v>574</v>
      </c>
      <c r="M35" s="147"/>
      <c r="N35" s="147" t="s">
        <v>48</v>
      </c>
      <c r="O35" s="147"/>
      <c r="P35" s="91"/>
      <c r="Q35" s="91"/>
    </row>
    <row r="36" spans="1:17" x14ac:dyDescent="0.25">
      <c r="A36" s="42">
        <v>326</v>
      </c>
      <c r="B36" s="41" t="s">
        <v>630</v>
      </c>
      <c r="C36" s="25"/>
      <c r="D36" s="186" t="str">
        <f t="shared" si="0"/>
        <v>326 DE</v>
      </c>
      <c r="E36" s="186"/>
      <c r="F36" s="186"/>
      <c r="G36" s="186"/>
      <c r="H36" s="147" t="s">
        <v>547</v>
      </c>
      <c r="I36" s="147"/>
      <c r="J36" s="147">
        <v>1</v>
      </c>
      <c r="K36" s="147"/>
      <c r="L36" s="147" t="s">
        <v>574</v>
      </c>
      <c r="M36" s="147"/>
      <c r="N36" s="147" t="s">
        <v>48</v>
      </c>
      <c r="O36" s="147"/>
      <c r="P36" s="91"/>
      <c r="Q36" s="91"/>
    </row>
    <row r="37" spans="1:17" x14ac:dyDescent="0.25">
      <c r="A37" s="42">
        <v>328</v>
      </c>
      <c r="B37" s="39" t="s">
        <v>631</v>
      </c>
      <c r="C37" s="46"/>
      <c r="D37" s="186" t="str">
        <f t="shared" si="0"/>
        <v>328 Fire Dept.</v>
      </c>
      <c r="E37" s="186"/>
      <c r="F37" s="186"/>
      <c r="G37" s="186"/>
      <c r="H37" s="147" t="s">
        <v>547</v>
      </c>
      <c r="I37" s="147"/>
      <c r="J37" s="147">
        <v>1</v>
      </c>
      <c r="K37" s="147"/>
      <c r="L37" s="147" t="s">
        <v>574</v>
      </c>
      <c r="M37" s="147"/>
      <c r="N37" s="147" t="s">
        <v>48</v>
      </c>
      <c r="O37" s="147"/>
      <c r="P37" s="91"/>
      <c r="Q37" s="91"/>
    </row>
    <row r="38" spans="1:17" x14ac:dyDescent="0.25">
      <c r="A38" s="42">
        <v>342</v>
      </c>
      <c r="B38" s="41" t="s">
        <v>632</v>
      </c>
      <c r="C38" s="25"/>
      <c r="D38" s="186" t="str">
        <f t="shared" si="0"/>
        <v>342 AAFES Shopette</v>
      </c>
      <c r="E38" s="186"/>
      <c r="F38" s="186"/>
      <c r="G38" s="186"/>
      <c r="H38" s="147" t="s">
        <v>547</v>
      </c>
      <c r="I38" s="147"/>
      <c r="J38" s="147">
        <v>1</v>
      </c>
      <c r="K38" s="147"/>
      <c r="L38" s="147" t="s">
        <v>574</v>
      </c>
      <c r="M38" s="147"/>
      <c r="N38" s="147" t="s">
        <v>48</v>
      </c>
      <c r="O38" s="147"/>
      <c r="P38" s="91"/>
      <c r="Q38" s="91"/>
    </row>
    <row r="39" spans="1:17" x14ac:dyDescent="0.25">
      <c r="A39" s="43">
        <v>344</v>
      </c>
      <c r="B39" s="41" t="s">
        <v>593</v>
      </c>
      <c r="C39" s="25"/>
      <c r="D39" s="186" t="str">
        <f t="shared" si="0"/>
        <v>344 Chapel</v>
      </c>
      <c r="E39" s="186"/>
      <c r="F39" s="186"/>
      <c r="G39" s="186"/>
      <c r="H39" s="147" t="s">
        <v>547</v>
      </c>
      <c r="I39" s="147"/>
      <c r="J39" s="147">
        <v>1</v>
      </c>
      <c r="K39" s="147"/>
      <c r="L39" s="147" t="s">
        <v>574</v>
      </c>
      <c r="M39" s="147"/>
      <c r="N39" s="147" t="s">
        <v>48</v>
      </c>
      <c r="O39" s="147"/>
      <c r="P39" s="91"/>
      <c r="Q39" s="91"/>
    </row>
    <row r="40" spans="1:17" x14ac:dyDescent="0.25">
      <c r="A40" s="42">
        <v>346</v>
      </c>
      <c r="B40" s="41" t="s">
        <v>579</v>
      </c>
      <c r="C40" s="25"/>
      <c r="D40" s="186" t="str">
        <f t="shared" si="0"/>
        <v>346 Post Office</v>
      </c>
      <c r="E40" s="186"/>
      <c r="F40" s="186"/>
      <c r="G40" s="186"/>
      <c r="H40" s="147" t="s">
        <v>547</v>
      </c>
      <c r="I40" s="147"/>
      <c r="J40" s="147">
        <v>1</v>
      </c>
      <c r="K40" s="147"/>
      <c r="L40" s="147" t="s">
        <v>574</v>
      </c>
      <c r="M40" s="147"/>
      <c r="N40" s="147" t="s">
        <v>48</v>
      </c>
      <c r="O40" s="147"/>
      <c r="P40" s="91"/>
      <c r="Q40" s="91"/>
    </row>
    <row r="41" spans="1:17" x14ac:dyDescent="0.25">
      <c r="A41" s="43">
        <v>348</v>
      </c>
      <c r="B41" s="41" t="s">
        <v>626</v>
      </c>
      <c r="C41" s="25"/>
      <c r="D41" s="186" t="str">
        <f t="shared" si="0"/>
        <v>348 JAC</v>
      </c>
      <c r="E41" s="186"/>
      <c r="F41" s="186"/>
      <c r="G41" s="186"/>
      <c r="H41" s="147" t="s">
        <v>547</v>
      </c>
      <c r="I41" s="147"/>
      <c r="J41" s="147">
        <v>1</v>
      </c>
      <c r="K41" s="147"/>
      <c r="L41" s="147" t="s">
        <v>574</v>
      </c>
      <c r="M41" s="147"/>
      <c r="N41" s="147" t="s">
        <v>48</v>
      </c>
      <c r="O41" s="147"/>
      <c r="P41" s="91"/>
      <c r="Q41" s="91"/>
    </row>
    <row r="42" spans="1:17" x14ac:dyDescent="0.25">
      <c r="A42" s="42">
        <v>400</v>
      </c>
      <c r="B42" s="41" t="s">
        <v>589</v>
      </c>
      <c r="C42" s="25"/>
      <c r="D42" s="186" t="str">
        <f t="shared" si="0"/>
        <v>400 Comm</v>
      </c>
      <c r="E42" s="186"/>
      <c r="F42" s="186"/>
      <c r="G42" s="186"/>
      <c r="H42" s="147" t="s">
        <v>547</v>
      </c>
      <c r="I42" s="147"/>
      <c r="J42" s="147">
        <v>1</v>
      </c>
      <c r="K42" s="147"/>
      <c r="L42" s="147" t="s">
        <v>574</v>
      </c>
      <c r="M42" s="147"/>
      <c r="N42" s="147" t="s">
        <v>48</v>
      </c>
      <c r="O42" s="147"/>
      <c r="P42" s="91"/>
      <c r="Q42" s="91"/>
    </row>
    <row r="43" spans="1:17" x14ac:dyDescent="0.25">
      <c r="A43" s="42">
        <v>401</v>
      </c>
      <c r="B43" s="41" t="s">
        <v>626</v>
      </c>
      <c r="C43" s="25"/>
      <c r="D43" s="186" t="str">
        <f t="shared" si="0"/>
        <v>401 JAC</v>
      </c>
      <c r="E43" s="186"/>
      <c r="F43" s="186"/>
      <c r="G43" s="186"/>
      <c r="H43" s="147" t="s">
        <v>547</v>
      </c>
      <c r="I43" s="147"/>
      <c r="J43" s="147">
        <v>1</v>
      </c>
      <c r="K43" s="147"/>
      <c r="L43" s="147" t="s">
        <v>574</v>
      </c>
      <c r="M43" s="147"/>
      <c r="N43" s="147" t="s">
        <v>48</v>
      </c>
      <c r="O43" s="147"/>
      <c r="P43" s="91"/>
      <c r="Q43" s="91"/>
    </row>
    <row r="44" spans="1:17" x14ac:dyDescent="0.25">
      <c r="A44" s="42">
        <v>402</v>
      </c>
      <c r="B44" s="41" t="s">
        <v>633</v>
      </c>
      <c r="C44" s="25"/>
      <c r="D44" s="186" t="str">
        <f t="shared" si="0"/>
        <v>402 SerCo (Trans)</v>
      </c>
      <c r="E44" s="186"/>
      <c r="F44" s="186"/>
      <c r="G44" s="186"/>
      <c r="H44" s="147" t="s">
        <v>547</v>
      </c>
      <c r="I44" s="147"/>
      <c r="J44" s="147">
        <v>1</v>
      </c>
      <c r="K44" s="147"/>
      <c r="L44" s="147" t="s">
        <v>574</v>
      </c>
      <c r="M44" s="147"/>
      <c r="N44" s="147" t="s">
        <v>48</v>
      </c>
      <c r="O44" s="147"/>
      <c r="P44" s="91"/>
      <c r="Q44" s="91"/>
    </row>
    <row r="45" spans="1:17" x14ac:dyDescent="0.25">
      <c r="A45" s="42">
        <v>403</v>
      </c>
      <c r="B45" s="39" t="s">
        <v>626</v>
      </c>
      <c r="C45" s="46"/>
      <c r="D45" s="186" t="str">
        <f t="shared" si="0"/>
        <v>403 JAC</v>
      </c>
      <c r="E45" s="186"/>
      <c r="F45" s="186"/>
      <c r="G45" s="186"/>
      <c r="H45" s="147" t="s">
        <v>547</v>
      </c>
      <c r="I45" s="147"/>
      <c r="J45" s="147">
        <v>1</v>
      </c>
      <c r="K45" s="147"/>
      <c r="L45" s="147" t="s">
        <v>574</v>
      </c>
      <c r="M45" s="147"/>
      <c r="N45" s="147" t="s">
        <v>48</v>
      </c>
      <c r="O45" s="147"/>
      <c r="P45" s="91"/>
      <c r="Q45" s="91"/>
    </row>
    <row r="46" spans="1:17" x14ac:dyDescent="0.25">
      <c r="A46" s="42">
        <v>404</v>
      </c>
      <c r="B46" s="41" t="s">
        <v>626</v>
      </c>
      <c r="C46" s="25"/>
      <c r="D46" s="186" t="str">
        <f t="shared" si="0"/>
        <v>404 JAC</v>
      </c>
      <c r="E46" s="186"/>
      <c r="F46" s="186"/>
      <c r="G46" s="186"/>
      <c r="H46" s="147" t="s">
        <v>547</v>
      </c>
      <c r="I46" s="147"/>
      <c r="J46" s="147">
        <v>1</v>
      </c>
      <c r="K46" s="147"/>
      <c r="L46" s="147" t="s">
        <v>574</v>
      </c>
      <c r="M46" s="147"/>
      <c r="N46" s="147" t="s">
        <v>48</v>
      </c>
      <c r="O46" s="147"/>
      <c r="P46" s="91"/>
      <c r="Q46" s="91"/>
    </row>
    <row r="47" spans="1:17" x14ac:dyDescent="0.25">
      <c r="A47" s="42">
        <v>407</v>
      </c>
      <c r="B47" s="41" t="s">
        <v>634</v>
      </c>
      <c r="C47" s="25"/>
      <c r="D47" s="186" t="str">
        <f t="shared" si="0"/>
        <v>407 NIFC</v>
      </c>
      <c r="E47" s="186"/>
      <c r="F47" s="186"/>
      <c r="G47" s="186"/>
      <c r="H47" s="147" t="s">
        <v>547</v>
      </c>
      <c r="I47" s="147"/>
      <c r="J47" s="147">
        <v>1</v>
      </c>
      <c r="K47" s="147"/>
      <c r="L47" s="147" t="s">
        <v>574</v>
      </c>
      <c r="M47" s="147"/>
      <c r="N47" s="147" t="s">
        <v>48</v>
      </c>
      <c r="O47" s="147"/>
      <c r="P47" s="91"/>
      <c r="Q47" s="91"/>
    </row>
    <row r="48" spans="1:17" x14ac:dyDescent="0.25">
      <c r="A48" s="42">
        <v>409</v>
      </c>
      <c r="B48" s="41" t="s">
        <v>580</v>
      </c>
      <c r="C48" s="25"/>
      <c r="D48" s="186" t="str">
        <f t="shared" si="0"/>
        <v>409 SF</v>
      </c>
      <c r="E48" s="186"/>
      <c r="F48" s="186"/>
      <c r="G48" s="186"/>
      <c r="H48" s="147" t="s">
        <v>547</v>
      </c>
      <c r="I48" s="147"/>
      <c r="J48" s="147">
        <v>1</v>
      </c>
      <c r="K48" s="147"/>
      <c r="L48" s="147" t="s">
        <v>574</v>
      </c>
      <c r="M48" s="147"/>
      <c r="N48" s="147" t="s">
        <v>48</v>
      </c>
      <c r="O48" s="147"/>
      <c r="P48" s="91"/>
      <c r="Q48" s="91"/>
    </row>
    <row r="49" spans="1:17" x14ac:dyDescent="0.25">
      <c r="A49" s="42">
        <v>411</v>
      </c>
      <c r="B49" s="39" t="s">
        <v>589</v>
      </c>
      <c r="C49" s="46"/>
      <c r="D49" s="186" t="str">
        <f t="shared" si="0"/>
        <v>411 Comm</v>
      </c>
      <c r="E49" s="186"/>
      <c r="F49" s="186"/>
      <c r="G49" s="186"/>
      <c r="H49" s="147" t="s">
        <v>547</v>
      </c>
      <c r="I49" s="147"/>
      <c r="J49" s="147">
        <v>1</v>
      </c>
      <c r="K49" s="147"/>
      <c r="L49" s="147" t="s">
        <v>574</v>
      </c>
      <c r="M49" s="147"/>
      <c r="N49" s="147" t="s">
        <v>48</v>
      </c>
      <c r="O49" s="147"/>
      <c r="P49" s="91"/>
      <c r="Q49" s="91"/>
    </row>
    <row r="50" spans="1:17" x14ac:dyDescent="0.25">
      <c r="A50" s="42">
        <v>412</v>
      </c>
      <c r="B50" s="41" t="s">
        <v>635</v>
      </c>
      <c r="C50" s="25"/>
      <c r="D50" s="186" t="str">
        <f t="shared" si="0"/>
        <v>412 AFRICOM</v>
      </c>
      <c r="E50" s="186"/>
      <c r="F50" s="186"/>
      <c r="G50" s="186"/>
      <c r="H50" s="147" t="s">
        <v>547</v>
      </c>
      <c r="I50" s="147"/>
      <c r="J50" s="147">
        <v>1</v>
      </c>
      <c r="K50" s="147"/>
      <c r="L50" s="147" t="s">
        <v>574</v>
      </c>
      <c r="M50" s="147"/>
      <c r="N50" s="147" t="s">
        <v>48</v>
      </c>
      <c r="O50" s="147"/>
      <c r="P50" s="91"/>
      <c r="Q50" s="91"/>
    </row>
    <row r="51" spans="1:17" x14ac:dyDescent="0.25">
      <c r="A51" s="42">
        <v>414</v>
      </c>
      <c r="B51" s="41" t="s">
        <v>626</v>
      </c>
      <c r="C51" s="25"/>
      <c r="D51" s="186" t="str">
        <f t="shared" si="0"/>
        <v>414 JAC</v>
      </c>
      <c r="E51" s="186"/>
      <c r="F51" s="186"/>
      <c r="G51" s="186"/>
      <c r="H51" s="147" t="s">
        <v>547</v>
      </c>
      <c r="I51" s="147"/>
      <c r="J51" s="147">
        <v>1</v>
      </c>
      <c r="K51" s="147"/>
      <c r="L51" s="147" t="s">
        <v>574</v>
      </c>
      <c r="M51" s="147"/>
      <c r="N51" s="147" t="s">
        <v>48</v>
      </c>
      <c r="O51" s="147"/>
      <c r="P51" s="91"/>
      <c r="Q51" s="91"/>
    </row>
    <row r="52" spans="1:17" x14ac:dyDescent="0.25">
      <c r="A52" s="42">
        <v>415</v>
      </c>
      <c r="B52" s="41" t="s">
        <v>626</v>
      </c>
      <c r="C52" s="25"/>
      <c r="D52" s="186" t="str">
        <f t="shared" si="0"/>
        <v>415 JAC</v>
      </c>
      <c r="E52" s="186"/>
      <c r="F52" s="186"/>
      <c r="G52" s="186"/>
      <c r="H52" s="147" t="s">
        <v>547</v>
      </c>
      <c r="I52" s="147"/>
      <c r="J52" s="147">
        <v>1</v>
      </c>
      <c r="K52" s="147"/>
      <c r="L52" s="147" t="s">
        <v>574</v>
      </c>
      <c r="M52" s="147"/>
      <c r="N52" s="147" t="s">
        <v>48</v>
      </c>
      <c r="O52" s="147"/>
      <c r="P52" s="91"/>
      <c r="Q52" s="91"/>
    </row>
    <row r="53" spans="1:17" x14ac:dyDescent="0.25">
      <c r="A53" s="42">
        <v>420</v>
      </c>
      <c r="B53" s="41" t="s">
        <v>635</v>
      </c>
      <c r="C53" s="25"/>
      <c r="D53" s="186" t="str">
        <f t="shared" si="0"/>
        <v>420 AFRICOM</v>
      </c>
      <c r="E53" s="186"/>
      <c r="F53" s="186"/>
      <c r="G53" s="186"/>
      <c r="H53" s="147" t="s">
        <v>547</v>
      </c>
      <c r="I53" s="147"/>
      <c r="J53" s="147">
        <v>3</v>
      </c>
      <c r="K53" s="147"/>
      <c r="L53" s="147" t="s">
        <v>574</v>
      </c>
      <c r="M53" s="147"/>
      <c r="N53" s="147" t="s">
        <v>48</v>
      </c>
      <c r="O53" s="147"/>
      <c r="P53" s="91"/>
      <c r="Q53" s="91"/>
    </row>
    <row r="54" spans="1:17" x14ac:dyDescent="0.25">
      <c r="A54" s="42">
        <v>501</v>
      </c>
      <c r="B54" s="41" t="s">
        <v>636</v>
      </c>
      <c r="C54" s="25"/>
      <c r="D54" s="186" t="str">
        <f t="shared" si="0"/>
        <v>501 Outdoor Rec</v>
      </c>
      <c r="E54" s="186"/>
      <c r="F54" s="186"/>
      <c r="G54" s="186"/>
      <c r="H54" s="147" t="s">
        <v>547</v>
      </c>
      <c r="I54" s="147"/>
      <c r="J54" s="147">
        <v>1</v>
      </c>
      <c r="K54" s="147"/>
      <c r="L54" s="147" t="s">
        <v>574</v>
      </c>
      <c r="M54" s="147"/>
      <c r="N54" s="147" t="s">
        <v>48</v>
      </c>
      <c r="O54" s="147"/>
      <c r="P54" s="91"/>
      <c r="Q54" s="91"/>
    </row>
    <row r="55" spans="1:17" x14ac:dyDescent="0.25">
      <c r="A55" s="42">
        <v>612</v>
      </c>
      <c r="B55" s="41" t="s">
        <v>637</v>
      </c>
      <c r="C55" s="25"/>
      <c r="D55" s="186" t="str">
        <f t="shared" si="0"/>
        <v>612 Firing Range</v>
      </c>
      <c r="E55" s="186"/>
      <c r="F55" s="186"/>
      <c r="G55" s="186"/>
      <c r="H55" s="147" t="s">
        <v>547</v>
      </c>
      <c r="I55" s="147"/>
      <c r="J55" s="147">
        <v>1</v>
      </c>
      <c r="K55" s="147"/>
      <c r="L55" s="147" t="s">
        <v>574</v>
      </c>
      <c r="M55" s="147"/>
      <c r="N55" s="147" t="s">
        <v>48</v>
      </c>
      <c r="O55" s="147"/>
      <c r="P55" s="91"/>
      <c r="Q55" s="91"/>
    </row>
    <row r="56" spans="1:17" x14ac:dyDescent="0.25">
      <c r="A56" s="42"/>
      <c r="B56" s="41" t="s">
        <v>620</v>
      </c>
      <c r="C56" s="25"/>
      <c r="D56" s="186" t="str">
        <f t="shared" si="0"/>
        <v xml:space="preserve"> LVIS Gate</v>
      </c>
      <c r="E56" s="186"/>
      <c r="F56" s="186"/>
      <c r="G56" s="186"/>
      <c r="H56" s="147" t="s">
        <v>547</v>
      </c>
      <c r="I56" s="147"/>
      <c r="J56" s="147">
        <v>1</v>
      </c>
      <c r="K56" s="147"/>
      <c r="L56" s="147" t="s">
        <v>574</v>
      </c>
      <c r="M56" s="147"/>
      <c r="N56" s="147" t="s">
        <v>48</v>
      </c>
      <c r="O56" s="147"/>
      <c r="P56" s="91"/>
      <c r="Q56" s="91"/>
    </row>
    <row r="57" spans="1:17" ht="16.5" customHeight="1" x14ac:dyDescent="0.25">
      <c r="D57" s="186" t="str">
        <f>D27</f>
        <v>51 DLA</v>
      </c>
      <c r="E57" s="186"/>
      <c r="F57" s="186"/>
      <c r="G57" s="186"/>
      <c r="H57" s="147" t="s">
        <v>547</v>
      </c>
      <c r="I57" s="147"/>
      <c r="J57" s="147">
        <v>1</v>
      </c>
      <c r="K57" s="147"/>
      <c r="L57" s="147" t="s">
        <v>574</v>
      </c>
      <c r="M57" s="147"/>
      <c r="N57" s="147" t="s">
        <v>48</v>
      </c>
      <c r="O57" s="147"/>
      <c r="P57" s="91"/>
      <c r="Q57" s="91"/>
    </row>
    <row r="58" spans="1:17" ht="16.5" customHeight="1" x14ac:dyDescent="0.25">
      <c r="D58" s="187">
        <v>819</v>
      </c>
      <c r="E58" s="187"/>
      <c r="F58" s="187"/>
      <c r="G58" s="188"/>
      <c r="H58" s="147" t="s">
        <v>623</v>
      </c>
      <c r="I58" s="147"/>
      <c r="J58" s="147">
        <v>1</v>
      </c>
      <c r="K58" s="147"/>
      <c r="L58" s="147" t="s">
        <v>624</v>
      </c>
      <c r="M58" s="147"/>
      <c r="N58" s="189" t="s">
        <v>40</v>
      </c>
      <c r="O58" s="189"/>
      <c r="P58" s="91"/>
      <c r="Q58" s="91"/>
    </row>
    <row r="59" spans="1:17" ht="16.5" customHeight="1" x14ac:dyDescent="0.25">
      <c r="D59" s="186" t="str">
        <f t="shared" ref="D59:D78" si="1">D28</f>
        <v>84 JAC</v>
      </c>
      <c r="E59" s="186"/>
      <c r="F59" s="186"/>
      <c r="G59" s="186"/>
      <c r="H59" s="147" t="s">
        <v>623</v>
      </c>
      <c r="I59" s="147"/>
      <c r="J59" s="147">
        <v>1</v>
      </c>
      <c r="K59" s="147"/>
      <c r="L59" s="147" t="s">
        <v>624</v>
      </c>
      <c r="M59" s="147"/>
      <c r="N59" s="189" t="s">
        <v>40</v>
      </c>
      <c r="O59" s="189"/>
      <c r="P59" s="91"/>
      <c r="Q59" s="91"/>
    </row>
    <row r="60" spans="1:17" ht="16.5" customHeight="1" x14ac:dyDescent="0.25">
      <c r="D60" s="186" t="str">
        <f t="shared" si="1"/>
        <v>84 JAC IT</v>
      </c>
      <c r="E60" s="186"/>
      <c r="F60" s="186"/>
      <c r="G60" s="186"/>
      <c r="H60" s="147" t="s">
        <v>623</v>
      </c>
      <c r="I60" s="147"/>
      <c r="J60" s="147">
        <v>1</v>
      </c>
      <c r="K60" s="147"/>
      <c r="L60" s="147" t="s">
        <v>624</v>
      </c>
      <c r="M60" s="147"/>
      <c r="N60" s="189" t="s">
        <v>40</v>
      </c>
      <c r="O60" s="189"/>
      <c r="P60" s="91"/>
      <c r="Q60" s="91"/>
    </row>
    <row r="61" spans="1:17" ht="16.5" customHeight="1" x14ac:dyDescent="0.25">
      <c r="D61" s="186" t="str">
        <f t="shared" si="1"/>
        <v>100 JAC</v>
      </c>
      <c r="E61" s="186"/>
      <c r="F61" s="186"/>
      <c r="G61" s="186"/>
      <c r="H61" s="147" t="s">
        <v>623</v>
      </c>
      <c r="I61" s="147"/>
      <c r="J61" s="147">
        <v>1</v>
      </c>
      <c r="K61" s="147"/>
      <c r="L61" s="147" t="s">
        <v>624</v>
      </c>
      <c r="M61" s="147"/>
      <c r="N61" s="189" t="s">
        <v>40</v>
      </c>
      <c r="O61" s="189"/>
      <c r="P61" s="91"/>
      <c r="Q61" s="91"/>
    </row>
    <row r="62" spans="1:17" ht="16.5" customHeight="1" x14ac:dyDescent="0.25">
      <c r="D62" s="186" t="str">
        <f t="shared" si="1"/>
        <v>303 JAC</v>
      </c>
      <c r="E62" s="186"/>
      <c r="F62" s="186"/>
      <c r="G62" s="186"/>
      <c r="H62" s="147" t="s">
        <v>623</v>
      </c>
      <c r="I62" s="147"/>
      <c r="J62" s="147">
        <v>1</v>
      </c>
      <c r="K62" s="147"/>
      <c r="L62" s="147" t="s">
        <v>624</v>
      </c>
      <c r="M62" s="147"/>
      <c r="N62" s="189" t="s">
        <v>40</v>
      </c>
      <c r="O62" s="189"/>
      <c r="P62" s="91"/>
      <c r="Q62" s="91"/>
    </row>
    <row r="63" spans="1:17" ht="16.5" customHeight="1" x14ac:dyDescent="0.25">
      <c r="D63" s="186" t="str">
        <f t="shared" si="1"/>
        <v>314 JAC</v>
      </c>
      <c r="E63" s="186"/>
      <c r="F63" s="186"/>
      <c r="G63" s="186"/>
      <c r="H63" s="147" t="s">
        <v>623</v>
      </c>
      <c r="I63" s="147"/>
      <c r="J63" s="147">
        <v>1</v>
      </c>
      <c r="K63" s="147"/>
      <c r="L63" s="147" t="s">
        <v>624</v>
      </c>
      <c r="M63" s="147"/>
      <c r="N63" s="189" t="s">
        <v>40</v>
      </c>
      <c r="O63" s="189"/>
      <c r="P63" s="91"/>
      <c r="Q63" s="91"/>
    </row>
    <row r="64" spans="1:17" ht="16.5" customHeight="1" x14ac:dyDescent="0.25">
      <c r="D64" s="186" t="str">
        <f t="shared" si="1"/>
        <v>316 NYPD</v>
      </c>
      <c r="E64" s="186"/>
      <c r="F64" s="186"/>
      <c r="G64" s="186"/>
      <c r="H64" s="147" t="s">
        <v>623</v>
      </c>
      <c r="I64" s="147"/>
      <c r="J64" s="147">
        <v>1</v>
      </c>
      <c r="K64" s="147"/>
      <c r="L64" s="147" t="s">
        <v>624</v>
      </c>
      <c r="M64" s="147"/>
      <c r="N64" s="189" t="s">
        <v>40</v>
      </c>
      <c r="O64" s="189"/>
      <c r="P64" s="91"/>
      <c r="Q64" s="91"/>
    </row>
    <row r="65" spans="4:17" ht="16.5" customHeight="1" x14ac:dyDescent="0.25">
      <c r="D65" s="186" t="str">
        <f t="shared" si="1"/>
        <v>318 Emergency Control Room</v>
      </c>
      <c r="E65" s="186"/>
      <c r="F65" s="186"/>
      <c r="G65" s="186"/>
      <c r="H65" s="147" t="s">
        <v>623</v>
      </c>
      <c r="I65" s="147"/>
      <c r="J65" s="147">
        <v>1</v>
      </c>
      <c r="K65" s="147"/>
      <c r="L65" s="147" t="s">
        <v>624</v>
      </c>
      <c r="M65" s="147"/>
      <c r="N65" s="189" t="s">
        <v>40</v>
      </c>
      <c r="O65" s="189"/>
      <c r="P65" s="91"/>
      <c r="Q65" s="91"/>
    </row>
    <row r="66" spans="4:17" ht="16.5" customHeight="1" x14ac:dyDescent="0.25">
      <c r="D66" s="186" t="str">
        <f t="shared" si="1"/>
        <v>320 JAC</v>
      </c>
      <c r="E66" s="186"/>
      <c r="F66" s="186"/>
      <c r="G66" s="186"/>
      <c r="H66" s="147" t="s">
        <v>623</v>
      </c>
      <c r="I66" s="147"/>
      <c r="J66" s="147">
        <v>1</v>
      </c>
      <c r="K66" s="147"/>
      <c r="L66" s="147" t="s">
        <v>624</v>
      </c>
      <c r="M66" s="147"/>
      <c r="N66" s="189" t="s">
        <v>40</v>
      </c>
      <c r="O66" s="189"/>
      <c r="P66" s="91"/>
      <c r="Q66" s="91"/>
    </row>
    <row r="67" spans="4:17" ht="16.5" customHeight="1" x14ac:dyDescent="0.25">
      <c r="D67" s="186" t="str">
        <f t="shared" si="1"/>
        <v>326 DE</v>
      </c>
      <c r="E67" s="186"/>
      <c r="F67" s="186"/>
      <c r="G67" s="186"/>
      <c r="H67" s="147" t="s">
        <v>623</v>
      </c>
      <c r="I67" s="147"/>
      <c r="J67" s="147">
        <v>1</v>
      </c>
      <c r="K67" s="147"/>
      <c r="L67" s="147" t="s">
        <v>624</v>
      </c>
      <c r="M67" s="147"/>
      <c r="N67" s="189" t="s">
        <v>40</v>
      </c>
      <c r="O67" s="189"/>
      <c r="P67" s="91"/>
      <c r="Q67" s="91"/>
    </row>
    <row r="68" spans="4:17" ht="16.5" customHeight="1" x14ac:dyDescent="0.25">
      <c r="D68" s="186" t="str">
        <f t="shared" si="1"/>
        <v>328 Fire Dept.</v>
      </c>
      <c r="E68" s="186"/>
      <c r="F68" s="186"/>
      <c r="G68" s="186"/>
      <c r="H68" s="147" t="s">
        <v>623</v>
      </c>
      <c r="I68" s="147"/>
      <c r="J68" s="147">
        <v>1</v>
      </c>
      <c r="K68" s="147"/>
      <c r="L68" s="147" t="s">
        <v>624</v>
      </c>
      <c r="M68" s="147"/>
      <c r="N68" s="189" t="s">
        <v>40</v>
      </c>
      <c r="O68" s="189"/>
      <c r="P68" s="91"/>
      <c r="Q68" s="91"/>
    </row>
    <row r="69" spans="4:17" ht="16.5" customHeight="1" x14ac:dyDescent="0.25">
      <c r="D69" s="186" t="str">
        <f t="shared" si="1"/>
        <v>342 AAFES Shopette</v>
      </c>
      <c r="E69" s="186"/>
      <c r="F69" s="186"/>
      <c r="G69" s="186"/>
      <c r="H69" s="147" t="s">
        <v>623</v>
      </c>
      <c r="I69" s="147"/>
      <c r="J69" s="147">
        <v>1</v>
      </c>
      <c r="K69" s="147"/>
      <c r="L69" s="147" t="s">
        <v>624</v>
      </c>
      <c r="M69" s="147"/>
      <c r="N69" s="189" t="s">
        <v>40</v>
      </c>
      <c r="O69" s="189"/>
      <c r="P69" s="91"/>
      <c r="Q69" s="91"/>
    </row>
    <row r="70" spans="4:17" ht="16.5" customHeight="1" x14ac:dyDescent="0.25">
      <c r="D70" s="186" t="str">
        <f t="shared" si="1"/>
        <v>344 Chapel</v>
      </c>
      <c r="E70" s="186"/>
      <c r="F70" s="186"/>
      <c r="G70" s="186"/>
      <c r="H70" s="147" t="s">
        <v>623</v>
      </c>
      <c r="I70" s="147"/>
      <c r="J70" s="147">
        <v>1</v>
      </c>
      <c r="K70" s="147"/>
      <c r="L70" s="147" t="s">
        <v>624</v>
      </c>
      <c r="M70" s="147"/>
      <c r="N70" s="189" t="s">
        <v>40</v>
      </c>
      <c r="O70" s="189"/>
      <c r="P70" s="91"/>
      <c r="Q70" s="91"/>
    </row>
    <row r="71" spans="4:17" ht="16.5" customHeight="1" x14ac:dyDescent="0.25">
      <c r="D71" s="186" t="str">
        <f t="shared" si="1"/>
        <v>346 Post Office</v>
      </c>
      <c r="E71" s="186"/>
      <c r="F71" s="186"/>
      <c r="G71" s="186"/>
      <c r="H71" s="147" t="s">
        <v>623</v>
      </c>
      <c r="I71" s="147"/>
      <c r="J71" s="147">
        <v>1</v>
      </c>
      <c r="K71" s="147"/>
      <c r="L71" s="147" t="s">
        <v>624</v>
      </c>
      <c r="M71" s="147"/>
      <c r="N71" s="189" t="s">
        <v>40</v>
      </c>
      <c r="O71" s="189"/>
      <c r="P71" s="91"/>
      <c r="Q71" s="91"/>
    </row>
    <row r="72" spans="4:17" ht="16.5" customHeight="1" x14ac:dyDescent="0.25">
      <c r="D72" s="186" t="str">
        <f t="shared" si="1"/>
        <v>348 JAC</v>
      </c>
      <c r="E72" s="186"/>
      <c r="F72" s="186"/>
      <c r="G72" s="186"/>
      <c r="H72" s="147" t="s">
        <v>623</v>
      </c>
      <c r="I72" s="147"/>
      <c r="J72" s="147">
        <v>1</v>
      </c>
      <c r="K72" s="147"/>
      <c r="L72" s="147" t="s">
        <v>624</v>
      </c>
      <c r="M72" s="147"/>
      <c r="N72" s="189" t="s">
        <v>40</v>
      </c>
      <c r="O72" s="189"/>
      <c r="P72" s="91"/>
      <c r="Q72" s="91"/>
    </row>
    <row r="73" spans="4:17" ht="16.5" customHeight="1" x14ac:dyDescent="0.25">
      <c r="D73" s="186" t="str">
        <f t="shared" si="1"/>
        <v>400 Comm</v>
      </c>
      <c r="E73" s="186"/>
      <c r="F73" s="186"/>
      <c r="G73" s="186"/>
      <c r="H73" s="147" t="s">
        <v>623</v>
      </c>
      <c r="I73" s="147"/>
      <c r="J73" s="147">
        <v>1</v>
      </c>
      <c r="K73" s="147"/>
      <c r="L73" s="147" t="s">
        <v>624</v>
      </c>
      <c r="M73" s="147"/>
      <c r="N73" s="189" t="s">
        <v>40</v>
      </c>
      <c r="O73" s="189"/>
      <c r="P73" s="91"/>
      <c r="Q73" s="91"/>
    </row>
    <row r="74" spans="4:17" ht="16.5" customHeight="1" x14ac:dyDescent="0.25">
      <c r="D74" s="186" t="str">
        <f t="shared" si="1"/>
        <v>401 JAC</v>
      </c>
      <c r="E74" s="186"/>
      <c r="F74" s="186"/>
      <c r="G74" s="186"/>
      <c r="H74" s="147" t="s">
        <v>623</v>
      </c>
      <c r="I74" s="147"/>
      <c r="J74" s="147">
        <v>1</v>
      </c>
      <c r="K74" s="147"/>
      <c r="L74" s="147" t="s">
        <v>624</v>
      </c>
      <c r="M74" s="147"/>
      <c r="N74" s="189" t="s">
        <v>40</v>
      </c>
      <c r="O74" s="189"/>
      <c r="P74" s="91"/>
      <c r="Q74" s="91"/>
    </row>
    <row r="75" spans="4:17" ht="16.5" customHeight="1" x14ac:dyDescent="0.25">
      <c r="D75" s="186" t="str">
        <f t="shared" si="1"/>
        <v>402 SerCo (Trans)</v>
      </c>
      <c r="E75" s="186"/>
      <c r="F75" s="186"/>
      <c r="G75" s="186"/>
      <c r="H75" s="147" t="s">
        <v>623</v>
      </c>
      <c r="I75" s="147"/>
      <c r="J75" s="147">
        <v>1</v>
      </c>
      <c r="K75" s="147"/>
      <c r="L75" s="147" t="s">
        <v>624</v>
      </c>
      <c r="M75" s="147"/>
      <c r="N75" s="189" t="s">
        <v>40</v>
      </c>
      <c r="O75" s="189"/>
      <c r="P75" s="91"/>
      <c r="Q75" s="91"/>
    </row>
    <row r="76" spans="4:17" ht="16.5" customHeight="1" x14ac:dyDescent="0.25">
      <c r="D76" s="186" t="str">
        <f t="shared" si="1"/>
        <v>403 JAC</v>
      </c>
      <c r="E76" s="186"/>
      <c r="F76" s="186"/>
      <c r="G76" s="186"/>
      <c r="H76" s="147" t="s">
        <v>623</v>
      </c>
      <c r="I76" s="147"/>
      <c r="J76" s="147">
        <v>1</v>
      </c>
      <c r="K76" s="147"/>
      <c r="L76" s="147" t="s">
        <v>624</v>
      </c>
      <c r="M76" s="147"/>
      <c r="N76" s="189" t="s">
        <v>40</v>
      </c>
      <c r="O76" s="189"/>
      <c r="P76" s="91"/>
      <c r="Q76" s="91"/>
    </row>
    <row r="77" spans="4:17" ht="16.5" customHeight="1" x14ac:dyDescent="0.25">
      <c r="D77" s="186" t="str">
        <f t="shared" si="1"/>
        <v>404 JAC</v>
      </c>
      <c r="E77" s="186"/>
      <c r="F77" s="186"/>
      <c r="G77" s="186"/>
      <c r="H77" s="147" t="s">
        <v>623</v>
      </c>
      <c r="I77" s="147"/>
      <c r="J77" s="147">
        <v>1</v>
      </c>
      <c r="K77" s="147"/>
      <c r="L77" s="147" t="s">
        <v>624</v>
      </c>
      <c r="M77" s="147"/>
      <c r="N77" s="189" t="s">
        <v>40</v>
      </c>
      <c r="O77" s="189"/>
      <c r="P77" s="91"/>
      <c r="Q77" s="91"/>
    </row>
    <row r="78" spans="4:17" ht="16.5" customHeight="1" x14ac:dyDescent="0.25">
      <c r="D78" s="186" t="str">
        <f t="shared" si="1"/>
        <v>407 NIFC</v>
      </c>
      <c r="E78" s="186"/>
      <c r="F78" s="186"/>
      <c r="G78" s="186"/>
      <c r="H78" s="147" t="s">
        <v>623</v>
      </c>
      <c r="I78" s="147"/>
      <c r="J78" s="147">
        <v>1</v>
      </c>
      <c r="K78" s="147"/>
      <c r="L78" s="147" t="s">
        <v>624</v>
      </c>
      <c r="M78" s="147"/>
      <c r="N78" s="189" t="s">
        <v>40</v>
      </c>
      <c r="O78" s="189"/>
      <c r="P78" s="91"/>
      <c r="Q78" s="91"/>
    </row>
    <row r="79" spans="4:17" ht="16.5" customHeight="1" x14ac:dyDescent="0.25">
      <c r="D79" s="186" t="s">
        <v>670</v>
      </c>
      <c r="E79" s="186"/>
      <c r="F79" s="186"/>
      <c r="G79" s="186"/>
      <c r="H79" s="147" t="s">
        <v>623</v>
      </c>
      <c r="I79" s="147"/>
      <c r="J79" s="147">
        <v>2</v>
      </c>
      <c r="K79" s="147"/>
      <c r="L79" s="147" t="s">
        <v>624</v>
      </c>
      <c r="M79" s="147"/>
      <c r="N79" s="189" t="s">
        <v>40</v>
      </c>
      <c r="O79" s="189"/>
      <c r="P79" s="91"/>
      <c r="Q79" s="91"/>
    </row>
    <row r="80" spans="4:17" ht="16.5" customHeight="1" x14ac:dyDescent="0.25">
      <c r="D80" s="186" t="str">
        <f t="shared" ref="D80:D88" si="2">D48</f>
        <v>409 SF</v>
      </c>
      <c r="E80" s="186"/>
      <c r="F80" s="186"/>
      <c r="G80" s="186"/>
      <c r="H80" s="147" t="s">
        <v>623</v>
      </c>
      <c r="I80" s="147"/>
      <c r="J80" s="147">
        <v>1</v>
      </c>
      <c r="K80" s="147"/>
      <c r="L80" s="147" t="s">
        <v>624</v>
      </c>
      <c r="M80" s="147"/>
      <c r="N80" s="189" t="s">
        <v>40</v>
      </c>
      <c r="O80" s="189"/>
      <c r="P80" s="91"/>
      <c r="Q80" s="91"/>
    </row>
    <row r="81" spans="4:17" ht="16.5" customHeight="1" x14ac:dyDescent="0.25">
      <c r="D81" s="186" t="str">
        <f t="shared" si="2"/>
        <v>411 Comm</v>
      </c>
      <c r="E81" s="186"/>
      <c r="F81" s="186"/>
      <c r="G81" s="186"/>
      <c r="H81" s="147" t="s">
        <v>623</v>
      </c>
      <c r="I81" s="147"/>
      <c r="J81" s="147">
        <v>1</v>
      </c>
      <c r="K81" s="147"/>
      <c r="L81" s="147" t="s">
        <v>624</v>
      </c>
      <c r="M81" s="147"/>
      <c r="N81" s="189" t="s">
        <v>40</v>
      </c>
      <c r="O81" s="189"/>
      <c r="P81" s="91"/>
      <c r="Q81" s="91"/>
    </row>
    <row r="82" spans="4:17" ht="16.5" customHeight="1" x14ac:dyDescent="0.25">
      <c r="D82" s="186" t="str">
        <f t="shared" si="2"/>
        <v>412 AFRICOM</v>
      </c>
      <c r="E82" s="186"/>
      <c r="F82" s="186"/>
      <c r="G82" s="186"/>
      <c r="H82" s="147" t="s">
        <v>623</v>
      </c>
      <c r="I82" s="147"/>
      <c r="J82" s="147">
        <v>1</v>
      </c>
      <c r="K82" s="147"/>
      <c r="L82" s="147" t="s">
        <v>624</v>
      </c>
      <c r="M82" s="147"/>
      <c r="N82" s="189" t="s">
        <v>40</v>
      </c>
      <c r="O82" s="189"/>
      <c r="P82" s="91"/>
      <c r="Q82" s="91"/>
    </row>
    <row r="83" spans="4:17" ht="16.5" customHeight="1" x14ac:dyDescent="0.25">
      <c r="D83" s="186" t="str">
        <f t="shared" si="2"/>
        <v>414 JAC</v>
      </c>
      <c r="E83" s="186"/>
      <c r="F83" s="186"/>
      <c r="G83" s="186"/>
      <c r="H83" s="147" t="s">
        <v>623</v>
      </c>
      <c r="I83" s="147"/>
      <c r="J83" s="147">
        <v>1</v>
      </c>
      <c r="K83" s="147"/>
      <c r="L83" s="147" t="s">
        <v>624</v>
      </c>
      <c r="M83" s="147"/>
      <c r="N83" s="189" t="s">
        <v>40</v>
      </c>
      <c r="O83" s="189"/>
      <c r="P83" s="91"/>
      <c r="Q83" s="91"/>
    </row>
    <row r="84" spans="4:17" ht="16.5" customHeight="1" x14ac:dyDescent="0.25">
      <c r="D84" s="186" t="str">
        <f t="shared" si="2"/>
        <v>415 JAC</v>
      </c>
      <c r="E84" s="186"/>
      <c r="F84" s="186"/>
      <c r="G84" s="186"/>
      <c r="H84" s="147" t="s">
        <v>623</v>
      </c>
      <c r="I84" s="147"/>
      <c r="J84" s="147">
        <v>1</v>
      </c>
      <c r="K84" s="147"/>
      <c r="L84" s="147" t="s">
        <v>624</v>
      </c>
      <c r="M84" s="147"/>
      <c r="N84" s="189" t="s">
        <v>40</v>
      </c>
      <c r="O84" s="189"/>
      <c r="P84" s="91"/>
      <c r="Q84" s="91"/>
    </row>
    <row r="85" spans="4:17" ht="16.5" customHeight="1" x14ac:dyDescent="0.25">
      <c r="D85" s="186" t="str">
        <f t="shared" si="2"/>
        <v>420 AFRICOM</v>
      </c>
      <c r="E85" s="186"/>
      <c r="F85" s="186"/>
      <c r="G85" s="186"/>
      <c r="H85" s="147" t="s">
        <v>623</v>
      </c>
      <c r="I85" s="147"/>
      <c r="J85" s="147">
        <v>3</v>
      </c>
      <c r="K85" s="147"/>
      <c r="L85" s="147" t="s">
        <v>624</v>
      </c>
      <c r="M85" s="147"/>
      <c r="N85" s="189" t="s">
        <v>40</v>
      </c>
      <c r="O85" s="189"/>
      <c r="P85" s="91"/>
      <c r="Q85" s="91"/>
    </row>
    <row r="86" spans="4:17" ht="16.5" customHeight="1" x14ac:dyDescent="0.25">
      <c r="D86" s="186" t="str">
        <f t="shared" si="2"/>
        <v>501 Outdoor Rec</v>
      </c>
      <c r="E86" s="186"/>
      <c r="F86" s="186"/>
      <c r="G86" s="186"/>
      <c r="H86" s="147" t="s">
        <v>623</v>
      </c>
      <c r="I86" s="147"/>
      <c r="J86" s="147">
        <v>1</v>
      </c>
      <c r="K86" s="147"/>
      <c r="L86" s="147" t="s">
        <v>624</v>
      </c>
      <c r="M86" s="147"/>
      <c r="N86" s="189" t="s">
        <v>40</v>
      </c>
      <c r="O86" s="189"/>
      <c r="P86" s="91"/>
      <c r="Q86" s="91"/>
    </row>
    <row r="87" spans="4:17" ht="15.75" x14ac:dyDescent="0.25">
      <c r="D87" s="186" t="str">
        <f t="shared" si="2"/>
        <v>612 Firing Range</v>
      </c>
      <c r="E87" s="186"/>
      <c r="F87" s="186"/>
      <c r="G87" s="186"/>
      <c r="H87" s="147" t="s">
        <v>623</v>
      </c>
      <c r="I87" s="147"/>
      <c r="J87" s="147">
        <v>1</v>
      </c>
      <c r="K87" s="147"/>
      <c r="L87" s="147" t="s">
        <v>624</v>
      </c>
      <c r="M87" s="147"/>
      <c r="N87" s="189" t="s">
        <v>40</v>
      </c>
      <c r="O87" s="189"/>
      <c r="P87" s="91"/>
      <c r="Q87" s="91"/>
    </row>
    <row r="88" spans="4:17" ht="15.75" x14ac:dyDescent="0.25">
      <c r="D88" s="186" t="str">
        <f t="shared" si="2"/>
        <v xml:space="preserve"> LVIS Gate</v>
      </c>
      <c r="E88" s="186"/>
      <c r="F88" s="186"/>
      <c r="G88" s="186"/>
      <c r="H88" s="147" t="s">
        <v>623</v>
      </c>
      <c r="I88" s="147"/>
      <c r="J88" s="147">
        <v>1</v>
      </c>
      <c r="K88" s="147"/>
      <c r="L88" s="147" t="s">
        <v>624</v>
      </c>
      <c r="M88" s="147"/>
      <c r="N88" s="189" t="s">
        <v>40</v>
      </c>
      <c r="O88" s="189"/>
      <c r="P88" s="91"/>
      <c r="Q88" s="91"/>
    </row>
    <row r="89" spans="4:17" ht="15.75" x14ac:dyDescent="0.25">
      <c r="D89" s="186">
        <v>819</v>
      </c>
      <c r="E89" s="186"/>
      <c r="F89" s="186"/>
      <c r="G89" s="186"/>
      <c r="H89" s="147" t="s">
        <v>623</v>
      </c>
      <c r="I89" s="147"/>
      <c r="J89" s="147">
        <v>1</v>
      </c>
      <c r="K89" s="147"/>
      <c r="L89" s="147" t="s">
        <v>624</v>
      </c>
      <c r="M89" s="147"/>
      <c r="N89" s="189" t="s">
        <v>40</v>
      </c>
      <c r="O89" s="189"/>
      <c r="P89" s="91"/>
      <c r="Q89" s="91"/>
    </row>
    <row r="90" spans="4:17" ht="15.75" x14ac:dyDescent="0.25">
      <c r="D90" s="186">
        <v>334</v>
      </c>
      <c r="E90" s="186"/>
      <c r="F90" s="186"/>
      <c r="G90" s="186"/>
      <c r="H90" s="147" t="s">
        <v>623</v>
      </c>
      <c r="I90" s="147"/>
      <c r="J90" s="147">
        <v>1</v>
      </c>
      <c r="K90" s="147"/>
      <c r="L90" s="147" t="s">
        <v>624</v>
      </c>
      <c r="M90" s="147"/>
      <c r="N90" s="189" t="s">
        <v>40</v>
      </c>
      <c r="O90" s="189"/>
      <c r="P90" s="91"/>
      <c r="Q90" s="91"/>
    </row>
    <row r="91" spans="4:17" x14ac:dyDescent="0.25"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</row>
  </sheetData>
  <mergeCells count="431">
    <mergeCell ref="D89:G89"/>
    <mergeCell ref="H89:I89"/>
    <mergeCell ref="J89:K89"/>
    <mergeCell ref="L89:M89"/>
    <mergeCell ref="N89:O89"/>
    <mergeCell ref="D90:G90"/>
    <mergeCell ref="H90:I90"/>
    <mergeCell ref="J90:K90"/>
    <mergeCell ref="L90:M90"/>
    <mergeCell ref="N90:O90"/>
    <mergeCell ref="D87:G87"/>
    <mergeCell ref="H87:I87"/>
    <mergeCell ref="J87:K87"/>
    <mergeCell ref="L87:M87"/>
    <mergeCell ref="N87:O87"/>
    <mergeCell ref="D88:G88"/>
    <mergeCell ref="H88:I88"/>
    <mergeCell ref="J88:K88"/>
    <mergeCell ref="L88:M88"/>
    <mergeCell ref="N88:O88"/>
    <mergeCell ref="D85:G85"/>
    <mergeCell ref="H85:I85"/>
    <mergeCell ref="J85:K85"/>
    <mergeCell ref="L85:M85"/>
    <mergeCell ref="N85:O85"/>
    <mergeCell ref="D86:G86"/>
    <mergeCell ref="H86:I86"/>
    <mergeCell ref="J86:K86"/>
    <mergeCell ref="L86:M86"/>
    <mergeCell ref="N86:O86"/>
    <mergeCell ref="D83:G83"/>
    <mergeCell ref="H83:I83"/>
    <mergeCell ref="J83:K83"/>
    <mergeCell ref="L83:M83"/>
    <mergeCell ref="N83:O83"/>
    <mergeCell ref="D84:G84"/>
    <mergeCell ref="H84:I84"/>
    <mergeCell ref="J84:K84"/>
    <mergeCell ref="L84:M84"/>
    <mergeCell ref="N84:O84"/>
    <mergeCell ref="D81:G81"/>
    <mergeCell ref="H81:I81"/>
    <mergeCell ref="J81:K81"/>
    <mergeCell ref="L81:M81"/>
    <mergeCell ref="N81:O81"/>
    <mergeCell ref="D82:G82"/>
    <mergeCell ref="H82:I82"/>
    <mergeCell ref="J82:K82"/>
    <mergeCell ref="L82:M82"/>
    <mergeCell ref="N82:O82"/>
    <mergeCell ref="D79:G79"/>
    <mergeCell ref="H79:I79"/>
    <mergeCell ref="J79:K79"/>
    <mergeCell ref="L79:M79"/>
    <mergeCell ref="N79:O79"/>
    <mergeCell ref="D80:G80"/>
    <mergeCell ref="H80:I80"/>
    <mergeCell ref="J80:K80"/>
    <mergeCell ref="L80:M80"/>
    <mergeCell ref="N80:O80"/>
    <mergeCell ref="D77:G77"/>
    <mergeCell ref="H77:I77"/>
    <mergeCell ref="J77:K77"/>
    <mergeCell ref="L77:M77"/>
    <mergeCell ref="N77:O77"/>
    <mergeCell ref="D78:G78"/>
    <mergeCell ref="H78:I78"/>
    <mergeCell ref="J78:K78"/>
    <mergeCell ref="L78:M78"/>
    <mergeCell ref="N78:O78"/>
    <mergeCell ref="D75:G75"/>
    <mergeCell ref="H75:I75"/>
    <mergeCell ref="J75:K75"/>
    <mergeCell ref="L75:M75"/>
    <mergeCell ref="N75:O75"/>
    <mergeCell ref="D76:G76"/>
    <mergeCell ref="H76:I76"/>
    <mergeCell ref="J76:K76"/>
    <mergeCell ref="L76:M76"/>
    <mergeCell ref="N76:O76"/>
    <mergeCell ref="D73:G73"/>
    <mergeCell ref="H73:I73"/>
    <mergeCell ref="J73:K73"/>
    <mergeCell ref="L73:M73"/>
    <mergeCell ref="N73:O73"/>
    <mergeCell ref="D74:G74"/>
    <mergeCell ref="H74:I74"/>
    <mergeCell ref="J74:K74"/>
    <mergeCell ref="L74:M74"/>
    <mergeCell ref="N74:O74"/>
    <mergeCell ref="D71:G71"/>
    <mergeCell ref="H71:I71"/>
    <mergeCell ref="J71:K71"/>
    <mergeCell ref="L71:M71"/>
    <mergeCell ref="N71:O71"/>
    <mergeCell ref="D72:G72"/>
    <mergeCell ref="H72:I72"/>
    <mergeCell ref="J72:K72"/>
    <mergeCell ref="L72:M72"/>
    <mergeCell ref="N72:O72"/>
    <mergeCell ref="D69:G69"/>
    <mergeCell ref="H69:I69"/>
    <mergeCell ref="J69:K69"/>
    <mergeCell ref="L69:M69"/>
    <mergeCell ref="N69:O69"/>
    <mergeCell ref="D70:G70"/>
    <mergeCell ref="H70:I70"/>
    <mergeCell ref="J70:K70"/>
    <mergeCell ref="L70:M70"/>
    <mergeCell ref="N70:O70"/>
    <mergeCell ref="D67:G67"/>
    <mergeCell ref="H67:I67"/>
    <mergeCell ref="J67:K67"/>
    <mergeCell ref="L67:M67"/>
    <mergeCell ref="N67:O67"/>
    <mergeCell ref="D68:G68"/>
    <mergeCell ref="H68:I68"/>
    <mergeCell ref="J68:K68"/>
    <mergeCell ref="L68:M68"/>
    <mergeCell ref="N68:O68"/>
    <mergeCell ref="D65:G65"/>
    <mergeCell ref="H65:I65"/>
    <mergeCell ref="J65:K65"/>
    <mergeCell ref="L65:M65"/>
    <mergeCell ref="N65:O65"/>
    <mergeCell ref="D66:G66"/>
    <mergeCell ref="H66:I66"/>
    <mergeCell ref="J66:K66"/>
    <mergeCell ref="L66:M66"/>
    <mergeCell ref="N66:O66"/>
    <mergeCell ref="D63:G63"/>
    <mergeCell ref="H63:I63"/>
    <mergeCell ref="J63:K63"/>
    <mergeCell ref="L63:M63"/>
    <mergeCell ref="N63:O63"/>
    <mergeCell ref="D64:G64"/>
    <mergeCell ref="H64:I64"/>
    <mergeCell ref="J64:K64"/>
    <mergeCell ref="L64:M64"/>
    <mergeCell ref="N64:O64"/>
    <mergeCell ref="D61:G61"/>
    <mergeCell ref="H61:I61"/>
    <mergeCell ref="J61:K61"/>
    <mergeCell ref="L61:M61"/>
    <mergeCell ref="N61:O61"/>
    <mergeCell ref="D62:G62"/>
    <mergeCell ref="H62:I62"/>
    <mergeCell ref="J62:K62"/>
    <mergeCell ref="L62:M62"/>
    <mergeCell ref="N62:O62"/>
    <mergeCell ref="D59:G59"/>
    <mergeCell ref="H59:I59"/>
    <mergeCell ref="J59:K59"/>
    <mergeCell ref="L59:M59"/>
    <mergeCell ref="N59:O59"/>
    <mergeCell ref="D60:G60"/>
    <mergeCell ref="H60:I60"/>
    <mergeCell ref="J60:K60"/>
    <mergeCell ref="L60:M60"/>
    <mergeCell ref="N60:O60"/>
    <mergeCell ref="D57:G57"/>
    <mergeCell ref="H57:I57"/>
    <mergeCell ref="J57:K57"/>
    <mergeCell ref="L57:M57"/>
    <mergeCell ref="N57:O57"/>
    <mergeCell ref="D58:G58"/>
    <mergeCell ref="H58:I58"/>
    <mergeCell ref="J58:K58"/>
    <mergeCell ref="L58:M58"/>
    <mergeCell ref="N58:O58"/>
    <mergeCell ref="D55:G55"/>
    <mergeCell ref="H55:I55"/>
    <mergeCell ref="J55:K55"/>
    <mergeCell ref="L55:M55"/>
    <mergeCell ref="N55:O55"/>
    <mergeCell ref="D56:G56"/>
    <mergeCell ref="H56:I56"/>
    <mergeCell ref="J56:K56"/>
    <mergeCell ref="L56:M56"/>
    <mergeCell ref="N56:O56"/>
    <mergeCell ref="D53:G53"/>
    <mergeCell ref="H53:I53"/>
    <mergeCell ref="J53:K53"/>
    <mergeCell ref="L53:M53"/>
    <mergeCell ref="N53:O53"/>
    <mergeCell ref="D54:G54"/>
    <mergeCell ref="H54:I54"/>
    <mergeCell ref="J54:K54"/>
    <mergeCell ref="L54:M54"/>
    <mergeCell ref="N54:O54"/>
    <mergeCell ref="D51:G51"/>
    <mergeCell ref="H51:I51"/>
    <mergeCell ref="J51:K51"/>
    <mergeCell ref="L51:M51"/>
    <mergeCell ref="N51:O51"/>
    <mergeCell ref="D52:G52"/>
    <mergeCell ref="H52:I52"/>
    <mergeCell ref="J52:K52"/>
    <mergeCell ref="L52:M52"/>
    <mergeCell ref="N52:O52"/>
    <mergeCell ref="D49:G49"/>
    <mergeCell ref="H49:I49"/>
    <mergeCell ref="J49:K49"/>
    <mergeCell ref="L49:M49"/>
    <mergeCell ref="N49:O49"/>
    <mergeCell ref="D50:G50"/>
    <mergeCell ref="H50:I50"/>
    <mergeCell ref="J50:K50"/>
    <mergeCell ref="L50:M50"/>
    <mergeCell ref="N50:O50"/>
    <mergeCell ref="D47:G47"/>
    <mergeCell ref="H47:I47"/>
    <mergeCell ref="J47:K47"/>
    <mergeCell ref="L47:M47"/>
    <mergeCell ref="N47:O47"/>
    <mergeCell ref="D48:G48"/>
    <mergeCell ref="H48:I48"/>
    <mergeCell ref="J48:K48"/>
    <mergeCell ref="L48:M48"/>
    <mergeCell ref="N48:O48"/>
    <mergeCell ref="D45:G45"/>
    <mergeCell ref="H45:I45"/>
    <mergeCell ref="J45:K45"/>
    <mergeCell ref="L45:M45"/>
    <mergeCell ref="N45:O45"/>
    <mergeCell ref="D46:G46"/>
    <mergeCell ref="H46:I46"/>
    <mergeCell ref="J46:K46"/>
    <mergeCell ref="L46:M46"/>
    <mergeCell ref="N46:O46"/>
    <mergeCell ref="D43:G43"/>
    <mergeCell ref="H43:I43"/>
    <mergeCell ref="J43:K43"/>
    <mergeCell ref="L43:M43"/>
    <mergeCell ref="N43:O43"/>
    <mergeCell ref="D44:G44"/>
    <mergeCell ref="H44:I44"/>
    <mergeCell ref="J44:K44"/>
    <mergeCell ref="L44:M44"/>
    <mergeCell ref="N44:O44"/>
    <mergeCell ref="D41:G41"/>
    <mergeCell ref="H41:I41"/>
    <mergeCell ref="J41:K41"/>
    <mergeCell ref="L41:M41"/>
    <mergeCell ref="N41:O41"/>
    <mergeCell ref="D42:G42"/>
    <mergeCell ref="H42:I42"/>
    <mergeCell ref="J42:K42"/>
    <mergeCell ref="L42:M42"/>
    <mergeCell ref="N42:O42"/>
    <mergeCell ref="D39:G39"/>
    <mergeCell ref="H39:I39"/>
    <mergeCell ref="J39:K39"/>
    <mergeCell ref="L39:M39"/>
    <mergeCell ref="N39:O39"/>
    <mergeCell ref="D40:G40"/>
    <mergeCell ref="H40:I40"/>
    <mergeCell ref="J40:K40"/>
    <mergeCell ref="L40:M40"/>
    <mergeCell ref="N40:O40"/>
    <mergeCell ref="D37:G37"/>
    <mergeCell ref="H37:I37"/>
    <mergeCell ref="J37:K37"/>
    <mergeCell ref="L37:M37"/>
    <mergeCell ref="N37:O37"/>
    <mergeCell ref="D38:G38"/>
    <mergeCell ref="H38:I38"/>
    <mergeCell ref="J38:K38"/>
    <mergeCell ref="L38:M38"/>
    <mergeCell ref="N38:O38"/>
    <mergeCell ref="D35:G35"/>
    <mergeCell ref="H35:I35"/>
    <mergeCell ref="J35:K35"/>
    <mergeCell ref="L35:M35"/>
    <mergeCell ref="N35:O35"/>
    <mergeCell ref="D36:G36"/>
    <mergeCell ref="H36:I36"/>
    <mergeCell ref="J36:K36"/>
    <mergeCell ref="L36:M36"/>
    <mergeCell ref="N36:O36"/>
    <mergeCell ref="D33:G33"/>
    <mergeCell ref="H33:I33"/>
    <mergeCell ref="J33:K33"/>
    <mergeCell ref="L33:M33"/>
    <mergeCell ref="N33:O33"/>
    <mergeCell ref="D34:G34"/>
    <mergeCell ref="H34:I34"/>
    <mergeCell ref="J34:K34"/>
    <mergeCell ref="L34:M34"/>
    <mergeCell ref="N34:O34"/>
    <mergeCell ref="D31:G31"/>
    <mergeCell ref="H31:I31"/>
    <mergeCell ref="J31:K31"/>
    <mergeCell ref="L31:M31"/>
    <mergeCell ref="N31:O31"/>
    <mergeCell ref="D32:G32"/>
    <mergeCell ref="H32:I32"/>
    <mergeCell ref="J32:K32"/>
    <mergeCell ref="L32:M32"/>
    <mergeCell ref="N32:O32"/>
    <mergeCell ref="D29:G29"/>
    <mergeCell ref="H29:I29"/>
    <mergeCell ref="J29:K29"/>
    <mergeCell ref="L29:M29"/>
    <mergeCell ref="N29:O29"/>
    <mergeCell ref="D30:G30"/>
    <mergeCell ref="H30:I30"/>
    <mergeCell ref="J30:K30"/>
    <mergeCell ref="L30:M30"/>
    <mergeCell ref="N30:O30"/>
    <mergeCell ref="D27:G27"/>
    <mergeCell ref="H27:I27"/>
    <mergeCell ref="J27:K27"/>
    <mergeCell ref="L27:M27"/>
    <mergeCell ref="N27:O27"/>
    <mergeCell ref="D28:G28"/>
    <mergeCell ref="H28:I28"/>
    <mergeCell ref="J28:K28"/>
    <mergeCell ref="L28:M28"/>
    <mergeCell ref="N28:O28"/>
    <mergeCell ref="D26:G26"/>
    <mergeCell ref="H26:I26"/>
    <mergeCell ref="J26:K26"/>
    <mergeCell ref="L26:M26"/>
    <mergeCell ref="N26:O26"/>
    <mergeCell ref="D25:G25"/>
    <mergeCell ref="H16:I16"/>
    <mergeCell ref="H17:I17"/>
    <mergeCell ref="H25:I25"/>
    <mergeCell ref="J25:K25"/>
    <mergeCell ref="L25:M25"/>
    <mergeCell ref="N25:O25"/>
    <mergeCell ref="D16:G16"/>
    <mergeCell ref="D17:G17"/>
    <mergeCell ref="D18:G18"/>
    <mergeCell ref="D19:G19"/>
    <mergeCell ref="D20:G20"/>
    <mergeCell ref="D21:G21"/>
    <mergeCell ref="J23:K23"/>
    <mergeCell ref="J24:K24"/>
    <mergeCell ref="H20:I20"/>
    <mergeCell ref="H21:I21"/>
    <mergeCell ref="H22:I22"/>
    <mergeCell ref="J17:K17"/>
    <mergeCell ref="J18:K18"/>
    <mergeCell ref="N16:O16"/>
    <mergeCell ref="N17:O17"/>
    <mergeCell ref="N18:O18"/>
    <mergeCell ref="N19:O19"/>
    <mergeCell ref="N20:O20"/>
    <mergeCell ref="N21:O21"/>
    <mergeCell ref="H23:I23"/>
    <mergeCell ref="H24:I24"/>
    <mergeCell ref="J16:K16"/>
    <mergeCell ref="L16:M16"/>
    <mergeCell ref="L17:M17"/>
    <mergeCell ref="L18:M18"/>
    <mergeCell ref="H18:I18"/>
    <mergeCell ref="D22:G22"/>
    <mergeCell ref="D23:G23"/>
    <mergeCell ref="D24:G24"/>
    <mergeCell ref="J19:K19"/>
    <mergeCell ref="J20:K20"/>
    <mergeCell ref="J21:K21"/>
    <mergeCell ref="J22:K22"/>
    <mergeCell ref="N22:O22"/>
    <mergeCell ref="N23:O23"/>
    <mergeCell ref="N24:O24"/>
    <mergeCell ref="L19:M19"/>
    <mergeCell ref="L20:M20"/>
    <mergeCell ref="L21:M21"/>
    <mergeCell ref="L22:M22"/>
    <mergeCell ref="L23:M23"/>
    <mergeCell ref="H19:I19"/>
    <mergeCell ref="L24:M24"/>
    <mergeCell ref="D15:G15"/>
    <mergeCell ref="H15:I15"/>
    <mergeCell ref="J15:K15"/>
    <mergeCell ref="L15:M15"/>
    <mergeCell ref="N15:O15"/>
    <mergeCell ref="D14:G14"/>
    <mergeCell ref="H14:I14"/>
    <mergeCell ref="J14:K14"/>
    <mergeCell ref="L14:M14"/>
    <mergeCell ref="N14:O14"/>
    <mergeCell ref="L6:M6"/>
    <mergeCell ref="N6:O6"/>
    <mergeCell ref="D13:G13"/>
    <mergeCell ref="H13:I13"/>
    <mergeCell ref="J13:K13"/>
    <mergeCell ref="L13:M13"/>
    <mergeCell ref="N13:O13"/>
    <mergeCell ref="D12:G12"/>
    <mergeCell ref="H12:I12"/>
    <mergeCell ref="J12:K12"/>
    <mergeCell ref="L12:M12"/>
    <mergeCell ref="N12:O12"/>
    <mergeCell ref="D11:G11"/>
    <mergeCell ref="H11:I11"/>
    <mergeCell ref="J11:K11"/>
    <mergeCell ref="L11:M11"/>
    <mergeCell ref="N11:O11"/>
    <mergeCell ref="D10:G10"/>
    <mergeCell ref="H10:I10"/>
    <mergeCell ref="J10:K10"/>
    <mergeCell ref="L10:M10"/>
    <mergeCell ref="N10:O10"/>
    <mergeCell ref="D2:O3"/>
    <mergeCell ref="D4:G5"/>
    <mergeCell ref="H4:I5"/>
    <mergeCell ref="J4:K5"/>
    <mergeCell ref="L4:M5"/>
    <mergeCell ref="N4:O5"/>
    <mergeCell ref="D9:G9"/>
    <mergeCell ref="H9:I9"/>
    <mergeCell ref="J9:K9"/>
    <mergeCell ref="L9:M9"/>
    <mergeCell ref="N9:O9"/>
    <mergeCell ref="D8:G8"/>
    <mergeCell ref="H8:I8"/>
    <mergeCell ref="J8:K8"/>
    <mergeCell ref="L8:M8"/>
    <mergeCell ref="N8:O8"/>
    <mergeCell ref="D7:G7"/>
    <mergeCell ref="H7:I7"/>
    <mergeCell ref="J7:K7"/>
    <mergeCell ref="L7:M7"/>
    <mergeCell ref="N7:O7"/>
    <mergeCell ref="D6:G6"/>
    <mergeCell ref="H6:I6"/>
    <mergeCell ref="J6:K6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U72"/>
  <sheetViews>
    <sheetView workbookViewId="0">
      <selection activeCell="O15" sqref="O15"/>
    </sheetView>
  </sheetViews>
  <sheetFormatPr defaultRowHeight="15" x14ac:dyDescent="0.25"/>
  <cols>
    <col min="5" max="5" width="11.5703125" customWidth="1"/>
    <col min="13" max="13" width="31.5703125" customWidth="1"/>
    <col min="14" max="14" width="16" customWidth="1"/>
  </cols>
  <sheetData>
    <row r="1" spans="2:13" ht="15.75" thickBot="1" x14ac:dyDescent="0.3"/>
    <row r="2" spans="2:13" x14ac:dyDescent="0.25">
      <c r="B2" s="169" t="s">
        <v>379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1"/>
    </row>
    <row r="3" spans="2:13" x14ac:dyDescent="0.25">
      <c r="B3" s="195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7"/>
    </row>
    <row r="4" spans="2:13" x14ac:dyDescent="0.25">
      <c r="B4" s="183" t="s">
        <v>315</v>
      </c>
      <c r="C4" s="199"/>
      <c r="D4" s="199"/>
      <c r="E4" s="199"/>
      <c r="F4" s="198" t="s">
        <v>0</v>
      </c>
      <c r="G4" s="198"/>
      <c r="H4" s="198" t="s">
        <v>3</v>
      </c>
      <c r="I4" s="198"/>
      <c r="J4" s="198" t="s">
        <v>2</v>
      </c>
      <c r="K4" s="198"/>
      <c r="L4" s="198" t="s">
        <v>1</v>
      </c>
      <c r="M4" s="182"/>
    </row>
    <row r="5" spans="2:13" x14ac:dyDescent="0.25">
      <c r="B5" s="183"/>
      <c r="C5" s="199"/>
      <c r="D5" s="199"/>
      <c r="E5" s="199"/>
      <c r="F5" s="198"/>
      <c r="G5" s="198"/>
      <c r="H5" s="198"/>
      <c r="I5" s="198"/>
      <c r="J5" s="198"/>
      <c r="K5" s="198"/>
      <c r="L5" s="198"/>
      <c r="M5" s="182"/>
    </row>
    <row r="6" spans="2:13" ht="15.75" customHeight="1" x14ac:dyDescent="0.25">
      <c r="B6" s="194" t="s">
        <v>378</v>
      </c>
      <c r="C6" s="194"/>
      <c r="D6" s="194"/>
      <c r="E6" s="194"/>
      <c r="F6" s="191" t="s">
        <v>356</v>
      </c>
      <c r="G6" s="191"/>
      <c r="H6" s="191">
        <v>2</v>
      </c>
      <c r="I6" s="191"/>
      <c r="J6" s="191">
        <v>200301</v>
      </c>
      <c r="K6" s="191"/>
      <c r="L6" s="191" t="s">
        <v>355</v>
      </c>
      <c r="M6" s="191"/>
    </row>
    <row r="7" spans="2:13" ht="15.75" customHeight="1" x14ac:dyDescent="0.25">
      <c r="B7" s="194" t="s">
        <v>377</v>
      </c>
      <c r="C7" s="194"/>
      <c r="D7" s="194"/>
      <c r="E7" s="194"/>
      <c r="F7" s="191" t="s">
        <v>356</v>
      </c>
      <c r="G7" s="191"/>
      <c r="H7" s="191">
        <v>4</v>
      </c>
      <c r="I7" s="191"/>
      <c r="J7" s="191">
        <v>200301</v>
      </c>
      <c r="K7" s="191"/>
      <c r="L7" s="191" t="s">
        <v>355</v>
      </c>
      <c r="M7" s="191"/>
    </row>
    <row r="8" spans="2:13" ht="15.75" customHeight="1" x14ac:dyDescent="0.25">
      <c r="B8" s="194" t="s">
        <v>376</v>
      </c>
      <c r="C8" s="194"/>
      <c r="D8" s="194"/>
      <c r="E8" s="194"/>
      <c r="F8" s="191" t="s">
        <v>356</v>
      </c>
      <c r="G8" s="191"/>
      <c r="H8" s="191">
        <v>2</v>
      </c>
      <c r="I8" s="191"/>
      <c r="J8" s="191">
        <v>200301</v>
      </c>
      <c r="K8" s="191"/>
      <c r="L8" s="191" t="s">
        <v>355</v>
      </c>
      <c r="M8" s="191"/>
    </row>
    <row r="9" spans="2:13" ht="15.75" customHeight="1" x14ac:dyDescent="0.25">
      <c r="B9" s="194" t="s">
        <v>375</v>
      </c>
      <c r="C9" s="194"/>
      <c r="D9" s="194"/>
      <c r="E9" s="194"/>
      <c r="F9" s="191" t="s">
        <v>356</v>
      </c>
      <c r="G9" s="191"/>
      <c r="H9" s="191">
        <v>1</v>
      </c>
      <c r="I9" s="191"/>
      <c r="J9" s="191">
        <v>200301</v>
      </c>
      <c r="K9" s="191"/>
      <c r="L9" s="191" t="s">
        <v>355</v>
      </c>
      <c r="M9" s="191"/>
    </row>
    <row r="10" spans="2:13" ht="15.75" customHeight="1" x14ac:dyDescent="0.25">
      <c r="B10" s="194" t="s">
        <v>374</v>
      </c>
      <c r="C10" s="194"/>
      <c r="D10" s="194"/>
      <c r="E10" s="194"/>
      <c r="F10" s="191" t="s">
        <v>356</v>
      </c>
      <c r="G10" s="191"/>
      <c r="H10" s="191">
        <v>3</v>
      </c>
      <c r="I10" s="191"/>
      <c r="J10" s="191">
        <v>200301</v>
      </c>
      <c r="K10" s="191"/>
      <c r="L10" s="191" t="s">
        <v>355</v>
      </c>
      <c r="M10" s="191"/>
    </row>
    <row r="11" spans="2:13" ht="15.75" customHeight="1" x14ac:dyDescent="0.25">
      <c r="B11" s="194" t="s">
        <v>373</v>
      </c>
      <c r="C11" s="194"/>
      <c r="D11" s="194"/>
      <c r="E11" s="194"/>
      <c r="F11" s="191" t="s">
        <v>356</v>
      </c>
      <c r="G11" s="191"/>
      <c r="H11" s="191">
        <v>4</v>
      </c>
      <c r="I11" s="191"/>
      <c r="J11" s="191">
        <v>200301</v>
      </c>
      <c r="K11" s="191"/>
      <c r="L11" s="191" t="s">
        <v>355</v>
      </c>
      <c r="M11" s="191"/>
    </row>
    <row r="12" spans="2:13" ht="15.75" customHeight="1" x14ac:dyDescent="0.25">
      <c r="B12" s="194" t="s">
        <v>372</v>
      </c>
      <c r="C12" s="194"/>
      <c r="D12" s="194"/>
      <c r="E12" s="194"/>
      <c r="F12" s="191" t="s">
        <v>356</v>
      </c>
      <c r="G12" s="191"/>
      <c r="H12" s="191">
        <v>6</v>
      </c>
      <c r="I12" s="191"/>
      <c r="J12" s="191">
        <v>200301</v>
      </c>
      <c r="K12" s="191"/>
      <c r="L12" s="191" t="s">
        <v>355</v>
      </c>
      <c r="M12" s="191"/>
    </row>
    <row r="13" spans="2:13" ht="15.75" customHeight="1" x14ac:dyDescent="0.25">
      <c r="B13" s="194" t="s">
        <v>371</v>
      </c>
      <c r="C13" s="194"/>
      <c r="D13" s="194"/>
      <c r="E13" s="194"/>
      <c r="F13" s="191" t="s">
        <v>356</v>
      </c>
      <c r="G13" s="191"/>
      <c r="H13" s="191">
        <v>2</v>
      </c>
      <c r="I13" s="191"/>
      <c r="J13" s="191">
        <v>200301</v>
      </c>
      <c r="K13" s="191"/>
      <c r="L13" s="191" t="s">
        <v>355</v>
      </c>
      <c r="M13" s="191"/>
    </row>
    <row r="14" spans="2:13" ht="15.75" customHeight="1" x14ac:dyDescent="0.25">
      <c r="B14" s="194" t="s">
        <v>370</v>
      </c>
      <c r="C14" s="194"/>
      <c r="D14" s="194"/>
      <c r="E14" s="194"/>
      <c r="F14" s="191" t="s">
        <v>356</v>
      </c>
      <c r="G14" s="191"/>
      <c r="H14" s="191">
        <v>3</v>
      </c>
      <c r="I14" s="191"/>
      <c r="J14" s="191">
        <v>200301</v>
      </c>
      <c r="K14" s="191"/>
      <c r="L14" s="191" t="s">
        <v>355</v>
      </c>
      <c r="M14" s="191"/>
    </row>
    <row r="15" spans="2:13" ht="15.75" customHeight="1" x14ac:dyDescent="0.25">
      <c r="B15" s="194" t="s">
        <v>369</v>
      </c>
      <c r="C15" s="194"/>
      <c r="D15" s="194"/>
      <c r="E15" s="194"/>
      <c r="F15" s="191" t="s">
        <v>356</v>
      </c>
      <c r="G15" s="191"/>
      <c r="H15" s="191">
        <v>4</v>
      </c>
      <c r="I15" s="191"/>
      <c r="J15" s="191">
        <v>200301</v>
      </c>
      <c r="K15" s="191"/>
      <c r="L15" s="191" t="s">
        <v>355</v>
      </c>
      <c r="M15" s="191"/>
    </row>
    <row r="16" spans="2:13" ht="15.75" customHeight="1" x14ac:dyDescent="0.25">
      <c r="B16" s="194" t="s">
        <v>368</v>
      </c>
      <c r="C16" s="194"/>
      <c r="D16" s="194"/>
      <c r="E16" s="194"/>
      <c r="F16" s="191" t="s">
        <v>356</v>
      </c>
      <c r="G16" s="191"/>
      <c r="H16" s="191">
        <v>2</v>
      </c>
      <c r="I16" s="191"/>
      <c r="J16" s="191">
        <v>200301</v>
      </c>
      <c r="K16" s="191"/>
      <c r="L16" s="191" t="s">
        <v>355</v>
      </c>
      <c r="M16" s="191"/>
    </row>
    <row r="17" spans="2:13" ht="15.75" customHeight="1" x14ac:dyDescent="0.25">
      <c r="B17" s="194" t="s">
        <v>367</v>
      </c>
      <c r="C17" s="194"/>
      <c r="D17" s="194"/>
      <c r="E17" s="194"/>
      <c r="F17" s="191" t="s">
        <v>356</v>
      </c>
      <c r="G17" s="191"/>
      <c r="H17" s="191">
        <v>4</v>
      </c>
      <c r="I17" s="191"/>
      <c r="J17" s="191">
        <v>200301</v>
      </c>
      <c r="K17" s="191"/>
      <c r="L17" s="191" t="s">
        <v>355</v>
      </c>
      <c r="M17" s="191"/>
    </row>
    <row r="18" spans="2:13" ht="15.75" customHeight="1" x14ac:dyDescent="0.25">
      <c r="B18" s="193" t="s">
        <v>366</v>
      </c>
      <c r="C18" s="193"/>
      <c r="D18" s="193"/>
      <c r="E18" s="193"/>
      <c r="F18" s="191" t="s">
        <v>356</v>
      </c>
      <c r="G18" s="191"/>
      <c r="H18" s="191">
        <v>2</v>
      </c>
      <c r="I18" s="191"/>
      <c r="J18" s="191">
        <v>200301</v>
      </c>
      <c r="K18" s="191"/>
      <c r="L18" s="191" t="s">
        <v>355</v>
      </c>
      <c r="M18" s="191"/>
    </row>
    <row r="19" spans="2:13" ht="15.75" customHeight="1" x14ac:dyDescent="0.25">
      <c r="B19" s="194" t="s">
        <v>365</v>
      </c>
      <c r="C19" s="194"/>
      <c r="D19" s="194"/>
      <c r="E19" s="194"/>
      <c r="F19" s="191" t="s">
        <v>356</v>
      </c>
      <c r="G19" s="191"/>
      <c r="H19" s="191">
        <v>6</v>
      </c>
      <c r="I19" s="191"/>
      <c r="J19" s="191">
        <v>200301</v>
      </c>
      <c r="K19" s="191"/>
      <c r="L19" s="191" t="s">
        <v>355</v>
      </c>
      <c r="M19" s="191"/>
    </row>
    <row r="20" spans="2:13" ht="15.75" customHeight="1" x14ac:dyDescent="0.25">
      <c r="B20" s="194" t="s">
        <v>364</v>
      </c>
      <c r="C20" s="194"/>
      <c r="D20" s="194"/>
      <c r="E20" s="194"/>
      <c r="F20" s="191" t="s">
        <v>356</v>
      </c>
      <c r="G20" s="191"/>
      <c r="H20" s="191">
        <v>3</v>
      </c>
      <c r="I20" s="191"/>
      <c r="J20" s="191">
        <v>200301</v>
      </c>
      <c r="K20" s="191"/>
      <c r="L20" s="191" t="s">
        <v>355</v>
      </c>
      <c r="M20" s="191"/>
    </row>
    <row r="21" spans="2:13" ht="15.75" customHeight="1" x14ac:dyDescent="0.25">
      <c r="B21" s="194" t="s">
        <v>363</v>
      </c>
      <c r="C21" s="194"/>
      <c r="D21" s="194"/>
      <c r="E21" s="194"/>
      <c r="F21" s="191" t="s">
        <v>356</v>
      </c>
      <c r="G21" s="191"/>
      <c r="H21" s="191">
        <v>5</v>
      </c>
      <c r="I21" s="191"/>
      <c r="J21" s="191">
        <v>200301</v>
      </c>
      <c r="K21" s="191"/>
      <c r="L21" s="191" t="s">
        <v>355</v>
      </c>
      <c r="M21" s="191"/>
    </row>
    <row r="22" spans="2:13" ht="15.75" customHeight="1" x14ac:dyDescent="0.25">
      <c r="B22" s="194" t="s">
        <v>362</v>
      </c>
      <c r="C22" s="194"/>
      <c r="D22" s="194"/>
      <c r="E22" s="194"/>
      <c r="F22" s="191" t="s">
        <v>356</v>
      </c>
      <c r="G22" s="191"/>
      <c r="H22" s="191">
        <v>2</v>
      </c>
      <c r="I22" s="191"/>
      <c r="J22" s="191">
        <v>200301</v>
      </c>
      <c r="K22" s="191"/>
      <c r="L22" s="191" t="s">
        <v>355</v>
      </c>
      <c r="M22" s="191"/>
    </row>
    <row r="23" spans="2:13" ht="15.75" customHeight="1" x14ac:dyDescent="0.25">
      <c r="B23" s="194" t="s">
        <v>361</v>
      </c>
      <c r="C23" s="194"/>
      <c r="D23" s="194"/>
      <c r="E23" s="194"/>
      <c r="F23" s="191" t="s">
        <v>356</v>
      </c>
      <c r="G23" s="191"/>
      <c r="H23" s="191">
        <v>14</v>
      </c>
      <c r="I23" s="191"/>
      <c r="J23" s="191">
        <v>200301</v>
      </c>
      <c r="K23" s="191"/>
      <c r="L23" s="191" t="s">
        <v>355</v>
      </c>
      <c r="M23" s="191"/>
    </row>
    <row r="24" spans="2:13" ht="15.75" customHeight="1" x14ac:dyDescent="0.25">
      <c r="B24" s="194" t="s">
        <v>360</v>
      </c>
      <c r="C24" s="194"/>
      <c r="D24" s="194"/>
      <c r="E24" s="194"/>
      <c r="F24" s="191" t="s">
        <v>356</v>
      </c>
      <c r="G24" s="191"/>
      <c r="H24" s="191">
        <v>2</v>
      </c>
      <c r="I24" s="191"/>
      <c r="J24" s="191">
        <v>200301</v>
      </c>
      <c r="K24" s="191"/>
      <c r="L24" s="191" t="s">
        <v>355</v>
      </c>
      <c r="M24" s="191"/>
    </row>
    <row r="25" spans="2:13" ht="15.75" customHeight="1" x14ac:dyDescent="0.25">
      <c r="B25" s="194" t="s">
        <v>359</v>
      </c>
      <c r="C25" s="194"/>
      <c r="D25" s="194"/>
      <c r="E25" s="194"/>
      <c r="F25" s="191" t="s">
        <v>356</v>
      </c>
      <c r="G25" s="191"/>
      <c r="H25" s="191">
        <v>2</v>
      </c>
      <c r="I25" s="191"/>
      <c r="J25" s="191">
        <v>200301</v>
      </c>
      <c r="K25" s="191"/>
      <c r="L25" s="191" t="s">
        <v>355</v>
      </c>
      <c r="M25" s="191"/>
    </row>
    <row r="26" spans="2:13" ht="15.75" customHeight="1" x14ac:dyDescent="0.25">
      <c r="B26" s="193" t="s">
        <v>358</v>
      </c>
      <c r="C26" s="193"/>
      <c r="D26" s="193"/>
      <c r="E26" s="193"/>
      <c r="F26" s="191" t="s">
        <v>356</v>
      </c>
      <c r="G26" s="191"/>
      <c r="H26" s="191">
        <v>1</v>
      </c>
      <c r="I26" s="191"/>
      <c r="J26" s="191">
        <v>200301</v>
      </c>
      <c r="K26" s="191"/>
      <c r="L26" s="191" t="s">
        <v>355</v>
      </c>
      <c r="M26" s="191"/>
    </row>
    <row r="27" spans="2:13" ht="15.75" customHeight="1" x14ac:dyDescent="0.25">
      <c r="B27" s="192" t="s">
        <v>357</v>
      </c>
      <c r="C27" s="192"/>
      <c r="D27" s="192"/>
      <c r="E27" s="192"/>
      <c r="F27" s="191" t="s">
        <v>356</v>
      </c>
      <c r="G27" s="191"/>
      <c r="H27" s="191">
        <v>2</v>
      </c>
      <c r="I27" s="191"/>
      <c r="J27" s="191">
        <v>200301</v>
      </c>
      <c r="K27" s="191"/>
      <c r="L27" s="191" t="s">
        <v>355</v>
      </c>
      <c r="M27" s="191"/>
    </row>
    <row r="28" spans="2:13" ht="15.75" customHeight="1" x14ac:dyDescent="0.25">
      <c r="B28" s="186" t="s">
        <v>354</v>
      </c>
      <c r="C28" s="186"/>
      <c r="D28" s="186"/>
      <c r="E28" s="186"/>
      <c r="F28" s="190" t="s">
        <v>284</v>
      </c>
      <c r="G28" s="190"/>
      <c r="H28" s="147">
        <v>118</v>
      </c>
      <c r="I28" s="147"/>
      <c r="J28" s="190">
        <v>200301</v>
      </c>
      <c r="K28" s="190"/>
      <c r="L28" s="190" t="s">
        <v>353</v>
      </c>
      <c r="M28" s="190"/>
    </row>
    <row r="29" spans="2:13" ht="15.75" customHeight="1" x14ac:dyDescent="0.25">
      <c r="B29" s="186" t="s">
        <v>352</v>
      </c>
      <c r="C29" s="186"/>
      <c r="D29" s="186"/>
      <c r="E29" s="186"/>
      <c r="F29" s="190" t="s">
        <v>284</v>
      </c>
      <c r="G29" s="190"/>
      <c r="H29" s="147">
        <v>118</v>
      </c>
      <c r="I29" s="147"/>
      <c r="J29" s="190">
        <v>150106</v>
      </c>
      <c r="K29" s="190"/>
      <c r="L29" s="190" t="s">
        <v>351</v>
      </c>
      <c r="M29" s="190"/>
    </row>
    <row r="30" spans="2:13" ht="15.75" customHeight="1" x14ac:dyDescent="0.25">
      <c r="B30" s="186" t="s">
        <v>350</v>
      </c>
      <c r="C30" s="186"/>
      <c r="D30" s="186"/>
      <c r="E30" s="186"/>
      <c r="F30" s="190" t="s">
        <v>284</v>
      </c>
      <c r="G30" s="190"/>
      <c r="H30" s="147">
        <v>118</v>
      </c>
      <c r="I30" s="147"/>
      <c r="J30" s="190">
        <v>200201</v>
      </c>
      <c r="K30" s="190"/>
      <c r="L30" s="190" t="s">
        <v>349</v>
      </c>
      <c r="M30" s="190"/>
    </row>
    <row r="31" spans="2:13" ht="15.75" customHeight="1" x14ac:dyDescent="0.25">
      <c r="B31" s="185" t="s">
        <v>348</v>
      </c>
      <c r="C31" s="185"/>
      <c r="D31" s="185"/>
      <c r="E31" s="185"/>
      <c r="F31" s="191" t="s">
        <v>344</v>
      </c>
      <c r="G31" s="191"/>
      <c r="H31" s="191">
        <v>2</v>
      </c>
      <c r="I31" s="191"/>
      <c r="J31" s="191">
        <v>200301</v>
      </c>
      <c r="K31" s="191"/>
      <c r="L31" s="191" t="s">
        <v>431</v>
      </c>
      <c r="M31" s="191"/>
    </row>
    <row r="32" spans="2:13" ht="15.75" customHeight="1" x14ac:dyDescent="0.25">
      <c r="B32" s="185" t="s">
        <v>347</v>
      </c>
      <c r="C32" s="185"/>
      <c r="D32" s="185"/>
      <c r="E32" s="185"/>
      <c r="F32" s="191" t="s">
        <v>346</v>
      </c>
      <c r="G32" s="191"/>
      <c r="H32" s="191">
        <v>1</v>
      </c>
      <c r="I32" s="191"/>
      <c r="J32" s="191">
        <v>200138</v>
      </c>
      <c r="K32" s="191"/>
      <c r="L32" s="191" t="s">
        <v>339</v>
      </c>
      <c r="M32" s="191"/>
    </row>
    <row r="33" spans="2:21" ht="15.75" customHeight="1" x14ac:dyDescent="0.25">
      <c r="B33" s="191" t="s">
        <v>345</v>
      </c>
      <c r="C33" s="191"/>
      <c r="D33" s="191"/>
      <c r="E33" s="191"/>
      <c r="F33" s="191" t="s">
        <v>344</v>
      </c>
      <c r="G33" s="191"/>
      <c r="H33" s="191">
        <v>1</v>
      </c>
      <c r="I33" s="191"/>
      <c r="J33" s="191">
        <v>200301</v>
      </c>
      <c r="K33" s="191"/>
      <c r="L33" s="191" t="s">
        <v>432</v>
      </c>
      <c r="M33" s="191"/>
    </row>
    <row r="34" spans="2:21" ht="15.75" customHeight="1" x14ac:dyDescent="0.25">
      <c r="B34" s="191" t="s">
        <v>343</v>
      </c>
      <c r="C34" s="191"/>
      <c r="D34" s="191"/>
      <c r="E34" s="191"/>
      <c r="F34" s="191" t="s">
        <v>342</v>
      </c>
      <c r="G34" s="191"/>
      <c r="H34" s="191">
        <v>1</v>
      </c>
      <c r="I34" s="191"/>
      <c r="J34" s="191">
        <v>150107</v>
      </c>
      <c r="K34" s="191"/>
      <c r="L34" s="191" t="s">
        <v>433</v>
      </c>
      <c r="M34" s="191"/>
    </row>
    <row r="35" spans="2:21" ht="15.75" customHeight="1" x14ac:dyDescent="0.25">
      <c r="B35" s="191" t="s">
        <v>341</v>
      </c>
      <c r="C35" s="191"/>
      <c r="D35" s="191"/>
      <c r="E35" s="191"/>
      <c r="F35" s="191" t="s">
        <v>340</v>
      </c>
      <c r="G35" s="191"/>
      <c r="H35" s="191">
        <v>1</v>
      </c>
      <c r="I35" s="191"/>
      <c r="J35" s="191">
        <v>200201</v>
      </c>
      <c r="K35" s="191"/>
      <c r="L35" s="191" t="s">
        <v>339</v>
      </c>
      <c r="M35" s="191"/>
      <c r="N35" s="14"/>
      <c r="O35" s="14"/>
      <c r="P35" s="14"/>
      <c r="Q35" s="14"/>
      <c r="R35" s="14"/>
      <c r="S35" s="14"/>
      <c r="T35" s="14"/>
      <c r="U35" s="14"/>
    </row>
    <row r="36" spans="2:21" ht="15.75" customHeight="1" x14ac:dyDescent="0.25">
      <c r="B36" s="147" t="s">
        <v>659</v>
      </c>
      <c r="C36" s="147"/>
      <c r="D36" s="147"/>
      <c r="E36" s="147"/>
      <c r="F36" s="147" t="s">
        <v>336</v>
      </c>
      <c r="G36" s="147"/>
      <c r="H36" s="147">
        <v>16</v>
      </c>
      <c r="I36" s="147"/>
      <c r="J36" s="190">
        <v>200108</v>
      </c>
      <c r="K36" s="190"/>
      <c r="L36" s="190" t="s">
        <v>335</v>
      </c>
      <c r="M36" s="190"/>
      <c r="N36" s="53"/>
      <c r="O36" s="14"/>
      <c r="P36" s="14"/>
      <c r="Q36" s="14"/>
      <c r="R36" s="14"/>
      <c r="S36" s="14"/>
      <c r="T36" s="14"/>
      <c r="U36" s="14"/>
    </row>
    <row r="37" spans="2:21" ht="15.75" customHeight="1" x14ac:dyDescent="0.25">
      <c r="B37" s="191" t="s">
        <v>428</v>
      </c>
      <c r="C37" s="191"/>
      <c r="D37" s="191"/>
      <c r="E37" s="191"/>
      <c r="F37" s="191" t="s">
        <v>340</v>
      </c>
      <c r="G37" s="191"/>
      <c r="H37" s="191">
        <v>1</v>
      </c>
      <c r="I37" s="191"/>
      <c r="J37" s="191">
        <v>200301</v>
      </c>
      <c r="K37" s="191"/>
      <c r="L37" s="191" t="s">
        <v>421</v>
      </c>
      <c r="M37" s="191"/>
      <c r="N37" s="14"/>
      <c r="O37" s="14"/>
      <c r="P37" s="14"/>
      <c r="Q37" s="14"/>
      <c r="R37" s="14"/>
      <c r="S37" s="14"/>
      <c r="T37" s="14"/>
      <c r="U37" s="14"/>
    </row>
    <row r="38" spans="2:21" x14ac:dyDescent="0.25">
      <c r="B38" s="191" t="s">
        <v>428</v>
      </c>
      <c r="C38" s="191"/>
      <c r="D38" s="191"/>
      <c r="E38" s="191"/>
      <c r="F38" s="191" t="s">
        <v>429</v>
      </c>
      <c r="G38" s="191"/>
      <c r="H38" s="191">
        <v>1</v>
      </c>
      <c r="I38" s="191"/>
      <c r="J38" s="191">
        <v>200301</v>
      </c>
      <c r="K38" s="191"/>
      <c r="L38" s="191" t="s">
        <v>430</v>
      </c>
      <c r="M38" s="191"/>
    </row>
    <row r="39" spans="2:21" ht="15.75" customHeight="1" x14ac:dyDescent="0.25">
      <c r="B39" s="200" t="s">
        <v>444</v>
      </c>
      <c r="C39" s="200"/>
      <c r="D39" s="200"/>
      <c r="E39" s="200"/>
      <c r="F39" s="200" t="s">
        <v>442</v>
      </c>
      <c r="G39" s="200"/>
      <c r="H39" s="200">
        <v>506</v>
      </c>
      <c r="I39" s="200"/>
      <c r="J39" s="200"/>
      <c r="K39" s="200"/>
      <c r="L39" s="200" t="s">
        <v>445</v>
      </c>
      <c r="M39" s="200"/>
    </row>
    <row r="40" spans="2:21" ht="15" customHeight="1" x14ac:dyDescent="0.25">
      <c r="B40" s="201" t="s">
        <v>378</v>
      </c>
      <c r="C40" s="201"/>
      <c r="D40" s="201"/>
      <c r="E40" s="201"/>
      <c r="F40" s="147" t="s">
        <v>567</v>
      </c>
      <c r="G40" s="147"/>
      <c r="H40" s="147">
        <v>2</v>
      </c>
      <c r="I40" s="147"/>
      <c r="J40" s="147" t="s">
        <v>33</v>
      </c>
      <c r="K40" s="147"/>
      <c r="L40" s="147" t="s">
        <v>48</v>
      </c>
      <c r="M40" s="147"/>
    </row>
    <row r="41" spans="2:21" x14ac:dyDescent="0.25">
      <c r="B41" s="201" t="s">
        <v>377</v>
      </c>
      <c r="C41" s="201"/>
      <c r="D41" s="201"/>
      <c r="E41" s="201"/>
      <c r="F41" s="147" t="s">
        <v>567</v>
      </c>
      <c r="G41" s="147"/>
      <c r="H41" s="147">
        <v>1</v>
      </c>
      <c r="I41" s="147"/>
      <c r="J41" s="147" t="s">
        <v>33</v>
      </c>
      <c r="K41" s="147"/>
      <c r="L41" s="147" t="s">
        <v>48</v>
      </c>
      <c r="M41" s="147"/>
    </row>
    <row r="42" spans="2:21" x14ac:dyDescent="0.25">
      <c r="B42" s="201" t="s">
        <v>376</v>
      </c>
      <c r="C42" s="201"/>
      <c r="D42" s="201"/>
      <c r="E42" s="201"/>
      <c r="F42" s="147" t="s">
        <v>567</v>
      </c>
      <c r="G42" s="147"/>
      <c r="H42" s="147">
        <v>6</v>
      </c>
      <c r="I42" s="147"/>
      <c r="J42" s="147" t="s">
        <v>33</v>
      </c>
      <c r="K42" s="147"/>
      <c r="L42" s="147" t="s">
        <v>48</v>
      </c>
      <c r="M42" s="147"/>
    </row>
    <row r="43" spans="2:21" x14ac:dyDescent="0.25">
      <c r="B43" s="201" t="s">
        <v>375</v>
      </c>
      <c r="C43" s="201"/>
      <c r="D43" s="201"/>
      <c r="E43" s="201"/>
      <c r="F43" s="147" t="s">
        <v>567</v>
      </c>
      <c r="G43" s="147"/>
      <c r="H43" s="147">
        <v>1</v>
      </c>
      <c r="I43" s="147"/>
      <c r="J43" s="147" t="s">
        <v>33</v>
      </c>
      <c r="K43" s="147"/>
      <c r="L43" s="147" t="s">
        <v>48</v>
      </c>
      <c r="M43" s="147"/>
    </row>
    <row r="44" spans="2:21" x14ac:dyDescent="0.25">
      <c r="B44" s="201" t="s">
        <v>374</v>
      </c>
      <c r="C44" s="201"/>
      <c r="D44" s="201"/>
      <c r="E44" s="201"/>
      <c r="F44" s="147" t="s">
        <v>567</v>
      </c>
      <c r="G44" s="147"/>
      <c r="H44" s="147">
        <v>1</v>
      </c>
      <c r="I44" s="147"/>
      <c r="J44" s="147" t="s">
        <v>33</v>
      </c>
      <c r="K44" s="147"/>
      <c r="L44" s="147" t="s">
        <v>48</v>
      </c>
      <c r="M44" s="147"/>
    </row>
    <row r="45" spans="2:21" x14ac:dyDescent="0.25">
      <c r="B45" s="201" t="s">
        <v>373</v>
      </c>
      <c r="C45" s="201"/>
      <c r="D45" s="201"/>
      <c r="E45" s="201"/>
      <c r="F45" s="147" t="s">
        <v>567</v>
      </c>
      <c r="G45" s="147"/>
      <c r="H45" s="147">
        <v>2</v>
      </c>
      <c r="I45" s="147"/>
      <c r="J45" s="147" t="s">
        <v>33</v>
      </c>
      <c r="K45" s="147"/>
      <c r="L45" s="147" t="s">
        <v>48</v>
      </c>
      <c r="M45" s="147"/>
    </row>
    <row r="46" spans="2:21" x14ac:dyDescent="0.25">
      <c r="B46" s="201" t="s">
        <v>372</v>
      </c>
      <c r="C46" s="201"/>
      <c r="D46" s="201"/>
      <c r="E46" s="201"/>
      <c r="F46" s="147" t="s">
        <v>567</v>
      </c>
      <c r="G46" s="147"/>
      <c r="H46" s="147">
        <v>2</v>
      </c>
      <c r="I46" s="147"/>
      <c r="J46" s="147" t="s">
        <v>33</v>
      </c>
      <c r="K46" s="147"/>
      <c r="L46" s="147" t="s">
        <v>48</v>
      </c>
      <c r="M46" s="147"/>
    </row>
    <row r="47" spans="2:21" x14ac:dyDescent="0.25">
      <c r="B47" s="201" t="s">
        <v>370</v>
      </c>
      <c r="C47" s="201"/>
      <c r="D47" s="201"/>
      <c r="E47" s="201"/>
      <c r="F47" s="147" t="s">
        <v>567</v>
      </c>
      <c r="G47" s="147"/>
      <c r="H47" s="147">
        <v>0</v>
      </c>
      <c r="I47" s="147"/>
      <c r="J47" s="147" t="s">
        <v>33</v>
      </c>
      <c r="K47" s="147"/>
      <c r="L47" s="147" t="s">
        <v>48</v>
      </c>
      <c r="M47" s="147"/>
    </row>
    <row r="48" spans="2:21" x14ac:dyDescent="0.25">
      <c r="B48" s="201" t="s">
        <v>369</v>
      </c>
      <c r="C48" s="201"/>
      <c r="D48" s="201"/>
      <c r="E48" s="201"/>
      <c r="F48" s="147" t="s">
        <v>567</v>
      </c>
      <c r="G48" s="147"/>
      <c r="H48" s="147">
        <v>2</v>
      </c>
      <c r="I48" s="147"/>
      <c r="J48" s="147" t="s">
        <v>33</v>
      </c>
      <c r="K48" s="147"/>
      <c r="L48" s="147" t="s">
        <v>48</v>
      </c>
      <c r="M48" s="147"/>
    </row>
    <row r="49" spans="2:13" x14ac:dyDescent="0.25">
      <c r="B49" s="201" t="s">
        <v>368</v>
      </c>
      <c r="C49" s="201"/>
      <c r="D49" s="201"/>
      <c r="E49" s="201"/>
      <c r="F49" s="147" t="s">
        <v>567</v>
      </c>
      <c r="G49" s="147"/>
      <c r="H49" s="147">
        <v>1</v>
      </c>
      <c r="I49" s="147"/>
      <c r="J49" s="147" t="s">
        <v>33</v>
      </c>
      <c r="K49" s="147"/>
      <c r="L49" s="147" t="s">
        <v>48</v>
      </c>
      <c r="M49" s="147"/>
    </row>
    <row r="50" spans="2:13" x14ac:dyDescent="0.25">
      <c r="B50" s="201" t="s">
        <v>367</v>
      </c>
      <c r="C50" s="201"/>
      <c r="D50" s="201"/>
      <c r="E50" s="201"/>
      <c r="F50" s="147" t="s">
        <v>567</v>
      </c>
      <c r="G50" s="147"/>
      <c r="H50" s="147">
        <v>2</v>
      </c>
      <c r="I50" s="147"/>
      <c r="J50" s="147" t="s">
        <v>33</v>
      </c>
      <c r="K50" s="147"/>
      <c r="L50" s="147" t="s">
        <v>48</v>
      </c>
      <c r="M50" s="147"/>
    </row>
    <row r="51" spans="2:13" x14ac:dyDescent="0.25">
      <c r="B51" s="201" t="s">
        <v>366</v>
      </c>
      <c r="C51" s="201"/>
      <c r="D51" s="201"/>
      <c r="E51" s="201"/>
      <c r="F51" s="147" t="s">
        <v>567</v>
      </c>
      <c r="G51" s="147"/>
      <c r="H51" s="147">
        <v>1</v>
      </c>
      <c r="I51" s="147"/>
      <c r="J51" s="147" t="s">
        <v>33</v>
      </c>
      <c r="K51" s="147"/>
      <c r="L51" s="147" t="s">
        <v>48</v>
      </c>
      <c r="M51" s="147"/>
    </row>
    <row r="52" spans="2:13" x14ac:dyDescent="0.25">
      <c r="B52" s="201" t="s">
        <v>555</v>
      </c>
      <c r="C52" s="201"/>
      <c r="D52" s="201"/>
      <c r="E52" s="201"/>
      <c r="F52" s="147" t="s">
        <v>567</v>
      </c>
      <c r="G52" s="147"/>
      <c r="H52" s="147">
        <v>2</v>
      </c>
      <c r="I52" s="147"/>
      <c r="J52" s="147" t="s">
        <v>33</v>
      </c>
      <c r="K52" s="147"/>
      <c r="L52" s="147" t="s">
        <v>48</v>
      </c>
      <c r="M52" s="147"/>
    </row>
    <row r="53" spans="2:13" x14ac:dyDescent="0.25">
      <c r="B53" s="201" t="s">
        <v>364</v>
      </c>
      <c r="C53" s="201"/>
      <c r="D53" s="201"/>
      <c r="E53" s="201"/>
      <c r="F53" s="147" t="s">
        <v>567</v>
      </c>
      <c r="G53" s="147"/>
      <c r="H53" s="147">
        <v>2</v>
      </c>
      <c r="I53" s="147"/>
      <c r="J53" s="147" t="s">
        <v>33</v>
      </c>
      <c r="K53" s="147"/>
      <c r="L53" s="147" t="s">
        <v>48</v>
      </c>
      <c r="M53" s="147"/>
    </row>
    <row r="54" spans="2:13" x14ac:dyDescent="0.25">
      <c r="B54" s="201" t="s">
        <v>361</v>
      </c>
      <c r="C54" s="201"/>
      <c r="D54" s="201"/>
      <c r="E54" s="201"/>
      <c r="F54" s="147" t="s">
        <v>567</v>
      </c>
      <c r="G54" s="147"/>
      <c r="H54" s="147">
        <v>4</v>
      </c>
      <c r="I54" s="147"/>
      <c r="J54" s="147" t="s">
        <v>33</v>
      </c>
      <c r="K54" s="147"/>
      <c r="L54" s="147" t="s">
        <v>48</v>
      </c>
      <c r="M54" s="147"/>
    </row>
    <row r="55" spans="2:13" x14ac:dyDescent="0.25">
      <c r="B55" s="201" t="s">
        <v>360</v>
      </c>
      <c r="C55" s="201"/>
      <c r="D55" s="201"/>
      <c r="E55" s="201"/>
      <c r="F55" s="147" t="s">
        <v>567</v>
      </c>
      <c r="G55" s="147"/>
      <c r="H55" s="147">
        <v>2</v>
      </c>
      <c r="I55" s="147"/>
      <c r="J55" s="147" t="s">
        <v>33</v>
      </c>
      <c r="K55" s="147"/>
      <c r="L55" s="147" t="s">
        <v>48</v>
      </c>
      <c r="M55" s="147"/>
    </row>
    <row r="56" spans="2:13" x14ac:dyDescent="0.25">
      <c r="B56" s="201" t="s">
        <v>359</v>
      </c>
      <c r="C56" s="201"/>
      <c r="D56" s="201"/>
      <c r="E56" s="201"/>
      <c r="F56" s="147" t="s">
        <v>567</v>
      </c>
      <c r="G56" s="147"/>
      <c r="H56" s="147">
        <v>2</v>
      </c>
      <c r="I56" s="147"/>
      <c r="J56" s="147" t="s">
        <v>33</v>
      </c>
      <c r="K56" s="147"/>
      <c r="L56" s="147" t="s">
        <v>48</v>
      </c>
      <c r="M56" s="147"/>
    </row>
    <row r="57" spans="2:13" x14ac:dyDescent="0.25">
      <c r="B57" s="201" t="s">
        <v>358</v>
      </c>
      <c r="C57" s="201"/>
      <c r="D57" s="201"/>
      <c r="E57" s="201"/>
      <c r="F57" s="147" t="s">
        <v>567</v>
      </c>
      <c r="G57" s="147"/>
      <c r="H57" s="147">
        <v>1</v>
      </c>
      <c r="I57" s="147"/>
      <c r="J57" s="147" t="s">
        <v>33</v>
      </c>
      <c r="K57" s="147"/>
      <c r="L57" s="147" t="s">
        <v>48</v>
      </c>
      <c r="M57" s="147"/>
    </row>
    <row r="58" spans="2:13" x14ac:dyDescent="0.25">
      <c r="B58" s="202" t="s">
        <v>357</v>
      </c>
      <c r="C58" s="202"/>
      <c r="D58" s="202"/>
      <c r="E58" s="202"/>
      <c r="F58" s="147" t="s">
        <v>567</v>
      </c>
      <c r="G58" s="147"/>
      <c r="H58" s="147">
        <v>2</v>
      </c>
      <c r="I58" s="147"/>
      <c r="J58" s="147" t="s">
        <v>33</v>
      </c>
      <c r="K58" s="147"/>
      <c r="L58" s="147" t="s">
        <v>48</v>
      </c>
      <c r="M58" s="147"/>
    </row>
    <row r="59" spans="2:13" x14ac:dyDescent="0.25">
      <c r="B59" s="201" t="s">
        <v>556</v>
      </c>
      <c r="C59" s="201"/>
      <c r="D59" s="201"/>
      <c r="E59" s="201"/>
      <c r="F59" s="147" t="s">
        <v>567</v>
      </c>
      <c r="G59" s="147"/>
      <c r="H59" s="147">
        <v>5</v>
      </c>
      <c r="I59" s="147"/>
      <c r="J59" s="147" t="s">
        <v>33</v>
      </c>
      <c r="K59" s="147"/>
      <c r="L59" s="147" t="s">
        <v>48</v>
      </c>
      <c r="M59" s="147"/>
    </row>
    <row r="60" spans="2:13" x14ac:dyDescent="0.25">
      <c r="B60" s="202" t="s">
        <v>557</v>
      </c>
      <c r="C60" s="202"/>
      <c r="D60" s="202"/>
      <c r="E60" s="202"/>
      <c r="F60" s="147" t="s">
        <v>567</v>
      </c>
      <c r="G60" s="147"/>
      <c r="H60" s="147">
        <v>5</v>
      </c>
      <c r="I60" s="147"/>
      <c r="J60" s="147" t="s">
        <v>33</v>
      </c>
      <c r="K60" s="147"/>
      <c r="L60" s="147" t="s">
        <v>48</v>
      </c>
      <c r="M60" s="147"/>
    </row>
    <row r="61" spans="2:13" x14ac:dyDescent="0.25">
      <c r="B61" s="186" t="s">
        <v>558</v>
      </c>
      <c r="C61" s="186"/>
      <c r="D61" s="186"/>
      <c r="E61" s="186"/>
      <c r="F61" s="147" t="s">
        <v>566</v>
      </c>
      <c r="G61" s="147"/>
      <c r="H61" s="147">
        <v>8</v>
      </c>
      <c r="I61" s="147"/>
      <c r="J61" s="147" t="s">
        <v>33</v>
      </c>
      <c r="K61" s="147"/>
      <c r="L61" s="147" t="s">
        <v>48</v>
      </c>
      <c r="M61" s="147"/>
    </row>
    <row r="62" spans="2:13" x14ac:dyDescent="0.25">
      <c r="B62" s="186" t="s">
        <v>559</v>
      </c>
      <c r="C62" s="186"/>
      <c r="D62" s="186"/>
      <c r="E62" s="186"/>
      <c r="F62" s="147" t="s">
        <v>567</v>
      </c>
      <c r="G62" s="147"/>
      <c r="H62" s="147">
        <v>5</v>
      </c>
      <c r="I62" s="147"/>
      <c r="J62" s="147" t="s">
        <v>33</v>
      </c>
      <c r="K62" s="147"/>
      <c r="L62" s="147" t="s">
        <v>48</v>
      </c>
      <c r="M62" s="147"/>
    </row>
    <row r="63" spans="2:13" x14ac:dyDescent="0.25">
      <c r="B63" s="186" t="s">
        <v>560</v>
      </c>
      <c r="C63" s="186"/>
      <c r="D63" s="186"/>
      <c r="E63" s="186"/>
      <c r="F63" s="147" t="s">
        <v>567</v>
      </c>
      <c r="G63" s="147"/>
      <c r="H63" s="147">
        <v>3</v>
      </c>
      <c r="I63" s="147"/>
      <c r="J63" s="147" t="s">
        <v>33</v>
      </c>
      <c r="K63" s="147"/>
      <c r="L63" s="147" t="s">
        <v>48</v>
      </c>
      <c r="M63" s="147"/>
    </row>
    <row r="64" spans="2:13" x14ac:dyDescent="0.25">
      <c r="B64" s="201" t="s">
        <v>363</v>
      </c>
      <c r="C64" s="201"/>
      <c r="D64" s="201"/>
      <c r="E64" s="201"/>
      <c r="F64" s="147" t="s">
        <v>567</v>
      </c>
      <c r="G64" s="147"/>
      <c r="H64" s="147">
        <v>5</v>
      </c>
      <c r="I64" s="147"/>
      <c r="J64" s="147" t="s">
        <v>33</v>
      </c>
      <c r="K64" s="147"/>
      <c r="L64" s="147" t="s">
        <v>48</v>
      </c>
      <c r="M64" s="147"/>
    </row>
    <row r="65" spans="2:14" x14ac:dyDescent="0.25">
      <c r="B65" s="201" t="s">
        <v>365</v>
      </c>
      <c r="C65" s="201"/>
      <c r="D65" s="201"/>
      <c r="E65" s="201"/>
      <c r="F65" s="147" t="s">
        <v>567</v>
      </c>
      <c r="G65" s="147"/>
      <c r="H65" s="147">
        <v>5</v>
      </c>
      <c r="I65" s="147"/>
      <c r="J65" s="147" t="s">
        <v>33</v>
      </c>
      <c r="K65" s="147"/>
      <c r="L65" s="147" t="s">
        <v>48</v>
      </c>
      <c r="M65" s="147"/>
    </row>
    <row r="66" spans="2:14" x14ac:dyDescent="0.25">
      <c r="B66" s="201" t="s">
        <v>371</v>
      </c>
      <c r="C66" s="201"/>
      <c r="D66" s="201"/>
      <c r="E66" s="201"/>
      <c r="F66" s="147" t="s">
        <v>567</v>
      </c>
      <c r="G66" s="147"/>
      <c r="H66" s="147">
        <v>2</v>
      </c>
      <c r="I66" s="147"/>
      <c r="J66" s="147" t="s">
        <v>33</v>
      </c>
      <c r="K66" s="147"/>
      <c r="L66" s="147" t="s">
        <v>48</v>
      </c>
      <c r="M66" s="147"/>
    </row>
    <row r="67" spans="2:14" x14ac:dyDescent="0.25">
      <c r="B67" s="186" t="s">
        <v>564</v>
      </c>
      <c r="C67" s="186"/>
      <c r="D67" s="186"/>
      <c r="E67" s="186"/>
      <c r="F67" s="147" t="s">
        <v>566</v>
      </c>
      <c r="G67" s="147"/>
      <c r="H67" s="147">
        <v>76</v>
      </c>
      <c r="I67" s="147"/>
      <c r="J67" s="147" t="s">
        <v>33</v>
      </c>
      <c r="K67" s="147"/>
      <c r="L67" s="147" t="s">
        <v>48</v>
      </c>
      <c r="M67" s="147"/>
    </row>
    <row r="68" spans="2:14" ht="15.75" x14ac:dyDescent="0.25">
      <c r="B68" s="186" t="s">
        <v>561</v>
      </c>
      <c r="C68" s="186"/>
      <c r="D68" s="186"/>
      <c r="E68" s="186"/>
      <c r="F68" s="147" t="s">
        <v>573</v>
      </c>
      <c r="G68" s="147"/>
      <c r="H68" s="147">
        <v>8</v>
      </c>
      <c r="I68" s="147"/>
      <c r="J68" s="147">
        <v>150107</v>
      </c>
      <c r="K68" s="147"/>
      <c r="L68" s="189" t="s">
        <v>518</v>
      </c>
      <c r="M68" s="189"/>
    </row>
    <row r="69" spans="2:14" ht="15.75" x14ac:dyDescent="0.25">
      <c r="B69" s="186" t="s">
        <v>562</v>
      </c>
      <c r="C69" s="186"/>
      <c r="D69" s="186"/>
      <c r="E69" s="186"/>
      <c r="F69" s="147" t="s">
        <v>573</v>
      </c>
      <c r="G69" s="147"/>
      <c r="H69" s="147">
        <v>76</v>
      </c>
      <c r="I69" s="147"/>
      <c r="J69" s="203" t="s">
        <v>563</v>
      </c>
      <c r="K69" s="203"/>
      <c r="L69" s="189" t="s">
        <v>518</v>
      </c>
      <c r="M69" s="189"/>
    </row>
    <row r="70" spans="2:14" x14ac:dyDescent="0.25">
      <c r="B70" s="201" t="s">
        <v>565</v>
      </c>
      <c r="C70" s="201"/>
      <c r="D70" s="201"/>
      <c r="E70" s="201"/>
      <c r="F70" s="147" t="s">
        <v>338</v>
      </c>
      <c r="G70" s="147"/>
      <c r="H70" s="147">
        <v>0</v>
      </c>
      <c r="I70" s="147"/>
      <c r="J70" s="203" t="s">
        <v>337</v>
      </c>
      <c r="K70" s="203"/>
      <c r="L70" s="147" t="s">
        <v>434</v>
      </c>
      <c r="M70" s="147"/>
    </row>
    <row r="71" spans="2:14" s="47" customFormat="1" x14ac:dyDescent="0.25">
      <c r="N71" s="53"/>
    </row>
    <row r="72" spans="2:14" x14ac:dyDescent="0.25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</row>
  </sheetData>
  <mergeCells count="331">
    <mergeCell ref="H66:I66"/>
    <mergeCell ref="B68:E68"/>
    <mergeCell ref="F68:G68"/>
    <mergeCell ref="H68:I68"/>
    <mergeCell ref="J68:K68"/>
    <mergeCell ref="L68:M68"/>
    <mergeCell ref="B67:E67"/>
    <mergeCell ref="F67:G67"/>
    <mergeCell ref="H67:I67"/>
    <mergeCell ref="J67:K67"/>
    <mergeCell ref="L67:M67"/>
    <mergeCell ref="J66:K66"/>
    <mergeCell ref="L66:M66"/>
    <mergeCell ref="B66:E66"/>
    <mergeCell ref="F66:G66"/>
    <mergeCell ref="B70:E70"/>
    <mergeCell ref="F70:G70"/>
    <mergeCell ref="H70:I70"/>
    <mergeCell ref="J70:K70"/>
    <mergeCell ref="L70:M70"/>
    <mergeCell ref="B69:E69"/>
    <mergeCell ref="F69:G69"/>
    <mergeCell ref="H69:I69"/>
    <mergeCell ref="J69:K69"/>
    <mergeCell ref="L69:M69"/>
    <mergeCell ref="B62:E62"/>
    <mergeCell ref="F62:G62"/>
    <mergeCell ref="H62:I62"/>
    <mergeCell ref="J62:K62"/>
    <mergeCell ref="L62:M62"/>
    <mergeCell ref="B63:E63"/>
    <mergeCell ref="F63:G63"/>
    <mergeCell ref="H63:I63"/>
    <mergeCell ref="J63:K63"/>
    <mergeCell ref="L63:M63"/>
    <mergeCell ref="B64:E64"/>
    <mergeCell ref="F64:G64"/>
    <mergeCell ref="H64:I64"/>
    <mergeCell ref="J64:K64"/>
    <mergeCell ref="L64:M64"/>
    <mergeCell ref="B65:E65"/>
    <mergeCell ref="F65:G65"/>
    <mergeCell ref="H65:I65"/>
    <mergeCell ref="J65:K65"/>
    <mergeCell ref="L65:M65"/>
    <mergeCell ref="B60:E60"/>
    <mergeCell ref="F60:G60"/>
    <mergeCell ref="H60:I60"/>
    <mergeCell ref="J60:K60"/>
    <mergeCell ref="L60:M60"/>
    <mergeCell ref="B61:E61"/>
    <mergeCell ref="F61:G61"/>
    <mergeCell ref="H61:I61"/>
    <mergeCell ref="J61:K61"/>
    <mergeCell ref="L61:M61"/>
    <mergeCell ref="B58:E58"/>
    <mergeCell ref="F58:G58"/>
    <mergeCell ref="H58:I58"/>
    <mergeCell ref="J58:K58"/>
    <mergeCell ref="L58:M58"/>
    <mergeCell ref="B59:E59"/>
    <mergeCell ref="F59:G59"/>
    <mergeCell ref="H59:I59"/>
    <mergeCell ref="J59:K59"/>
    <mergeCell ref="L59:M59"/>
    <mergeCell ref="B56:E56"/>
    <mergeCell ref="F56:G56"/>
    <mergeCell ref="H56:I56"/>
    <mergeCell ref="J56:K56"/>
    <mergeCell ref="L56:M56"/>
    <mergeCell ref="B57:E57"/>
    <mergeCell ref="F57:G57"/>
    <mergeCell ref="H57:I57"/>
    <mergeCell ref="J57:K57"/>
    <mergeCell ref="L57:M57"/>
    <mergeCell ref="B54:E54"/>
    <mergeCell ref="F54:G54"/>
    <mergeCell ref="H54:I54"/>
    <mergeCell ref="J54:K54"/>
    <mergeCell ref="L54:M54"/>
    <mergeCell ref="B55:E55"/>
    <mergeCell ref="F55:G55"/>
    <mergeCell ref="H55:I55"/>
    <mergeCell ref="J55:K55"/>
    <mergeCell ref="L55:M55"/>
    <mergeCell ref="B52:E52"/>
    <mergeCell ref="F52:G52"/>
    <mergeCell ref="H52:I52"/>
    <mergeCell ref="J52:K52"/>
    <mergeCell ref="L52:M52"/>
    <mergeCell ref="B53:E53"/>
    <mergeCell ref="F53:G53"/>
    <mergeCell ref="H53:I53"/>
    <mergeCell ref="J53:K53"/>
    <mergeCell ref="L53:M53"/>
    <mergeCell ref="B50:E50"/>
    <mergeCell ref="F50:G50"/>
    <mergeCell ref="H50:I50"/>
    <mergeCell ref="J50:K50"/>
    <mergeCell ref="L50:M50"/>
    <mergeCell ref="B51:E51"/>
    <mergeCell ref="F51:G51"/>
    <mergeCell ref="H51:I51"/>
    <mergeCell ref="J51:K51"/>
    <mergeCell ref="L51:M51"/>
    <mergeCell ref="B48:E48"/>
    <mergeCell ref="F48:G48"/>
    <mergeCell ref="H48:I48"/>
    <mergeCell ref="J48:K48"/>
    <mergeCell ref="L48:M48"/>
    <mergeCell ref="B49:E49"/>
    <mergeCell ref="F49:G49"/>
    <mergeCell ref="H49:I49"/>
    <mergeCell ref="J49:K49"/>
    <mergeCell ref="L49:M49"/>
    <mergeCell ref="B46:E46"/>
    <mergeCell ref="F46:G46"/>
    <mergeCell ref="H46:I46"/>
    <mergeCell ref="J46:K46"/>
    <mergeCell ref="L46:M46"/>
    <mergeCell ref="B47:E47"/>
    <mergeCell ref="F47:G47"/>
    <mergeCell ref="H47:I47"/>
    <mergeCell ref="J47:K47"/>
    <mergeCell ref="L47:M47"/>
    <mergeCell ref="B44:E44"/>
    <mergeCell ref="F44:G44"/>
    <mergeCell ref="H44:I44"/>
    <mergeCell ref="J44:K44"/>
    <mergeCell ref="L44:M44"/>
    <mergeCell ref="B45:E45"/>
    <mergeCell ref="F45:G45"/>
    <mergeCell ref="H45:I45"/>
    <mergeCell ref="J45:K45"/>
    <mergeCell ref="L45:M45"/>
    <mergeCell ref="B42:E42"/>
    <mergeCell ref="F42:G42"/>
    <mergeCell ref="H42:I42"/>
    <mergeCell ref="J42:K42"/>
    <mergeCell ref="L42:M42"/>
    <mergeCell ref="B43:E43"/>
    <mergeCell ref="F43:G43"/>
    <mergeCell ref="H43:I43"/>
    <mergeCell ref="J43:K43"/>
    <mergeCell ref="L43:M43"/>
    <mergeCell ref="B40:E40"/>
    <mergeCell ref="F40:G40"/>
    <mergeCell ref="H40:I40"/>
    <mergeCell ref="J40:K40"/>
    <mergeCell ref="L40:M40"/>
    <mergeCell ref="B41:E41"/>
    <mergeCell ref="F41:G41"/>
    <mergeCell ref="H41:I41"/>
    <mergeCell ref="J41:K41"/>
    <mergeCell ref="L41:M41"/>
    <mergeCell ref="B39:E39"/>
    <mergeCell ref="F39:G39"/>
    <mergeCell ref="H39:I39"/>
    <mergeCell ref="J39:K39"/>
    <mergeCell ref="L39:M39"/>
    <mergeCell ref="B37:E37"/>
    <mergeCell ref="F37:G37"/>
    <mergeCell ref="H37:I37"/>
    <mergeCell ref="J37:K37"/>
    <mergeCell ref="L37:M37"/>
    <mergeCell ref="B38:E38"/>
    <mergeCell ref="F38:G38"/>
    <mergeCell ref="H38:I38"/>
    <mergeCell ref="J38:K38"/>
    <mergeCell ref="L38:M38"/>
    <mergeCell ref="B2:M3"/>
    <mergeCell ref="B6:E6"/>
    <mergeCell ref="F6:G6"/>
    <mergeCell ref="J6:K6"/>
    <mergeCell ref="L6:M6"/>
    <mergeCell ref="H4:I5"/>
    <mergeCell ref="H6:I6"/>
    <mergeCell ref="B4:E5"/>
    <mergeCell ref="F4:G5"/>
    <mergeCell ref="J4:K5"/>
    <mergeCell ref="L4:M5"/>
    <mergeCell ref="B10:E10"/>
    <mergeCell ref="F10:G10"/>
    <mergeCell ref="H10:I10"/>
    <mergeCell ref="J10:K10"/>
    <mergeCell ref="L10:M10"/>
    <mergeCell ref="B7:E7"/>
    <mergeCell ref="F7:G7"/>
    <mergeCell ref="H7:I7"/>
    <mergeCell ref="J7:K7"/>
    <mergeCell ref="L7:M7"/>
    <mergeCell ref="B9:E9"/>
    <mergeCell ref="F9:G9"/>
    <mergeCell ref="H9:I9"/>
    <mergeCell ref="J9:K9"/>
    <mergeCell ref="L9:M9"/>
    <mergeCell ref="B8:E8"/>
    <mergeCell ref="F8:G8"/>
    <mergeCell ref="H8:I8"/>
    <mergeCell ref="J8:K8"/>
    <mergeCell ref="L8:M8"/>
    <mergeCell ref="B12:E12"/>
    <mergeCell ref="F12:G12"/>
    <mergeCell ref="H12:I12"/>
    <mergeCell ref="J12:K12"/>
    <mergeCell ref="L12:M12"/>
    <mergeCell ref="B11:E11"/>
    <mergeCell ref="F11:G11"/>
    <mergeCell ref="H11:I11"/>
    <mergeCell ref="J11:K11"/>
    <mergeCell ref="L11:M11"/>
    <mergeCell ref="B14:E14"/>
    <mergeCell ref="F14:G14"/>
    <mergeCell ref="H14:I14"/>
    <mergeCell ref="J14:K14"/>
    <mergeCell ref="L14:M14"/>
    <mergeCell ref="B13:E13"/>
    <mergeCell ref="F13:G13"/>
    <mergeCell ref="H13:I13"/>
    <mergeCell ref="J13:K13"/>
    <mergeCell ref="L13:M13"/>
    <mergeCell ref="B16:E16"/>
    <mergeCell ref="F16:G16"/>
    <mergeCell ref="H16:I16"/>
    <mergeCell ref="J16:K16"/>
    <mergeCell ref="L16:M16"/>
    <mergeCell ref="B15:E15"/>
    <mergeCell ref="F15:G15"/>
    <mergeCell ref="H15:I15"/>
    <mergeCell ref="J15:K15"/>
    <mergeCell ref="L15:M15"/>
    <mergeCell ref="B18:E18"/>
    <mergeCell ref="F18:G18"/>
    <mergeCell ref="H18:I18"/>
    <mergeCell ref="J18:K18"/>
    <mergeCell ref="L18:M18"/>
    <mergeCell ref="B17:E17"/>
    <mergeCell ref="F17:G17"/>
    <mergeCell ref="H17:I17"/>
    <mergeCell ref="J17:K17"/>
    <mergeCell ref="L17:M17"/>
    <mergeCell ref="B20:E20"/>
    <mergeCell ref="F20:G20"/>
    <mergeCell ref="H20:I20"/>
    <mergeCell ref="J20:K20"/>
    <mergeCell ref="L20:M20"/>
    <mergeCell ref="B19:E19"/>
    <mergeCell ref="F19:G19"/>
    <mergeCell ref="H19:I19"/>
    <mergeCell ref="J19:K19"/>
    <mergeCell ref="L19:M19"/>
    <mergeCell ref="B22:E22"/>
    <mergeCell ref="F22:G22"/>
    <mergeCell ref="H22:I22"/>
    <mergeCell ref="J22:K22"/>
    <mergeCell ref="L22:M22"/>
    <mergeCell ref="B21:E21"/>
    <mergeCell ref="F21:G21"/>
    <mergeCell ref="H21:I21"/>
    <mergeCell ref="J21:K21"/>
    <mergeCell ref="L21:M21"/>
    <mergeCell ref="B24:E24"/>
    <mergeCell ref="F24:G24"/>
    <mergeCell ref="H24:I24"/>
    <mergeCell ref="J24:K24"/>
    <mergeCell ref="L24:M24"/>
    <mergeCell ref="B23:E23"/>
    <mergeCell ref="F23:G23"/>
    <mergeCell ref="H23:I23"/>
    <mergeCell ref="J23:K23"/>
    <mergeCell ref="L23:M23"/>
    <mergeCell ref="B26:E26"/>
    <mergeCell ref="F26:G26"/>
    <mergeCell ref="H26:I26"/>
    <mergeCell ref="J26:K26"/>
    <mergeCell ref="L26:M26"/>
    <mergeCell ref="B25:E25"/>
    <mergeCell ref="F25:G25"/>
    <mergeCell ref="H25:I25"/>
    <mergeCell ref="J25:K25"/>
    <mergeCell ref="L25:M25"/>
    <mergeCell ref="B28:E28"/>
    <mergeCell ref="F28:G28"/>
    <mergeCell ref="H28:I28"/>
    <mergeCell ref="J28:K28"/>
    <mergeCell ref="L28:M28"/>
    <mergeCell ref="B27:E27"/>
    <mergeCell ref="F27:G27"/>
    <mergeCell ref="H27:I27"/>
    <mergeCell ref="J27:K27"/>
    <mergeCell ref="L27:M27"/>
    <mergeCell ref="B30:E30"/>
    <mergeCell ref="F30:G30"/>
    <mergeCell ref="H30:I30"/>
    <mergeCell ref="J30:K30"/>
    <mergeCell ref="L30:M30"/>
    <mergeCell ref="B29:E29"/>
    <mergeCell ref="F29:G29"/>
    <mergeCell ref="H29:I29"/>
    <mergeCell ref="J29:K29"/>
    <mergeCell ref="L29:M29"/>
    <mergeCell ref="B32:E32"/>
    <mergeCell ref="F32:G32"/>
    <mergeCell ref="H32:I32"/>
    <mergeCell ref="J32:K32"/>
    <mergeCell ref="L32:M32"/>
    <mergeCell ref="B31:E31"/>
    <mergeCell ref="F31:G31"/>
    <mergeCell ref="H31:I31"/>
    <mergeCell ref="J31:K31"/>
    <mergeCell ref="L31:M31"/>
    <mergeCell ref="B34:E34"/>
    <mergeCell ref="F34:G34"/>
    <mergeCell ref="H34:I34"/>
    <mergeCell ref="J34:K34"/>
    <mergeCell ref="L34:M34"/>
    <mergeCell ref="B33:E33"/>
    <mergeCell ref="F33:G33"/>
    <mergeCell ref="H33:I33"/>
    <mergeCell ref="J33:K33"/>
    <mergeCell ref="L33:M33"/>
    <mergeCell ref="B36:E36"/>
    <mergeCell ref="F36:G36"/>
    <mergeCell ref="H36:I36"/>
    <mergeCell ref="J36:K36"/>
    <mergeCell ref="L36:M36"/>
    <mergeCell ref="B35:E35"/>
    <mergeCell ref="F35:G35"/>
    <mergeCell ref="H35:I35"/>
    <mergeCell ref="J35:K35"/>
    <mergeCell ref="L35:M35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M13"/>
  <sheetViews>
    <sheetView workbookViewId="0">
      <selection activeCell="M36" sqref="M36"/>
    </sheetView>
  </sheetViews>
  <sheetFormatPr defaultRowHeight="15" x14ac:dyDescent="0.25"/>
  <cols>
    <col min="13" max="13" width="13.85546875" customWidth="1"/>
  </cols>
  <sheetData>
    <row r="1" spans="2:13" ht="15.75" thickBot="1" x14ac:dyDescent="0.3"/>
    <row r="2" spans="2:13" ht="15" customHeight="1" x14ac:dyDescent="0.25">
      <c r="B2" s="169" t="s">
        <v>425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1"/>
    </row>
    <row r="3" spans="2:13" ht="15" customHeight="1" x14ac:dyDescent="0.25">
      <c r="B3" s="195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7"/>
    </row>
    <row r="4" spans="2:13" ht="15" customHeight="1" x14ac:dyDescent="0.25">
      <c r="B4" s="183" t="s">
        <v>315</v>
      </c>
      <c r="C4" s="199"/>
      <c r="D4" s="199"/>
      <c r="E4" s="199"/>
      <c r="F4" s="198" t="s">
        <v>0</v>
      </c>
      <c r="G4" s="198"/>
      <c r="H4" s="198" t="s">
        <v>3</v>
      </c>
      <c r="I4" s="198"/>
      <c r="J4" s="198" t="s">
        <v>2</v>
      </c>
      <c r="K4" s="198"/>
      <c r="L4" s="198" t="s">
        <v>1</v>
      </c>
      <c r="M4" s="182"/>
    </row>
    <row r="5" spans="2:13" x14ac:dyDescent="0.25">
      <c r="B5" s="183"/>
      <c r="C5" s="199"/>
      <c r="D5" s="199"/>
      <c r="E5" s="199"/>
      <c r="F5" s="198"/>
      <c r="G5" s="198"/>
      <c r="H5" s="198"/>
      <c r="I5" s="198"/>
      <c r="J5" s="198"/>
      <c r="K5" s="198"/>
      <c r="L5" s="198"/>
      <c r="M5" s="182"/>
    </row>
    <row r="6" spans="2:13" ht="15.75" customHeight="1" x14ac:dyDescent="0.25">
      <c r="B6" s="201" t="s">
        <v>423</v>
      </c>
      <c r="C6" s="201"/>
      <c r="D6" s="201"/>
      <c r="E6" s="201"/>
      <c r="F6" s="190" t="s">
        <v>356</v>
      </c>
      <c r="G6" s="190"/>
      <c r="H6" s="190">
        <v>1</v>
      </c>
      <c r="I6" s="190"/>
      <c r="J6" s="190">
        <v>150106</v>
      </c>
      <c r="K6" s="190"/>
      <c r="L6" s="190" t="s">
        <v>424</v>
      </c>
      <c r="M6" s="190"/>
    </row>
    <row r="7" spans="2:13" ht="15.75" customHeight="1" x14ac:dyDescent="0.25">
      <c r="B7" s="201" t="s">
        <v>422</v>
      </c>
      <c r="C7" s="201"/>
      <c r="D7" s="201"/>
      <c r="E7" s="201"/>
      <c r="F7" s="190" t="s">
        <v>356</v>
      </c>
      <c r="G7" s="190"/>
      <c r="H7" s="190">
        <v>2</v>
      </c>
      <c r="I7" s="190"/>
      <c r="J7" s="190">
        <v>150106</v>
      </c>
      <c r="K7" s="190"/>
      <c r="L7" s="190" t="s">
        <v>424</v>
      </c>
      <c r="M7" s="190"/>
    </row>
    <row r="8" spans="2:13" x14ac:dyDescent="0.25">
      <c r="B8" s="201" t="s">
        <v>423</v>
      </c>
      <c r="C8" s="201"/>
      <c r="D8" s="201"/>
      <c r="E8" s="201"/>
      <c r="F8" s="190" t="s">
        <v>356</v>
      </c>
      <c r="G8" s="190"/>
      <c r="H8" s="190">
        <v>1</v>
      </c>
      <c r="I8" s="190"/>
      <c r="J8" s="190">
        <v>200301</v>
      </c>
      <c r="K8" s="190"/>
      <c r="L8" s="190" t="s">
        <v>353</v>
      </c>
      <c r="M8" s="190"/>
    </row>
    <row r="9" spans="2:13" x14ac:dyDescent="0.25">
      <c r="B9" s="201" t="s">
        <v>422</v>
      </c>
      <c r="C9" s="201"/>
      <c r="D9" s="201"/>
      <c r="E9" s="201"/>
      <c r="F9" s="190" t="s">
        <v>356</v>
      </c>
      <c r="G9" s="190"/>
      <c r="H9" s="190">
        <v>2</v>
      </c>
      <c r="I9" s="190"/>
      <c r="J9" s="190">
        <v>200301</v>
      </c>
      <c r="K9" s="190"/>
      <c r="L9" s="190" t="s">
        <v>353</v>
      </c>
      <c r="M9" s="190"/>
    </row>
    <row r="10" spans="2:13" ht="15.75" customHeight="1" x14ac:dyDescent="0.25">
      <c r="B10" s="190" t="s">
        <v>426</v>
      </c>
      <c r="C10" s="190"/>
      <c r="D10" s="190"/>
      <c r="E10" s="190"/>
      <c r="F10" s="190" t="s">
        <v>340</v>
      </c>
      <c r="G10" s="190"/>
      <c r="H10" s="190">
        <v>1</v>
      </c>
      <c r="I10" s="190"/>
      <c r="J10" s="190">
        <v>200301</v>
      </c>
      <c r="K10" s="190"/>
      <c r="L10" s="190" t="s">
        <v>427</v>
      </c>
      <c r="M10" s="190"/>
    </row>
    <row r="11" spans="2:13" ht="15.75" customHeight="1" x14ac:dyDescent="0.25">
      <c r="B11" s="147" t="s">
        <v>426</v>
      </c>
      <c r="C11" s="147"/>
      <c r="D11" s="147"/>
      <c r="E11" s="147"/>
      <c r="F11" s="147" t="s">
        <v>552</v>
      </c>
      <c r="G11" s="147"/>
      <c r="H11" s="147">
        <v>10</v>
      </c>
      <c r="I11" s="147"/>
      <c r="J11" s="204" t="s">
        <v>33</v>
      </c>
      <c r="K11" s="204"/>
      <c r="L11" s="147" t="s">
        <v>48</v>
      </c>
      <c r="M11" s="147"/>
    </row>
    <row r="12" spans="2:13" ht="15.75" customHeight="1" x14ac:dyDescent="0.25">
      <c r="B12" s="147" t="s">
        <v>426</v>
      </c>
      <c r="C12" s="147"/>
      <c r="D12" s="147"/>
      <c r="E12" s="147"/>
      <c r="F12" s="147" t="s">
        <v>623</v>
      </c>
      <c r="G12" s="147"/>
      <c r="H12" s="147">
        <v>10</v>
      </c>
      <c r="I12" s="147"/>
      <c r="J12" s="147" t="s">
        <v>624</v>
      </c>
      <c r="K12" s="147"/>
      <c r="L12" s="147" t="s">
        <v>40</v>
      </c>
      <c r="M12" s="147"/>
    </row>
    <row r="13" spans="2:13" ht="15.75" customHeight="1" x14ac:dyDescent="0.25"/>
  </sheetData>
  <mergeCells count="41">
    <mergeCell ref="B11:E11"/>
    <mergeCell ref="F11:G11"/>
    <mergeCell ref="H11:I11"/>
    <mergeCell ref="J11:K11"/>
    <mergeCell ref="L11:M11"/>
    <mergeCell ref="B10:E10"/>
    <mergeCell ref="F10:G10"/>
    <mergeCell ref="H10:I10"/>
    <mergeCell ref="J10:K10"/>
    <mergeCell ref="L10:M10"/>
    <mergeCell ref="B2:M3"/>
    <mergeCell ref="B4:E5"/>
    <mergeCell ref="F4:G5"/>
    <mergeCell ref="H4:I5"/>
    <mergeCell ref="J4:K5"/>
    <mergeCell ref="L4:M5"/>
    <mergeCell ref="B6:E6"/>
    <mergeCell ref="F6:G6"/>
    <mergeCell ref="H6:I6"/>
    <mergeCell ref="J6:K6"/>
    <mergeCell ref="L6:M6"/>
    <mergeCell ref="B7:E7"/>
    <mergeCell ref="F7:G7"/>
    <mergeCell ref="H7:I7"/>
    <mergeCell ref="J7:K7"/>
    <mergeCell ref="L7:M7"/>
    <mergeCell ref="B8:E8"/>
    <mergeCell ref="F8:G8"/>
    <mergeCell ref="H8:I8"/>
    <mergeCell ref="J8:K8"/>
    <mergeCell ref="L8:M8"/>
    <mergeCell ref="B9:E9"/>
    <mergeCell ref="F9:G9"/>
    <mergeCell ref="H9:I9"/>
    <mergeCell ref="J9:K9"/>
    <mergeCell ref="L9:M9"/>
    <mergeCell ref="B12:E12"/>
    <mergeCell ref="F12:G12"/>
    <mergeCell ref="H12:I12"/>
    <mergeCell ref="J12:K12"/>
    <mergeCell ref="L12:M12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N79"/>
  <sheetViews>
    <sheetView tabSelected="1" zoomScaleNormal="100" workbookViewId="0">
      <selection activeCell="P20" sqref="P20"/>
    </sheetView>
  </sheetViews>
  <sheetFormatPr defaultRowHeight="11.25" x14ac:dyDescent="0.2"/>
  <cols>
    <col min="1" max="12" width="9.140625" style="22"/>
    <col min="13" max="13" width="37" style="22" customWidth="1"/>
    <col min="14" max="16384" width="9.140625" style="22"/>
  </cols>
  <sheetData>
    <row r="1" spans="1:14" ht="15.75" thickBot="1" x14ac:dyDescent="0.3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4" ht="15" customHeight="1" x14ac:dyDescent="0.25">
      <c r="A2" s="119"/>
      <c r="B2" s="219" t="s">
        <v>418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1"/>
    </row>
    <row r="3" spans="1:14" ht="15" customHeight="1" x14ac:dyDescent="0.25">
      <c r="A3" s="119"/>
      <c r="B3" s="222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4"/>
    </row>
    <row r="4" spans="1:14" ht="15" customHeight="1" x14ac:dyDescent="0.25">
      <c r="A4" s="119"/>
      <c r="B4" s="225" t="s">
        <v>315</v>
      </c>
      <c r="C4" s="226"/>
      <c r="D4" s="226"/>
      <c r="E4" s="226"/>
      <c r="F4" s="229" t="s">
        <v>0</v>
      </c>
      <c r="G4" s="229"/>
      <c r="H4" s="231" t="s">
        <v>3</v>
      </c>
      <c r="I4" s="232"/>
      <c r="J4" s="229" t="s">
        <v>2</v>
      </c>
      <c r="K4" s="229"/>
      <c r="L4" s="229" t="s">
        <v>1</v>
      </c>
      <c r="M4" s="234"/>
    </row>
    <row r="5" spans="1:14" ht="15" x14ac:dyDescent="0.25">
      <c r="A5" s="119"/>
      <c r="B5" s="227"/>
      <c r="C5" s="228"/>
      <c r="D5" s="228"/>
      <c r="E5" s="228"/>
      <c r="F5" s="230"/>
      <c r="G5" s="230"/>
      <c r="H5" s="230"/>
      <c r="I5" s="233"/>
      <c r="J5" s="230"/>
      <c r="K5" s="230"/>
      <c r="L5" s="230"/>
      <c r="M5" s="235"/>
    </row>
    <row r="6" spans="1:14" ht="15.75" customHeight="1" x14ac:dyDescent="0.25">
      <c r="A6" s="119"/>
      <c r="B6" s="236"/>
      <c r="C6" s="237"/>
      <c r="D6" s="237"/>
      <c r="E6" s="237"/>
      <c r="F6" s="238"/>
      <c r="G6" s="239"/>
      <c r="H6" s="240"/>
      <c r="I6" s="239"/>
      <c r="J6" s="238"/>
      <c r="K6" s="239"/>
      <c r="L6" s="241"/>
      <c r="M6" s="242"/>
    </row>
    <row r="7" spans="1:14" s="24" customFormat="1" ht="15" customHeight="1" x14ac:dyDescent="0.25">
      <c r="A7" s="120"/>
      <c r="B7" s="205" t="s">
        <v>417</v>
      </c>
      <c r="C7" s="206"/>
      <c r="D7" s="206"/>
      <c r="E7" s="207"/>
      <c r="F7" s="208" t="s">
        <v>382</v>
      </c>
      <c r="G7" s="209"/>
      <c r="H7" s="208">
        <v>3</v>
      </c>
      <c r="I7" s="209"/>
      <c r="J7" s="215">
        <v>200301</v>
      </c>
      <c r="K7" s="152"/>
      <c r="L7" s="212" t="s">
        <v>402</v>
      </c>
      <c r="M7" s="209"/>
      <c r="N7" s="23"/>
    </row>
    <row r="8" spans="1:14" s="24" customFormat="1" ht="15" customHeight="1" x14ac:dyDescent="0.25">
      <c r="A8" s="120"/>
      <c r="B8" s="205" t="s">
        <v>416</v>
      </c>
      <c r="C8" s="206"/>
      <c r="D8" s="206"/>
      <c r="E8" s="207"/>
      <c r="F8" s="208" t="s">
        <v>382</v>
      </c>
      <c r="G8" s="209"/>
      <c r="H8" s="210">
        <v>1</v>
      </c>
      <c r="I8" s="211"/>
      <c r="J8" s="215">
        <v>200301</v>
      </c>
      <c r="K8" s="152"/>
      <c r="L8" s="212" t="s">
        <v>402</v>
      </c>
      <c r="M8" s="209"/>
      <c r="N8" s="23"/>
    </row>
    <row r="9" spans="1:14" s="24" customFormat="1" ht="15" customHeight="1" x14ac:dyDescent="0.25">
      <c r="A9" s="120"/>
      <c r="B9" s="205" t="s">
        <v>415</v>
      </c>
      <c r="C9" s="206"/>
      <c r="D9" s="206"/>
      <c r="E9" s="207"/>
      <c r="F9" s="208" t="s">
        <v>382</v>
      </c>
      <c r="G9" s="209"/>
      <c r="H9" s="208">
        <v>2</v>
      </c>
      <c r="I9" s="209"/>
      <c r="J9" s="215">
        <v>200301</v>
      </c>
      <c r="K9" s="152"/>
      <c r="L9" s="212" t="s">
        <v>402</v>
      </c>
      <c r="M9" s="209"/>
      <c r="N9" s="23"/>
    </row>
    <row r="10" spans="1:14" s="24" customFormat="1" ht="15" customHeight="1" x14ac:dyDescent="0.25">
      <c r="A10" s="120"/>
      <c r="B10" s="205" t="s">
        <v>414</v>
      </c>
      <c r="C10" s="206"/>
      <c r="D10" s="206"/>
      <c r="E10" s="207"/>
      <c r="F10" s="208" t="s">
        <v>382</v>
      </c>
      <c r="G10" s="209"/>
      <c r="H10" s="213">
        <v>2</v>
      </c>
      <c r="I10" s="214"/>
      <c r="J10" s="215">
        <v>200301</v>
      </c>
      <c r="K10" s="152"/>
      <c r="L10" s="212" t="s">
        <v>402</v>
      </c>
      <c r="M10" s="209"/>
      <c r="N10" s="23"/>
    </row>
    <row r="11" spans="1:14" s="24" customFormat="1" ht="15" customHeight="1" x14ac:dyDescent="0.25">
      <c r="A11" s="120"/>
      <c r="B11" s="205" t="s">
        <v>413</v>
      </c>
      <c r="C11" s="206"/>
      <c r="D11" s="206"/>
      <c r="E11" s="207"/>
      <c r="F11" s="208" t="s">
        <v>382</v>
      </c>
      <c r="G11" s="209"/>
      <c r="H11" s="208">
        <v>2</v>
      </c>
      <c r="I11" s="209"/>
      <c r="J11" s="215">
        <v>200301</v>
      </c>
      <c r="K11" s="152"/>
      <c r="L11" s="212" t="s">
        <v>402</v>
      </c>
      <c r="M11" s="209"/>
      <c r="N11" s="23"/>
    </row>
    <row r="12" spans="1:14" s="24" customFormat="1" ht="15" customHeight="1" x14ac:dyDescent="0.25">
      <c r="A12" s="120"/>
      <c r="B12" s="205" t="s">
        <v>412</v>
      </c>
      <c r="C12" s="206"/>
      <c r="D12" s="206"/>
      <c r="E12" s="207"/>
      <c r="F12" s="208" t="s">
        <v>382</v>
      </c>
      <c r="G12" s="209"/>
      <c r="H12" s="208">
        <v>1</v>
      </c>
      <c r="I12" s="209"/>
      <c r="J12" s="215">
        <v>200301</v>
      </c>
      <c r="K12" s="152"/>
      <c r="L12" s="212" t="s">
        <v>402</v>
      </c>
      <c r="M12" s="209"/>
      <c r="N12" s="23"/>
    </row>
    <row r="13" spans="1:14" s="24" customFormat="1" ht="15" customHeight="1" x14ac:dyDescent="0.25">
      <c r="A13" s="120"/>
      <c r="B13" s="205" t="s">
        <v>411</v>
      </c>
      <c r="C13" s="206"/>
      <c r="D13" s="206"/>
      <c r="E13" s="207"/>
      <c r="F13" s="208" t="s">
        <v>382</v>
      </c>
      <c r="G13" s="209"/>
      <c r="H13" s="208">
        <v>1</v>
      </c>
      <c r="I13" s="209"/>
      <c r="J13" s="215">
        <v>200301</v>
      </c>
      <c r="K13" s="152"/>
      <c r="L13" s="212" t="s">
        <v>402</v>
      </c>
      <c r="M13" s="209"/>
      <c r="N13" s="23"/>
    </row>
    <row r="14" spans="1:14" s="24" customFormat="1" ht="15" customHeight="1" x14ac:dyDescent="0.25">
      <c r="A14" s="120"/>
      <c r="B14" s="205" t="s">
        <v>410</v>
      </c>
      <c r="C14" s="206"/>
      <c r="D14" s="206"/>
      <c r="E14" s="207"/>
      <c r="F14" s="208" t="s">
        <v>382</v>
      </c>
      <c r="G14" s="209"/>
      <c r="H14" s="210">
        <v>2</v>
      </c>
      <c r="I14" s="211"/>
      <c r="J14" s="215">
        <v>200301</v>
      </c>
      <c r="K14" s="152"/>
      <c r="L14" s="212" t="s">
        <v>402</v>
      </c>
      <c r="M14" s="209"/>
      <c r="N14" s="23"/>
    </row>
    <row r="15" spans="1:14" s="24" customFormat="1" ht="15" customHeight="1" x14ac:dyDescent="0.25">
      <c r="A15" s="120"/>
      <c r="B15" s="205" t="s">
        <v>409</v>
      </c>
      <c r="C15" s="206"/>
      <c r="D15" s="206"/>
      <c r="E15" s="207"/>
      <c r="F15" s="208" t="s">
        <v>382</v>
      </c>
      <c r="G15" s="209"/>
      <c r="H15" s="208">
        <v>2</v>
      </c>
      <c r="I15" s="209"/>
      <c r="J15" s="215">
        <v>200301</v>
      </c>
      <c r="K15" s="152"/>
      <c r="L15" s="212" t="s">
        <v>402</v>
      </c>
      <c r="M15" s="209"/>
      <c r="N15" s="23"/>
    </row>
    <row r="16" spans="1:14" s="24" customFormat="1" ht="15" customHeight="1" x14ac:dyDescent="0.25">
      <c r="A16" s="120"/>
      <c r="B16" s="205" t="s">
        <v>408</v>
      </c>
      <c r="C16" s="206"/>
      <c r="D16" s="206"/>
      <c r="E16" s="207"/>
      <c r="F16" s="208" t="s">
        <v>382</v>
      </c>
      <c r="G16" s="209"/>
      <c r="H16" s="208">
        <v>2</v>
      </c>
      <c r="I16" s="209"/>
      <c r="J16" s="215">
        <v>200301</v>
      </c>
      <c r="K16" s="152"/>
      <c r="L16" s="212" t="s">
        <v>402</v>
      </c>
      <c r="M16" s="209"/>
      <c r="N16" s="23"/>
    </row>
    <row r="17" spans="1:14" s="24" customFormat="1" ht="15" customHeight="1" x14ac:dyDescent="0.25">
      <c r="A17" s="120"/>
      <c r="B17" s="205" t="s">
        <v>407</v>
      </c>
      <c r="C17" s="206"/>
      <c r="D17" s="206"/>
      <c r="E17" s="207"/>
      <c r="F17" s="208" t="s">
        <v>382</v>
      </c>
      <c r="G17" s="209"/>
      <c r="H17" s="208">
        <v>4</v>
      </c>
      <c r="I17" s="209"/>
      <c r="J17" s="215">
        <v>200301</v>
      </c>
      <c r="K17" s="152"/>
      <c r="L17" s="212" t="s">
        <v>402</v>
      </c>
      <c r="M17" s="209"/>
      <c r="N17" s="23"/>
    </row>
    <row r="18" spans="1:14" s="24" customFormat="1" ht="15" customHeight="1" x14ac:dyDescent="0.25">
      <c r="A18" s="120"/>
      <c r="B18" s="205" t="s">
        <v>406</v>
      </c>
      <c r="C18" s="206"/>
      <c r="D18" s="206"/>
      <c r="E18" s="207"/>
      <c r="F18" s="208" t="s">
        <v>382</v>
      </c>
      <c r="G18" s="209"/>
      <c r="H18" s="208">
        <v>0</v>
      </c>
      <c r="I18" s="209"/>
      <c r="J18" s="215" t="s">
        <v>32</v>
      </c>
      <c r="K18" s="152"/>
      <c r="L18" s="212" t="s">
        <v>438</v>
      </c>
      <c r="M18" s="209"/>
      <c r="N18" s="23"/>
    </row>
    <row r="19" spans="1:14" s="24" customFormat="1" ht="15" customHeight="1" x14ac:dyDescent="0.25">
      <c r="A19" s="120"/>
      <c r="B19" s="205" t="s">
        <v>405</v>
      </c>
      <c r="C19" s="206"/>
      <c r="D19" s="206"/>
      <c r="E19" s="207"/>
      <c r="F19" s="217" t="s">
        <v>404</v>
      </c>
      <c r="G19" s="218"/>
      <c r="H19" s="212">
        <v>0</v>
      </c>
      <c r="I19" s="212"/>
      <c r="J19" s="215">
        <v>200301</v>
      </c>
      <c r="K19" s="152"/>
      <c r="L19" s="212" t="s">
        <v>402</v>
      </c>
      <c r="M19" s="209"/>
      <c r="N19" s="23"/>
    </row>
    <row r="20" spans="1:14" s="24" customFormat="1" ht="15" customHeight="1" x14ac:dyDescent="0.25">
      <c r="A20" s="120"/>
      <c r="B20" s="205" t="s">
        <v>403</v>
      </c>
      <c r="C20" s="206"/>
      <c r="D20" s="206"/>
      <c r="E20" s="207"/>
      <c r="F20" s="208" t="s">
        <v>382</v>
      </c>
      <c r="G20" s="209"/>
      <c r="H20" s="210">
        <v>1</v>
      </c>
      <c r="I20" s="211"/>
      <c r="J20" s="215">
        <v>200301</v>
      </c>
      <c r="K20" s="152"/>
      <c r="L20" s="212" t="s">
        <v>402</v>
      </c>
      <c r="M20" s="209"/>
      <c r="N20" s="23"/>
    </row>
    <row r="21" spans="1:14" s="24" customFormat="1" ht="15" customHeight="1" x14ac:dyDescent="0.25">
      <c r="A21" s="120"/>
      <c r="B21" s="205" t="s">
        <v>401</v>
      </c>
      <c r="C21" s="206"/>
      <c r="D21" s="206"/>
      <c r="E21" s="207"/>
      <c r="F21" s="208" t="s">
        <v>400</v>
      </c>
      <c r="G21" s="209"/>
      <c r="H21" s="208">
        <v>1</v>
      </c>
      <c r="I21" s="209"/>
      <c r="J21" s="215">
        <v>200301</v>
      </c>
      <c r="K21" s="152"/>
      <c r="L21" s="212" t="s">
        <v>439</v>
      </c>
      <c r="M21" s="209"/>
      <c r="N21" s="23"/>
    </row>
    <row r="22" spans="1:14" s="24" customFormat="1" ht="15" customHeight="1" x14ac:dyDescent="0.25">
      <c r="A22" s="120"/>
      <c r="B22" s="205" t="s">
        <v>399</v>
      </c>
      <c r="C22" s="206"/>
      <c r="D22" s="206"/>
      <c r="E22" s="207"/>
      <c r="F22" s="208" t="s">
        <v>385</v>
      </c>
      <c r="G22" s="209"/>
      <c r="H22" s="213">
        <v>1</v>
      </c>
      <c r="I22" s="214"/>
      <c r="J22" s="212">
        <v>170201</v>
      </c>
      <c r="K22" s="209"/>
      <c r="L22" s="212" t="s">
        <v>439</v>
      </c>
      <c r="M22" s="209"/>
      <c r="N22" s="23"/>
    </row>
    <row r="23" spans="1:14" s="24" customFormat="1" ht="15" customHeight="1" x14ac:dyDescent="0.25">
      <c r="A23" s="120"/>
      <c r="B23" s="205" t="s">
        <v>657</v>
      </c>
      <c r="C23" s="206"/>
      <c r="D23" s="206"/>
      <c r="E23" s="207"/>
      <c r="F23" s="208" t="s">
        <v>382</v>
      </c>
      <c r="G23" s="209"/>
      <c r="H23" s="208">
        <v>1</v>
      </c>
      <c r="I23" s="209"/>
      <c r="J23" s="215">
        <v>200301</v>
      </c>
      <c r="K23" s="152"/>
      <c r="L23" s="212" t="s">
        <v>402</v>
      </c>
      <c r="M23" s="209"/>
      <c r="N23" s="23"/>
    </row>
    <row r="24" spans="1:14" s="24" customFormat="1" ht="15" customHeight="1" x14ac:dyDescent="0.25">
      <c r="A24" s="120"/>
      <c r="B24" s="205" t="s">
        <v>398</v>
      </c>
      <c r="C24" s="206"/>
      <c r="D24" s="206"/>
      <c r="E24" s="207"/>
      <c r="F24" s="208" t="s">
        <v>382</v>
      </c>
      <c r="G24" s="209"/>
      <c r="H24" s="208">
        <v>0</v>
      </c>
      <c r="I24" s="209"/>
      <c r="J24" s="215">
        <v>150106</v>
      </c>
      <c r="K24" s="216"/>
      <c r="L24" s="212" t="s">
        <v>392</v>
      </c>
      <c r="M24" s="209"/>
      <c r="N24" s="23"/>
    </row>
    <row r="25" spans="1:14" s="24" customFormat="1" ht="15" customHeight="1" x14ac:dyDescent="0.25">
      <c r="A25" s="120"/>
      <c r="B25" s="205" t="s">
        <v>397</v>
      </c>
      <c r="C25" s="206"/>
      <c r="D25" s="206"/>
      <c r="E25" s="207"/>
      <c r="F25" s="208" t="s">
        <v>382</v>
      </c>
      <c r="G25" s="209"/>
      <c r="H25" s="208">
        <v>2</v>
      </c>
      <c r="I25" s="209"/>
      <c r="J25" s="215">
        <v>150106</v>
      </c>
      <c r="K25" s="216"/>
      <c r="L25" s="212" t="s">
        <v>392</v>
      </c>
      <c r="M25" s="209"/>
      <c r="N25" s="23"/>
    </row>
    <row r="26" spans="1:14" s="24" customFormat="1" ht="15" customHeight="1" x14ac:dyDescent="0.25">
      <c r="A26" s="120"/>
      <c r="B26" s="205" t="s">
        <v>396</v>
      </c>
      <c r="C26" s="206"/>
      <c r="D26" s="206"/>
      <c r="E26" s="207"/>
      <c r="F26" s="208" t="s">
        <v>382</v>
      </c>
      <c r="G26" s="209"/>
      <c r="H26" s="210">
        <v>1</v>
      </c>
      <c r="I26" s="211"/>
      <c r="J26" s="215">
        <v>150106</v>
      </c>
      <c r="K26" s="216"/>
      <c r="L26" s="212" t="s">
        <v>392</v>
      </c>
      <c r="M26" s="209"/>
      <c r="N26" s="23"/>
    </row>
    <row r="27" spans="1:14" s="24" customFormat="1" ht="15" customHeight="1" x14ac:dyDescent="0.25">
      <c r="A27" s="120"/>
      <c r="B27" s="205" t="s">
        <v>395</v>
      </c>
      <c r="C27" s="206"/>
      <c r="D27" s="206"/>
      <c r="E27" s="207"/>
      <c r="F27" s="208" t="s">
        <v>382</v>
      </c>
      <c r="G27" s="209"/>
      <c r="H27" s="208">
        <v>2</v>
      </c>
      <c r="I27" s="209"/>
      <c r="J27" s="215">
        <v>150106</v>
      </c>
      <c r="K27" s="216"/>
      <c r="L27" s="212" t="s">
        <v>392</v>
      </c>
      <c r="M27" s="209"/>
      <c r="N27" s="23"/>
    </row>
    <row r="28" spans="1:14" s="24" customFormat="1" ht="15" customHeight="1" x14ac:dyDescent="0.25">
      <c r="A28" s="120"/>
      <c r="B28" s="205" t="s">
        <v>394</v>
      </c>
      <c r="C28" s="206"/>
      <c r="D28" s="206"/>
      <c r="E28" s="207"/>
      <c r="F28" s="208" t="s">
        <v>382</v>
      </c>
      <c r="G28" s="209"/>
      <c r="H28" s="213">
        <v>1</v>
      </c>
      <c r="I28" s="214"/>
      <c r="J28" s="215">
        <v>150106</v>
      </c>
      <c r="K28" s="216"/>
      <c r="L28" s="212" t="s">
        <v>392</v>
      </c>
      <c r="M28" s="209"/>
      <c r="N28" s="23"/>
    </row>
    <row r="29" spans="1:14" s="24" customFormat="1" ht="15" customHeight="1" x14ac:dyDescent="0.25">
      <c r="A29" s="120"/>
      <c r="B29" s="205" t="s">
        <v>393</v>
      </c>
      <c r="C29" s="206"/>
      <c r="D29" s="206"/>
      <c r="E29" s="207"/>
      <c r="F29" s="208" t="s">
        <v>382</v>
      </c>
      <c r="G29" s="209"/>
      <c r="H29" s="208">
        <v>1</v>
      </c>
      <c r="I29" s="209"/>
      <c r="J29" s="215">
        <v>150106</v>
      </c>
      <c r="K29" s="216"/>
      <c r="L29" s="212" t="s">
        <v>392</v>
      </c>
      <c r="M29" s="209"/>
      <c r="N29" s="23"/>
    </row>
    <row r="30" spans="1:14" s="24" customFormat="1" ht="15" customHeight="1" x14ac:dyDescent="0.25">
      <c r="A30" s="120"/>
      <c r="B30" s="205" t="s">
        <v>508</v>
      </c>
      <c r="C30" s="206"/>
      <c r="D30" s="206"/>
      <c r="E30" s="207"/>
      <c r="F30" s="208" t="s">
        <v>382</v>
      </c>
      <c r="G30" s="209"/>
      <c r="H30" s="208">
        <v>2</v>
      </c>
      <c r="I30" s="209"/>
      <c r="J30" s="215">
        <v>150106</v>
      </c>
      <c r="K30" s="216"/>
      <c r="L30" s="212" t="s">
        <v>392</v>
      </c>
      <c r="M30" s="209"/>
      <c r="N30" s="23"/>
    </row>
    <row r="31" spans="1:14" s="24" customFormat="1" ht="15" customHeight="1" x14ac:dyDescent="0.25">
      <c r="A31" s="120"/>
      <c r="B31" s="205" t="s">
        <v>509</v>
      </c>
      <c r="C31" s="206"/>
      <c r="D31" s="206"/>
      <c r="E31" s="207"/>
      <c r="F31" s="208" t="s">
        <v>382</v>
      </c>
      <c r="G31" s="209"/>
      <c r="H31" s="208">
        <v>1</v>
      </c>
      <c r="I31" s="209"/>
      <c r="J31" s="215">
        <v>150106</v>
      </c>
      <c r="K31" s="216"/>
      <c r="L31" s="212" t="s">
        <v>392</v>
      </c>
      <c r="M31" s="209"/>
      <c r="N31" s="23"/>
    </row>
    <row r="32" spans="1:14" s="24" customFormat="1" ht="15" customHeight="1" x14ac:dyDescent="0.25">
      <c r="A32" s="120"/>
      <c r="B32" s="205" t="s">
        <v>510</v>
      </c>
      <c r="C32" s="206"/>
      <c r="D32" s="206"/>
      <c r="E32" s="207"/>
      <c r="F32" s="208" t="s">
        <v>382</v>
      </c>
      <c r="G32" s="209"/>
      <c r="H32" s="208">
        <v>1</v>
      </c>
      <c r="I32" s="209"/>
      <c r="J32" s="215">
        <v>150106</v>
      </c>
      <c r="K32" s="216"/>
      <c r="L32" s="212" t="s">
        <v>392</v>
      </c>
      <c r="M32" s="209"/>
      <c r="N32" s="23"/>
    </row>
    <row r="33" spans="1:14" s="24" customFormat="1" ht="15" customHeight="1" x14ac:dyDescent="0.25">
      <c r="A33" s="120"/>
      <c r="B33" s="205" t="s">
        <v>502</v>
      </c>
      <c r="C33" s="206"/>
      <c r="D33" s="206"/>
      <c r="E33" s="207"/>
      <c r="F33" s="208" t="s">
        <v>382</v>
      </c>
      <c r="G33" s="209"/>
      <c r="H33" s="208">
        <v>6</v>
      </c>
      <c r="I33" s="209"/>
      <c r="J33" s="215">
        <v>150106</v>
      </c>
      <c r="K33" s="216"/>
      <c r="L33" s="212" t="s">
        <v>392</v>
      </c>
      <c r="M33" s="209"/>
      <c r="N33" s="23"/>
    </row>
    <row r="34" spans="1:14" s="24" customFormat="1" ht="15" customHeight="1" x14ac:dyDescent="0.25">
      <c r="A34" s="120"/>
      <c r="B34" s="205" t="s">
        <v>503</v>
      </c>
      <c r="C34" s="206"/>
      <c r="D34" s="206"/>
      <c r="E34" s="207"/>
      <c r="F34" s="208" t="s">
        <v>382</v>
      </c>
      <c r="G34" s="209"/>
      <c r="H34" s="208">
        <v>2</v>
      </c>
      <c r="I34" s="209"/>
      <c r="J34" s="215">
        <v>150106</v>
      </c>
      <c r="K34" s="216"/>
      <c r="L34" s="212" t="s">
        <v>392</v>
      </c>
      <c r="M34" s="209"/>
      <c r="N34" s="23"/>
    </row>
    <row r="35" spans="1:14" s="24" customFormat="1" ht="15" customHeight="1" x14ac:dyDescent="0.25">
      <c r="A35" s="120"/>
      <c r="B35" s="205" t="s">
        <v>504</v>
      </c>
      <c r="C35" s="206"/>
      <c r="D35" s="206"/>
      <c r="E35" s="207"/>
      <c r="F35" s="208" t="s">
        <v>382</v>
      </c>
      <c r="G35" s="209"/>
      <c r="H35" s="208">
        <v>2</v>
      </c>
      <c r="I35" s="209"/>
      <c r="J35" s="215">
        <v>150106</v>
      </c>
      <c r="K35" s="216"/>
      <c r="L35" s="212" t="s">
        <v>392</v>
      </c>
      <c r="M35" s="209"/>
      <c r="N35" s="23"/>
    </row>
    <row r="36" spans="1:14" s="24" customFormat="1" ht="15" customHeight="1" x14ac:dyDescent="0.25">
      <c r="A36" s="120"/>
      <c r="B36" s="205" t="s">
        <v>505</v>
      </c>
      <c r="C36" s="206"/>
      <c r="D36" s="206"/>
      <c r="E36" s="207"/>
      <c r="F36" s="208" t="s">
        <v>382</v>
      </c>
      <c r="G36" s="209"/>
      <c r="H36" s="208">
        <v>0</v>
      </c>
      <c r="I36" s="209"/>
      <c r="J36" s="215">
        <v>150106</v>
      </c>
      <c r="K36" s="216"/>
      <c r="L36" s="212" t="s">
        <v>392</v>
      </c>
      <c r="M36" s="209"/>
      <c r="N36" s="23"/>
    </row>
    <row r="37" spans="1:14" s="24" customFormat="1" ht="15" customHeight="1" x14ac:dyDescent="0.25">
      <c r="A37" s="120"/>
      <c r="B37" s="205" t="s">
        <v>506</v>
      </c>
      <c r="C37" s="206"/>
      <c r="D37" s="206"/>
      <c r="E37" s="207"/>
      <c r="F37" s="208" t="s">
        <v>382</v>
      </c>
      <c r="G37" s="209"/>
      <c r="H37" s="208">
        <v>2</v>
      </c>
      <c r="I37" s="209"/>
      <c r="J37" s="215">
        <v>150106</v>
      </c>
      <c r="K37" s="216"/>
      <c r="L37" s="212" t="s">
        <v>507</v>
      </c>
      <c r="M37" s="209"/>
      <c r="N37" s="23"/>
    </row>
    <row r="38" spans="1:14" s="24" customFormat="1" ht="15" customHeight="1" x14ac:dyDescent="0.25">
      <c r="A38" s="120"/>
      <c r="B38" s="205" t="s">
        <v>391</v>
      </c>
      <c r="C38" s="206"/>
      <c r="D38" s="206"/>
      <c r="E38" s="207"/>
      <c r="F38" s="208" t="s">
        <v>388</v>
      </c>
      <c r="G38" s="209"/>
      <c r="H38" s="210">
        <v>1</v>
      </c>
      <c r="I38" s="211"/>
      <c r="J38" s="212">
        <v>200301</v>
      </c>
      <c r="K38" s="209"/>
      <c r="L38" s="212" t="s">
        <v>440</v>
      </c>
      <c r="M38" s="209"/>
      <c r="N38" s="23"/>
    </row>
    <row r="39" spans="1:14" s="24" customFormat="1" ht="15" customHeight="1" x14ac:dyDescent="0.25">
      <c r="A39" s="120"/>
      <c r="B39" s="205" t="s">
        <v>390</v>
      </c>
      <c r="C39" s="206"/>
      <c r="D39" s="206"/>
      <c r="E39" s="207"/>
      <c r="F39" s="208" t="s">
        <v>388</v>
      </c>
      <c r="G39" s="209"/>
      <c r="H39" s="208">
        <v>2</v>
      </c>
      <c r="I39" s="209"/>
      <c r="J39" s="212">
        <v>200301</v>
      </c>
      <c r="K39" s="209"/>
      <c r="L39" s="212" t="s">
        <v>440</v>
      </c>
      <c r="M39" s="209"/>
      <c r="N39" s="23"/>
    </row>
    <row r="40" spans="1:14" s="24" customFormat="1" ht="15" customHeight="1" x14ac:dyDescent="0.25">
      <c r="A40" s="120"/>
      <c r="B40" s="205" t="s">
        <v>455</v>
      </c>
      <c r="C40" s="206"/>
      <c r="D40" s="206"/>
      <c r="E40" s="207"/>
      <c r="F40" s="208" t="s">
        <v>388</v>
      </c>
      <c r="G40" s="209"/>
      <c r="H40" s="213">
        <v>4</v>
      </c>
      <c r="I40" s="214"/>
      <c r="J40" s="212">
        <v>200301</v>
      </c>
      <c r="K40" s="209"/>
      <c r="L40" s="212" t="s">
        <v>440</v>
      </c>
      <c r="M40" s="209"/>
      <c r="N40" s="23"/>
    </row>
    <row r="41" spans="1:14" s="24" customFormat="1" ht="15" customHeight="1" x14ac:dyDescent="0.25">
      <c r="A41" s="120"/>
      <c r="B41" s="205" t="s">
        <v>389</v>
      </c>
      <c r="C41" s="206"/>
      <c r="D41" s="206"/>
      <c r="E41" s="207"/>
      <c r="F41" s="208" t="s">
        <v>388</v>
      </c>
      <c r="G41" s="209"/>
      <c r="H41" s="208">
        <v>1</v>
      </c>
      <c r="I41" s="209"/>
      <c r="J41" s="212">
        <v>200301</v>
      </c>
      <c r="K41" s="209"/>
      <c r="L41" s="212" t="s">
        <v>440</v>
      </c>
      <c r="M41" s="209"/>
      <c r="N41" s="23"/>
    </row>
    <row r="42" spans="1:14" s="24" customFormat="1" ht="15" customHeight="1" x14ac:dyDescent="0.25">
      <c r="A42" s="120"/>
      <c r="B42" s="244" t="s">
        <v>456</v>
      </c>
      <c r="C42" s="244"/>
      <c r="D42" s="244"/>
      <c r="E42" s="245"/>
      <c r="F42" s="208" t="s">
        <v>388</v>
      </c>
      <c r="G42" s="209"/>
      <c r="H42" s="208">
        <v>2</v>
      </c>
      <c r="I42" s="209"/>
      <c r="J42" s="212">
        <v>200301</v>
      </c>
      <c r="K42" s="209"/>
      <c r="L42" s="212" t="s">
        <v>440</v>
      </c>
      <c r="M42" s="209"/>
      <c r="N42" s="23"/>
    </row>
    <row r="43" spans="1:14" s="24" customFormat="1" ht="15" customHeight="1" x14ac:dyDescent="0.25">
      <c r="A43" s="120"/>
      <c r="B43" s="205" t="s">
        <v>457</v>
      </c>
      <c r="C43" s="206"/>
      <c r="D43" s="206"/>
      <c r="E43" s="207"/>
      <c r="F43" s="208" t="s">
        <v>388</v>
      </c>
      <c r="G43" s="209"/>
      <c r="H43" s="210">
        <v>1</v>
      </c>
      <c r="I43" s="211"/>
      <c r="J43" s="212">
        <v>200301</v>
      </c>
      <c r="K43" s="209"/>
      <c r="L43" s="212" t="s">
        <v>440</v>
      </c>
      <c r="M43" s="209"/>
      <c r="N43" s="23"/>
    </row>
    <row r="44" spans="1:14" s="24" customFormat="1" ht="15" customHeight="1" x14ac:dyDescent="0.25">
      <c r="A44" s="120"/>
      <c r="B44" s="205" t="s">
        <v>458</v>
      </c>
      <c r="C44" s="206"/>
      <c r="D44" s="206"/>
      <c r="E44" s="207"/>
      <c r="F44" s="208" t="s">
        <v>388</v>
      </c>
      <c r="G44" s="209"/>
      <c r="H44" s="208">
        <v>1</v>
      </c>
      <c r="I44" s="209"/>
      <c r="J44" s="212">
        <v>200301</v>
      </c>
      <c r="K44" s="209"/>
      <c r="L44" s="212" t="s">
        <v>440</v>
      </c>
      <c r="M44" s="209"/>
      <c r="N44" s="23"/>
    </row>
    <row r="45" spans="1:14" s="24" customFormat="1" ht="15" customHeight="1" x14ac:dyDescent="0.25">
      <c r="A45" s="120"/>
      <c r="B45" s="205" t="s">
        <v>459</v>
      </c>
      <c r="C45" s="206"/>
      <c r="D45" s="206"/>
      <c r="E45" s="207"/>
      <c r="F45" s="208" t="s">
        <v>388</v>
      </c>
      <c r="G45" s="209"/>
      <c r="H45" s="213">
        <v>1</v>
      </c>
      <c r="I45" s="214"/>
      <c r="J45" s="212">
        <v>200301</v>
      </c>
      <c r="K45" s="209"/>
      <c r="L45" s="212" t="s">
        <v>440</v>
      </c>
      <c r="M45" s="209"/>
      <c r="N45" s="23"/>
    </row>
    <row r="46" spans="1:14" s="24" customFormat="1" ht="15" customHeight="1" x14ac:dyDescent="0.25">
      <c r="A46" s="120"/>
      <c r="B46" s="205" t="s">
        <v>511</v>
      </c>
      <c r="C46" s="206"/>
      <c r="D46" s="206"/>
      <c r="E46" s="207"/>
      <c r="F46" s="208" t="s">
        <v>388</v>
      </c>
      <c r="G46" s="209"/>
      <c r="H46" s="213">
        <v>1</v>
      </c>
      <c r="I46" s="214"/>
      <c r="J46" s="212">
        <v>200301</v>
      </c>
      <c r="K46" s="209"/>
      <c r="L46" s="212" t="s">
        <v>440</v>
      </c>
      <c r="M46" s="209"/>
      <c r="N46" s="23"/>
    </row>
    <row r="47" spans="1:14" s="24" customFormat="1" ht="15" customHeight="1" x14ac:dyDescent="0.25">
      <c r="A47" s="120"/>
      <c r="B47" s="186" t="s">
        <v>354</v>
      </c>
      <c r="C47" s="186"/>
      <c r="D47" s="186"/>
      <c r="E47" s="186"/>
      <c r="F47" s="204" t="s">
        <v>336</v>
      </c>
      <c r="G47" s="204"/>
      <c r="H47" s="204">
        <v>42</v>
      </c>
      <c r="I47" s="204"/>
      <c r="J47" s="190">
        <v>200301</v>
      </c>
      <c r="K47" s="190"/>
      <c r="L47" s="204" t="s">
        <v>568</v>
      </c>
      <c r="M47" s="204"/>
      <c r="N47" s="23"/>
    </row>
    <row r="48" spans="1:14" s="24" customFormat="1" ht="15" customHeight="1" x14ac:dyDescent="0.25">
      <c r="A48" s="120"/>
      <c r="B48" s="186" t="s">
        <v>352</v>
      </c>
      <c r="C48" s="186"/>
      <c r="D48" s="186"/>
      <c r="E48" s="186"/>
      <c r="F48" s="204" t="s">
        <v>336</v>
      </c>
      <c r="G48" s="204"/>
      <c r="H48" s="204">
        <v>42</v>
      </c>
      <c r="I48" s="204"/>
      <c r="J48" s="190">
        <v>150106</v>
      </c>
      <c r="K48" s="190"/>
      <c r="L48" s="204" t="s">
        <v>569</v>
      </c>
      <c r="M48" s="204"/>
      <c r="N48" s="23"/>
    </row>
    <row r="49" spans="1:14" s="24" customFormat="1" ht="15" customHeight="1" x14ac:dyDescent="0.25">
      <c r="A49" s="120"/>
      <c r="B49" s="186" t="s">
        <v>350</v>
      </c>
      <c r="C49" s="186"/>
      <c r="D49" s="186"/>
      <c r="E49" s="186"/>
      <c r="F49" s="204" t="s">
        <v>336</v>
      </c>
      <c r="G49" s="204"/>
      <c r="H49" s="204">
        <v>42</v>
      </c>
      <c r="I49" s="204"/>
      <c r="J49" s="190">
        <v>200201</v>
      </c>
      <c r="K49" s="190"/>
      <c r="L49" s="204" t="s">
        <v>518</v>
      </c>
      <c r="M49" s="204"/>
      <c r="N49" s="23"/>
    </row>
    <row r="50" spans="1:14" s="24" customFormat="1" ht="15" customHeight="1" x14ac:dyDescent="0.25">
      <c r="A50" s="120"/>
      <c r="B50" s="243" t="s">
        <v>441</v>
      </c>
      <c r="C50" s="243"/>
      <c r="D50" s="243"/>
      <c r="E50" s="243"/>
      <c r="F50" s="204" t="s">
        <v>442</v>
      </c>
      <c r="G50" s="204"/>
      <c r="H50" s="204">
        <v>300</v>
      </c>
      <c r="I50" s="204"/>
      <c r="J50" s="147"/>
      <c r="K50" s="147"/>
      <c r="L50" s="204" t="s">
        <v>443</v>
      </c>
      <c r="M50" s="204"/>
      <c r="N50" s="23"/>
    </row>
    <row r="51" spans="1:14" s="24" customFormat="1" ht="15" customHeight="1" x14ac:dyDescent="0.25">
      <c r="A51" s="120"/>
      <c r="B51" s="243" t="s">
        <v>222</v>
      </c>
      <c r="C51" s="243"/>
      <c r="D51" s="243"/>
      <c r="E51" s="243"/>
      <c r="F51" s="204" t="s">
        <v>280</v>
      </c>
      <c r="G51" s="204"/>
      <c r="H51" s="204" t="s">
        <v>196</v>
      </c>
      <c r="I51" s="204"/>
      <c r="J51" s="147" t="s">
        <v>193</v>
      </c>
      <c r="K51" s="147"/>
      <c r="L51" s="204" t="s">
        <v>515</v>
      </c>
      <c r="M51" s="204"/>
      <c r="N51" s="23"/>
    </row>
    <row r="52" spans="1:14" s="24" customFormat="1" ht="15" customHeight="1" x14ac:dyDescent="0.25">
      <c r="A52" s="120"/>
      <c r="B52" s="146" t="s">
        <v>570</v>
      </c>
      <c r="C52" s="146"/>
      <c r="D52" s="146"/>
      <c r="E52" s="146"/>
      <c r="F52" s="204" t="s">
        <v>566</v>
      </c>
      <c r="G52" s="204"/>
      <c r="H52" s="204">
        <v>42</v>
      </c>
      <c r="I52" s="204"/>
      <c r="J52" s="204" t="s">
        <v>33</v>
      </c>
      <c r="K52" s="204"/>
      <c r="L52" s="204" t="s">
        <v>392</v>
      </c>
      <c r="M52" s="204"/>
      <c r="N52" s="23"/>
    </row>
    <row r="53" spans="1:14" s="24" customFormat="1" ht="15" customHeight="1" x14ac:dyDescent="0.25">
      <c r="A53" s="120"/>
      <c r="B53" s="146" t="s">
        <v>571</v>
      </c>
      <c r="C53" s="146"/>
      <c r="D53" s="146"/>
      <c r="E53" s="146"/>
      <c r="F53" s="204" t="s">
        <v>573</v>
      </c>
      <c r="G53" s="204"/>
      <c r="H53" s="204">
        <v>42</v>
      </c>
      <c r="I53" s="204"/>
      <c r="J53" s="147" t="s">
        <v>572</v>
      </c>
      <c r="K53" s="147"/>
      <c r="L53" s="204" t="s">
        <v>518</v>
      </c>
      <c r="M53" s="204"/>
      <c r="N53" s="23"/>
    </row>
    <row r="54" spans="1:14" s="24" customFormat="1" ht="15" customHeight="1" x14ac:dyDescent="0.25">
      <c r="A54" s="120"/>
      <c r="B54" s="146" t="s">
        <v>638</v>
      </c>
      <c r="C54" s="146"/>
      <c r="D54" s="146"/>
      <c r="E54" s="146"/>
      <c r="F54" s="204" t="s">
        <v>567</v>
      </c>
      <c r="G54" s="204"/>
      <c r="H54" s="204">
        <v>2</v>
      </c>
      <c r="I54" s="204"/>
      <c r="J54" s="147" t="s">
        <v>33</v>
      </c>
      <c r="K54" s="147"/>
      <c r="L54" s="204" t="s">
        <v>48</v>
      </c>
      <c r="M54" s="204"/>
      <c r="N54" s="23"/>
    </row>
    <row r="55" spans="1:14" s="24" customFormat="1" ht="15" customHeight="1" x14ac:dyDescent="0.25">
      <c r="A55" s="120"/>
      <c r="B55" s="146" t="s">
        <v>639</v>
      </c>
      <c r="C55" s="146"/>
      <c r="D55" s="146"/>
      <c r="E55" s="146"/>
      <c r="F55" s="204" t="s">
        <v>567</v>
      </c>
      <c r="G55" s="204"/>
      <c r="H55" s="204">
        <v>2</v>
      </c>
      <c r="I55" s="204"/>
      <c r="J55" s="147" t="s">
        <v>33</v>
      </c>
      <c r="K55" s="147"/>
      <c r="L55" s="204" t="s">
        <v>48</v>
      </c>
      <c r="M55" s="204"/>
      <c r="N55" s="23"/>
    </row>
    <row r="56" spans="1:14" s="24" customFormat="1" ht="15" customHeight="1" x14ac:dyDescent="0.25">
      <c r="A56" s="120"/>
      <c r="B56" s="146" t="s">
        <v>640</v>
      </c>
      <c r="C56" s="146"/>
      <c r="D56" s="146"/>
      <c r="E56" s="146"/>
      <c r="F56" s="204" t="s">
        <v>567</v>
      </c>
      <c r="G56" s="204"/>
      <c r="H56" s="204">
        <v>2</v>
      </c>
      <c r="I56" s="204"/>
      <c r="J56" s="147" t="s">
        <v>33</v>
      </c>
      <c r="K56" s="147"/>
      <c r="L56" s="204" t="s">
        <v>48</v>
      </c>
      <c r="M56" s="204"/>
      <c r="N56" s="23"/>
    </row>
    <row r="57" spans="1:14" ht="15" x14ac:dyDescent="0.25">
      <c r="A57" s="119"/>
      <c r="B57" s="146" t="s">
        <v>641</v>
      </c>
      <c r="C57" s="146"/>
      <c r="D57" s="146"/>
      <c r="E57" s="146"/>
      <c r="F57" s="204" t="s">
        <v>567</v>
      </c>
      <c r="G57" s="204"/>
      <c r="H57" s="204">
        <v>2</v>
      </c>
      <c r="I57" s="204"/>
      <c r="J57" s="147" t="s">
        <v>33</v>
      </c>
      <c r="K57" s="147"/>
      <c r="L57" s="204" t="s">
        <v>48</v>
      </c>
      <c r="M57" s="204"/>
    </row>
    <row r="58" spans="1:14" ht="15" x14ac:dyDescent="0.25">
      <c r="A58" s="119"/>
      <c r="B58" s="146" t="s">
        <v>642</v>
      </c>
      <c r="C58" s="146"/>
      <c r="D58" s="146"/>
      <c r="E58" s="146"/>
      <c r="F58" s="204" t="s">
        <v>567</v>
      </c>
      <c r="G58" s="204"/>
      <c r="H58" s="204">
        <v>3</v>
      </c>
      <c r="I58" s="204"/>
      <c r="J58" s="147" t="s">
        <v>33</v>
      </c>
      <c r="K58" s="147"/>
      <c r="L58" s="204" t="s">
        <v>48</v>
      </c>
      <c r="M58" s="204"/>
    </row>
    <row r="59" spans="1:14" ht="15" x14ac:dyDescent="0.25">
      <c r="A59" s="119"/>
      <c r="B59" s="146" t="s">
        <v>643</v>
      </c>
      <c r="C59" s="146"/>
      <c r="D59" s="146"/>
      <c r="E59" s="146"/>
      <c r="F59" s="204" t="s">
        <v>567</v>
      </c>
      <c r="G59" s="204"/>
      <c r="H59" s="204">
        <v>4</v>
      </c>
      <c r="I59" s="204"/>
      <c r="J59" s="147" t="s">
        <v>33</v>
      </c>
      <c r="K59" s="147"/>
      <c r="L59" s="204" t="s">
        <v>48</v>
      </c>
      <c r="M59" s="204"/>
    </row>
    <row r="60" spans="1:14" ht="15" x14ac:dyDescent="0.25">
      <c r="A60" s="119"/>
      <c r="B60" s="146" t="s">
        <v>644</v>
      </c>
      <c r="C60" s="146"/>
      <c r="D60" s="146"/>
      <c r="E60" s="146"/>
      <c r="F60" s="204" t="s">
        <v>567</v>
      </c>
      <c r="G60" s="204"/>
      <c r="H60" s="204">
        <v>2</v>
      </c>
      <c r="I60" s="204"/>
      <c r="J60" s="147" t="s">
        <v>33</v>
      </c>
      <c r="K60" s="147"/>
      <c r="L60" s="204" t="s">
        <v>48</v>
      </c>
      <c r="M60" s="204"/>
    </row>
    <row r="61" spans="1:14" ht="15" x14ac:dyDescent="0.25">
      <c r="A61" s="119"/>
      <c r="B61" s="146" t="s">
        <v>645</v>
      </c>
      <c r="C61" s="146"/>
      <c r="D61" s="146"/>
      <c r="E61" s="146"/>
      <c r="F61" s="204" t="s">
        <v>567</v>
      </c>
      <c r="G61" s="204"/>
      <c r="H61" s="204">
        <v>2</v>
      </c>
      <c r="I61" s="204"/>
      <c r="J61" s="147" t="s">
        <v>33</v>
      </c>
      <c r="K61" s="147"/>
      <c r="L61" s="204" t="s">
        <v>48</v>
      </c>
      <c r="M61" s="204"/>
    </row>
    <row r="62" spans="1:14" ht="15" x14ac:dyDescent="0.25">
      <c r="A62" s="119"/>
      <c r="B62" s="146" t="s">
        <v>646</v>
      </c>
      <c r="C62" s="146"/>
      <c r="D62" s="146"/>
      <c r="E62" s="146"/>
      <c r="F62" s="204" t="s">
        <v>567</v>
      </c>
      <c r="G62" s="204"/>
      <c r="H62" s="204">
        <v>4</v>
      </c>
      <c r="I62" s="204"/>
      <c r="J62" s="147" t="s">
        <v>33</v>
      </c>
      <c r="K62" s="147"/>
      <c r="L62" s="204" t="s">
        <v>48</v>
      </c>
      <c r="M62" s="204"/>
    </row>
    <row r="63" spans="1:14" ht="15" x14ac:dyDescent="0.25">
      <c r="A63" s="119"/>
      <c r="B63" s="146" t="s">
        <v>647</v>
      </c>
      <c r="C63" s="146"/>
      <c r="D63" s="146"/>
      <c r="E63" s="146"/>
      <c r="F63" s="204" t="s">
        <v>567</v>
      </c>
      <c r="G63" s="204"/>
      <c r="H63" s="204">
        <v>8</v>
      </c>
      <c r="I63" s="204"/>
      <c r="J63" s="147" t="s">
        <v>33</v>
      </c>
      <c r="K63" s="147"/>
      <c r="L63" s="204" t="s">
        <v>48</v>
      </c>
      <c r="M63" s="204"/>
    </row>
    <row r="64" spans="1:14" ht="15" x14ac:dyDescent="0.25">
      <c r="A64" s="119"/>
      <c r="B64" s="146" t="s">
        <v>648</v>
      </c>
      <c r="C64" s="146"/>
      <c r="D64" s="146"/>
      <c r="E64" s="146"/>
      <c r="F64" s="204" t="s">
        <v>567</v>
      </c>
      <c r="G64" s="204"/>
      <c r="H64" s="204">
        <v>4</v>
      </c>
      <c r="I64" s="204"/>
      <c r="J64" s="147" t="s">
        <v>33</v>
      </c>
      <c r="K64" s="147"/>
      <c r="L64" s="204" t="s">
        <v>48</v>
      </c>
      <c r="M64" s="204"/>
    </row>
    <row r="65" spans="1:13" ht="15" x14ac:dyDescent="0.25">
      <c r="A65" s="119"/>
      <c r="B65" s="146" t="s">
        <v>649</v>
      </c>
      <c r="C65" s="146"/>
      <c r="D65" s="146"/>
      <c r="E65" s="146"/>
      <c r="F65" s="204" t="s">
        <v>567</v>
      </c>
      <c r="G65" s="204"/>
      <c r="H65" s="204">
        <v>2</v>
      </c>
      <c r="I65" s="204"/>
      <c r="J65" s="147" t="s">
        <v>33</v>
      </c>
      <c r="K65" s="147"/>
      <c r="L65" s="204" t="s">
        <v>48</v>
      </c>
      <c r="M65" s="204"/>
    </row>
    <row r="66" spans="1:13" ht="15" x14ac:dyDescent="0.25">
      <c r="A66" s="119"/>
      <c r="B66" s="146" t="s">
        <v>650</v>
      </c>
      <c r="C66" s="146"/>
      <c r="D66" s="146"/>
      <c r="E66" s="146"/>
      <c r="F66" s="204" t="s">
        <v>567</v>
      </c>
      <c r="G66" s="204"/>
      <c r="H66" s="204">
        <v>5</v>
      </c>
      <c r="I66" s="204"/>
      <c r="J66" s="147" t="s">
        <v>33</v>
      </c>
      <c r="K66" s="147"/>
      <c r="L66" s="204" t="s">
        <v>48</v>
      </c>
      <c r="M66" s="204"/>
    </row>
    <row r="67" spans="1:13" ht="15" x14ac:dyDescent="0.25">
      <c r="A67" s="119"/>
      <c r="B67" s="146" t="s">
        <v>651</v>
      </c>
      <c r="C67" s="146"/>
      <c r="D67" s="146"/>
      <c r="E67" s="146"/>
      <c r="F67" s="204" t="s">
        <v>567</v>
      </c>
      <c r="G67" s="204"/>
      <c r="H67" s="204">
        <v>5</v>
      </c>
      <c r="I67" s="204"/>
      <c r="J67" s="147" t="s">
        <v>33</v>
      </c>
      <c r="K67" s="147"/>
      <c r="L67" s="204" t="s">
        <v>48</v>
      </c>
      <c r="M67" s="204"/>
    </row>
    <row r="68" spans="1:13" ht="15" x14ac:dyDescent="0.25">
      <c r="A68" s="119"/>
      <c r="B68" s="146" t="s">
        <v>652</v>
      </c>
      <c r="C68" s="146"/>
      <c r="D68" s="146"/>
      <c r="E68" s="146"/>
      <c r="F68" s="204" t="s">
        <v>567</v>
      </c>
      <c r="G68" s="204"/>
      <c r="H68" s="204">
        <v>4</v>
      </c>
      <c r="I68" s="204"/>
      <c r="J68" s="147" t="s">
        <v>33</v>
      </c>
      <c r="K68" s="147"/>
      <c r="L68" s="204" t="s">
        <v>48</v>
      </c>
      <c r="M68" s="204"/>
    </row>
    <row r="69" spans="1:13" ht="15" x14ac:dyDescent="0.25">
      <c r="A69" s="119"/>
      <c r="B69" s="146" t="s">
        <v>653</v>
      </c>
      <c r="C69" s="146"/>
      <c r="D69" s="146"/>
      <c r="E69" s="146"/>
      <c r="F69" s="204" t="s">
        <v>567</v>
      </c>
      <c r="G69" s="204"/>
      <c r="H69" s="204">
        <v>2</v>
      </c>
      <c r="I69" s="204"/>
      <c r="J69" s="147" t="s">
        <v>572</v>
      </c>
      <c r="K69" s="147"/>
      <c r="L69" s="204" t="s">
        <v>48</v>
      </c>
      <c r="M69" s="204"/>
    </row>
    <row r="70" spans="1:13" ht="15" x14ac:dyDescent="0.25">
      <c r="A70" s="119"/>
      <c r="B70" s="146" t="s">
        <v>658</v>
      </c>
      <c r="C70" s="146"/>
      <c r="D70" s="146"/>
      <c r="E70" s="146"/>
      <c r="F70" s="204" t="s">
        <v>567</v>
      </c>
      <c r="G70" s="204"/>
      <c r="H70" s="204">
        <v>2</v>
      </c>
      <c r="I70" s="204"/>
      <c r="J70" s="147" t="s">
        <v>572</v>
      </c>
      <c r="K70" s="147"/>
      <c r="L70" s="204" t="s">
        <v>48</v>
      </c>
      <c r="M70" s="204"/>
    </row>
    <row r="71" spans="1:13" ht="15" x14ac:dyDescent="0.25">
      <c r="A71" s="119"/>
      <c r="B71" s="146" t="s">
        <v>654</v>
      </c>
      <c r="C71" s="146"/>
      <c r="D71" s="146"/>
      <c r="E71" s="146"/>
      <c r="F71" s="204" t="s">
        <v>567</v>
      </c>
      <c r="G71" s="204"/>
      <c r="H71" s="204">
        <v>2</v>
      </c>
      <c r="I71" s="204"/>
      <c r="J71" s="147" t="s">
        <v>572</v>
      </c>
      <c r="K71" s="147"/>
      <c r="L71" s="204" t="s">
        <v>48</v>
      </c>
      <c r="M71" s="204"/>
    </row>
    <row r="72" spans="1:13" ht="15" x14ac:dyDescent="0.25">
      <c r="A72" s="119"/>
      <c r="B72" s="146" t="s">
        <v>656</v>
      </c>
      <c r="C72" s="146"/>
      <c r="D72" s="146"/>
      <c r="E72" s="146"/>
      <c r="F72" s="204" t="s">
        <v>567</v>
      </c>
      <c r="G72" s="204"/>
      <c r="H72" s="204">
        <v>17</v>
      </c>
      <c r="I72" s="204"/>
      <c r="J72" s="147" t="s">
        <v>655</v>
      </c>
      <c r="K72" s="147"/>
      <c r="L72" s="204" t="s">
        <v>48</v>
      </c>
      <c r="M72" s="204"/>
    </row>
    <row r="73" spans="1:13" ht="15" x14ac:dyDescent="0.25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</row>
    <row r="74" spans="1:13" ht="15" x14ac:dyDescent="0.25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</row>
    <row r="75" spans="1:13" ht="15" x14ac:dyDescent="0.25">
      <c r="A75" s="119"/>
    </row>
    <row r="76" spans="1:13" ht="15" x14ac:dyDescent="0.25">
      <c r="A76" s="119"/>
    </row>
    <row r="77" spans="1:13" ht="15" x14ac:dyDescent="0.25">
      <c r="A77" s="119"/>
    </row>
    <row r="78" spans="1:13" ht="15" x14ac:dyDescent="0.25">
      <c r="A78" s="119"/>
    </row>
    <row r="79" spans="1:13" ht="15" x14ac:dyDescent="0.25">
      <c r="A79" s="119"/>
    </row>
  </sheetData>
  <autoFilter ref="B7:M22" xr:uid="{00000000-0001-0000-0700-000000000000}">
    <filterColumn colId="0" showButton="0"/>
    <filterColumn colId="1" showButton="0"/>
    <filterColumn colId="2" showButton="0"/>
    <filterColumn colId="4" showButton="0"/>
    <filterColumn colId="6" showButton="0"/>
    <filterColumn colId="8" showButton="0"/>
    <filterColumn colId="10" showButton="0"/>
  </autoFilter>
  <mergeCells count="341">
    <mergeCell ref="L54:M54"/>
    <mergeCell ref="B55:E55"/>
    <mergeCell ref="F55:G55"/>
    <mergeCell ref="H55:I55"/>
    <mergeCell ref="J55:K55"/>
    <mergeCell ref="B51:E51"/>
    <mergeCell ref="F51:G51"/>
    <mergeCell ref="H51:I51"/>
    <mergeCell ref="J51:K51"/>
    <mergeCell ref="L51:M51"/>
    <mergeCell ref="L37:M37"/>
    <mergeCell ref="J40:K40"/>
    <mergeCell ref="L40:M40"/>
    <mergeCell ref="B72:E72"/>
    <mergeCell ref="F72:G72"/>
    <mergeCell ref="H72:I72"/>
    <mergeCell ref="J72:K72"/>
    <mergeCell ref="L72:M72"/>
    <mergeCell ref="B52:E52"/>
    <mergeCell ref="F52:G52"/>
    <mergeCell ref="H52:I52"/>
    <mergeCell ref="J52:K52"/>
    <mergeCell ref="L52:M52"/>
    <mergeCell ref="B53:E53"/>
    <mergeCell ref="F53:G53"/>
    <mergeCell ref="H53:I53"/>
    <mergeCell ref="J53:K53"/>
    <mergeCell ref="L53:M53"/>
    <mergeCell ref="B54:E54"/>
    <mergeCell ref="F54:G54"/>
    <mergeCell ref="H54:I54"/>
    <mergeCell ref="J54:K54"/>
    <mergeCell ref="L55:M55"/>
    <mergeCell ref="B56:E56"/>
    <mergeCell ref="L38:M38"/>
    <mergeCell ref="B42:E42"/>
    <mergeCell ref="B40:E40"/>
    <mergeCell ref="F40:G40"/>
    <mergeCell ref="H40:I40"/>
    <mergeCell ref="B31:E31"/>
    <mergeCell ref="B32:E32"/>
    <mergeCell ref="F32:G32"/>
    <mergeCell ref="H32:I32"/>
    <mergeCell ref="J32:K32"/>
    <mergeCell ref="L32:M32"/>
    <mergeCell ref="F31:G31"/>
    <mergeCell ref="H31:I31"/>
    <mergeCell ref="J31:K31"/>
    <mergeCell ref="L31:M31"/>
    <mergeCell ref="J35:K35"/>
    <mergeCell ref="L35:M35"/>
    <mergeCell ref="F36:G36"/>
    <mergeCell ref="H36:I36"/>
    <mergeCell ref="J36:K36"/>
    <mergeCell ref="L36:M36"/>
    <mergeCell ref="B37:E37"/>
    <mergeCell ref="F37:G37"/>
    <mergeCell ref="H37:I37"/>
    <mergeCell ref="B50:E50"/>
    <mergeCell ref="F50:G50"/>
    <mergeCell ref="H50:I50"/>
    <mergeCell ref="J50:K50"/>
    <mergeCell ref="L50:M50"/>
    <mergeCell ref="B39:E39"/>
    <mergeCell ref="F39:G39"/>
    <mergeCell ref="H39:I39"/>
    <mergeCell ref="J39:K39"/>
    <mergeCell ref="L39:M39"/>
    <mergeCell ref="B41:E41"/>
    <mergeCell ref="F41:G41"/>
    <mergeCell ref="H41:I41"/>
    <mergeCell ref="J41:K41"/>
    <mergeCell ref="L41:M41"/>
    <mergeCell ref="F42:G42"/>
    <mergeCell ref="H42:I42"/>
    <mergeCell ref="J42:K42"/>
    <mergeCell ref="L42:M42"/>
    <mergeCell ref="F46:G46"/>
    <mergeCell ref="H46:I46"/>
    <mergeCell ref="J46:K46"/>
    <mergeCell ref="L46:M46"/>
    <mergeCell ref="B49:E49"/>
    <mergeCell ref="B2:M3"/>
    <mergeCell ref="B4:E5"/>
    <mergeCell ref="F4:G5"/>
    <mergeCell ref="H4:I5"/>
    <mergeCell ref="J4:K5"/>
    <mergeCell ref="L4:M5"/>
    <mergeCell ref="B11:E11"/>
    <mergeCell ref="B6:E6"/>
    <mergeCell ref="F6:G6"/>
    <mergeCell ref="H6:I6"/>
    <mergeCell ref="J6:K6"/>
    <mergeCell ref="L6:M6"/>
    <mergeCell ref="L10:M10"/>
    <mergeCell ref="F11:G11"/>
    <mergeCell ref="H11:I11"/>
    <mergeCell ref="J11:K11"/>
    <mergeCell ref="B9:E9"/>
    <mergeCell ref="F9:G9"/>
    <mergeCell ref="H9:I9"/>
    <mergeCell ref="J9:K9"/>
    <mergeCell ref="F8:G8"/>
    <mergeCell ref="H8:I8"/>
    <mergeCell ref="J8:K8"/>
    <mergeCell ref="L8:M8"/>
    <mergeCell ref="L16:M16"/>
    <mergeCell ref="B15:E15"/>
    <mergeCell ref="F15:G15"/>
    <mergeCell ref="H15:I15"/>
    <mergeCell ref="J15:K15"/>
    <mergeCell ref="L15:M15"/>
    <mergeCell ref="F12:G12"/>
    <mergeCell ref="H12:I12"/>
    <mergeCell ref="J12:K12"/>
    <mergeCell ref="B16:E16"/>
    <mergeCell ref="F16:G16"/>
    <mergeCell ref="H16:I16"/>
    <mergeCell ref="J16:K16"/>
    <mergeCell ref="B7:E7"/>
    <mergeCell ref="B8:E8"/>
    <mergeCell ref="B14:E14"/>
    <mergeCell ref="F14:G14"/>
    <mergeCell ref="H14:I14"/>
    <mergeCell ref="J14:K14"/>
    <mergeCell ref="L14:M14"/>
    <mergeCell ref="L12:M12"/>
    <mergeCell ref="B10:E10"/>
    <mergeCell ref="B13:E13"/>
    <mergeCell ref="F13:G13"/>
    <mergeCell ref="H13:I13"/>
    <mergeCell ref="J13:K13"/>
    <mergeCell ref="L13:M13"/>
    <mergeCell ref="B12:E12"/>
    <mergeCell ref="F10:G10"/>
    <mergeCell ref="H10:I10"/>
    <mergeCell ref="J10:K10"/>
    <mergeCell ref="L11:M11"/>
    <mergeCell ref="L9:M9"/>
    <mergeCell ref="F7:G7"/>
    <mergeCell ref="H7:I7"/>
    <mergeCell ref="J7:K7"/>
    <mergeCell ref="L7:M7"/>
    <mergeCell ref="H18:I18"/>
    <mergeCell ref="J18:K18"/>
    <mergeCell ref="L18:M18"/>
    <mergeCell ref="B17:E17"/>
    <mergeCell ref="F17:G17"/>
    <mergeCell ref="H17:I17"/>
    <mergeCell ref="J17:K17"/>
    <mergeCell ref="L17:M17"/>
    <mergeCell ref="F19:G19"/>
    <mergeCell ref="H19:I19"/>
    <mergeCell ref="J19:K19"/>
    <mergeCell ref="L19:M19"/>
    <mergeCell ref="B19:E19"/>
    <mergeCell ref="B18:E18"/>
    <mergeCell ref="F18:G18"/>
    <mergeCell ref="B22:E22"/>
    <mergeCell ref="F22:G22"/>
    <mergeCell ref="H22:I22"/>
    <mergeCell ref="J22:K22"/>
    <mergeCell ref="L22:M22"/>
    <mergeCell ref="B20:E20"/>
    <mergeCell ref="F20:G20"/>
    <mergeCell ref="H20:I20"/>
    <mergeCell ref="J20:K20"/>
    <mergeCell ref="L20:M20"/>
    <mergeCell ref="B21:E21"/>
    <mergeCell ref="F21:G21"/>
    <mergeCell ref="H21:I21"/>
    <mergeCell ref="J21:K21"/>
    <mergeCell ref="L21:M21"/>
    <mergeCell ref="B24:E24"/>
    <mergeCell ref="F24:G24"/>
    <mergeCell ref="H24:I24"/>
    <mergeCell ref="J24:K24"/>
    <mergeCell ref="L24:M24"/>
    <mergeCell ref="B23:E23"/>
    <mergeCell ref="F23:G23"/>
    <mergeCell ref="H23:I23"/>
    <mergeCell ref="J23:K23"/>
    <mergeCell ref="L23:M23"/>
    <mergeCell ref="B26:E26"/>
    <mergeCell ref="F26:G26"/>
    <mergeCell ref="H26:I26"/>
    <mergeCell ref="J26:K26"/>
    <mergeCell ref="L26:M26"/>
    <mergeCell ref="B25:E25"/>
    <mergeCell ref="F25:G25"/>
    <mergeCell ref="H25:I25"/>
    <mergeCell ref="J25:K25"/>
    <mergeCell ref="L25:M25"/>
    <mergeCell ref="B28:E28"/>
    <mergeCell ref="F28:G28"/>
    <mergeCell ref="H28:I28"/>
    <mergeCell ref="J28:K28"/>
    <mergeCell ref="L28:M28"/>
    <mergeCell ref="B27:E27"/>
    <mergeCell ref="F27:G27"/>
    <mergeCell ref="H27:I27"/>
    <mergeCell ref="J27:K27"/>
    <mergeCell ref="L27:M27"/>
    <mergeCell ref="L29:M29"/>
    <mergeCell ref="B33:E33"/>
    <mergeCell ref="B34:E34"/>
    <mergeCell ref="B35:E35"/>
    <mergeCell ref="B36:E36"/>
    <mergeCell ref="F33:G33"/>
    <mergeCell ref="F34:G34"/>
    <mergeCell ref="F35:G35"/>
    <mergeCell ref="H33:I33"/>
    <mergeCell ref="J33:K33"/>
    <mergeCell ref="L33:M33"/>
    <mergeCell ref="H34:I34"/>
    <mergeCell ref="J34:K34"/>
    <mergeCell ref="L34:M34"/>
    <mergeCell ref="H35:I35"/>
    <mergeCell ref="B30:E30"/>
    <mergeCell ref="F30:G30"/>
    <mergeCell ref="H30:I30"/>
    <mergeCell ref="J30:K30"/>
    <mergeCell ref="L30:M30"/>
    <mergeCell ref="H48:I48"/>
    <mergeCell ref="H49:I49"/>
    <mergeCell ref="J47:K47"/>
    <mergeCell ref="J48:K48"/>
    <mergeCell ref="J49:K49"/>
    <mergeCell ref="B29:E29"/>
    <mergeCell ref="F29:G29"/>
    <mergeCell ref="H29:I29"/>
    <mergeCell ref="J29:K29"/>
    <mergeCell ref="B38:E38"/>
    <mergeCell ref="F38:G38"/>
    <mergeCell ref="H38:I38"/>
    <mergeCell ref="J38:K38"/>
    <mergeCell ref="B46:E46"/>
    <mergeCell ref="J37:K37"/>
    <mergeCell ref="L49:M49"/>
    <mergeCell ref="L48:M48"/>
    <mergeCell ref="L47:M47"/>
    <mergeCell ref="B43:E43"/>
    <mergeCell ref="F43:G43"/>
    <mergeCell ref="H43:I43"/>
    <mergeCell ref="J43:K43"/>
    <mergeCell ref="L43:M43"/>
    <mergeCell ref="B45:E45"/>
    <mergeCell ref="F45:G45"/>
    <mergeCell ref="H45:I45"/>
    <mergeCell ref="J45:K45"/>
    <mergeCell ref="L45:M45"/>
    <mergeCell ref="B44:E44"/>
    <mergeCell ref="F44:G44"/>
    <mergeCell ref="H44:I44"/>
    <mergeCell ref="J44:K44"/>
    <mergeCell ref="L44:M44"/>
    <mergeCell ref="B48:E48"/>
    <mergeCell ref="B47:E47"/>
    <mergeCell ref="F49:G49"/>
    <mergeCell ref="F48:G48"/>
    <mergeCell ref="F47:G47"/>
    <mergeCell ref="H47:I47"/>
    <mergeCell ref="L56:M56"/>
    <mergeCell ref="B57:E57"/>
    <mergeCell ref="F57:G57"/>
    <mergeCell ref="H57:I57"/>
    <mergeCell ref="J57:K57"/>
    <mergeCell ref="L57:M57"/>
    <mergeCell ref="B58:E58"/>
    <mergeCell ref="F58:G58"/>
    <mergeCell ref="H58:I58"/>
    <mergeCell ref="J58:K58"/>
    <mergeCell ref="L58:M58"/>
    <mergeCell ref="F56:G56"/>
    <mergeCell ref="H56:I56"/>
    <mergeCell ref="J56:K56"/>
    <mergeCell ref="B59:E59"/>
    <mergeCell ref="F59:G59"/>
    <mergeCell ref="H59:I59"/>
    <mergeCell ref="J59:K59"/>
    <mergeCell ref="L59:M59"/>
    <mergeCell ref="B60:E60"/>
    <mergeCell ref="F60:G60"/>
    <mergeCell ref="H60:I60"/>
    <mergeCell ref="J60:K60"/>
    <mergeCell ref="L60:M60"/>
    <mergeCell ref="B61:E61"/>
    <mergeCell ref="F61:G61"/>
    <mergeCell ref="H61:I61"/>
    <mergeCell ref="J61:K61"/>
    <mergeCell ref="L61:M61"/>
    <mergeCell ref="B62:E62"/>
    <mergeCell ref="F62:G62"/>
    <mergeCell ref="H62:I62"/>
    <mergeCell ref="J62:K62"/>
    <mergeCell ref="L62:M62"/>
    <mergeCell ref="L70:M70"/>
    <mergeCell ref="B63:E63"/>
    <mergeCell ref="F63:G63"/>
    <mergeCell ref="H63:I63"/>
    <mergeCell ref="J63:K63"/>
    <mergeCell ref="L63:M63"/>
    <mergeCell ref="B64:E64"/>
    <mergeCell ref="F64:G64"/>
    <mergeCell ref="H64:I64"/>
    <mergeCell ref="J64:K64"/>
    <mergeCell ref="L64:M64"/>
    <mergeCell ref="B65:E65"/>
    <mergeCell ref="F65:G65"/>
    <mergeCell ref="H65:I65"/>
    <mergeCell ref="J65:K65"/>
    <mergeCell ref="L65:M65"/>
    <mergeCell ref="B66:E66"/>
    <mergeCell ref="F66:G66"/>
    <mergeCell ref="H66:I66"/>
    <mergeCell ref="J66:K66"/>
    <mergeCell ref="L66:M66"/>
    <mergeCell ref="B71:E71"/>
    <mergeCell ref="F71:G71"/>
    <mergeCell ref="H71:I71"/>
    <mergeCell ref="J71:K71"/>
    <mergeCell ref="L71:M71"/>
    <mergeCell ref="B67:E67"/>
    <mergeCell ref="F67:G67"/>
    <mergeCell ref="H67:I67"/>
    <mergeCell ref="J67:K67"/>
    <mergeCell ref="L67:M67"/>
    <mergeCell ref="B68:E68"/>
    <mergeCell ref="F68:G68"/>
    <mergeCell ref="H68:I68"/>
    <mergeCell ref="J68:K68"/>
    <mergeCell ref="L68:M68"/>
    <mergeCell ref="B69:E69"/>
    <mergeCell ref="F69:G69"/>
    <mergeCell ref="H69:I69"/>
    <mergeCell ref="J69:K69"/>
    <mergeCell ref="L69:M69"/>
    <mergeCell ref="B70:E70"/>
    <mergeCell ref="F70:G70"/>
    <mergeCell ref="H70:I70"/>
    <mergeCell ref="J70:K70"/>
  </mergeCells>
  <phoneticPr fontId="9" type="noConversion"/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2:M27"/>
  <sheetViews>
    <sheetView workbookViewId="0">
      <selection activeCell="U19" sqref="U19"/>
    </sheetView>
  </sheetViews>
  <sheetFormatPr defaultRowHeight="15" x14ac:dyDescent="0.25"/>
  <cols>
    <col min="5" max="5" width="22.140625" customWidth="1"/>
    <col min="11" max="11" width="4.5703125" customWidth="1"/>
    <col min="12" max="12" width="6.5703125" customWidth="1"/>
    <col min="13" max="13" width="33.85546875" customWidth="1"/>
  </cols>
  <sheetData>
    <row r="2" spans="2:13" x14ac:dyDescent="0.25">
      <c r="B2" s="288" t="s">
        <v>387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90"/>
    </row>
    <row r="3" spans="2:13" x14ac:dyDescent="0.25">
      <c r="B3" s="291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292"/>
    </row>
    <row r="4" spans="2:13" x14ac:dyDescent="0.25">
      <c r="B4" s="293" t="s">
        <v>386</v>
      </c>
      <c r="C4" s="199"/>
      <c r="D4" s="199"/>
      <c r="E4" s="199"/>
      <c r="F4" s="198" t="s">
        <v>0</v>
      </c>
      <c r="G4" s="198"/>
      <c r="H4" s="198" t="s">
        <v>3</v>
      </c>
      <c r="I4" s="198"/>
      <c r="J4" s="198" t="s">
        <v>2</v>
      </c>
      <c r="K4" s="198"/>
      <c r="L4" s="198" t="s">
        <v>1</v>
      </c>
      <c r="M4" s="297"/>
    </row>
    <row r="5" spans="2:13" x14ac:dyDescent="0.25">
      <c r="B5" s="294"/>
      <c r="C5" s="295"/>
      <c r="D5" s="295"/>
      <c r="E5" s="295"/>
      <c r="F5" s="296"/>
      <c r="G5" s="296"/>
      <c r="H5" s="296"/>
      <c r="I5" s="296"/>
      <c r="J5" s="296"/>
      <c r="K5" s="296"/>
      <c r="L5" s="296"/>
      <c r="M5" s="298"/>
    </row>
    <row r="6" spans="2:13" ht="18" x14ac:dyDescent="0.25">
      <c r="B6" s="280"/>
      <c r="C6" s="157"/>
      <c r="D6" s="157"/>
      <c r="E6" s="281"/>
      <c r="F6" s="282" t="s">
        <v>4</v>
      </c>
      <c r="G6" s="283"/>
      <c r="H6" s="282"/>
      <c r="I6" s="283"/>
      <c r="J6" s="287"/>
      <c r="K6" s="283"/>
      <c r="L6" s="287"/>
      <c r="M6" s="283"/>
    </row>
    <row r="7" spans="2:13" x14ac:dyDescent="0.25">
      <c r="B7" s="261" t="s">
        <v>701</v>
      </c>
      <c r="C7" s="262"/>
      <c r="D7" s="262"/>
      <c r="E7" s="263"/>
      <c r="F7" s="264" t="s">
        <v>384</v>
      </c>
      <c r="G7" s="265"/>
      <c r="H7" s="266">
        <v>1</v>
      </c>
      <c r="I7" s="267"/>
      <c r="J7" s="268">
        <v>200301</v>
      </c>
      <c r="K7" s="267"/>
      <c r="L7" s="278" t="s">
        <v>383</v>
      </c>
      <c r="M7" s="279"/>
    </row>
    <row r="8" spans="2:13" x14ac:dyDescent="0.25">
      <c r="B8" s="284" t="s">
        <v>702</v>
      </c>
      <c r="C8" s="285"/>
      <c r="D8" s="285"/>
      <c r="E8" s="286"/>
      <c r="F8" s="264" t="s">
        <v>384</v>
      </c>
      <c r="G8" s="265"/>
      <c r="H8" s="266">
        <v>1</v>
      </c>
      <c r="I8" s="267"/>
      <c r="J8" s="268">
        <v>200301</v>
      </c>
      <c r="K8" s="267"/>
      <c r="L8" s="278" t="s">
        <v>383</v>
      </c>
      <c r="M8" s="279"/>
    </row>
    <row r="9" spans="2:13" x14ac:dyDescent="0.25">
      <c r="B9" s="261" t="s">
        <v>703</v>
      </c>
      <c r="C9" s="262"/>
      <c r="D9" s="262"/>
      <c r="E9" s="263"/>
      <c r="F9" s="266" t="s">
        <v>385</v>
      </c>
      <c r="G9" s="267"/>
      <c r="H9" s="266">
        <v>2</v>
      </c>
      <c r="I9" s="267"/>
      <c r="J9" s="264">
        <v>170201</v>
      </c>
      <c r="K9" s="265"/>
      <c r="L9" s="264" t="s">
        <v>437</v>
      </c>
      <c r="M9" s="265"/>
    </row>
    <row r="10" spans="2:13" x14ac:dyDescent="0.25">
      <c r="B10" s="261" t="s">
        <v>704</v>
      </c>
      <c r="C10" s="262"/>
      <c r="D10" s="262"/>
      <c r="E10" s="263"/>
      <c r="F10" s="264" t="s">
        <v>384</v>
      </c>
      <c r="G10" s="265"/>
      <c r="H10" s="266">
        <v>1</v>
      </c>
      <c r="I10" s="267"/>
      <c r="J10" s="268">
        <v>200301</v>
      </c>
      <c r="K10" s="268"/>
      <c r="L10" s="278" t="s">
        <v>383</v>
      </c>
      <c r="M10" s="279"/>
    </row>
    <row r="11" spans="2:13" x14ac:dyDescent="0.25">
      <c r="B11" s="261" t="s">
        <v>705</v>
      </c>
      <c r="C11" s="262"/>
      <c r="D11" s="262"/>
      <c r="E11" s="263"/>
      <c r="F11" s="264" t="s">
        <v>384</v>
      </c>
      <c r="G11" s="265"/>
      <c r="H11" s="266">
        <v>1</v>
      </c>
      <c r="I11" s="267"/>
      <c r="J11" s="268">
        <v>200301</v>
      </c>
      <c r="K11" s="267"/>
      <c r="L11" s="278" t="s">
        <v>383</v>
      </c>
      <c r="M11" s="279"/>
    </row>
    <row r="12" spans="2:13" x14ac:dyDescent="0.25">
      <c r="B12" s="261" t="s">
        <v>706</v>
      </c>
      <c r="C12" s="262"/>
      <c r="D12" s="262"/>
      <c r="E12" s="263"/>
      <c r="F12" s="264" t="s">
        <v>384</v>
      </c>
      <c r="G12" s="265"/>
      <c r="H12" s="266">
        <v>1</v>
      </c>
      <c r="I12" s="267"/>
      <c r="J12" s="268">
        <v>200301</v>
      </c>
      <c r="K12" s="267"/>
      <c r="L12" s="278" t="s">
        <v>383</v>
      </c>
      <c r="M12" s="279"/>
    </row>
    <row r="13" spans="2:13" x14ac:dyDescent="0.25">
      <c r="B13" s="261" t="s">
        <v>707</v>
      </c>
      <c r="C13" s="262"/>
      <c r="D13" s="262"/>
      <c r="E13" s="263"/>
      <c r="F13" s="264" t="s">
        <v>382</v>
      </c>
      <c r="G13" s="265"/>
      <c r="H13" s="266">
        <v>2</v>
      </c>
      <c r="I13" s="267"/>
      <c r="J13" s="268">
        <v>150106</v>
      </c>
      <c r="K13" s="269"/>
      <c r="L13" s="264" t="s">
        <v>381</v>
      </c>
      <c r="M13" s="265"/>
    </row>
    <row r="14" spans="2:13" x14ac:dyDescent="0.25">
      <c r="B14" s="261" t="s">
        <v>708</v>
      </c>
      <c r="C14" s="262"/>
      <c r="D14" s="262"/>
      <c r="E14" s="263"/>
      <c r="F14" s="264" t="s">
        <v>382</v>
      </c>
      <c r="G14" s="265"/>
      <c r="H14" s="266">
        <v>2</v>
      </c>
      <c r="I14" s="267"/>
      <c r="J14" s="268">
        <v>150106</v>
      </c>
      <c r="K14" s="269"/>
      <c r="L14" s="264" t="s">
        <v>381</v>
      </c>
      <c r="M14" s="265"/>
    </row>
    <row r="15" spans="2:13" x14ac:dyDescent="0.25">
      <c r="B15" s="261" t="s">
        <v>709</v>
      </c>
      <c r="C15" s="262"/>
      <c r="D15" s="262"/>
      <c r="E15" s="263"/>
      <c r="F15" s="264" t="s">
        <v>382</v>
      </c>
      <c r="G15" s="265"/>
      <c r="H15" s="266">
        <v>2</v>
      </c>
      <c r="I15" s="267"/>
      <c r="J15" s="268">
        <v>150106</v>
      </c>
      <c r="K15" s="269"/>
      <c r="L15" s="264" t="s">
        <v>381</v>
      </c>
      <c r="M15" s="265"/>
    </row>
    <row r="16" spans="2:13" ht="15" customHeight="1" x14ac:dyDescent="0.25">
      <c r="B16" s="270" t="s">
        <v>441</v>
      </c>
      <c r="C16" s="271"/>
      <c r="D16" s="271"/>
      <c r="E16" s="272"/>
      <c r="F16" s="273" t="s">
        <v>442</v>
      </c>
      <c r="G16" s="274"/>
      <c r="H16" s="273">
        <v>300</v>
      </c>
      <c r="I16" s="274"/>
      <c r="J16" s="275"/>
      <c r="K16" s="276"/>
      <c r="L16" s="277" t="s">
        <v>443</v>
      </c>
      <c r="M16" s="274"/>
    </row>
    <row r="17" spans="2:13" x14ac:dyDescent="0.25">
      <c r="B17" s="205" t="s">
        <v>710</v>
      </c>
      <c r="C17" s="206"/>
      <c r="D17" s="206"/>
      <c r="E17" s="207"/>
      <c r="F17" s="208" t="s">
        <v>547</v>
      </c>
      <c r="G17" s="209"/>
      <c r="H17" s="151">
        <v>1</v>
      </c>
      <c r="I17" s="152"/>
      <c r="J17" s="215" t="s">
        <v>33</v>
      </c>
      <c r="K17" s="258"/>
      <c r="L17" s="259" t="s">
        <v>381</v>
      </c>
      <c r="M17" s="260"/>
    </row>
    <row r="18" spans="2:13" x14ac:dyDescent="0.25">
      <c r="B18" s="257"/>
      <c r="C18" s="206"/>
      <c r="D18" s="206"/>
      <c r="E18" s="207"/>
      <c r="F18" s="208"/>
      <c r="G18" s="209"/>
      <c r="H18" s="151"/>
      <c r="I18" s="152"/>
      <c r="J18" s="215"/>
      <c r="K18" s="258"/>
      <c r="L18" s="259"/>
      <c r="M18" s="260"/>
    </row>
    <row r="19" spans="2:13" ht="15" customHeight="1" x14ac:dyDescent="0.25">
      <c r="B19" s="257"/>
      <c r="C19" s="206"/>
      <c r="D19" s="206"/>
      <c r="E19" s="207"/>
      <c r="F19" s="208"/>
      <c r="G19" s="209"/>
      <c r="H19" s="151"/>
      <c r="I19" s="152"/>
      <c r="J19" s="215"/>
      <c r="K19" s="258"/>
      <c r="L19" s="259"/>
      <c r="M19" s="260"/>
    </row>
    <row r="20" spans="2:13" x14ac:dyDescent="0.25">
      <c r="B20" s="257"/>
      <c r="C20" s="206"/>
      <c r="D20" s="206"/>
      <c r="E20" s="207"/>
      <c r="F20" s="208"/>
      <c r="G20" s="209"/>
      <c r="H20" s="151"/>
      <c r="I20" s="152"/>
      <c r="J20" s="215"/>
      <c r="K20" s="258"/>
      <c r="L20" s="259"/>
      <c r="M20" s="260"/>
    </row>
    <row r="21" spans="2:13" x14ac:dyDescent="0.25">
      <c r="B21" s="257"/>
      <c r="C21" s="206"/>
      <c r="D21" s="206"/>
      <c r="E21" s="207"/>
      <c r="F21" s="208"/>
      <c r="G21" s="209"/>
      <c r="H21" s="151"/>
      <c r="I21" s="152"/>
      <c r="J21" s="215"/>
      <c r="K21" s="258"/>
      <c r="L21" s="259"/>
      <c r="M21" s="260"/>
    </row>
    <row r="22" spans="2:13" x14ac:dyDescent="0.25">
      <c r="B22" s="246"/>
      <c r="C22" s="247"/>
      <c r="D22" s="247"/>
      <c r="E22" s="248"/>
      <c r="F22" s="249"/>
      <c r="G22" s="250"/>
      <c r="H22" s="251"/>
      <c r="I22" s="252"/>
      <c r="J22" s="253"/>
      <c r="K22" s="254"/>
      <c r="L22" s="255"/>
      <c r="M22" s="256"/>
    </row>
    <row r="23" spans="2:13" x14ac:dyDescent="0.25">
      <c r="B23" s="246"/>
      <c r="C23" s="247"/>
      <c r="D23" s="247"/>
      <c r="E23" s="248"/>
      <c r="F23" s="249"/>
      <c r="G23" s="250"/>
      <c r="H23" s="251"/>
      <c r="I23" s="252"/>
      <c r="J23" s="253"/>
      <c r="K23" s="254"/>
      <c r="L23" s="255"/>
      <c r="M23" s="256"/>
    </row>
    <row r="24" spans="2:13" x14ac:dyDescent="0.25">
      <c r="B24" s="246"/>
      <c r="C24" s="247"/>
      <c r="D24" s="247"/>
      <c r="E24" s="248"/>
      <c r="F24" s="249"/>
      <c r="G24" s="250"/>
      <c r="H24" s="251"/>
      <c r="I24" s="252"/>
      <c r="J24" s="253"/>
      <c r="K24" s="254"/>
      <c r="L24" s="255"/>
      <c r="M24" s="256"/>
    </row>
    <row r="25" spans="2:13" x14ac:dyDescent="0.25">
      <c r="B25" s="246"/>
      <c r="C25" s="247"/>
      <c r="D25" s="247"/>
      <c r="E25" s="248"/>
      <c r="F25" s="249"/>
      <c r="G25" s="250"/>
      <c r="H25" s="251"/>
      <c r="I25" s="252"/>
      <c r="J25" s="253"/>
      <c r="K25" s="254"/>
      <c r="L25" s="255"/>
      <c r="M25" s="256"/>
    </row>
    <row r="26" spans="2:13" x14ac:dyDescent="0.25">
      <c r="B26" s="246"/>
      <c r="C26" s="247"/>
      <c r="D26" s="247"/>
      <c r="E26" s="248"/>
      <c r="F26" s="249"/>
      <c r="G26" s="250"/>
      <c r="H26" s="251"/>
      <c r="I26" s="252"/>
      <c r="J26" s="253"/>
      <c r="K26" s="254"/>
      <c r="L26" s="255"/>
      <c r="M26" s="256"/>
    </row>
    <row r="27" spans="2:13" x14ac:dyDescent="0.25">
      <c r="B27" s="246"/>
      <c r="C27" s="247"/>
      <c r="D27" s="247"/>
      <c r="E27" s="248"/>
      <c r="F27" s="249"/>
      <c r="G27" s="250"/>
      <c r="H27" s="251"/>
      <c r="I27" s="252"/>
      <c r="J27" s="253"/>
      <c r="K27" s="254"/>
      <c r="L27" s="255"/>
      <c r="M27" s="256"/>
    </row>
  </sheetData>
  <mergeCells count="116">
    <mergeCell ref="J6:K6"/>
    <mergeCell ref="L6:M6"/>
    <mergeCell ref="B2:M3"/>
    <mergeCell ref="B4:E5"/>
    <mergeCell ref="F4:G5"/>
    <mergeCell ref="H4:I5"/>
    <mergeCell ref="J4:K5"/>
    <mergeCell ref="L4:M5"/>
    <mergeCell ref="F7:G7"/>
    <mergeCell ref="F8:G8"/>
    <mergeCell ref="F9:G9"/>
    <mergeCell ref="F10:G10"/>
    <mergeCell ref="F11:G11"/>
    <mergeCell ref="B7:E7"/>
    <mergeCell ref="B6:E6"/>
    <mergeCell ref="F6:G6"/>
    <mergeCell ref="H6:I6"/>
    <mergeCell ref="B12:E12"/>
    <mergeCell ref="F12:G12"/>
    <mergeCell ref="B8:E8"/>
    <mergeCell ref="B9:E9"/>
    <mergeCell ref="B10:E10"/>
    <mergeCell ref="B11:E11"/>
    <mergeCell ref="L11:M11"/>
    <mergeCell ref="H12:I12"/>
    <mergeCell ref="J7:K7"/>
    <mergeCell ref="J8:K8"/>
    <mergeCell ref="J10:K10"/>
    <mergeCell ref="J12:K12"/>
    <mergeCell ref="J9:K9"/>
    <mergeCell ref="J11:K11"/>
    <mergeCell ref="L12:M12"/>
    <mergeCell ref="H7:I7"/>
    <mergeCell ref="H8:I8"/>
    <mergeCell ref="H9:I9"/>
    <mergeCell ref="H10:I10"/>
    <mergeCell ref="H11:I11"/>
    <mergeCell ref="L7:M7"/>
    <mergeCell ref="L8:M8"/>
    <mergeCell ref="L9:M9"/>
    <mergeCell ref="L10:M10"/>
    <mergeCell ref="L13:M13"/>
    <mergeCell ref="B14:E14"/>
    <mergeCell ref="F14:G14"/>
    <mergeCell ref="H14:I14"/>
    <mergeCell ref="J14:K14"/>
    <mergeCell ref="L14:M14"/>
    <mergeCell ref="B13:E13"/>
    <mergeCell ref="F13:G13"/>
    <mergeCell ref="H13:I13"/>
    <mergeCell ref="J13:K13"/>
    <mergeCell ref="B17:E17"/>
    <mergeCell ref="F17:G17"/>
    <mergeCell ref="H17:I17"/>
    <mergeCell ref="J17:K17"/>
    <mergeCell ref="L17:M17"/>
    <mergeCell ref="B15:E15"/>
    <mergeCell ref="F15:G15"/>
    <mergeCell ref="H15:I15"/>
    <mergeCell ref="J15:K15"/>
    <mergeCell ref="L15:M15"/>
    <mergeCell ref="B16:E16"/>
    <mergeCell ref="F16:G16"/>
    <mergeCell ref="H16:I16"/>
    <mergeCell ref="J16:K16"/>
    <mergeCell ref="L16:M16"/>
    <mergeCell ref="B19:E19"/>
    <mergeCell ref="F19:G19"/>
    <mergeCell ref="H19:I19"/>
    <mergeCell ref="J19:K19"/>
    <mergeCell ref="L19:M19"/>
    <mergeCell ref="B18:E18"/>
    <mergeCell ref="F18:G18"/>
    <mergeCell ref="H18:I18"/>
    <mergeCell ref="J18:K18"/>
    <mergeCell ref="L18:M18"/>
    <mergeCell ref="B21:E21"/>
    <mergeCell ref="F21:G21"/>
    <mergeCell ref="H21:I21"/>
    <mergeCell ref="J21:K21"/>
    <mergeCell ref="L21:M21"/>
    <mergeCell ref="B20:E20"/>
    <mergeCell ref="F20:G20"/>
    <mergeCell ref="H20:I20"/>
    <mergeCell ref="J20:K20"/>
    <mergeCell ref="L20:M20"/>
    <mergeCell ref="B23:E23"/>
    <mergeCell ref="F23:G23"/>
    <mergeCell ref="H23:I23"/>
    <mergeCell ref="J23:K23"/>
    <mergeCell ref="L23:M23"/>
    <mergeCell ref="B22:E22"/>
    <mergeCell ref="F22:G22"/>
    <mergeCell ref="H22:I22"/>
    <mergeCell ref="J22:K22"/>
    <mergeCell ref="L22:M22"/>
    <mergeCell ref="B25:E25"/>
    <mergeCell ref="F25:G25"/>
    <mergeCell ref="H25:I25"/>
    <mergeCell ref="J25:K25"/>
    <mergeCell ref="L25:M25"/>
    <mergeCell ref="B24:E24"/>
    <mergeCell ref="F24:G24"/>
    <mergeCell ref="H24:I24"/>
    <mergeCell ref="J24:K24"/>
    <mergeCell ref="L24:M24"/>
    <mergeCell ref="B27:E27"/>
    <mergeCell ref="F27:G27"/>
    <mergeCell ref="H27:I27"/>
    <mergeCell ref="J27:K27"/>
    <mergeCell ref="L27:M27"/>
    <mergeCell ref="B26:E26"/>
    <mergeCell ref="F26:G26"/>
    <mergeCell ref="H26:I26"/>
    <mergeCell ref="J26:K26"/>
    <mergeCell ref="L26:M26"/>
  </mergeCells>
  <phoneticPr fontId="9" type="noConversion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5177-EB43-4802-9844-2B04423E7E65}">
  <sheetPr>
    <tabColor rgb="FF92D050"/>
  </sheetPr>
  <dimension ref="A1:L7"/>
  <sheetViews>
    <sheetView workbookViewId="0">
      <selection activeCell="C22" sqref="C22"/>
    </sheetView>
  </sheetViews>
  <sheetFormatPr defaultRowHeight="15" x14ac:dyDescent="0.25"/>
  <sheetData>
    <row r="1" spans="1:12" x14ac:dyDescent="0.25">
      <c r="A1" s="169" t="s">
        <v>711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1"/>
    </row>
    <row r="2" spans="1:12" x14ac:dyDescent="0.25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/>
    </row>
    <row r="3" spans="1:12" x14ac:dyDescent="0.25">
      <c r="A3" s="183" t="s">
        <v>315</v>
      </c>
      <c r="B3" s="199"/>
      <c r="C3" s="199"/>
      <c r="D3" s="199"/>
      <c r="E3" s="198" t="s">
        <v>0</v>
      </c>
      <c r="F3" s="198"/>
      <c r="G3" s="198" t="s">
        <v>3</v>
      </c>
      <c r="H3" s="198"/>
      <c r="I3" s="198" t="s">
        <v>2</v>
      </c>
      <c r="J3" s="198"/>
      <c r="K3" s="198" t="s">
        <v>1</v>
      </c>
      <c r="L3" s="182"/>
    </row>
    <row r="4" spans="1:12" ht="15.75" thickBot="1" x14ac:dyDescent="0.3">
      <c r="A4" s="183"/>
      <c r="B4" s="199"/>
      <c r="C4" s="199"/>
      <c r="D4" s="199"/>
      <c r="E4" s="198"/>
      <c r="F4" s="198"/>
      <c r="G4" s="198"/>
      <c r="H4" s="198"/>
      <c r="I4" s="198"/>
      <c r="J4" s="198"/>
      <c r="K4" s="198"/>
      <c r="L4" s="182"/>
    </row>
    <row r="5" spans="1:12" ht="15.75" thickBot="1" x14ac:dyDescent="0.3">
      <c r="A5" s="299" t="s">
        <v>712</v>
      </c>
      <c r="B5" s="299"/>
      <c r="C5" s="299"/>
      <c r="D5" s="299"/>
      <c r="E5" s="301" t="s">
        <v>356</v>
      </c>
      <c r="F5" s="301"/>
      <c r="G5" s="301">
        <v>1</v>
      </c>
      <c r="H5" s="301"/>
      <c r="I5" s="301">
        <v>200301</v>
      </c>
      <c r="J5" s="301"/>
      <c r="K5" s="301" t="s">
        <v>353</v>
      </c>
      <c r="L5" s="301"/>
    </row>
    <row r="6" spans="1:12" ht="15.75" thickBot="1" x14ac:dyDescent="0.3">
      <c r="A6" s="299" t="s">
        <v>712</v>
      </c>
      <c r="B6" s="299"/>
      <c r="C6" s="299"/>
      <c r="D6" s="299"/>
      <c r="E6" s="300" t="s">
        <v>552</v>
      </c>
      <c r="F6" s="300"/>
      <c r="G6" s="300">
        <v>2</v>
      </c>
      <c r="H6" s="300"/>
      <c r="I6" s="302">
        <v>200108</v>
      </c>
      <c r="J6" s="303"/>
      <c r="K6" s="300" t="s">
        <v>48</v>
      </c>
      <c r="L6" s="300"/>
    </row>
    <row r="7" spans="1:12" ht="16.5" thickBot="1" x14ac:dyDescent="0.3">
      <c r="A7" s="299" t="s">
        <v>712</v>
      </c>
      <c r="B7" s="299"/>
      <c r="C7" s="299"/>
      <c r="D7" s="299"/>
      <c r="E7" s="300" t="s">
        <v>713</v>
      </c>
      <c r="F7" s="300"/>
      <c r="G7" s="300">
        <v>2</v>
      </c>
      <c r="H7" s="300"/>
      <c r="I7" s="300">
        <v>150107</v>
      </c>
      <c r="J7" s="300"/>
      <c r="K7" s="136" t="s">
        <v>518</v>
      </c>
      <c r="L7" s="137"/>
    </row>
  </sheetData>
  <mergeCells count="21">
    <mergeCell ref="A1:L2"/>
    <mergeCell ref="A3:D4"/>
    <mergeCell ref="E3:F4"/>
    <mergeCell ref="G3:H4"/>
    <mergeCell ref="I3:J4"/>
    <mergeCell ref="K3:L4"/>
    <mergeCell ref="A6:D6"/>
    <mergeCell ref="E6:F6"/>
    <mergeCell ref="G6:H6"/>
    <mergeCell ref="I6:J6"/>
    <mergeCell ref="K6:L6"/>
    <mergeCell ref="A5:D5"/>
    <mergeCell ref="E5:F5"/>
    <mergeCell ref="G5:H5"/>
    <mergeCell ref="I5:J5"/>
    <mergeCell ref="K5:L5"/>
    <mergeCell ref="A7:D7"/>
    <mergeCell ref="E7:F7"/>
    <mergeCell ref="G7:H7"/>
    <mergeCell ref="I7:J7"/>
    <mergeCell ref="K7:L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5526F8061ED59D478E20F6AFE10C9790007759575D64421D4E81708409435AD495" ma:contentTypeVersion="3" ma:contentTypeDescription="Create a new document." ma:contentTypeScope="" ma:versionID="8d76b743bca7328da19ee692ba8915bc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f9d02a938ad1bd8dc72ec822a213c552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MYK4AZ4AEQY7-273603147-163</_dlc_DocId>
    <_dlc_DocIdUrl xmlns="5099c5ef-74f4-46cd-845b-7e740e910f98">
      <Url>https://usaf.dps.mil/teams/ktfso13135/1119816/_layouts/15/DocIdRedir.aspx?ID=MYK4AZ4AEQY7-273603147-163</Url>
      <Description>MYK4AZ4AEQY7-273603147-163</Description>
    </_dlc_DocIdUrl>
    <ECFActionIsPartitioned xmlns="5099c5ef-74f4-46cd-845b-7e740e910f98" xsi:nil="true"/>
    <ECFActionBuyers xmlns="5099c5ef-74f4-46cd-845b-7e740e910f98">
      <UserInfo>
        <DisplayName/>
        <AccountId xsi:nil="true"/>
        <AccountType/>
      </UserInfo>
    </ECFActionBuyers>
    <ECFActionCOs xmlns="5099c5ef-74f4-46cd-845b-7e740e910f98">
      <UserInfo>
        <DisplayName/>
        <AccountId xsi:nil="true"/>
        <AccountType/>
      </UserInfo>
    </ECFActionCOs>
    <ECFActionStatus xmlns="5099c5ef-74f4-46cd-845b-7e740e910f98" xsi:nil="true"/>
    <ECFApplicationVersion xmlns="5099c5ef-74f4-46cd-845b-7e740e910f98">5.0.0</ECFApplicationVersion>
    <ECFActionName xmlns="5099c5ef-74f4-46cd-845b-7e740e910f98" xsi:nil="true"/>
    <ECFActionDescription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CreateDate xmlns="5099c5ef-74f4-46cd-845b-7e740e910f98" xsi:nil="true"/>
    <ECFActionPrimaryCO xmlns="5099c5ef-74f4-46cd-845b-7e740e910f98">
      <UserInfo>
        <DisplayName/>
        <AccountId xsi:nil="true"/>
        <AccountType/>
      </UserInfo>
    </ECFActionPrimaryCO>
    <ECFActionPrimaryCloseOutCO xmlns="5099c5ef-74f4-46cd-845b-7e740e910f98">
      <UserInfo>
        <DisplayName/>
        <AccountId xsi:nil="true"/>
        <AccountType/>
      </UserInfo>
    </ECFActionPrimaryCloseOutCO>
    <ECFApplicationEnvironment xmlns="5099c5ef-74f4-46cd-845b-7e740e910f98">VanaQA</ECFApplicationEnvironment>
    <ECFActionParentID xmlns="5099c5ef-74f4-46cd-845b-7e740e910f98" xsi:nil="true"/>
    <ECFActionSolicitationNumber xmlns="5099c5ef-74f4-46cd-845b-7e740e910f98" xsi:nil="true"/>
    <ECFActionNumber xmlns="5099c5ef-74f4-46cd-845b-7e740e910f98" xsi:nil="true"/>
    <ECFActionPurchaseReqNumbers xmlns="5099c5ef-74f4-46cd-845b-7e740e910f98" xsi:nil="true"/>
    <ECFAction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ctionOfficeID xmlns="5099c5ef-74f4-46cd-845b-7e740e910f98" xsi:nil="true"/>
    <_vti_ItemDeclaredRecord xmlns="http://schemas.microsoft.com/sharepoint/v3" xsi:nil="true"/>
    <_vti_ItemHoldRecordStatu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F9D782-1E2F-47AE-9EF4-1332EDF9C59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8AEFA1A-9498-490F-B958-85FB8B329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99c5ef-74f4-46cd-845b-7e740e910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50C0C8-06DB-4C28-8776-7C9D66458834}">
  <ds:schemaRefs>
    <ds:schemaRef ds:uri="http://purl.org/dc/terms/"/>
    <ds:schemaRef ds:uri="http://schemas.microsoft.com/sharepoint/v3"/>
    <ds:schemaRef ds:uri="http://purl.org/dc/dcmitype/"/>
    <ds:schemaRef ds:uri="5099c5ef-74f4-46cd-845b-7e740e910f98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C386515C-8332-4FBC-B678-9AB18C6613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RAF Lakenheath</vt:lpstr>
      <vt:lpstr>RAF Feltwell</vt:lpstr>
      <vt:lpstr>RAF Mildenhall </vt:lpstr>
      <vt:lpstr> RAF Alconbury</vt:lpstr>
      <vt:lpstr>RAF Molesworth</vt:lpstr>
      <vt:lpstr>RAF Croughton</vt:lpstr>
      <vt:lpstr>RAF Blenheim Crescent</vt:lpstr>
      <vt:lpstr>RAF Fairford</vt:lpstr>
      <vt:lpstr>RAF Welford</vt:lpstr>
      <vt:lpstr>Det 6- Heathrow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2026-01-20T14:52:01Z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0x0101005526F8061ED59D478E20F6AFE10C9790007759575D64421D4E81708409435AD495</vt:lpwstr>
  </property>
  <property fmtid="{D5CDD505-2E9C-101B-9397-08002B2CF9AE}" pid="3" name="_dlc_DocIdItemGuid">
    <vt:lpwstr>25e43f48-0649-4246-8488-4a0f12475d0c</vt:lpwstr>
  </property>
  <property fmtid="{D5CDD505-2E9C-101B-9397-08002B2CF9AE}" pid="4" name="MediaServiceImageTags">
    <vt:lpwstr/>
  </property>
  <property fmtid="{D5CDD505-2E9C-101B-9397-08002B2CF9AE}" pid="5" name="ecm_ItemDeleteBlockHolders">
    <vt:lpwstr/>
  </property>
  <property fmtid="{D5CDD505-2E9C-101B-9397-08002B2CF9AE}" pid="6" name="IconOverlay">
    <vt:lpwstr/>
  </property>
  <property fmtid="{D5CDD505-2E9C-101B-9397-08002B2CF9AE}" pid="7" name="ecm_RecordRestrictions">
    <vt:lpwstr/>
  </property>
  <property fmtid="{D5CDD505-2E9C-101B-9397-08002B2CF9AE}" pid="8" name="ecm_ItemLockHolders">
    <vt:lpwstr/>
  </property>
</Properties>
</file>