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douglas.e.weatherfor\Desktop\BAA IPT Mtg Docs\latest BAA docs\"/>
    </mc:Choice>
  </mc:AlternateContent>
  <bookViews>
    <workbookView xWindow="0" yWindow="1215" windowWidth="18450" windowHeight="6510" tabRatio="712" firstSheet="3" activeTab="3"/>
  </bookViews>
  <sheets>
    <sheet name="Change Notes" sheetId="40" state="hidden" r:id="rId1"/>
    <sheet name="Drop-Down Values" sheetId="34" state="hidden" r:id="rId2"/>
    <sheet name="Summary Check Sum" sheetId="37" state="hidden" r:id="rId3"/>
    <sheet name="INITIALIZATION" sheetId="18" r:id="rId4"/>
    <sheet name="General Instructions" sheetId="49" r:id="rId5"/>
    <sheet name="Workbook Change Instructions" sheetId="46" r:id="rId6"/>
    <sheet name="Proposer Acct. Data" sheetId="35" r:id="rId7"/>
    <sheet name="Direct Labor Categories" sheetId="50" r:id="rId8"/>
    <sheet name="Indirect Rates" sheetId="36" r:id="rId9"/>
    <sheet name="Labor Rates" sheetId="33" r:id="rId10"/>
    <sheet name="Project Cost Summary" sheetId="21" r:id="rId11"/>
    <sheet name="Base (Ph1)" sheetId="1" r:id="rId12"/>
    <sheet name="O-I (Ph2)" sheetId="22" r:id="rId13"/>
    <sheet name="O-II (Ph3)" sheetId="26" r:id="rId14"/>
    <sheet name="O-III (Ph4)" sheetId="27" r:id="rId15"/>
    <sheet name="O-IV (Ph5)" sheetId="28" r:id="rId16"/>
    <sheet name="O-V (Ph6)" sheetId="29" r:id="rId17"/>
    <sheet name="Flex 1" sheetId="23" r:id="rId18"/>
    <sheet name="Flex 2" sheetId="38" r:id="rId19"/>
    <sheet name="Subcontractors" sheetId="7" r:id="rId20"/>
    <sheet name="Consultants" sheetId="17" r:id="rId21"/>
    <sheet name="Materials-Supplies" sheetId="16" r:id="rId22"/>
    <sheet name="Equipment" sheetId="54" r:id="rId23"/>
    <sheet name="Travel" sheetId="47" r:id="rId24"/>
    <sheet name="ODC Detail" sheetId="55" r:id="rId25"/>
    <sheet name="Project Spend Plan" sheetId="53" r:id="rId26"/>
    <sheet name="Cost by Task" sheetId="45" state="hidden" r:id="rId27"/>
    <sheet name="Proposer Custom" sheetId="51" r:id="rId28"/>
  </sheets>
  <externalReferences>
    <externalReference r:id="rId29"/>
    <externalReference r:id="rId30"/>
    <externalReference r:id="rId31"/>
    <externalReference r:id="rId32"/>
    <externalReference r:id="rId33"/>
    <externalReference r:id="rId34"/>
    <externalReference r:id="rId35"/>
    <externalReference r:id="rId36"/>
  </externalReferences>
  <definedNames>
    <definedName name="__123Graph_A" localSheetId="22" hidden="1">'[1]WGL min-mid-max'!#REF!</definedName>
    <definedName name="__123Graph_A" localSheetId="24" hidden="1">'[1]WGL min-mid-max'!#REF!</definedName>
    <definedName name="__123Graph_A" localSheetId="25" hidden="1">'[1]WGL min-mid-max'!#REF!</definedName>
    <definedName name="__123Graph_A" hidden="1">'[1]WGL min-mid-max'!#REF!</definedName>
    <definedName name="AcademiaAdministrativeSupportCategories">'Drop-Down Values'!$B$89:$B$90</definedName>
    <definedName name="AcademiaConsultantCategories">'Drop-Down Values'!$B$86</definedName>
    <definedName name="AcademiaLaborGroups" localSheetId="26">[2]Constants!$A$18:$A$21</definedName>
    <definedName name="AcademiaLaborGroups" localSheetId="23">[3]Constants!$A$21:$A$24</definedName>
    <definedName name="AcademiaLaborGroups" localSheetId="5">[4]Constants!$A$21:$A$24</definedName>
    <definedName name="AcademiaLaborGroups">'Drop-Down Values'!$B$52:$B$55</definedName>
    <definedName name="AcademiaProjectManagementCategories">'Drop-Down Values'!$B$66:$B$69</definedName>
    <definedName name="AcademiaResearchCategories">'Drop-Down Values'!$B$72:$B$83</definedName>
    <definedName name="ff.dlrs.Base">'Project Cost Summary'!$H$89</definedName>
    <definedName name="ff.dlrs.Op1">'Project Cost Summary'!$L$89</definedName>
    <definedName name="ff.dlrs.Op2">'Project Cost Summary'!$P$89</definedName>
    <definedName name="ff.dlrs.Op3">'Project Cost Summary'!$T$89</definedName>
    <definedName name="ff.dlrs.Op4">'Project Cost Summary'!$X$89</definedName>
    <definedName name="ff.dlrs.Op5">'Project Cost Summary'!$AB$89</definedName>
    <definedName name="Fifth_Phase_Number">'[5]Project Cover Sheet'!$B$36</definedName>
    <definedName name="FilteredNames">OFFSET([1]Empl!$O$7,0,0,COUNTA([1]Empl!$O$7:$O$2500),1)</definedName>
    <definedName name="First_Phase_Number">'[6]Project Cover Sheet'!$B$32</definedName>
    <definedName name="Fourth_Phase_Number">'[5]Project Cover Sheet'!$B$35</definedName>
    <definedName name="GeneralConsultantCategories">'Drop-Down Values'!$B$138</definedName>
    <definedName name="GeneralLaborGroups" localSheetId="26">[2]Constants!$A$24:$A$29</definedName>
    <definedName name="GeneralLaborGroups" localSheetId="23">[3]Constants!$A$27:$A$32</definedName>
    <definedName name="GeneralLaborGroups" localSheetId="5">[4]Constants!$A$27:$A$32</definedName>
    <definedName name="GeneralLaborGroups">'Drop-Down Values'!$B$58:$B$63</definedName>
    <definedName name="GeneralManufacturingCategories">'Drop-Down Values'!$B$123:$B$134</definedName>
    <definedName name="GeneralProjectManagementCategories">'Drop-Down Values'!$B$99:$B$104</definedName>
    <definedName name="GeneralScienceandEngineeringCategories">'Drop-Down Values'!$B$107:$B$112</definedName>
    <definedName name="GeneralSoftwareDevelopmentCategories">'Drop-Down Values'!$B$115:$B$120</definedName>
    <definedName name="GeneralSupportCategories">'Drop-Down Values'!$B$93:$B$96</definedName>
    <definedName name="Indirect.Rate.Table">'Indirect Rates'!$B$9:$L$16</definedName>
    <definedName name="IndirectRateCategories" localSheetId="26">[2]Constants!$A$109:$A$124</definedName>
    <definedName name="IndirectRateCategories" localSheetId="23">[3]Constants!$A$113:$A$128</definedName>
    <definedName name="IndirectRateCategories" localSheetId="5">[4]Constants!$A$121:$A$138</definedName>
    <definedName name="IndirectRateCategories">'Drop-Down Values'!$B$144:$B$160</definedName>
    <definedName name="Labor.Rates.Table">'Labor Rates'!$C$7:$AV$48</definedName>
    <definedName name="Labor_Cats_Sorted_Table">'Drop-Down Values'!$B$142:$B$172</definedName>
    <definedName name="LaborCollection" localSheetId="26">[2]Constants!$A$12</definedName>
    <definedName name="LaborCollection" localSheetId="25">'[7]Drop-Down Values'!$B$46</definedName>
    <definedName name="LaborCollection" localSheetId="23">[3]Constants!$A$15</definedName>
    <definedName name="LaborCollection" localSheetId="5">[4]Constants!$A$15</definedName>
    <definedName name="LaborCollection">'Drop-Down Values'!$B$46</definedName>
    <definedName name="NMGRT" localSheetId="22">#REF!</definedName>
    <definedName name="NMGRT" localSheetId="24">#REF!</definedName>
    <definedName name="NMGRT" localSheetId="25">#REF!</definedName>
    <definedName name="NMGRT">#REF!</definedName>
    <definedName name="NoBusinessTypeSelected" localSheetId="26">[2]Constants!$A$15</definedName>
    <definedName name="NoBusinessTypeSelected" localSheetId="23">[3]Constants!$A$18</definedName>
    <definedName name="NoBusinessTypeSelected" localSheetId="5">[4]Constants!$A$18</definedName>
    <definedName name="NoBusinessTypeSelected">'Drop-Down Values'!$B$49</definedName>
    <definedName name="Offeror.Bus.Type" localSheetId="26">'[2]Proposer Constants'!$A$4</definedName>
    <definedName name="Offeror.Bus.Type" localSheetId="25">'[7]Proposer Acct. Data'!$B$4</definedName>
    <definedName name="Offeror.Bus.Type" localSheetId="23">'[3]Submission Info'!$A$4</definedName>
    <definedName name="Offeror.Bus.Type" localSheetId="5">'[4]Proposer Constants'!$A$4</definedName>
    <definedName name="Offeror.Bus.Type">INITIALIZATION!$B$12</definedName>
    <definedName name="OfferorBusinessTypes" localSheetId="26">[2]Constants!$A$5:$A$9</definedName>
    <definedName name="OfferorBusinessTypes" localSheetId="25">'[7]Drop-Down Values'!$B$21:$B$25</definedName>
    <definedName name="OfferorBusinessTypes" localSheetId="23">[3]Constants!$A$8:$A$12</definedName>
    <definedName name="OfferorBusinessTypes" localSheetId="5">[4]Constants!$A$8:$A$12</definedName>
    <definedName name="OfferorBusinessTypes">'Drop-Down Values'!$B$21:$B$25</definedName>
    <definedName name="OfferorBusType">INITIALIZATION!$B$12</definedName>
    <definedName name="Period1_Label">'Proposer Acct. Data'!$C$11</definedName>
    <definedName name="Period2_Label">'Proposer Acct. Data'!$D$11</definedName>
    <definedName name="Period3_Label">'Proposer Acct. Data'!$E$11</definedName>
    <definedName name="Period4_Label">'Proposer Acct. Data'!$F$11</definedName>
    <definedName name="Period5_Label">'Proposer Acct. Data'!$G$11</definedName>
    <definedName name="Period6_Label">'Proposer Acct. Data'!$H$11</definedName>
    <definedName name="Ph1_PoP_mos">INITIALIZATION!$K$5</definedName>
    <definedName name="Ph2_PoP_mos">INITIALIZATION!$K$6</definedName>
    <definedName name="Ph3_Pop_mos">INITIALIZATION!$K$7</definedName>
    <definedName name="Ph4_PoP_mos">INITIALIZATION!$K$8</definedName>
    <definedName name="Ph5_PoP_mos">INITIALIZATION!$K$9</definedName>
    <definedName name="Ph6_PoP_mos">INITIALIZATION!$K$10</definedName>
    <definedName name="Phase1Tab">"Phase Labor+Indirects--Unused 1"</definedName>
    <definedName name="Phase2Tab">"Phase Labor+Indirects--Unused 2"</definedName>
    <definedName name="Phase3Tab">"Phase Labor+Indirects--Unused 3"</definedName>
    <definedName name="Phase4Tab">"Phase Labor+Indirects--Unused 4"</definedName>
    <definedName name="Phase5Tab">"Phase Labor+Indirects--Unused 5"</definedName>
    <definedName name="Phase6Tab">"Phase Labor+Indirects--Unused 6"</definedName>
    <definedName name="PoP_mos_All">INITIALIZATION!$K$11</definedName>
    <definedName name="_xlnm.Print_Area" localSheetId="11">'Base (Ph1)'!$B$1:$AA$96</definedName>
    <definedName name="_xlnm.Print_Area" localSheetId="7">'Direct Labor Categories'!$B$6:$O$47</definedName>
    <definedName name="_xlnm.Print_Area" localSheetId="17">'Flex 1'!$B$1:$AA$96</definedName>
    <definedName name="_xlnm.Print_Area" localSheetId="4">'General Instructions'!$A$3:$E$88</definedName>
    <definedName name="_xlnm.Print_Area" localSheetId="3">INITIALIZATION!$B$4:$O$46</definedName>
    <definedName name="_xlnm.Print_Area" localSheetId="12">'O-I (Ph2)'!$B$1:$AA$97</definedName>
    <definedName name="_xlnm.Print_Area" localSheetId="13">'O-II (Ph3)'!$B$1:$AA$99</definedName>
    <definedName name="_xlnm.Print_Area" localSheetId="14">'O-III (Ph4)'!$B$1:$AA$99</definedName>
    <definedName name="_xlnm.Print_Area" localSheetId="15">'O-IV (Ph5)'!$B$1:$AA$99</definedName>
    <definedName name="_xlnm.Print_Area" localSheetId="16">'O-V (Ph6)'!$B$1:$AA$99</definedName>
    <definedName name="_xlnm.Print_Area" localSheetId="10">'Project Cost Summary'!$B$1:$AE$100</definedName>
    <definedName name="_xlnm.Print_Area" localSheetId="23">Travel!$A$1:$U$73</definedName>
    <definedName name="_xlnm.Print_Titles" localSheetId="26">'Cost by Task'!$2:$7</definedName>
    <definedName name="SBIRSTTRPhaseChoices">'Drop-Down Values'!$B$38:$B$41</definedName>
    <definedName name="sc.dlrs.Base">'Project Cost Summary'!$H$77</definedName>
    <definedName name="sc.dlrs.Op1">'Project Cost Summary'!$L$77</definedName>
    <definedName name="sc.dlrs.Op2">'Project Cost Summary'!$P$77</definedName>
    <definedName name="sc.dlrs.Op3">'Project Cost Summary'!$T$77</definedName>
    <definedName name="sc.dlrs.Op4">'Project Cost Summary'!$X$77</definedName>
    <definedName name="sc.dlrs.Op5">'Project Cost Summary'!$AB$77</definedName>
    <definedName name="SmallBusinessSizeChoices">'Drop-Down Values'!$B$30:$B$33</definedName>
    <definedName name="SpecificAnnouncementNumber">'Drop-Down Values'!$B$6</definedName>
    <definedName name="SpreadsheetVersionNumber">'Drop-Down Values'!$B$3</definedName>
    <definedName name="Subs">'[5]Project Cover Sheet'!$B$59</definedName>
    <definedName name="tcc.dlrs.Base">'Project Cost Summary'!$H$66</definedName>
    <definedName name="tcc.dlrs.Op1">'Project Cost Summary'!$L$66</definedName>
    <definedName name="tcc.dlrs.Op2">'Project Cost Summary'!$P$66</definedName>
    <definedName name="tcc.dlrs.Op3">'Project Cost Summary'!$T$66</definedName>
    <definedName name="tcc.dlrs.Op4">'Project Cost Summary'!$X$66</definedName>
    <definedName name="tcc.dlrs.Op5">'Project Cost Summary'!$AB$66</definedName>
    <definedName name="tcm.dlrs.Base">'Project Cost Summary'!$H$86</definedName>
    <definedName name="tcm.dlrs.Op1">'Project Cost Summary'!$L$86</definedName>
    <definedName name="tcm.dlrs.Op2">'Project Cost Summary'!$P$86</definedName>
    <definedName name="tcm.dlrs.Op3">'Project Cost Summary'!$T$86</definedName>
    <definedName name="tcm.dlrs.Op4">'Project Cost Summary'!$X$86</definedName>
    <definedName name="tcm.dlrs.Op5">'Project Cost Summary'!$AB$86</definedName>
    <definedName name="tdlc.dlrs.Base">'Project Cost Summary'!$H$48</definedName>
    <definedName name="tdlc.dlrs.Op1">'Project Cost Summary'!$L$48</definedName>
    <definedName name="tdlc.dlrs.Op2">'Project Cost Summary'!$P$48</definedName>
    <definedName name="tdlc.dlrs.Op3">'Project Cost Summary'!$T$48</definedName>
    <definedName name="tdlc.dlrs.Op4">'Project Cost Summary'!$X$48</definedName>
    <definedName name="tdlc.dlrs.Op5">'Project Cost Summary'!$AB$48</definedName>
    <definedName name="tdlc.hrs.Base">'Project Cost Summary'!$F$48</definedName>
    <definedName name="tdlc.hrs.Op1">'Project Cost Summary'!$J$48</definedName>
    <definedName name="tdlc.hrs.Op2">'Project Cost Summary'!$N$48</definedName>
    <definedName name="tdlc.hrs.Op3">'Project Cost Summary'!$R$48</definedName>
    <definedName name="tdlc.hrs.Op4">'Project Cost Summary'!$V$48</definedName>
    <definedName name="tdlc.hrs.Op5">'Project Cost Summary'!$Z$48</definedName>
    <definedName name="tecpff.dlrs.Base">'Project Cost Summary'!$H$90</definedName>
    <definedName name="tecpff.dlrs.Op1">'Project Cost Summary'!$L$90</definedName>
    <definedName name="tecpff.dlrs.Op2">'Project Cost Summary'!$P$90</definedName>
    <definedName name="tecpff.dlrs.Op3">'Project Cost Summary'!$T$90</definedName>
    <definedName name="tecpff.dlrs.Op4">'Project Cost Summary'!$X$90</definedName>
    <definedName name="tecpff.dlrs.Op5">'Project Cost Summary'!$AB$90</definedName>
    <definedName name="tfbc.dlrs.Base">'Project Cost Summary'!$H$51</definedName>
    <definedName name="tfbc.dlrs.Op1">'Project Cost Summary'!$L$51</definedName>
    <definedName name="tfbc.dlrs.Op2">'Project Cost Summary'!$P$51</definedName>
    <definedName name="tfbc.dlrs.Op3">'Project Cost Summary'!$T$51</definedName>
    <definedName name="tfbc.dlrs.Op4">'Project Cost Summary'!$X$51</definedName>
    <definedName name="tfbc.dlrs.Op5">'Project Cost Summary'!$AB$51</definedName>
    <definedName name="tgac.dlrs.Base">'Project Cost Summary'!$H$81</definedName>
    <definedName name="tgac.dlrs.Op1">'Project Cost Summary'!$L$81</definedName>
    <definedName name="tgac.dlrs.Op2">'Project Cost Summary'!$P$81</definedName>
    <definedName name="tgac.dlrs.Op3">'Project Cost Summary'!$T$81</definedName>
    <definedName name="tgac.dlrs.Op4">'Project Cost Summary'!$X$81</definedName>
    <definedName name="tgac.dlrs.Op5">'Project Cost Summary'!$AB$81</definedName>
    <definedName name="tloc.dlrs.Base">'Project Cost Summary'!$H$54</definedName>
    <definedName name="tloc.dlrs.Op1">'Project Cost Summary'!$L$54</definedName>
    <definedName name="tloc.dlrs.Op2">'Project Cost Summary'!$P$54</definedName>
    <definedName name="tloc.dlrs.Op3">'Project Cost Summary'!$T$54</definedName>
    <definedName name="tloc.dlrs.Op4">'Project Cost Summary'!$X$54</definedName>
    <definedName name="tloc.dlrs.Op5">'Project Cost Summary'!$AB$54</definedName>
    <definedName name="tmhc.dlrs.Base">'Project Cost Summary'!$H$76</definedName>
    <definedName name="tmhc.dlrs.Op1">'Project Cost Summary'!$L$76</definedName>
    <definedName name="tmhc.dlrs.Op2">'Project Cost Summary'!$P$76</definedName>
    <definedName name="tmhc.dlrs.Op3">'Project Cost Summary'!$T$76</definedName>
    <definedName name="tmhc.dlrs.Op4">'Project Cost Summary'!$X$76</definedName>
    <definedName name="tmhc.dlrs.Op5">'Project Cost Summary'!$AB$76</definedName>
    <definedName name="tmmc.dlrs.Base">'Project Cost Summary'!$H$76</definedName>
    <definedName name="tmmc.dlrs.Op1">'Project Cost Summary'!$L$76</definedName>
    <definedName name="tmmc.dlrs.Op2">'Project Cost Summary'!$P$76</definedName>
    <definedName name="tmmc.dlrs.Op3">'Project Cost Summary'!$T$76</definedName>
    <definedName name="tmmc.dlrs.Op4">'Project Cost Summary'!$X$76</definedName>
    <definedName name="tmmc.dlrs.Op5">'Project Cost Summary'!$AB$76</definedName>
    <definedName name="todc.dlrs.Base">'Project Cost Summary'!$H$72</definedName>
    <definedName name="todc.dlrs.Op1">'Project Cost Summary'!$L$72</definedName>
    <definedName name="todc.dlrs.Op2">'Project Cost Summary'!$P$72</definedName>
    <definedName name="todc.dlrs.Op3">'Project Cost Summary'!$T$72</definedName>
    <definedName name="todc.dlrs.Op4">'Project Cost Summary'!$X$72</definedName>
    <definedName name="todc.dlrs.Op5">'Project Cost Summary'!$AB$72</definedName>
    <definedName name="Treasury_Rate">'[8]Rate Tables'!$A$47:$A$47</definedName>
    <definedName name="tsc.dlrs.Base">'Project Cost Summary'!$H$60</definedName>
    <definedName name="tsc.dlrs.Op1">'Project Cost Summary'!$L$60</definedName>
    <definedName name="tsc.dlrs.Op2">'Project Cost Summary'!$P$60</definedName>
    <definedName name="tsc.dlrs.Op3">'Project Cost Summary'!$T$60</definedName>
    <definedName name="tsc.dlrs.Op4">'Project Cost Summary'!$X$60</definedName>
    <definedName name="tsc.dlrs.Op5">'Project Cost Summary'!$AB$60</definedName>
  </definedNames>
  <calcPr calcId="162913"/>
</workbook>
</file>

<file path=xl/calcChain.xml><?xml version="1.0" encoding="utf-8"?>
<calcChain xmlns="http://schemas.openxmlformats.org/spreadsheetml/2006/main">
  <c r="BH24" i="1" l="1"/>
  <c r="BH25" i="1"/>
  <c r="BH26" i="1"/>
  <c r="BH27" i="1"/>
  <c r="BH28" i="1"/>
  <c r="BH29" i="1"/>
  <c r="BH30" i="1"/>
  <c r="BH31" i="1"/>
  <c r="BH32" i="1"/>
  <c r="BH33" i="1"/>
  <c r="BH34" i="1"/>
  <c r="BH35" i="1"/>
  <c r="BH36" i="1"/>
  <c r="BH37" i="1"/>
  <c r="BH38" i="1"/>
  <c r="BH39" i="1"/>
  <c r="BH40" i="1"/>
  <c r="BH41" i="1"/>
  <c r="BH42" i="1"/>
  <c r="BH43" i="1"/>
  <c r="BH44" i="1"/>
  <c r="BH45" i="1"/>
  <c r="BH46" i="1"/>
  <c r="BH47" i="1"/>
  <c r="BH24" i="38"/>
  <c r="BH25" i="38"/>
  <c r="BH26" i="38"/>
  <c r="BH27" i="38"/>
  <c r="BH28" i="38"/>
  <c r="BH29" i="38"/>
  <c r="BH30" i="38"/>
  <c r="BH31" i="38"/>
  <c r="BH32" i="38"/>
  <c r="BH33" i="38"/>
  <c r="BH34" i="38"/>
  <c r="BH35" i="38"/>
  <c r="BH36" i="38"/>
  <c r="BH37" i="38"/>
  <c r="BH38" i="38"/>
  <c r="BH39" i="38"/>
  <c r="BH40" i="38"/>
  <c r="BH41" i="38"/>
  <c r="BH42" i="38"/>
  <c r="BH43" i="38"/>
  <c r="BH44" i="38"/>
  <c r="BH45" i="38"/>
  <c r="BH46" i="38"/>
  <c r="BH47" i="38"/>
  <c r="BH24" i="23"/>
  <c r="BH25" i="23"/>
  <c r="BH26" i="23"/>
  <c r="BH27" i="23"/>
  <c r="BH28" i="23"/>
  <c r="BH29" i="23"/>
  <c r="BH30" i="23"/>
  <c r="BH31" i="23"/>
  <c r="BH32" i="23"/>
  <c r="BH33" i="23"/>
  <c r="BH34" i="23"/>
  <c r="BH35" i="23"/>
  <c r="BH36" i="23"/>
  <c r="BH37" i="23"/>
  <c r="BH38" i="23"/>
  <c r="BH39" i="23"/>
  <c r="BH40" i="23"/>
  <c r="BH41" i="23"/>
  <c r="BH42" i="23"/>
  <c r="BH43" i="23"/>
  <c r="BH44" i="23"/>
  <c r="BH45" i="23"/>
  <c r="BH46" i="23"/>
  <c r="BH47" i="23"/>
  <c r="BH24" i="29"/>
  <c r="BH25" i="29"/>
  <c r="BH26" i="29"/>
  <c r="BH27" i="29"/>
  <c r="BH28" i="29"/>
  <c r="BH29" i="29"/>
  <c r="BH30" i="29"/>
  <c r="BH31" i="29"/>
  <c r="BH32" i="29"/>
  <c r="BH33" i="29"/>
  <c r="BH34" i="29"/>
  <c r="BH35" i="29"/>
  <c r="BH36" i="29"/>
  <c r="BH37" i="29"/>
  <c r="BH38" i="29"/>
  <c r="BH39" i="29"/>
  <c r="BH40" i="29"/>
  <c r="BH41" i="29"/>
  <c r="BH42" i="29"/>
  <c r="BH43" i="29"/>
  <c r="BH44" i="29"/>
  <c r="BH45" i="29"/>
  <c r="BH46" i="29"/>
  <c r="BH47" i="29"/>
  <c r="BH24" i="28"/>
  <c r="BH25" i="28"/>
  <c r="BH26" i="28"/>
  <c r="BH27" i="28"/>
  <c r="BH28" i="28"/>
  <c r="BH29" i="28"/>
  <c r="BH30" i="28"/>
  <c r="BH31" i="28"/>
  <c r="BH32" i="28"/>
  <c r="BH33" i="28"/>
  <c r="BH34" i="28"/>
  <c r="BH35" i="28"/>
  <c r="BH36" i="28"/>
  <c r="BH37" i="28"/>
  <c r="BH38" i="28"/>
  <c r="BH39" i="28"/>
  <c r="BH40" i="28"/>
  <c r="BH41" i="28"/>
  <c r="BH42" i="28"/>
  <c r="BH43" i="28"/>
  <c r="BH44" i="28"/>
  <c r="BH45" i="28"/>
  <c r="BH46" i="28"/>
  <c r="BH47" i="28"/>
  <c r="BH24" i="27"/>
  <c r="BH25" i="27"/>
  <c r="BH26" i="27"/>
  <c r="BH27" i="27"/>
  <c r="BH28" i="27"/>
  <c r="BH29" i="27"/>
  <c r="BH30" i="27"/>
  <c r="BH31" i="27"/>
  <c r="BH32" i="27"/>
  <c r="BH33" i="27"/>
  <c r="BH34" i="27"/>
  <c r="BH35" i="27"/>
  <c r="BH36" i="27"/>
  <c r="BH37" i="27"/>
  <c r="BH38" i="27"/>
  <c r="BH39" i="27"/>
  <c r="BH40" i="27"/>
  <c r="BH41" i="27"/>
  <c r="BH42" i="27"/>
  <c r="BH43" i="27"/>
  <c r="BH44" i="27"/>
  <c r="BH45" i="27"/>
  <c r="BH47" i="27"/>
  <c r="BH24" i="26"/>
  <c r="BH25" i="26"/>
  <c r="BH26" i="26"/>
  <c r="BH27" i="26"/>
  <c r="BH28" i="26"/>
  <c r="BH29" i="26"/>
  <c r="BH30" i="26"/>
  <c r="BH31" i="26"/>
  <c r="BH32" i="26"/>
  <c r="BH33" i="26"/>
  <c r="BH34" i="26"/>
  <c r="BH35" i="26"/>
  <c r="BH36" i="26"/>
  <c r="BH37" i="26"/>
  <c r="BH38" i="26"/>
  <c r="BH39" i="26"/>
  <c r="BH40" i="26"/>
  <c r="BH41" i="26"/>
  <c r="BH42" i="26"/>
  <c r="BH43" i="26"/>
  <c r="BH44" i="26"/>
  <c r="BH45" i="26"/>
  <c r="BH46" i="26"/>
  <c r="BH47" i="26"/>
  <c r="BH24" i="22"/>
  <c r="BH25" i="22"/>
  <c r="BH26" i="22"/>
  <c r="BH27" i="22"/>
  <c r="BH28" i="22"/>
  <c r="BH29" i="22"/>
  <c r="BH30" i="22"/>
  <c r="BH31" i="22"/>
  <c r="BH32" i="22"/>
  <c r="BH33" i="22"/>
  <c r="BH34" i="22"/>
  <c r="BH35" i="22"/>
  <c r="BH36" i="22"/>
  <c r="BH37" i="22"/>
  <c r="BH38" i="22"/>
  <c r="BH39" i="22"/>
  <c r="BH40" i="22"/>
  <c r="BH41" i="22"/>
  <c r="BH42" i="22"/>
  <c r="BH43" i="22"/>
  <c r="BH44" i="22"/>
  <c r="BH45" i="22"/>
  <c r="BH46" i="22"/>
  <c r="BH47" i="22"/>
  <c r="AZ23" i="22"/>
  <c r="BA23" i="22"/>
  <c r="BC23" i="22" s="1"/>
  <c r="BE23" i="22" s="1"/>
  <c r="BB23" i="22"/>
  <c r="BD23" i="22"/>
  <c r="BF23" i="22"/>
  <c r="AZ24" i="22"/>
  <c r="BB24" i="22"/>
  <c r="BD24" i="22"/>
  <c r="AZ25" i="22"/>
  <c r="BF25" i="22" s="1"/>
  <c r="BA25" i="22"/>
  <c r="BC25" i="22" s="1"/>
  <c r="BB25" i="22"/>
  <c r="BD25" i="22"/>
  <c r="AZ26" i="22"/>
  <c r="BA26" i="22"/>
  <c r="BC26" i="22" s="1"/>
  <c r="BE26" i="22" s="1"/>
  <c r="BB26" i="22"/>
  <c r="BF26" i="22" s="1"/>
  <c r="BD26" i="22"/>
  <c r="AZ27" i="22"/>
  <c r="BA27" i="22"/>
  <c r="BC27" i="22" s="1"/>
  <c r="BE27" i="22" s="1"/>
  <c r="BB27" i="22"/>
  <c r="BD27" i="22"/>
  <c r="BF27" i="22"/>
  <c r="AZ28" i="22"/>
  <c r="BB28" i="22"/>
  <c r="BD28" i="22"/>
  <c r="AZ29" i="22"/>
  <c r="BF29" i="22" s="1"/>
  <c r="BA29" i="22"/>
  <c r="BC29" i="22" s="1"/>
  <c r="BB29" i="22"/>
  <c r="BD29" i="22"/>
  <c r="AZ30" i="22"/>
  <c r="BA30" i="22"/>
  <c r="BB30" i="22"/>
  <c r="BF30" i="22" s="1"/>
  <c r="BD30" i="22"/>
  <c r="AZ31" i="22"/>
  <c r="BA31" i="22"/>
  <c r="BC31" i="22" s="1"/>
  <c r="BE31" i="22" s="1"/>
  <c r="BB31" i="22"/>
  <c r="BD31" i="22"/>
  <c r="BF31" i="22"/>
  <c r="AZ32" i="22"/>
  <c r="BB32" i="22"/>
  <c r="BD32" i="22"/>
  <c r="AZ33" i="22"/>
  <c r="BF33" i="22" s="1"/>
  <c r="BA33" i="22"/>
  <c r="BC33" i="22" s="1"/>
  <c r="BE33" i="22" s="1"/>
  <c r="BB33" i="22"/>
  <c r="BD33" i="22"/>
  <c r="AZ34" i="22"/>
  <c r="BA34" i="22"/>
  <c r="BC34" i="22" s="1"/>
  <c r="BE34" i="22" s="1"/>
  <c r="BB34" i="22"/>
  <c r="BD34" i="22"/>
  <c r="BF34" i="22"/>
  <c r="AZ35" i="22"/>
  <c r="BA35" i="22"/>
  <c r="BC35" i="22" s="1"/>
  <c r="BE35" i="22" s="1"/>
  <c r="BB35" i="22"/>
  <c r="BD35" i="22"/>
  <c r="BF35" i="22"/>
  <c r="AZ36" i="22"/>
  <c r="BB36" i="22"/>
  <c r="BD36" i="22"/>
  <c r="AZ37" i="22"/>
  <c r="BF37" i="22" s="1"/>
  <c r="BA37" i="22"/>
  <c r="BB37" i="22"/>
  <c r="BD37" i="22"/>
  <c r="AZ38" i="22"/>
  <c r="BA38" i="22"/>
  <c r="BB38" i="22"/>
  <c r="BD38" i="22"/>
  <c r="BF38" i="22"/>
  <c r="AZ39" i="22"/>
  <c r="BA39" i="22"/>
  <c r="BC39" i="22" s="1"/>
  <c r="BE39" i="22" s="1"/>
  <c r="BB39" i="22"/>
  <c r="BD39" i="22"/>
  <c r="BF39" i="22"/>
  <c r="AZ40" i="22"/>
  <c r="BB40" i="22"/>
  <c r="BD40" i="22"/>
  <c r="AZ41" i="22"/>
  <c r="BF41" i="22" s="1"/>
  <c r="BA41" i="22"/>
  <c r="BC41" i="22" s="1"/>
  <c r="BB41" i="22"/>
  <c r="BD41" i="22"/>
  <c r="AZ42" i="22"/>
  <c r="BA42" i="22"/>
  <c r="BC42" i="22" s="1"/>
  <c r="BE42" i="22" s="1"/>
  <c r="BB42" i="22"/>
  <c r="BF42" i="22" s="1"/>
  <c r="BD42" i="22"/>
  <c r="AZ43" i="22"/>
  <c r="BA43" i="22"/>
  <c r="BC43" i="22" s="1"/>
  <c r="BE43" i="22" s="1"/>
  <c r="BB43" i="22"/>
  <c r="BD43" i="22"/>
  <c r="BF43" i="22"/>
  <c r="AZ44" i="22"/>
  <c r="BB44" i="22"/>
  <c r="BD44" i="22"/>
  <c r="AZ45" i="22"/>
  <c r="BF45" i="22" s="1"/>
  <c r="BA45" i="22"/>
  <c r="BC45" i="22" s="1"/>
  <c r="BB45" i="22"/>
  <c r="BD45" i="22"/>
  <c r="AZ46" i="22"/>
  <c r="BA46" i="22"/>
  <c r="BB46" i="22"/>
  <c r="BF46" i="22" s="1"/>
  <c r="BD46" i="22"/>
  <c r="AZ47" i="22"/>
  <c r="BA47" i="22"/>
  <c r="BC47" i="22" s="1"/>
  <c r="BE47" i="22" s="1"/>
  <c r="BB47" i="22"/>
  <c r="BD47" i="22"/>
  <c r="BF47" i="22"/>
  <c r="AZ23" i="26"/>
  <c r="BB23" i="26"/>
  <c r="BD23" i="26"/>
  <c r="AZ24" i="26"/>
  <c r="BF24" i="26" s="1"/>
  <c r="BA24" i="26"/>
  <c r="BC24" i="26" s="1"/>
  <c r="BB24" i="26"/>
  <c r="BD24" i="26"/>
  <c r="AZ25" i="26"/>
  <c r="BA25" i="26"/>
  <c r="BC25" i="26" s="1"/>
  <c r="BE25" i="26" s="1"/>
  <c r="BB25" i="26"/>
  <c r="BD25" i="26"/>
  <c r="BF25" i="26"/>
  <c r="AZ26" i="26"/>
  <c r="BA26" i="26"/>
  <c r="BC26" i="26" s="1"/>
  <c r="BE26" i="26" s="1"/>
  <c r="BB26" i="26"/>
  <c r="BD26" i="26"/>
  <c r="BF26" i="26"/>
  <c r="AZ27" i="26"/>
  <c r="BB27" i="26"/>
  <c r="BD27" i="26"/>
  <c r="AZ28" i="26"/>
  <c r="BF28" i="26" s="1"/>
  <c r="BA28" i="26"/>
  <c r="BB28" i="26"/>
  <c r="BD28" i="26"/>
  <c r="AZ29" i="26"/>
  <c r="BA29" i="26"/>
  <c r="BB29" i="26"/>
  <c r="BD29" i="26"/>
  <c r="BF29" i="26"/>
  <c r="AZ30" i="26"/>
  <c r="BA30" i="26"/>
  <c r="BC30" i="26" s="1"/>
  <c r="BE30" i="26" s="1"/>
  <c r="BB30" i="26"/>
  <c r="BD30" i="26"/>
  <c r="BF30" i="26"/>
  <c r="AZ31" i="26"/>
  <c r="BB31" i="26"/>
  <c r="BD31" i="26"/>
  <c r="AZ32" i="26"/>
  <c r="BF32" i="26" s="1"/>
  <c r="BA32" i="26"/>
  <c r="BC32" i="26" s="1"/>
  <c r="BB32" i="26"/>
  <c r="BD32" i="26"/>
  <c r="AZ33" i="26"/>
  <c r="BA33" i="26"/>
  <c r="BC33" i="26" s="1"/>
  <c r="BE33" i="26" s="1"/>
  <c r="BB33" i="26"/>
  <c r="BF33" i="26" s="1"/>
  <c r="BD33" i="26"/>
  <c r="AZ34" i="26"/>
  <c r="BA34" i="26"/>
  <c r="BC34" i="26" s="1"/>
  <c r="BE34" i="26" s="1"/>
  <c r="BB34" i="26"/>
  <c r="BD34" i="26"/>
  <c r="BF34" i="26"/>
  <c r="AZ35" i="26"/>
  <c r="BB35" i="26"/>
  <c r="BD35" i="26"/>
  <c r="AZ36" i="26"/>
  <c r="BF36" i="26" s="1"/>
  <c r="BA36" i="26"/>
  <c r="BC36" i="26" s="1"/>
  <c r="BB36" i="26"/>
  <c r="BD36" i="26"/>
  <c r="AZ37" i="26"/>
  <c r="BA37" i="26"/>
  <c r="BB37" i="26"/>
  <c r="BF37" i="26" s="1"/>
  <c r="BD37" i="26"/>
  <c r="AZ38" i="26"/>
  <c r="BA38" i="26"/>
  <c r="BC38" i="26" s="1"/>
  <c r="BE38" i="26" s="1"/>
  <c r="BB38" i="26"/>
  <c r="BD38" i="26"/>
  <c r="BF38" i="26"/>
  <c r="AZ39" i="26"/>
  <c r="BB39" i="26"/>
  <c r="BD39" i="26"/>
  <c r="AZ40" i="26"/>
  <c r="BF40" i="26" s="1"/>
  <c r="BA40" i="26"/>
  <c r="BC40" i="26" s="1"/>
  <c r="BB40" i="26"/>
  <c r="BD40" i="26"/>
  <c r="AZ41" i="26"/>
  <c r="BA41" i="26"/>
  <c r="BC41" i="26" s="1"/>
  <c r="BE41" i="26" s="1"/>
  <c r="BB41" i="26"/>
  <c r="BD41" i="26"/>
  <c r="BF41" i="26"/>
  <c r="AZ42" i="26"/>
  <c r="BA42" i="26"/>
  <c r="BC42" i="26" s="1"/>
  <c r="BE42" i="26" s="1"/>
  <c r="BB42" i="26"/>
  <c r="BD42" i="26"/>
  <c r="BF42" i="26"/>
  <c r="AZ43" i="26"/>
  <c r="BB43" i="26"/>
  <c r="BD43" i="26"/>
  <c r="AZ44" i="26"/>
  <c r="BF44" i="26" s="1"/>
  <c r="BA44" i="26"/>
  <c r="BB44" i="26"/>
  <c r="BD44" i="26"/>
  <c r="AZ45" i="26"/>
  <c r="BA45" i="26"/>
  <c r="BB45" i="26"/>
  <c r="BD45" i="26"/>
  <c r="BF45" i="26"/>
  <c r="AZ46" i="26"/>
  <c r="BA46" i="26"/>
  <c r="BC46" i="26" s="1"/>
  <c r="BE46" i="26" s="1"/>
  <c r="BB46" i="26"/>
  <c r="BD46" i="26"/>
  <c r="BF46" i="26"/>
  <c r="AZ47" i="26"/>
  <c r="BB47" i="26"/>
  <c r="BD47" i="26"/>
  <c r="AZ23" i="27"/>
  <c r="BF23" i="27" s="1"/>
  <c r="BA23" i="27"/>
  <c r="BC23" i="27" s="1"/>
  <c r="BB23" i="27"/>
  <c r="BD23" i="27"/>
  <c r="AZ24" i="27"/>
  <c r="BA24" i="27"/>
  <c r="BC24" i="27" s="1"/>
  <c r="BE24" i="27" s="1"/>
  <c r="BB24" i="27"/>
  <c r="BF24" i="27" s="1"/>
  <c r="BD24" i="27"/>
  <c r="AZ25" i="27"/>
  <c r="BA25" i="27"/>
  <c r="BC25" i="27" s="1"/>
  <c r="BE25" i="27" s="1"/>
  <c r="BB25" i="27"/>
  <c r="BD25" i="27"/>
  <c r="BF25" i="27"/>
  <c r="AZ26" i="27"/>
  <c r="BB26" i="27"/>
  <c r="BD26" i="27"/>
  <c r="AZ27" i="27"/>
  <c r="BF27" i="27" s="1"/>
  <c r="BA27" i="27"/>
  <c r="BC27" i="27" s="1"/>
  <c r="BB27" i="27"/>
  <c r="BD27" i="27"/>
  <c r="AZ28" i="27"/>
  <c r="BA28" i="27"/>
  <c r="BB28" i="27"/>
  <c r="BF28" i="27" s="1"/>
  <c r="BD28" i="27"/>
  <c r="AZ29" i="27"/>
  <c r="BA29" i="27" s="1"/>
  <c r="BC29" i="27" s="1"/>
  <c r="BB29" i="27"/>
  <c r="BD29" i="27"/>
  <c r="BF29" i="27"/>
  <c r="AZ30" i="27"/>
  <c r="BB30" i="27"/>
  <c r="BD30" i="27"/>
  <c r="AZ31" i="27"/>
  <c r="BF31" i="27" s="1"/>
  <c r="BA31" i="27"/>
  <c r="BB31" i="27"/>
  <c r="BD31" i="27"/>
  <c r="AZ32" i="27"/>
  <c r="BA32" i="27"/>
  <c r="BB32" i="27"/>
  <c r="BD32" i="27"/>
  <c r="BF32" i="27"/>
  <c r="AZ33" i="27"/>
  <c r="BA33" i="27"/>
  <c r="BC33" i="27" s="1"/>
  <c r="BE33" i="27" s="1"/>
  <c r="BB33" i="27"/>
  <c r="BD33" i="27"/>
  <c r="BF33" i="27"/>
  <c r="AZ34" i="27"/>
  <c r="BB34" i="27"/>
  <c r="BD34" i="27"/>
  <c r="AZ35" i="27"/>
  <c r="BF35" i="27" s="1"/>
  <c r="BA35" i="27"/>
  <c r="BC35" i="27" s="1"/>
  <c r="BB35" i="27"/>
  <c r="BD35" i="27"/>
  <c r="BE35" i="27"/>
  <c r="AZ36" i="27"/>
  <c r="BA36" i="27"/>
  <c r="BC36" i="27" s="1"/>
  <c r="BE36" i="27" s="1"/>
  <c r="BB36" i="27"/>
  <c r="BF36" i="27" s="1"/>
  <c r="BD36" i="27"/>
  <c r="AZ37" i="27"/>
  <c r="BA37" i="27"/>
  <c r="BC37" i="27" s="1"/>
  <c r="BE37" i="27" s="1"/>
  <c r="BB37" i="27"/>
  <c r="BD37" i="27"/>
  <c r="BF37" i="27"/>
  <c r="AZ38" i="27"/>
  <c r="BB38" i="27"/>
  <c r="BD38" i="27"/>
  <c r="AZ39" i="27"/>
  <c r="BF39" i="27" s="1"/>
  <c r="BA39" i="27"/>
  <c r="BC39" i="27" s="1"/>
  <c r="BB39" i="27"/>
  <c r="BD39" i="27"/>
  <c r="AZ40" i="27"/>
  <c r="BA40" i="27" s="1"/>
  <c r="BB40" i="27"/>
  <c r="BD40" i="27"/>
  <c r="BF40" i="27"/>
  <c r="AZ41" i="27"/>
  <c r="BA41" i="27"/>
  <c r="BC41" i="27" s="1"/>
  <c r="BE41" i="27" s="1"/>
  <c r="BB41" i="27"/>
  <c r="BD41" i="27"/>
  <c r="BF41" i="27"/>
  <c r="AZ42" i="27"/>
  <c r="BB42" i="27"/>
  <c r="BD42" i="27"/>
  <c r="AZ43" i="27"/>
  <c r="BF43" i="27" s="1"/>
  <c r="BA43" i="27"/>
  <c r="BB43" i="27"/>
  <c r="BD43" i="27"/>
  <c r="AZ44" i="27"/>
  <c r="BA44" i="27" s="1"/>
  <c r="BB44" i="27"/>
  <c r="BF44" i="27" s="1"/>
  <c r="BD44" i="27"/>
  <c r="AZ45" i="27"/>
  <c r="BA45" i="27"/>
  <c r="BC45" i="27" s="1"/>
  <c r="BE45" i="27" s="1"/>
  <c r="BB45" i="27"/>
  <c r="BD45" i="27"/>
  <c r="BF45" i="27"/>
  <c r="AZ46" i="27"/>
  <c r="BB46" i="27"/>
  <c r="BD46" i="27"/>
  <c r="AZ47" i="27"/>
  <c r="BF47" i="27" s="1"/>
  <c r="BA47" i="27"/>
  <c r="BC47" i="27" s="1"/>
  <c r="BB47" i="27"/>
  <c r="BD47" i="27"/>
  <c r="BE47" i="27"/>
  <c r="AZ23" i="28"/>
  <c r="BA23" i="28"/>
  <c r="BB23" i="28"/>
  <c r="BF23" i="28" s="1"/>
  <c r="BD23" i="28"/>
  <c r="AZ24" i="28"/>
  <c r="BA24" i="28"/>
  <c r="BC24" i="28" s="1"/>
  <c r="BE24" i="28" s="1"/>
  <c r="BB24" i="28"/>
  <c r="BD24" i="28"/>
  <c r="BF24" i="28"/>
  <c r="AZ25" i="28"/>
  <c r="BB25" i="28"/>
  <c r="BD25" i="28"/>
  <c r="AZ26" i="28"/>
  <c r="BF26" i="28" s="1"/>
  <c r="BA26" i="28"/>
  <c r="BC26" i="28" s="1"/>
  <c r="BB26" i="28"/>
  <c r="BD26" i="28"/>
  <c r="AZ27" i="28"/>
  <c r="BA27" i="28"/>
  <c r="BC27" i="28" s="1"/>
  <c r="BE27" i="28" s="1"/>
  <c r="BB27" i="28"/>
  <c r="BD27" i="28"/>
  <c r="BF27" i="28"/>
  <c r="AZ28" i="28"/>
  <c r="BA28" i="28"/>
  <c r="BC28" i="28" s="1"/>
  <c r="BE28" i="28" s="1"/>
  <c r="BB28" i="28"/>
  <c r="BD28" i="28"/>
  <c r="BF28" i="28"/>
  <c r="AZ29" i="28"/>
  <c r="BB29" i="28"/>
  <c r="BD29" i="28"/>
  <c r="AZ30" i="28"/>
  <c r="BA30" i="28"/>
  <c r="BB30" i="28"/>
  <c r="BD30" i="28"/>
  <c r="BF30" i="28"/>
  <c r="AZ31" i="28"/>
  <c r="BA31" i="28"/>
  <c r="BB31" i="28"/>
  <c r="BD31" i="28"/>
  <c r="BF31" i="28"/>
  <c r="AZ32" i="28"/>
  <c r="BA32" i="28" s="1"/>
  <c r="BC32" i="28" s="1"/>
  <c r="BB32" i="28"/>
  <c r="BD32" i="28"/>
  <c r="AZ33" i="28"/>
  <c r="BB33" i="28"/>
  <c r="BD33" i="28"/>
  <c r="AZ34" i="28"/>
  <c r="BA34" i="28"/>
  <c r="BC34" i="28" s="1"/>
  <c r="BE34" i="28" s="1"/>
  <c r="BB34" i="28"/>
  <c r="BD34" i="28"/>
  <c r="BF34" i="28"/>
  <c r="AZ35" i="28"/>
  <c r="BA35" i="28" s="1"/>
  <c r="BB35" i="28"/>
  <c r="BD35" i="28"/>
  <c r="AZ36" i="28"/>
  <c r="BB36" i="28"/>
  <c r="BD36" i="28"/>
  <c r="AZ37" i="28"/>
  <c r="BB37" i="28"/>
  <c r="BD37" i="28"/>
  <c r="AZ38" i="28"/>
  <c r="BA38" i="28"/>
  <c r="BC38" i="28" s="1"/>
  <c r="BE38" i="28" s="1"/>
  <c r="BB38" i="28"/>
  <c r="BD38" i="28"/>
  <c r="BF38" i="28" s="1"/>
  <c r="AZ39" i="28"/>
  <c r="BB39" i="28"/>
  <c r="BD39" i="28"/>
  <c r="AZ40" i="28"/>
  <c r="BA40" i="28"/>
  <c r="BC40" i="28" s="1"/>
  <c r="BB40" i="28"/>
  <c r="BD40" i="28"/>
  <c r="BF40" i="28"/>
  <c r="AZ41" i="28"/>
  <c r="BA41" i="28" s="1"/>
  <c r="BB41" i="28"/>
  <c r="BF41" i="28" s="1"/>
  <c r="BD41" i="28"/>
  <c r="AZ42" i="28"/>
  <c r="BF42" i="28" s="1"/>
  <c r="BA42" i="28"/>
  <c r="BC42" i="28" s="1"/>
  <c r="BE42" i="28" s="1"/>
  <c r="BB42" i="28"/>
  <c r="BD42" i="28"/>
  <c r="AZ43" i="28"/>
  <c r="BB43" i="28"/>
  <c r="BD43" i="28"/>
  <c r="AZ44" i="28"/>
  <c r="BA44" i="28"/>
  <c r="BC44" i="28" s="1"/>
  <c r="BB44" i="28"/>
  <c r="BD44" i="28"/>
  <c r="BF44" i="28"/>
  <c r="AZ45" i="28"/>
  <c r="BA45" i="28" s="1"/>
  <c r="BB45" i="28"/>
  <c r="BD45" i="28"/>
  <c r="BF45" i="28" s="1"/>
  <c r="AZ46" i="28"/>
  <c r="BA46" i="28" s="1"/>
  <c r="BB46" i="28"/>
  <c r="BD46" i="28"/>
  <c r="AZ47" i="28"/>
  <c r="BA47" i="28" s="1"/>
  <c r="BB47" i="28"/>
  <c r="BD47" i="28"/>
  <c r="AZ23" i="29"/>
  <c r="BA23" i="29"/>
  <c r="BB23" i="29"/>
  <c r="BC23" i="29" s="1"/>
  <c r="BE23" i="29" s="1"/>
  <c r="BD23" i="29"/>
  <c r="BF23" i="29"/>
  <c r="AZ24" i="29"/>
  <c r="BA24" i="29" s="1"/>
  <c r="BC24" i="29" s="1"/>
  <c r="BB24" i="29"/>
  <c r="BD24" i="29"/>
  <c r="BF24" i="29" s="1"/>
  <c r="AZ25" i="29"/>
  <c r="BA25" i="29" s="1"/>
  <c r="BB25" i="29"/>
  <c r="BD25" i="29"/>
  <c r="AZ26" i="29"/>
  <c r="BA26" i="29" s="1"/>
  <c r="BB26" i="29"/>
  <c r="BD26" i="29"/>
  <c r="AZ27" i="29"/>
  <c r="BA27" i="29"/>
  <c r="BB27" i="29"/>
  <c r="BD27" i="29"/>
  <c r="BF27" i="29"/>
  <c r="AZ28" i="29"/>
  <c r="BA28" i="29" s="1"/>
  <c r="BC28" i="29" s="1"/>
  <c r="BB28" i="29"/>
  <c r="BD28" i="29"/>
  <c r="BF28" i="29" s="1"/>
  <c r="AZ29" i="29"/>
  <c r="BA29" i="29" s="1"/>
  <c r="BB29" i="29"/>
  <c r="BD29" i="29"/>
  <c r="AZ30" i="29"/>
  <c r="BA30" i="29" s="1"/>
  <c r="BB30" i="29"/>
  <c r="BD30" i="29"/>
  <c r="AZ31" i="29"/>
  <c r="BA31" i="29"/>
  <c r="BB31" i="29"/>
  <c r="BD31" i="29"/>
  <c r="BF31" i="29"/>
  <c r="AZ32" i="29"/>
  <c r="BA32" i="29" s="1"/>
  <c r="BC32" i="29" s="1"/>
  <c r="BB32" i="29"/>
  <c r="BD32" i="29"/>
  <c r="BF32" i="29" s="1"/>
  <c r="AZ33" i="29"/>
  <c r="BA33" i="29" s="1"/>
  <c r="BB33" i="29"/>
  <c r="BD33" i="29"/>
  <c r="AZ34" i="29"/>
  <c r="BA34" i="29" s="1"/>
  <c r="BB34" i="29"/>
  <c r="BD34" i="29"/>
  <c r="AZ35" i="29"/>
  <c r="BA35" i="29"/>
  <c r="BB35" i="29"/>
  <c r="BD35" i="29"/>
  <c r="BF35" i="29"/>
  <c r="AZ36" i="29"/>
  <c r="BA36" i="29" s="1"/>
  <c r="BC36" i="29" s="1"/>
  <c r="BB36" i="29"/>
  <c r="BD36" i="29"/>
  <c r="BF36" i="29" s="1"/>
  <c r="AZ37" i="29"/>
  <c r="BA37" i="29" s="1"/>
  <c r="BB37" i="29"/>
  <c r="BD37" i="29"/>
  <c r="AZ38" i="29"/>
  <c r="BA38" i="29" s="1"/>
  <c r="BB38" i="29"/>
  <c r="BD38" i="29"/>
  <c r="AZ39" i="29"/>
  <c r="BA39" i="29"/>
  <c r="BB39" i="29"/>
  <c r="BD39" i="29"/>
  <c r="BF39" i="29"/>
  <c r="AZ40" i="29"/>
  <c r="BA40" i="29" s="1"/>
  <c r="BC40" i="29" s="1"/>
  <c r="BB40" i="29"/>
  <c r="BD40" i="29"/>
  <c r="BF40" i="29" s="1"/>
  <c r="AZ41" i="29"/>
  <c r="BA41" i="29" s="1"/>
  <c r="BB41" i="29"/>
  <c r="BD41" i="29"/>
  <c r="AZ42" i="29"/>
  <c r="BA42" i="29" s="1"/>
  <c r="BB42" i="29"/>
  <c r="BD42" i="29"/>
  <c r="AZ43" i="29"/>
  <c r="BA43" i="29"/>
  <c r="BB43" i="29"/>
  <c r="BD43" i="29"/>
  <c r="BF43" i="29"/>
  <c r="AZ44" i="29"/>
  <c r="BA44" i="29" s="1"/>
  <c r="BC44" i="29" s="1"/>
  <c r="BB44" i="29"/>
  <c r="BD44" i="29"/>
  <c r="BF44" i="29" s="1"/>
  <c r="AZ45" i="29"/>
  <c r="BA45" i="29" s="1"/>
  <c r="BB45" i="29"/>
  <c r="BD45" i="29"/>
  <c r="AZ46" i="29"/>
  <c r="BA46" i="29" s="1"/>
  <c r="BB46" i="29"/>
  <c r="BD46" i="29"/>
  <c r="AZ47" i="29"/>
  <c r="BA47" i="29"/>
  <c r="BB47" i="29"/>
  <c r="BC47" i="29" s="1"/>
  <c r="BE47" i="29" s="1"/>
  <c r="BD47" i="29"/>
  <c r="AZ23" i="23"/>
  <c r="BA23" i="23" s="1"/>
  <c r="BC23" i="23" s="1"/>
  <c r="BB23" i="23"/>
  <c r="BD23" i="23"/>
  <c r="BF23" i="23" s="1"/>
  <c r="AZ24" i="23"/>
  <c r="BA24" i="23" s="1"/>
  <c r="BB24" i="23"/>
  <c r="BD24" i="23"/>
  <c r="AZ25" i="23"/>
  <c r="BA25" i="23" s="1"/>
  <c r="BB25" i="23"/>
  <c r="BD25" i="23"/>
  <c r="AZ26" i="23"/>
  <c r="BA26" i="23"/>
  <c r="BB26" i="23"/>
  <c r="BD26" i="23"/>
  <c r="BF26" i="23"/>
  <c r="AZ27" i="23"/>
  <c r="BA27" i="23" s="1"/>
  <c r="BC27" i="23" s="1"/>
  <c r="BB27" i="23"/>
  <c r="BD27" i="23"/>
  <c r="BF27" i="23" s="1"/>
  <c r="AZ28" i="23"/>
  <c r="BA28" i="23" s="1"/>
  <c r="BB28" i="23"/>
  <c r="BD28" i="23"/>
  <c r="AZ29" i="23"/>
  <c r="BA29" i="23" s="1"/>
  <c r="BB29" i="23"/>
  <c r="BD29" i="23"/>
  <c r="AZ30" i="23"/>
  <c r="BA30" i="23"/>
  <c r="BB30" i="23"/>
  <c r="BD30" i="23"/>
  <c r="BF30" i="23"/>
  <c r="AZ31" i="23"/>
  <c r="BA31" i="23" s="1"/>
  <c r="BC31" i="23" s="1"/>
  <c r="BB31" i="23"/>
  <c r="BD31" i="23"/>
  <c r="BF31" i="23" s="1"/>
  <c r="AZ32" i="23"/>
  <c r="BA32" i="23" s="1"/>
  <c r="BB32" i="23"/>
  <c r="BD32" i="23"/>
  <c r="AZ33" i="23"/>
  <c r="BA33" i="23" s="1"/>
  <c r="BB33" i="23"/>
  <c r="BD33" i="23"/>
  <c r="AZ34" i="23"/>
  <c r="BA34" i="23"/>
  <c r="BB34" i="23"/>
  <c r="BD34" i="23"/>
  <c r="BF34" i="23"/>
  <c r="AZ35" i="23"/>
  <c r="BA35" i="23" s="1"/>
  <c r="BC35" i="23" s="1"/>
  <c r="BB35" i="23"/>
  <c r="BD35" i="23"/>
  <c r="BF35" i="23" s="1"/>
  <c r="AZ36" i="23"/>
  <c r="BA36" i="23" s="1"/>
  <c r="BB36" i="23"/>
  <c r="BD36" i="23"/>
  <c r="AZ37" i="23"/>
  <c r="BA37" i="23" s="1"/>
  <c r="BB37" i="23"/>
  <c r="BD37" i="23"/>
  <c r="AZ38" i="23"/>
  <c r="BA38" i="23"/>
  <c r="BB38" i="23"/>
  <c r="BD38" i="23"/>
  <c r="BF38" i="23"/>
  <c r="AZ39" i="23"/>
  <c r="BA39" i="23" s="1"/>
  <c r="BC39" i="23" s="1"/>
  <c r="BB39" i="23"/>
  <c r="BD39" i="23"/>
  <c r="BF39" i="23" s="1"/>
  <c r="AZ40" i="23"/>
  <c r="BA40" i="23" s="1"/>
  <c r="BB40" i="23"/>
  <c r="BD40" i="23"/>
  <c r="AZ41" i="23"/>
  <c r="BA41" i="23" s="1"/>
  <c r="BB41" i="23"/>
  <c r="BD41" i="23"/>
  <c r="AZ42" i="23"/>
  <c r="BA42" i="23"/>
  <c r="BB42" i="23"/>
  <c r="BD42" i="23"/>
  <c r="AZ43" i="23"/>
  <c r="BA43" i="23" s="1"/>
  <c r="BC43" i="23" s="1"/>
  <c r="BB43" i="23"/>
  <c r="BD43" i="23"/>
  <c r="BF43" i="23" s="1"/>
  <c r="AZ44" i="23"/>
  <c r="BA44" i="23" s="1"/>
  <c r="BB44" i="23"/>
  <c r="BD44" i="23"/>
  <c r="AZ45" i="23"/>
  <c r="BA45" i="23" s="1"/>
  <c r="BB45" i="23"/>
  <c r="BD45" i="23"/>
  <c r="AZ46" i="23"/>
  <c r="BA46" i="23"/>
  <c r="BB46" i="23"/>
  <c r="BD46" i="23"/>
  <c r="BF46" i="23"/>
  <c r="AZ47" i="23"/>
  <c r="BA47" i="23" s="1"/>
  <c r="BC47" i="23" s="1"/>
  <c r="BB47" i="23"/>
  <c r="BD47" i="23"/>
  <c r="BF47" i="23" s="1"/>
  <c r="AZ23" i="38"/>
  <c r="BA23" i="38" s="1"/>
  <c r="BB23" i="38"/>
  <c r="BD23" i="38"/>
  <c r="AZ24" i="38"/>
  <c r="BA24" i="38" s="1"/>
  <c r="BB24" i="38"/>
  <c r="BD24" i="38"/>
  <c r="AZ25" i="38"/>
  <c r="BA25" i="38"/>
  <c r="BB25" i="38"/>
  <c r="BD25" i="38"/>
  <c r="BF25" i="38"/>
  <c r="AZ26" i="38"/>
  <c r="BA26" i="38" s="1"/>
  <c r="BC26" i="38" s="1"/>
  <c r="BE26" i="38" s="1"/>
  <c r="BB26" i="38"/>
  <c r="BD26" i="38"/>
  <c r="AZ27" i="38"/>
  <c r="BA27" i="38"/>
  <c r="BC27" i="38" s="1"/>
  <c r="BB27" i="38"/>
  <c r="BD27" i="38"/>
  <c r="BF27" i="38"/>
  <c r="AZ28" i="38"/>
  <c r="BA28" i="38" s="1"/>
  <c r="BB28" i="38"/>
  <c r="BF28" i="38" s="1"/>
  <c r="BD28" i="38"/>
  <c r="AZ29" i="38"/>
  <c r="BA29" i="38" s="1"/>
  <c r="BB29" i="38"/>
  <c r="BD29" i="38"/>
  <c r="AZ30" i="38"/>
  <c r="BA30" i="38" s="1"/>
  <c r="BB30" i="38"/>
  <c r="BD30" i="38"/>
  <c r="AZ31" i="38"/>
  <c r="BA31" i="38"/>
  <c r="BC31" i="38" s="1"/>
  <c r="BE31" i="38" s="1"/>
  <c r="BB31" i="38"/>
  <c r="BD31" i="38"/>
  <c r="BF31" i="38"/>
  <c r="AZ32" i="38"/>
  <c r="BA32" i="38" s="1"/>
  <c r="BB32" i="38"/>
  <c r="BD32" i="38"/>
  <c r="BF32" i="38"/>
  <c r="AZ33" i="38"/>
  <c r="BA33" i="38" s="1"/>
  <c r="BB33" i="38"/>
  <c r="BD33" i="38"/>
  <c r="AZ34" i="38"/>
  <c r="BA34" i="38" s="1"/>
  <c r="BB34" i="38"/>
  <c r="BD34" i="38"/>
  <c r="AZ35" i="38"/>
  <c r="BA35" i="38"/>
  <c r="BC35" i="38" s="1"/>
  <c r="BB35" i="38"/>
  <c r="BD35" i="38"/>
  <c r="BF35" i="38"/>
  <c r="AZ36" i="38"/>
  <c r="BA36" i="38" s="1"/>
  <c r="BB36" i="38"/>
  <c r="BD36" i="38"/>
  <c r="BF36" i="38"/>
  <c r="AZ37" i="38"/>
  <c r="BA37" i="38" s="1"/>
  <c r="BB37" i="38"/>
  <c r="BD37" i="38"/>
  <c r="AZ38" i="38"/>
  <c r="BA38" i="38" s="1"/>
  <c r="BB38" i="38"/>
  <c r="BD38" i="38"/>
  <c r="AZ39" i="38"/>
  <c r="BA39" i="38"/>
  <c r="BC39" i="38" s="1"/>
  <c r="BB39" i="38"/>
  <c r="BD39" i="38"/>
  <c r="BF39" i="38"/>
  <c r="AZ40" i="38"/>
  <c r="BA40" i="38" s="1"/>
  <c r="BB40" i="38"/>
  <c r="BD40" i="38"/>
  <c r="BF40" i="38"/>
  <c r="AZ41" i="38"/>
  <c r="BA41" i="38" s="1"/>
  <c r="BB41" i="38"/>
  <c r="BD41" i="38"/>
  <c r="AZ42" i="38"/>
  <c r="BA42" i="38" s="1"/>
  <c r="BB42" i="38"/>
  <c r="BD42" i="38"/>
  <c r="AZ43" i="38"/>
  <c r="BA43" i="38"/>
  <c r="BC43" i="38" s="1"/>
  <c r="BB43" i="38"/>
  <c r="BD43" i="38"/>
  <c r="BF43" i="38"/>
  <c r="AZ44" i="38"/>
  <c r="BA44" i="38" s="1"/>
  <c r="BB44" i="38"/>
  <c r="BF44" i="38" s="1"/>
  <c r="BD44" i="38"/>
  <c r="AZ45" i="38"/>
  <c r="BA45" i="38" s="1"/>
  <c r="BB45" i="38"/>
  <c r="BD45" i="38"/>
  <c r="AZ46" i="38"/>
  <c r="BA46" i="38" s="1"/>
  <c r="BB46" i="38"/>
  <c r="BD46" i="38"/>
  <c r="AZ47" i="38"/>
  <c r="BA47" i="38"/>
  <c r="BC47" i="38" s="1"/>
  <c r="BB47" i="38"/>
  <c r="BD47" i="38"/>
  <c r="BF47" i="38"/>
  <c r="AZ23" i="1"/>
  <c r="BA23" i="1" s="1"/>
  <c r="BB23" i="1"/>
  <c r="BD23" i="1"/>
  <c r="BF23" i="1"/>
  <c r="AZ24" i="1"/>
  <c r="BA24" i="1" s="1"/>
  <c r="BB24" i="1"/>
  <c r="BD24" i="1"/>
  <c r="AZ25" i="1"/>
  <c r="BA25" i="1" s="1"/>
  <c r="BB25" i="1"/>
  <c r="BD25" i="1"/>
  <c r="AZ26" i="1"/>
  <c r="BA26" i="1"/>
  <c r="BC26" i="1" s="1"/>
  <c r="BB26" i="1"/>
  <c r="BD26" i="1"/>
  <c r="BF26" i="1"/>
  <c r="AZ27" i="1"/>
  <c r="BA27" i="1" s="1"/>
  <c r="BB27" i="1"/>
  <c r="BD27" i="1"/>
  <c r="BF27" i="1"/>
  <c r="AZ28" i="1"/>
  <c r="BA28" i="1" s="1"/>
  <c r="BB28" i="1"/>
  <c r="BD28" i="1"/>
  <c r="AZ29" i="1"/>
  <c r="BA29" i="1" s="1"/>
  <c r="BB29" i="1"/>
  <c r="BD29" i="1"/>
  <c r="AZ30" i="1"/>
  <c r="BA30" i="1"/>
  <c r="BC30" i="1" s="1"/>
  <c r="BB30" i="1"/>
  <c r="BD30" i="1"/>
  <c r="BF30" i="1"/>
  <c r="AZ31" i="1"/>
  <c r="BA31" i="1" s="1"/>
  <c r="BB31" i="1"/>
  <c r="BF31" i="1" s="1"/>
  <c r="BD31" i="1"/>
  <c r="AZ32" i="1"/>
  <c r="BA32" i="1" s="1"/>
  <c r="BB32" i="1"/>
  <c r="BD32" i="1"/>
  <c r="AZ33" i="1"/>
  <c r="BA33" i="1" s="1"/>
  <c r="BB33" i="1"/>
  <c r="BD33" i="1"/>
  <c r="AZ34" i="1"/>
  <c r="BA34" i="1"/>
  <c r="BC34" i="1" s="1"/>
  <c r="BB34" i="1"/>
  <c r="BD34" i="1"/>
  <c r="BF34" i="1"/>
  <c r="AZ35" i="1"/>
  <c r="BA35" i="1" s="1"/>
  <c r="BB35" i="1"/>
  <c r="BD35" i="1"/>
  <c r="BF35" i="1"/>
  <c r="AZ36" i="1"/>
  <c r="BA36" i="1" s="1"/>
  <c r="BB36" i="1"/>
  <c r="BD36" i="1"/>
  <c r="AZ37" i="1"/>
  <c r="BA37" i="1" s="1"/>
  <c r="BB37" i="1"/>
  <c r="BD37" i="1"/>
  <c r="AZ38" i="1"/>
  <c r="BA38" i="1"/>
  <c r="BC38" i="1" s="1"/>
  <c r="BB38" i="1"/>
  <c r="BD38" i="1"/>
  <c r="BF38" i="1"/>
  <c r="AZ39" i="1"/>
  <c r="BA39" i="1" s="1"/>
  <c r="BB39" i="1"/>
  <c r="BD39" i="1"/>
  <c r="BF39" i="1"/>
  <c r="AZ40" i="1"/>
  <c r="BA40" i="1" s="1"/>
  <c r="BB40" i="1"/>
  <c r="BD40" i="1"/>
  <c r="AZ41" i="1"/>
  <c r="BA41" i="1" s="1"/>
  <c r="BB41" i="1"/>
  <c r="BD41" i="1"/>
  <c r="AZ42" i="1"/>
  <c r="BA42" i="1"/>
  <c r="BC42" i="1" s="1"/>
  <c r="BE42" i="1" s="1"/>
  <c r="BB42" i="1"/>
  <c r="BD42" i="1"/>
  <c r="BF42" i="1"/>
  <c r="AZ43" i="1"/>
  <c r="BA43" i="1" s="1"/>
  <c r="BB43" i="1"/>
  <c r="BD43" i="1"/>
  <c r="BF43" i="1"/>
  <c r="AZ44" i="1"/>
  <c r="BA44" i="1" s="1"/>
  <c r="BB44" i="1"/>
  <c r="BD44" i="1"/>
  <c r="AZ45" i="1"/>
  <c r="BA45" i="1" s="1"/>
  <c r="BB45" i="1"/>
  <c r="BD45" i="1"/>
  <c r="AZ46" i="1"/>
  <c r="BA46" i="1"/>
  <c r="BB46" i="1"/>
  <c r="BD46" i="1"/>
  <c r="BF46" i="1"/>
  <c r="AZ47" i="1"/>
  <c r="BA47" i="1" s="1"/>
  <c r="BB47" i="1"/>
  <c r="BF47" i="1" s="1"/>
  <c r="BD47" i="1"/>
  <c r="AQ23" i="22"/>
  <c r="AR23" i="22" s="1"/>
  <c r="AS23" i="22"/>
  <c r="AU23" i="22"/>
  <c r="AW23" i="22"/>
  <c r="AQ24" i="22"/>
  <c r="AR24" i="22"/>
  <c r="AT24" i="22" s="1"/>
  <c r="AV24" i="22" s="1"/>
  <c r="AS24" i="22"/>
  <c r="AU24" i="22"/>
  <c r="AW24" i="22"/>
  <c r="AQ25" i="22"/>
  <c r="AW25" i="22" s="1"/>
  <c r="AS25" i="22"/>
  <c r="AU25" i="22"/>
  <c r="AQ26" i="22"/>
  <c r="AW26" i="22" s="1"/>
  <c r="AR26" i="22"/>
  <c r="AT26" i="22" s="1"/>
  <c r="AV26" i="22" s="1"/>
  <c r="AS26" i="22"/>
  <c r="AU26" i="22"/>
  <c r="AQ27" i="22"/>
  <c r="AR27" i="22"/>
  <c r="AT27" i="22" s="1"/>
  <c r="AV27" i="22" s="1"/>
  <c r="AS27" i="22"/>
  <c r="AU27" i="22"/>
  <c r="AW27" i="22"/>
  <c r="AQ28" i="22"/>
  <c r="AR28" i="22"/>
  <c r="AS28" i="22"/>
  <c r="AT28" i="22"/>
  <c r="AV28" i="22" s="1"/>
  <c r="AU28" i="22"/>
  <c r="AW28" i="22"/>
  <c r="AQ29" i="22"/>
  <c r="AW29" i="22" s="1"/>
  <c r="AS29" i="22"/>
  <c r="AU29" i="22"/>
  <c r="AQ30" i="22"/>
  <c r="AW30" i="22" s="1"/>
  <c r="AR30" i="22"/>
  <c r="AT30" i="22" s="1"/>
  <c r="AV30" i="22" s="1"/>
  <c r="AS30" i="22"/>
  <c r="AU30" i="22"/>
  <c r="AQ31" i="22"/>
  <c r="AR31" i="22"/>
  <c r="AT31" i="22" s="1"/>
  <c r="AV31" i="22" s="1"/>
  <c r="AS31" i="22"/>
  <c r="AU31" i="22"/>
  <c r="AW31" i="22"/>
  <c r="AQ32" i="22"/>
  <c r="AR32" i="22"/>
  <c r="AT32" i="22" s="1"/>
  <c r="AV32" i="22" s="1"/>
  <c r="AS32" i="22"/>
  <c r="AU32" i="22"/>
  <c r="AW32" i="22"/>
  <c r="AQ33" i="22"/>
  <c r="AW33" i="22" s="1"/>
  <c r="AS33" i="22"/>
  <c r="AU33" i="22"/>
  <c r="AQ34" i="22"/>
  <c r="AW34" i="22" s="1"/>
  <c r="AR34" i="22"/>
  <c r="AT34" i="22" s="1"/>
  <c r="AV34" i="22" s="1"/>
  <c r="AS34" i="22"/>
  <c r="AU34" i="22"/>
  <c r="AQ35" i="22"/>
  <c r="AR35" i="22"/>
  <c r="AT35" i="22" s="1"/>
  <c r="AV35" i="22" s="1"/>
  <c r="AS35" i="22"/>
  <c r="AU35" i="22"/>
  <c r="AW35" i="22"/>
  <c r="AQ36" i="22"/>
  <c r="AR36" i="22"/>
  <c r="AS36" i="22"/>
  <c r="AT36" i="22"/>
  <c r="AV36" i="22" s="1"/>
  <c r="AU36" i="22"/>
  <c r="AW36" i="22"/>
  <c r="AQ37" i="22"/>
  <c r="AW37" i="22" s="1"/>
  <c r="AS37" i="22"/>
  <c r="AU37" i="22"/>
  <c r="AQ38" i="22"/>
  <c r="AW38" i="22" s="1"/>
  <c r="AR38" i="22"/>
  <c r="AT38" i="22" s="1"/>
  <c r="AV38" i="22" s="1"/>
  <c r="AS38" i="22"/>
  <c r="AU38" i="22"/>
  <c r="AQ39" i="22"/>
  <c r="AR39" i="22"/>
  <c r="AT39" i="22" s="1"/>
  <c r="AV39" i="22" s="1"/>
  <c r="AS39" i="22"/>
  <c r="AU39" i="22"/>
  <c r="AW39" i="22"/>
  <c r="AQ40" i="22"/>
  <c r="AR40" i="22" s="1"/>
  <c r="AS40" i="22"/>
  <c r="AU40" i="22"/>
  <c r="AW40" i="22"/>
  <c r="AQ41" i="22"/>
  <c r="AW41" i="22" s="1"/>
  <c r="AS41" i="22"/>
  <c r="AU41" i="22"/>
  <c r="AQ42" i="22"/>
  <c r="AW42" i="22" s="1"/>
  <c r="AR42" i="22"/>
  <c r="AT42" i="22" s="1"/>
  <c r="AV42" i="22" s="1"/>
  <c r="AS42" i="22"/>
  <c r="AU42" i="22"/>
  <c r="AQ43" i="22"/>
  <c r="AR43" i="22"/>
  <c r="AT43" i="22" s="1"/>
  <c r="AV43" i="22" s="1"/>
  <c r="AS43" i="22"/>
  <c r="AU43" i="22"/>
  <c r="AW43" i="22"/>
  <c r="AQ44" i="22"/>
  <c r="AR44" i="22" s="1"/>
  <c r="AS44" i="22"/>
  <c r="AU44" i="22"/>
  <c r="AW44" i="22"/>
  <c r="AQ45" i="22"/>
  <c r="AW45" i="22" s="1"/>
  <c r="AS45" i="22"/>
  <c r="AU45" i="22"/>
  <c r="AQ46" i="22"/>
  <c r="AR46" i="22" s="1"/>
  <c r="AS46" i="22"/>
  <c r="AU46" i="22"/>
  <c r="AQ47" i="22"/>
  <c r="AR47" i="22"/>
  <c r="AT47" i="22" s="1"/>
  <c r="AV47" i="22" s="1"/>
  <c r="AS47" i="22"/>
  <c r="AU47" i="22"/>
  <c r="AW47" i="22"/>
  <c r="AQ23" i="26"/>
  <c r="AR23" i="26"/>
  <c r="AS23" i="26"/>
  <c r="AT23" i="26"/>
  <c r="AV23" i="26" s="1"/>
  <c r="AU23" i="26"/>
  <c r="AW23" i="26"/>
  <c r="AQ24" i="26"/>
  <c r="AW24" i="26" s="1"/>
  <c r="AS24" i="26"/>
  <c r="AU24" i="26"/>
  <c r="AQ25" i="26"/>
  <c r="AR25" i="26" s="1"/>
  <c r="AS25" i="26"/>
  <c r="AU25" i="26"/>
  <c r="AQ26" i="26"/>
  <c r="AR26" i="26"/>
  <c r="AT26" i="26" s="1"/>
  <c r="AV26" i="26" s="1"/>
  <c r="AS26" i="26"/>
  <c r="AU26" i="26"/>
  <c r="AW26" i="26"/>
  <c r="AQ27" i="26"/>
  <c r="AR27" i="26"/>
  <c r="AS27" i="26"/>
  <c r="AU27" i="26"/>
  <c r="AW27" i="26"/>
  <c r="AQ28" i="26"/>
  <c r="AW28" i="26" s="1"/>
  <c r="AS28" i="26"/>
  <c r="AU28" i="26"/>
  <c r="AQ29" i="26"/>
  <c r="AR29" i="26" s="1"/>
  <c r="AS29" i="26"/>
  <c r="AU29" i="26"/>
  <c r="AQ30" i="26"/>
  <c r="AR30" i="26"/>
  <c r="AT30" i="26" s="1"/>
  <c r="AV30" i="26" s="1"/>
  <c r="AS30" i="26"/>
  <c r="AU30" i="26"/>
  <c r="AW30" i="26"/>
  <c r="AQ31" i="26"/>
  <c r="AR31" i="26"/>
  <c r="AT31" i="26" s="1"/>
  <c r="AV31" i="26" s="1"/>
  <c r="AS31" i="26"/>
  <c r="AU31" i="26"/>
  <c r="AW31" i="26"/>
  <c r="AQ32" i="26"/>
  <c r="AW32" i="26" s="1"/>
  <c r="AS32" i="26"/>
  <c r="AU32" i="26"/>
  <c r="AQ33" i="26"/>
  <c r="AR33" i="26" s="1"/>
  <c r="AS33" i="26"/>
  <c r="AU33" i="26"/>
  <c r="AQ34" i="26"/>
  <c r="AR34" i="26"/>
  <c r="AT34" i="26" s="1"/>
  <c r="AV34" i="26" s="1"/>
  <c r="AS34" i="26"/>
  <c r="AU34" i="26"/>
  <c r="AW34" i="26"/>
  <c r="AQ35" i="26"/>
  <c r="AR35" i="26"/>
  <c r="AS35" i="26"/>
  <c r="AT35" i="26" s="1"/>
  <c r="AV35" i="26" s="1"/>
  <c r="AU35" i="26"/>
  <c r="AW35" i="26"/>
  <c r="AQ36" i="26"/>
  <c r="AW36" i="26" s="1"/>
  <c r="AS36" i="26"/>
  <c r="AU36" i="26"/>
  <c r="AQ37" i="26"/>
  <c r="AR37" i="26" s="1"/>
  <c r="AS37" i="26"/>
  <c r="AU37" i="26"/>
  <c r="AQ38" i="26"/>
  <c r="AR38" i="26"/>
  <c r="AT38" i="26" s="1"/>
  <c r="AV38" i="26" s="1"/>
  <c r="AS38" i="26"/>
  <c r="AU38" i="26"/>
  <c r="AW38" i="26"/>
  <c r="AQ39" i="26"/>
  <c r="AR39" i="26"/>
  <c r="AS39" i="26"/>
  <c r="AT39" i="26" s="1"/>
  <c r="AV39" i="26" s="1"/>
  <c r="AU39" i="26"/>
  <c r="AW39" i="26"/>
  <c r="AQ40" i="26"/>
  <c r="AW40" i="26" s="1"/>
  <c r="AS40" i="26"/>
  <c r="AU40" i="26"/>
  <c r="AQ41" i="26"/>
  <c r="AR41" i="26" s="1"/>
  <c r="AS41" i="26"/>
  <c r="AU41" i="26"/>
  <c r="AQ42" i="26"/>
  <c r="AR42" i="26"/>
  <c r="AT42" i="26" s="1"/>
  <c r="AV42" i="26" s="1"/>
  <c r="AS42" i="26"/>
  <c r="AU42" i="26"/>
  <c r="AW42" i="26"/>
  <c r="AQ43" i="26"/>
  <c r="AR43" i="26"/>
  <c r="AT43" i="26" s="1"/>
  <c r="AV43" i="26" s="1"/>
  <c r="AS43" i="26"/>
  <c r="AU43" i="26"/>
  <c r="AW43" i="26"/>
  <c r="AQ44" i="26"/>
  <c r="AW44" i="26" s="1"/>
  <c r="AS44" i="26"/>
  <c r="AU44" i="26"/>
  <c r="AQ45" i="26"/>
  <c r="AR45" i="26" s="1"/>
  <c r="AS45" i="26"/>
  <c r="AU45" i="26"/>
  <c r="AQ46" i="26"/>
  <c r="AR46" i="26"/>
  <c r="AT46" i="26" s="1"/>
  <c r="AV46" i="26" s="1"/>
  <c r="AS46" i="26"/>
  <c r="AU46" i="26"/>
  <c r="AW46" i="26"/>
  <c r="AQ47" i="26"/>
  <c r="AR47" i="26"/>
  <c r="AT47" i="26" s="1"/>
  <c r="AV47" i="26" s="1"/>
  <c r="AS47" i="26"/>
  <c r="AU47" i="26"/>
  <c r="AW47" i="26"/>
  <c r="AQ23" i="27"/>
  <c r="AW23" i="27" s="1"/>
  <c r="AS23" i="27"/>
  <c r="AU23" i="27"/>
  <c r="AQ24" i="27"/>
  <c r="AR24" i="27" s="1"/>
  <c r="AS24" i="27"/>
  <c r="AU24" i="27"/>
  <c r="AQ25" i="27"/>
  <c r="AR25" i="27"/>
  <c r="AT25" i="27" s="1"/>
  <c r="AV25" i="27" s="1"/>
  <c r="AS25" i="27"/>
  <c r="AU25" i="27"/>
  <c r="AW25" i="27"/>
  <c r="AQ26" i="27"/>
  <c r="AR26" i="27"/>
  <c r="AT26" i="27" s="1"/>
  <c r="AV26" i="27" s="1"/>
  <c r="AS26" i="27"/>
  <c r="AU26" i="27"/>
  <c r="AW26" i="27"/>
  <c r="AQ27" i="27"/>
  <c r="AW27" i="27" s="1"/>
  <c r="AS27" i="27"/>
  <c r="AU27" i="27"/>
  <c r="AQ28" i="27"/>
  <c r="AW28" i="27" s="1"/>
  <c r="AR28" i="27"/>
  <c r="AT28" i="27" s="1"/>
  <c r="AV28" i="27" s="1"/>
  <c r="AS28" i="27"/>
  <c r="AU28" i="27"/>
  <c r="AQ29" i="27"/>
  <c r="AR29" i="27"/>
  <c r="AT29" i="27" s="1"/>
  <c r="AV29" i="27" s="1"/>
  <c r="AS29" i="27"/>
  <c r="AU29" i="27"/>
  <c r="AW29" i="27"/>
  <c r="AQ30" i="27"/>
  <c r="AR30" i="27"/>
  <c r="AT30" i="27" s="1"/>
  <c r="AV30" i="27" s="1"/>
  <c r="AS30" i="27"/>
  <c r="AU30" i="27"/>
  <c r="AW30" i="27"/>
  <c r="AQ31" i="27"/>
  <c r="AW31" i="27" s="1"/>
  <c r="AS31" i="27"/>
  <c r="AU31" i="27"/>
  <c r="AQ32" i="27"/>
  <c r="AR32" i="27" s="1"/>
  <c r="AS32" i="27"/>
  <c r="AU32" i="27"/>
  <c r="AQ33" i="27"/>
  <c r="AR33" i="27"/>
  <c r="AT33" i="27" s="1"/>
  <c r="AV33" i="27" s="1"/>
  <c r="AS33" i="27"/>
  <c r="AU33" i="27"/>
  <c r="AW33" i="27"/>
  <c r="AQ34" i="27"/>
  <c r="AR34" i="27"/>
  <c r="AT34" i="27" s="1"/>
  <c r="AV34" i="27" s="1"/>
  <c r="AS34" i="27"/>
  <c r="AU34" i="27"/>
  <c r="AW34" i="27"/>
  <c r="AQ35" i="27"/>
  <c r="AW35" i="27" s="1"/>
  <c r="AS35" i="27"/>
  <c r="AU35" i="27"/>
  <c r="AQ36" i="27"/>
  <c r="AR36" i="27" s="1"/>
  <c r="AS36" i="27"/>
  <c r="AU36" i="27"/>
  <c r="AQ37" i="27"/>
  <c r="AR37" i="27"/>
  <c r="AT37" i="27" s="1"/>
  <c r="AV37" i="27" s="1"/>
  <c r="AS37" i="27"/>
  <c r="AU37" i="27"/>
  <c r="AW37" i="27"/>
  <c r="AQ38" i="27"/>
  <c r="AR38" i="27"/>
  <c r="AT38" i="27" s="1"/>
  <c r="AV38" i="27" s="1"/>
  <c r="AS38" i="27"/>
  <c r="AU38" i="27"/>
  <c r="AW38" i="27"/>
  <c r="AQ39" i="27"/>
  <c r="AW39" i="27" s="1"/>
  <c r="AS39" i="27"/>
  <c r="AU39" i="27"/>
  <c r="AQ40" i="27"/>
  <c r="AR40" i="27" s="1"/>
  <c r="AS40" i="27"/>
  <c r="AU40" i="27"/>
  <c r="AQ41" i="27"/>
  <c r="AR41" i="27"/>
  <c r="AT41" i="27" s="1"/>
  <c r="AV41" i="27" s="1"/>
  <c r="AS41" i="27"/>
  <c r="AU41" i="27"/>
  <c r="AW41" i="27"/>
  <c r="AQ42" i="27"/>
  <c r="AR42" i="27"/>
  <c r="AT42" i="27" s="1"/>
  <c r="AV42" i="27" s="1"/>
  <c r="AS42" i="27"/>
  <c r="AU42" i="27"/>
  <c r="AW42" i="27"/>
  <c r="AQ43" i="27"/>
  <c r="AW43" i="27" s="1"/>
  <c r="AS43" i="27"/>
  <c r="AU43" i="27"/>
  <c r="AQ44" i="27"/>
  <c r="AR44" i="27" s="1"/>
  <c r="AS44" i="27"/>
  <c r="AU44" i="27"/>
  <c r="AQ45" i="27"/>
  <c r="AR45" i="27"/>
  <c r="AT45" i="27" s="1"/>
  <c r="AV45" i="27" s="1"/>
  <c r="AS45" i="27"/>
  <c r="AU45" i="27"/>
  <c r="AW45" i="27"/>
  <c r="AQ46" i="27"/>
  <c r="AR46" i="27"/>
  <c r="AT46" i="27" s="1"/>
  <c r="AV46" i="27" s="1"/>
  <c r="AS46" i="27"/>
  <c r="AU46" i="27"/>
  <c r="AW46" i="27"/>
  <c r="AQ47" i="27"/>
  <c r="AW47" i="27" s="1"/>
  <c r="AS47" i="27"/>
  <c r="AU47" i="27"/>
  <c r="AQ23" i="28"/>
  <c r="AW23" i="28" s="1"/>
  <c r="AR23" i="28"/>
  <c r="AT23" i="28" s="1"/>
  <c r="AS23" i="28"/>
  <c r="AU23" i="28"/>
  <c r="AQ24" i="28"/>
  <c r="AR24" i="28"/>
  <c r="AT24" i="28" s="1"/>
  <c r="AS24" i="28"/>
  <c r="AU24" i="28"/>
  <c r="AW24" i="28"/>
  <c r="AQ25" i="28"/>
  <c r="AR25" i="28"/>
  <c r="AT25" i="28" s="1"/>
  <c r="AV25" i="28" s="1"/>
  <c r="AS25" i="28"/>
  <c r="AW25" i="28" s="1"/>
  <c r="AU25" i="28"/>
  <c r="AQ26" i="28"/>
  <c r="AS26" i="28"/>
  <c r="AU26" i="28"/>
  <c r="AQ27" i="28"/>
  <c r="AW27" i="28" s="1"/>
  <c r="AR27" i="28"/>
  <c r="AT27" i="28" s="1"/>
  <c r="AS27" i="28"/>
  <c r="AU27" i="28"/>
  <c r="AQ28" i="28"/>
  <c r="AR28" i="28"/>
  <c r="AS28" i="28"/>
  <c r="AW28" i="28" s="1"/>
  <c r="AU28" i="28"/>
  <c r="AQ29" i="28"/>
  <c r="AR29" i="28"/>
  <c r="AS29" i="28"/>
  <c r="AW29" i="28" s="1"/>
  <c r="AU29" i="28"/>
  <c r="AQ30" i="28"/>
  <c r="AS30" i="28"/>
  <c r="AU30" i="28"/>
  <c r="AQ31" i="28"/>
  <c r="AW31" i="28" s="1"/>
  <c r="AS31" i="28"/>
  <c r="AU31" i="28"/>
  <c r="AQ32" i="28"/>
  <c r="AR32" i="28"/>
  <c r="AS32" i="28"/>
  <c r="AW32" i="28" s="1"/>
  <c r="AU32" i="28"/>
  <c r="AQ33" i="28"/>
  <c r="AW33" i="28" s="1"/>
  <c r="AR33" i="28"/>
  <c r="AT33" i="28" s="1"/>
  <c r="AV33" i="28" s="1"/>
  <c r="AS33" i="28"/>
  <c r="AU33" i="28"/>
  <c r="AQ34" i="28"/>
  <c r="AR34" i="28"/>
  <c r="AT34" i="28" s="1"/>
  <c r="AV34" i="28" s="1"/>
  <c r="AS34" i="28"/>
  <c r="AU34" i="28"/>
  <c r="AW34" i="28"/>
  <c r="AQ35" i="28"/>
  <c r="AR35" i="28"/>
  <c r="AT35" i="28" s="1"/>
  <c r="AV35" i="28" s="1"/>
  <c r="AS35" i="28"/>
  <c r="AU35" i="28"/>
  <c r="AW35" i="28"/>
  <c r="AQ36" i="28"/>
  <c r="AR36" i="28" s="1"/>
  <c r="AS36" i="28"/>
  <c r="AU36" i="28"/>
  <c r="AQ37" i="28"/>
  <c r="AW37" i="28" s="1"/>
  <c r="AR37" i="28"/>
  <c r="AT37" i="28" s="1"/>
  <c r="AV37" i="28" s="1"/>
  <c r="AS37" i="28"/>
  <c r="AU37" i="28"/>
  <c r="AQ38" i="28"/>
  <c r="AR38" i="28"/>
  <c r="AT38" i="28" s="1"/>
  <c r="AV38" i="28" s="1"/>
  <c r="AS38" i="28"/>
  <c r="AU38" i="28"/>
  <c r="AW38" i="28"/>
  <c r="AQ39" i="28"/>
  <c r="AR39" i="28"/>
  <c r="AT39" i="28" s="1"/>
  <c r="AV39" i="28" s="1"/>
  <c r="AS39" i="28"/>
  <c r="AU39" i="28"/>
  <c r="AW39" i="28"/>
  <c r="AQ40" i="28"/>
  <c r="AR40" i="28" s="1"/>
  <c r="AS40" i="28"/>
  <c r="AU40" i="28"/>
  <c r="AQ41" i="28"/>
  <c r="AW41" i="28" s="1"/>
  <c r="AR41" i="28"/>
  <c r="AT41" i="28" s="1"/>
  <c r="AV41" i="28" s="1"/>
  <c r="AS41" i="28"/>
  <c r="AU41" i="28"/>
  <c r="AQ42" i="28"/>
  <c r="AR42" i="28"/>
  <c r="AT42" i="28" s="1"/>
  <c r="AV42" i="28" s="1"/>
  <c r="AS42" i="28"/>
  <c r="AU42" i="28"/>
  <c r="AW42" i="28"/>
  <c r="AQ43" i="28"/>
  <c r="AR43" i="28"/>
  <c r="AT43" i="28" s="1"/>
  <c r="AV43" i="28" s="1"/>
  <c r="AS43" i="28"/>
  <c r="AU43" i="28"/>
  <c r="AW43" i="28"/>
  <c r="AQ44" i="28"/>
  <c r="AR44" i="28" s="1"/>
  <c r="AS44" i="28"/>
  <c r="AU44" i="28"/>
  <c r="AQ45" i="28"/>
  <c r="AW45" i="28" s="1"/>
  <c r="AR45" i="28"/>
  <c r="AT45" i="28" s="1"/>
  <c r="AV45" i="28" s="1"/>
  <c r="AS45" i="28"/>
  <c r="AU45" i="28"/>
  <c r="AQ46" i="28"/>
  <c r="AR46" i="28"/>
  <c r="AT46" i="28" s="1"/>
  <c r="AV46" i="28" s="1"/>
  <c r="AS46" i="28"/>
  <c r="AU46" i="28"/>
  <c r="AW46" i="28"/>
  <c r="AQ47" i="28"/>
  <c r="AR47" i="28"/>
  <c r="AS47" i="28"/>
  <c r="AT47" i="28"/>
  <c r="AV47" i="28" s="1"/>
  <c r="AU47" i="28"/>
  <c r="AW47" i="28"/>
  <c r="AQ23" i="29"/>
  <c r="AR23" i="29" s="1"/>
  <c r="AS23" i="29"/>
  <c r="AU23" i="29"/>
  <c r="AQ24" i="29"/>
  <c r="AW24" i="29" s="1"/>
  <c r="AR24" i="29"/>
  <c r="AT24" i="29" s="1"/>
  <c r="AV24" i="29" s="1"/>
  <c r="AS24" i="29"/>
  <c r="AU24" i="29"/>
  <c r="AQ25" i="29"/>
  <c r="AR25" i="29"/>
  <c r="AT25" i="29" s="1"/>
  <c r="AV25" i="29" s="1"/>
  <c r="AS25" i="29"/>
  <c r="AU25" i="29"/>
  <c r="AW25" i="29"/>
  <c r="AQ26" i="29"/>
  <c r="AR26" i="29"/>
  <c r="AT26" i="29" s="1"/>
  <c r="AV26" i="29" s="1"/>
  <c r="AS26" i="29"/>
  <c r="AU26" i="29"/>
  <c r="AW26" i="29"/>
  <c r="AQ27" i="29"/>
  <c r="AR27" i="29" s="1"/>
  <c r="AS27" i="29"/>
  <c r="AU27" i="29"/>
  <c r="AQ28" i="29"/>
  <c r="AW28" i="29" s="1"/>
  <c r="AR28" i="29"/>
  <c r="AT28" i="29" s="1"/>
  <c r="AV28" i="29" s="1"/>
  <c r="AS28" i="29"/>
  <c r="AU28" i="29"/>
  <c r="AQ29" i="29"/>
  <c r="AR29" i="29"/>
  <c r="AT29" i="29" s="1"/>
  <c r="AV29" i="29" s="1"/>
  <c r="AS29" i="29"/>
  <c r="AU29" i="29"/>
  <c r="AW29" i="29"/>
  <c r="AQ30" i="29"/>
  <c r="AR30" i="29"/>
  <c r="AT30" i="29" s="1"/>
  <c r="AV30" i="29" s="1"/>
  <c r="AS30" i="29"/>
  <c r="AU30" i="29"/>
  <c r="AW30" i="29"/>
  <c r="AQ31" i="29"/>
  <c r="AR31" i="29" s="1"/>
  <c r="AS31" i="29"/>
  <c r="AU31" i="29"/>
  <c r="AQ32" i="29"/>
  <c r="AW32" i="29" s="1"/>
  <c r="AR32" i="29"/>
  <c r="AT32" i="29" s="1"/>
  <c r="AS32" i="29"/>
  <c r="AU32" i="29"/>
  <c r="AV32" i="29"/>
  <c r="AQ33" i="29"/>
  <c r="AR33" i="29"/>
  <c r="AS33" i="29"/>
  <c r="AW33" i="29" s="1"/>
  <c r="AU33" i="29"/>
  <c r="AQ34" i="29"/>
  <c r="AR34" i="29"/>
  <c r="AS34" i="29"/>
  <c r="AT34" i="29"/>
  <c r="AV34" i="29" s="1"/>
  <c r="AU34" i="29"/>
  <c r="AW34" i="29"/>
  <c r="AQ35" i="29"/>
  <c r="AS35" i="29"/>
  <c r="AU35" i="29"/>
  <c r="AQ36" i="29"/>
  <c r="AW36" i="29" s="1"/>
  <c r="AR36" i="29"/>
  <c r="AT36" i="29" s="1"/>
  <c r="AS36" i="29"/>
  <c r="AU36" i="29"/>
  <c r="AQ37" i="29"/>
  <c r="AR37" i="29"/>
  <c r="AS37" i="29"/>
  <c r="AU37" i="29"/>
  <c r="AW37" i="29"/>
  <c r="AQ38" i="29"/>
  <c r="AR38" i="29"/>
  <c r="AT38" i="29" s="1"/>
  <c r="AV38" i="29" s="1"/>
  <c r="AS38" i="29"/>
  <c r="AU38" i="29"/>
  <c r="AW38" i="29"/>
  <c r="AQ39" i="29"/>
  <c r="AS39" i="29"/>
  <c r="AU39" i="29"/>
  <c r="AQ40" i="29"/>
  <c r="AW40" i="29" s="1"/>
  <c r="AR40" i="29"/>
  <c r="AT40" i="29" s="1"/>
  <c r="AS40" i="29"/>
  <c r="AU40" i="29"/>
  <c r="AQ41" i="29"/>
  <c r="AR41" i="29"/>
  <c r="AT41" i="29" s="1"/>
  <c r="AV41" i="29" s="1"/>
  <c r="AS41" i="29"/>
  <c r="AU41" i="29"/>
  <c r="AW41" i="29"/>
  <c r="AQ42" i="29"/>
  <c r="AR42" i="29"/>
  <c r="AS42" i="29"/>
  <c r="AT42" i="29"/>
  <c r="AV42" i="29" s="1"/>
  <c r="AU42" i="29"/>
  <c r="AW42" i="29"/>
  <c r="AQ43" i="29"/>
  <c r="AS43" i="29"/>
  <c r="AU43" i="29"/>
  <c r="AQ44" i="29"/>
  <c r="AW44" i="29" s="1"/>
  <c r="AR44" i="29"/>
  <c r="AT44" i="29" s="1"/>
  <c r="AS44" i="29"/>
  <c r="AU44" i="29"/>
  <c r="AQ45" i="29"/>
  <c r="AR45" i="29"/>
  <c r="AS45" i="29"/>
  <c r="AW45" i="29" s="1"/>
  <c r="AU45" i="29"/>
  <c r="AQ46" i="29"/>
  <c r="AR46" i="29"/>
  <c r="AT46" i="29" s="1"/>
  <c r="AV46" i="29" s="1"/>
  <c r="AS46" i="29"/>
  <c r="AU46" i="29"/>
  <c r="AW46" i="29"/>
  <c r="AQ47" i="29"/>
  <c r="AS47" i="29"/>
  <c r="AU47" i="29"/>
  <c r="AQ23" i="23"/>
  <c r="AW23" i="23" s="1"/>
  <c r="AR23" i="23"/>
  <c r="AT23" i="23" s="1"/>
  <c r="AS23" i="23"/>
  <c r="AU23" i="23"/>
  <c r="AV23" i="23"/>
  <c r="AQ24" i="23"/>
  <c r="AR24" i="23"/>
  <c r="AS24" i="23"/>
  <c r="AW24" i="23" s="1"/>
  <c r="AU24" i="23"/>
  <c r="AQ25" i="23"/>
  <c r="AR25" i="23"/>
  <c r="AT25" i="23" s="1"/>
  <c r="AV25" i="23" s="1"/>
  <c r="AS25" i="23"/>
  <c r="AU25" i="23"/>
  <c r="AW25" i="23"/>
  <c r="AQ26" i="23"/>
  <c r="AS26" i="23"/>
  <c r="AU26" i="23"/>
  <c r="AQ27" i="23"/>
  <c r="AW27" i="23" s="1"/>
  <c r="AR27" i="23"/>
  <c r="AT27" i="23" s="1"/>
  <c r="AS27" i="23"/>
  <c r="AU27" i="23"/>
  <c r="AQ28" i="23"/>
  <c r="AR28" i="23"/>
  <c r="AS28" i="23"/>
  <c r="AW28" i="23" s="1"/>
  <c r="AU28" i="23"/>
  <c r="AQ29" i="23"/>
  <c r="AR29" i="23"/>
  <c r="AS29" i="23"/>
  <c r="AW29" i="23" s="1"/>
  <c r="AU29" i="23"/>
  <c r="AQ30" i="23"/>
  <c r="AS30" i="23"/>
  <c r="AU30" i="23"/>
  <c r="AQ31" i="23"/>
  <c r="AW31" i="23" s="1"/>
  <c r="AS31" i="23"/>
  <c r="AU31" i="23"/>
  <c r="AQ32" i="23"/>
  <c r="AR32" i="23"/>
  <c r="AS32" i="23"/>
  <c r="AW32" i="23" s="1"/>
  <c r="AU32" i="23"/>
  <c r="AQ33" i="23"/>
  <c r="AR33" i="23"/>
  <c r="AT33" i="23" s="1"/>
  <c r="AV33" i="23" s="1"/>
  <c r="AS33" i="23"/>
  <c r="AU33" i="23"/>
  <c r="AW33" i="23"/>
  <c r="AQ34" i="23"/>
  <c r="AS34" i="23"/>
  <c r="AU34" i="23"/>
  <c r="AQ35" i="23"/>
  <c r="AR35" i="23"/>
  <c r="AT35" i="23" s="1"/>
  <c r="AS35" i="23"/>
  <c r="AU35" i="23"/>
  <c r="AQ36" i="23"/>
  <c r="AR36" i="23"/>
  <c r="AS36" i="23"/>
  <c r="AW36" i="23" s="1"/>
  <c r="AU36" i="23"/>
  <c r="AQ37" i="23"/>
  <c r="AR37" i="23"/>
  <c r="AS37" i="23"/>
  <c r="AW37" i="23" s="1"/>
  <c r="AT37" i="23"/>
  <c r="AV37" i="23" s="1"/>
  <c r="AU37" i="23"/>
  <c r="AQ38" i="23"/>
  <c r="AS38" i="23"/>
  <c r="AU38" i="23"/>
  <c r="AQ39" i="23"/>
  <c r="AW39" i="23" s="1"/>
  <c r="AR39" i="23"/>
  <c r="AT39" i="23" s="1"/>
  <c r="AS39" i="23"/>
  <c r="AU39" i="23"/>
  <c r="AQ40" i="23"/>
  <c r="AR40" i="23"/>
  <c r="AT40" i="23" s="1"/>
  <c r="AS40" i="23"/>
  <c r="AU40" i="23"/>
  <c r="AW40" i="23"/>
  <c r="AQ41" i="23"/>
  <c r="AR41" i="23" s="1"/>
  <c r="AS41" i="23"/>
  <c r="AW41" i="23" s="1"/>
  <c r="AT41" i="23"/>
  <c r="AU41" i="23"/>
  <c r="AQ42" i="23"/>
  <c r="AS42" i="23"/>
  <c r="AU42" i="23"/>
  <c r="AQ43" i="23"/>
  <c r="AW43" i="23" s="1"/>
  <c r="AR43" i="23"/>
  <c r="AT43" i="23" s="1"/>
  <c r="AS43" i="23"/>
  <c r="AU43" i="23"/>
  <c r="AQ44" i="23"/>
  <c r="AR44" i="23"/>
  <c r="AT44" i="23" s="1"/>
  <c r="AS44" i="23"/>
  <c r="AU44" i="23"/>
  <c r="AW44" i="23"/>
  <c r="AQ45" i="23"/>
  <c r="AR45" i="23" s="1"/>
  <c r="AS45" i="23"/>
  <c r="AW45" i="23" s="1"/>
  <c r="AT45" i="23"/>
  <c r="AU45" i="23"/>
  <c r="AQ46" i="23"/>
  <c r="AS46" i="23"/>
  <c r="AU46" i="23"/>
  <c r="AQ47" i="23"/>
  <c r="AW47" i="23" s="1"/>
  <c r="AR47" i="23"/>
  <c r="AT47" i="23" s="1"/>
  <c r="AS47" i="23"/>
  <c r="AU47" i="23"/>
  <c r="AQ23" i="38"/>
  <c r="AR23" i="38"/>
  <c r="AT23" i="38" s="1"/>
  <c r="AS23" i="38"/>
  <c r="AU23" i="38"/>
  <c r="AW23" i="38"/>
  <c r="AQ24" i="38"/>
  <c r="AR24" i="38" s="1"/>
  <c r="AS24" i="38"/>
  <c r="AW24" i="38" s="1"/>
  <c r="AT24" i="38"/>
  <c r="AU24" i="38"/>
  <c r="AQ25" i="38"/>
  <c r="AS25" i="38"/>
  <c r="AU25" i="38"/>
  <c r="AQ26" i="38"/>
  <c r="AW26" i="38" s="1"/>
  <c r="AR26" i="38"/>
  <c r="AT26" i="38" s="1"/>
  <c r="AS26" i="38"/>
  <c r="AU26" i="38"/>
  <c r="AQ27" i="38"/>
  <c r="AR27" i="38"/>
  <c r="AT27" i="38" s="1"/>
  <c r="AS27" i="38"/>
  <c r="AU27" i="38"/>
  <c r="AW27" i="38"/>
  <c r="AQ28" i="38"/>
  <c r="AR28" i="38" s="1"/>
  <c r="AS28" i="38"/>
  <c r="AW28" i="38" s="1"/>
  <c r="AT28" i="38"/>
  <c r="AU28" i="38"/>
  <c r="AQ29" i="38"/>
  <c r="AS29" i="38"/>
  <c r="AU29" i="38"/>
  <c r="AQ30" i="38"/>
  <c r="AW30" i="38" s="1"/>
  <c r="AR30" i="38"/>
  <c r="AT30" i="38" s="1"/>
  <c r="AS30" i="38"/>
  <c r="AU30" i="38"/>
  <c r="AQ31" i="38"/>
  <c r="AR31" i="38"/>
  <c r="AT31" i="38" s="1"/>
  <c r="AS31" i="38"/>
  <c r="AU31" i="38"/>
  <c r="AW31" i="38"/>
  <c r="AQ32" i="38"/>
  <c r="AR32" i="38" s="1"/>
  <c r="AS32" i="38"/>
  <c r="AW32" i="38" s="1"/>
  <c r="AT32" i="38"/>
  <c r="AU32" i="38"/>
  <c r="AQ33" i="38"/>
  <c r="AS33" i="38"/>
  <c r="AU33" i="38"/>
  <c r="AQ34" i="38"/>
  <c r="AW34" i="38" s="1"/>
  <c r="AR34" i="38"/>
  <c r="AT34" i="38" s="1"/>
  <c r="AS34" i="38"/>
  <c r="AU34" i="38"/>
  <c r="AQ35" i="38"/>
  <c r="AR35" i="38"/>
  <c r="AT35" i="38" s="1"/>
  <c r="AS35" i="38"/>
  <c r="AU35" i="38"/>
  <c r="AW35" i="38"/>
  <c r="AQ36" i="38"/>
  <c r="AR36" i="38" s="1"/>
  <c r="AS36" i="38"/>
  <c r="AT36" i="38"/>
  <c r="AV36" i="38" s="1"/>
  <c r="AU36" i="38"/>
  <c r="AW36" i="38" s="1"/>
  <c r="AQ37" i="38"/>
  <c r="AW37" i="38" s="1"/>
  <c r="AR37" i="38"/>
  <c r="AT37" i="38" s="1"/>
  <c r="AV37" i="38" s="1"/>
  <c r="AS37" i="38"/>
  <c r="AU37" i="38"/>
  <c r="AQ38" i="38"/>
  <c r="AR38" i="38"/>
  <c r="AT38" i="38" s="1"/>
  <c r="AV38" i="38" s="1"/>
  <c r="AS38" i="38"/>
  <c r="AU38" i="38"/>
  <c r="AW38" i="38"/>
  <c r="AQ39" i="38"/>
  <c r="AR39" i="38"/>
  <c r="AT39" i="38" s="1"/>
  <c r="AV39" i="38" s="1"/>
  <c r="AS39" i="38"/>
  <c r="AU39" i="38"/>
  <c r="AW39" i="38"/>
  <c r="AQ40" i="38"/>
  <c r="AR40" i="38" s="1"/>
  <c r="AS40" i="38"/>
  <c r="AU40" i="38"/>
  <c r="AQ41" i="38"/>
  <c r="AW41" i="38" s="1"/>
  <c r="AR41" i="38"/>
  <c r="AT41" i="38" s="1"/>
  <c r="AV41" i="38" s="1"/>
  <c r="AS41" i="38"/>
  <c r="AU41" i="38"/>
  <c r="AQ42" i="38"/>
  <c r="AR42" i="38"/>
  <c r="AT42" i="38" s="1"/>
  <c r="AV42" i="38" s="1"/>
  <c r="AS42" i="38"/>
  <c r="AU42" i="38"/>
  <c r="AW42" i="38"/>
  <c r="AQ43" i="38"/>
  <c r="AR43" i="38"/>
  <c r="AT43" i="38" s="1"/>
  <c r="AV43" i="38" s="1"/>
  <c r="AS43" i="38"/>
  <c r="AU43" i="38"/>
  <c r="AW43" i="38"/>
  <c r="AQ44" i="38"/>
  <c r="AR44" i="38" s="1"/>
  <c r="AS44" i="38"/>
  <c r="AU44" i="38"/>
  <c r="AQ45" i="38"/>
  <c r="AW45" i="38" s="1"/>
  <c r="AR45" i="38"/>
  <c r="AT45" i="38" s="1"/>
  <c r="AV45" i="38" s="1"/>
  <c r="AS45" i="38"/>
  <c r="AU45" i="38"/>
  <c r="AQ46" i="38"/>
  <c r="AR46" i="38"/>
  <c r="AT46" i="38" s="1"/>
  <c r="AV46" i="38" s="1"/>
  <c r="AS46" i="38"/>
  <c r="AU46" i="38"/>
  <c r="AW46" i="38"/>
  <c r="AQ47" i="38"/>
  <c r="AR47" i="38"/>
  <c r="AT47" i="38" s="1"/>
  <c r="AV47" i="38" s="1"/>
  <c r="AS47" i="38"/>
  <c r="AU47" i="38"/>
  <c r="AW47" i="38"/>
  <c r="AQ23" i="1"/>
  <c r="AR23" i="1" s="1"/>
  <c r="AS23" i="1"/>
  <c r="AU23" i="1"/>
  <c r="AQ24" i="1"/>
  <c r="AW24" i="1" s="1"/>
  <c r="AR24" i="1"/>
  <c r="AT24" i="1" s="1"/>
  <c r="AV24" i="1" s="1"/>
  <c r="AS24" i="1"/>
  <c r="AU24" i="1"/>
  <c r="AQ25" i="1"/>
  <c r="AR25" i="1"/>
  <c r="AT25" i="1" s="1"/>
  <c r="AV25" i="1" s="1"/>
  <c r="AS25" i="1"/>
  <c r="AU25" i="1"/>
  <c r="AW25" i="1"/>
  <c r="AQ26" i="1"/>
  <c r="AR26" i="1"/>
  <c r="AS26" i="1"/>
  <c r="AT26" i="1"/>
  <c r="AV26" i="1" s="1"/>
  <c r="AU26" i="1"/>
  <c r="AW26" i="1"/>
  <c r="AQ27" i="1"/>
  <c r="AR27" i="1" s="1"/>
  <c r="AS27" i="1"/>
  <c r="AU27" i="1"/>
  <c r="AQ28" i="1"/>
  <c r="AW28" i="1" s="1"/>
  <c r="AR28" i="1"/>
  <c r="AT28" i="1" s="1"/>
  <c r="AV28" i="1" s="1"/>
  <c r="AS28" i="1"/>
  <c r="AU28" i="1"/>
  <c r="AQ29" i="1"/>
  <c r="AR29" i="1"/>
  <c r="AT29" i="1" s="1"/>
  <c r="AV29" i="1" s="1"/>
  <c r="AS29" i="1"/>
  <c r="AU29" i="1"/>
  <c r="AW29" i="1"/>
  <c r="AQ30" i="1"/>
  <c r="AR30" i="1"/>
  <c r="AT30" i="1" s="1"/>
  <c r="AV30" i="1" s="1"/>
  <c r="AS30" i="1"/>
  <c r="AU30" i="1"/>
  <c r="AW30" i="1"/>
  <c r="AQ31" i="1"/>
  <c r="AR31" i="1" s="1"/>
  <c r="AS31" i="1"/>
  <c r="AU31" i="1"/>
  <c r="AQ32" i="1"/>
  <c r="AW32" i="1" s="1"/>
  <c r="AR32" i="1"/>
  <c r="AT32" i="1" s="1"/>
  <c r="AV32" i="1" s="1"/>
  <c r="AS32" i="1"/>
  <c r="AU32" i="1"/>
  <c r="AQ33" i="1"/>
  <c r="AR33" i="1"/>
  <c r="AT33" i="1" s="1"/>
  <c r="AV33" i="1" s="1"/>
  <c r="AS33" i="1"/>
  <c r="AU33" i="1"/>
  <c r="AW33" i="1"/>
  <c r="AQ34" i="1"/>
  <c r="AR34" i="1"/>
  <c r="AS34" i="1"/>
  <c r="AT34" i="1"/>
  <c r="AV34" i="1" s="1"/>
  <c r="AU34" i="1"/>
  <c r="AW34" i="1"/>
  <c r="AQ35" i="1"/>
  <c r="AR35" i="1" s="1"/>
  <c r="AS35" i="1"/>
  <c r="AU35" i="1"/>
  <c r="AQ36" i="1"/>
  <c r="AW36" i="1" s="1"/>
  <c r="AR36" i="1"/>
  <c r="AT36" i="1" s="1"/>
  <c r="AV36" i="1" s="1"/>
  <c r="AS36" i="1"/>
  <c r="AU36" i="1"/>
  <c r="AQ37" i="1"/>
  <c r="AR37" i="1"/>
  <c r="AT37" i="1" s="1"/>
  <c r="AV37" i="1" s="1"/>
  <c r="AS37" i="1"/>
  <c r="AU37" i="1"/>
  <c r="AW37" i="1"/>
  <c r="AQ38" i="1"/>
  <c r="AR38" i="1"/>
  <c r="AT38" i="1" s="1"/>
  <c r="AV38" i="1" s="1"/>
  <c r="AS38" i="1"/>
  <c r="AU38" i="1"/>
  <c r="AW38" i="1"/>
  <c r="AQ39" i="1"/>
  <c r="AR39" i="1" s="1"/>
  <c r="AS39" i="1"/>
  <c r="AU39" i="1"/>
  <c r="AQ40" i="1"/>
  <c r="AW40" i="1" s="1"/>
  <c r="AR40" i="1"/>
  <c r="AT40" i="1" s="1"/>
  <c r="AV40" i="1" s="1"/>
  <c r="AS40" i="1"/>
  <c r="AU40" i="1"/>
  <c r="AQ41" i="1"/>
  <c r="AR41" i="1"/>
  <c r="AT41" i="1" s="1"/>
  <c r="AV41" i="1" s="1"/>
  <c r="AS41" i="1"/>
  <c r="AU41" i="1"/>
  <c r="AW41" i="1"/>
  <c r="AQ42" i="1"/>
  <c r="AR42" i="1"/>
  <c r="AS42" i="1"/>
  <c r="AT42" i="1"/>
  <c r="AV42" i="1" s="1"/>
  <c r="AU42" i="1"/>
  <c r="AW42" i="1"/>
  <c r="AQ43" i="1"/>
  <c r="AR43" i="1" s="1"/>
  <c r="AS43" i="1"/>
  <c r="AU43" i="1"/>
  <c r="AQ44" i="1"/>
  <c r="AW44" i="1" s="1"/>
  <c r="AR44" i="1"/>
  <c r="AT44" i="1" s="1"/>
  <c r="AV44" i="1" s="1"/>
  <c r="AS44" i="1"/>
  <c r="AU44" i="1"/>
  <c r="AQ45" i="1"/>
  <c r="AR45" i="1"/>
  <c r="AT45" i="1" s="1"/>
  <c r="AV45" i="1" s="1"/>
  <c r="AS45" i="1"/>
  <c r="AU45" i="1"/>
  <c r="AW45" i="1"/>
  <c r="AQ46" i="1"/>
  <c r="AR46" i="1"/>
  <c r="AT46" i="1" s="1"/>
  <c r="AV46" i="1" s="1"/>
  <c r="AS46" i="1"/>
  <c r="AU46" i="1"/>
  <c r="AW46" i="1"/>
  <c r="AQ47" i="1"/>
  <c r="AR47" i="1" s="1"/>
  <c r="AS47" i="1"/>
  <c r="AU47" i="1"/>
  <c r="AH23" i="22"/>
  <c r="AI23" i="22" s="1"/>
  <c r="AK23" i="22" s="1"/>
  <c r="AJ23" i="22"/>
  <c r="AL23" i="22"/>
  <c r="AH24" i="22"/>
  <c r="AJ24" i="22"/>
  <c r="AL24" i="22"/>
  <c r="AH25" i="22"/>
  <c r="AI25" i="22"/>
  <c r="AJ25" i="22"/>
  <c r="AN25" i="22" s="1"/>
  <c r="AL25" i="22"/>
  <c r="AH26" i="22"/>
  <c r="AI26" i="22"/>
  <c r="AJ26" i="22"/>
  <c r="AL26" i="22"/>
  <c r="AH27" i="22"/>
  <c r="AI27" i="22" s="1"/>
  <c r="AJ27" i="22"/>
  <c r="AK27" i="22" s="1"/>
  <c r="AL27" i="22"/>
  <c r="AH28" i="22"/>
  <c r="AJ28" i="22"/>
  <c r="AL28" i="22"/>
  <c r="AH29" i="22"/>
  <c r="AI29" i="22" s="1"/>
  <c r="AJ29" i="22"/>
  <c r="AL29" i="22"/>
  <c r="AH30" i="22"/>
  <c r="AI30" i="22" s="1"/>
  <c r="AJ30" i="22"/>
  <c r="AL30" i="22"/>
  <c r="AN30" i="22"/>
  <c r="AH31" i="22"/>
  <c r="AI31" i="22" s="1"/>
  <c r="AJ31" i="22"/>
  <c r="AL31" i="22"/>
  <c r="AH32" i="22"/>
  <c r="AJ32" i="22"/>
  <c r="AL32" i="22"/>
  <c r="AH33" i="22"/>
  <c r="AI33" i="22"/>
  <c r="AK33" i="22" s="1"/>
  <c r="AJ33" i="22"/>
  <c r="AN33" i="22" s="1"/>
  <c r="AL33" i="22"/>
  <c r="AH34" i="22"/>
  <c r="AI34" i="22"/>
  <c r="AJ34" i="22"/>
  <c r="AL34" i="22"/>
  <c r="AH35" i="22"/>
  <c r="AI35" i="22" s="1"/>
  <c r="AK35" i="22" s="1"/>
  <c r="AJ35" i="22"/>
  <c r="AL35" i="22"/>
  <c r="AH36" i="22"/>
  <c r="AJ36" i="22"/>
  <c r="AL36" i="22"/>
  <c r="AH37" i="22"/>
  <c r="AI37" i="22" s="1"/>
  <c r="AJ37" i="22"/>
  <c r="AL37" i="22"/>
  <c r="AH38" i="22"/>
  <c r="AI38" i="22" s="1"/>
  <c r="AJ38" i="22"/>
  <c r="AL38" i="22"/>
  <c r="AN38" i="22"/>
  <c r="AH39" i="22"/>
  <c r="AI39" i="22" s="1"/>
  <c r="AJ39" i="22"/>
  <c r="AL39" i="22"/>
  <c r="AH40" i="22"/>
  <c r="AJ40" i="22"/>
  <c r="AL40" i="22"/>
  <c r="AH41" i="22"/>
  <c r="AI41" i="22" s="1"/>
  <c r="AK41" i="22" s="1"/>
  <c r="AM41" i="22" s="1"/>
  <c r="AJ41" i="22"/>
  <c r="AL41" i="22"/>
  <c r="AH42" i="22"/>
  <c r="AI42" i="22" s="1"/>
  <c r="AJ42" i="22"/>
  <c r="AL42" i="22"/>
  <c r="AH43" i="22"/>
  <c r="AI43" i="22" s="1"/>
  <c r="AJ43" i="22"/>
  <c r="AL43" i="22"/>
  <c r="AH44" i="22"/>
  <c r="AJ44" i="22"/>
  <c r="AL44" i="22"/>
  <c r="AH45" i="22"/>
  <c r="AI45" i="22"/>
  <c r="AJ45" i="22"/>
  <c r="AL45" i="22"/>
  <c r="AN45" i="22"/>
  <c r="AH46" i="22"/>
  <c r="AI46" i="22" s="1"/>
  <c r="AJ46" i="22"/>
  <c r="AL46" i="22"/>
  <c r="AH47" i="22"/>
  <c r="AI47" i="22" s="1"/>
  <c r="AJ47" i="22"/>
  <c r="AL47" i="22"/>
  <c r="AH23" i="26"/>
  <c r="AJ23" i="26"/>
  <c r="AL23" i="26"/>
  <c r="AH24" i="26"/>
  <c r="AI24" i="26" s="1"/>
  <c r="AJ24" i="26"/>
  <c r="AL24" i="26"/>
  <c r="AH25" i="26"/>
  <c r="AI25" i="26" s="1"/>
  <c r="AJ25" i="26"/>
  <c r="AL25" i="26"/>
  <c r="AN25" i="26"/>
  <c r="AH26" i="26"/>
  <c r="AI26" i="26" s="1"/>
  <c r="AJ26" i="26"/>
  <c r="AL26" i="26"/>
  <c r="AH27" i="26"/>
  <c r="AJ27" i="26"/>
  <c r="AL27" i="26"/>
  <c r="AH28" i="26"/>
  <c r="AI28" i="26" s="1"/>
  <c r="AJ28" i="26"/>
  <c r="AL28" i="26"/>
  <c r="AH29" i="26"/>
  <c r="AI29" i="26"/>
  <c r="AJ29" i="26"/>
  <c r="AK29" i="26" s="1"/>
  <c r="AM29" i="26" s="1"/>
  <c r="AL29" i="26"/>
  <c r="AH30" i="26"/>
  <c r="AI30" i="26" s="1"/>
  <c r="AJ30" i="26"/>
  <c r="AL30" i="26"/>
  <c r="AH31" i="26"/>
  <c r="AJ31" i="26"/>
  <c r="AL31" i="26"/>
  <c r="AH32" i="26"/>
  <c r="AI32" i="26" s="1"/>
  <c r="AJ32" i="26"/>
  <c r="AL32" i="26"/>
  <c r="AN32" i="26"/>
  <c r="AH33" i="26"/>
  <c r="AI33" i="26" s="1"/>
  <c r="AJ33" i="26"/>
  <c r="AL33" i="26"/>
  <c r="AN33" i="26"/>
  <c r="AH34" i="26"/>
  <c r="AI34" i="26" s="1"/>
  <c r="AK34" i="26" s="1"/>
  <c r="AJ34" i="26"/>
  <c r="AL34" i="26"/>
  <c r="AH35" i="26"/>
  <c r="AJ35" i="26"/>
  <c r="AL35" i="26"/>
  <c r="AH36" i="26"/>
  <c r="AI36" i="26"/>
  <c r="AK36" i="26" s="1"/>
  <c r="AJ36" i="26"/>
  <c r="AN36" i="26" s="1"/>
  <c r="AL36" i="26"/>
  <c r="AH37" i="26"/>
  <c r="AI37" i="26" s="1"/>
  <c r="AJ37" i="26"/>
  <c r="AN37" i="26" s="1"/>
  <c r="AL37" i="26"/>
  <c r="AH38" i="26"/>
  <c r="AI38" i="26" s="1"/>
  <c r="AJ38" i="26"/>
  <c r="AL38" i="26"/>
  <c r="AH39" i="26"/>
  <c r="AJ39" i="26"/>
  <c r="AL39" i="26"/>
  <c r="AH40" i="26"/>
  <c r="AI40" i="26" s="1"/>
  <c r="AK40" i="26" s="1"/>
  <c r="AM40" i="26" s="1"/>
  <c r="AJ40" i="26"/>
  <c r="AL40" i="26"/>
  <c r="AN40" i="26"/>
  <c r="AH41" i="26"/>
  <c r="AI41" i="26" s="1"/>
  <c r="AJ41" i="26"/>
  <c r="AL41" i="26"/>
  <c r="AH42" i="26"/>
  <c r="AI42" i="26" s="1"/>
  <c r="AJ42" i="26"/>
  <c r="AL42" i="26"/>
  <c r="AH43" i="26"/>
  <c r="AJ43" i="26"/>
  <c r="AL43" i="26"/>
  <c r="AH44" i="26"/>
  <c r="AI44" i="26" s="1"/>
  <c r="AK44" i="26" s="1"/>
  <c r="AM44" i="26" s="1"/>
  <c r="AJ44" i="26"/>
  <c r="AL44" i="26"/>
  <c r="AN44" i="26"/>
  <c r="AH45" i="26"/>
  <c r="AI45" i="26" s="1"/>
  <c r="AJ45" i="26"/>
  <c r="AN45" i="26" s="1"/>
  <c r="AL45" i="26"/>
  <c r="AH46" i="26"/>
  <c r="AI46" i="26" s="1"/>
  <c r="AJ46" i="26"/>
  <c r="AL46" i="26"/>
  <c r="AH47" i="26"/>
  <c r="AJ47" i="26"/>
  <c r="AL47" i="26"/>
  <c r="AH23" i="27"/>
  <c r="AI23" i="27" s="1"/>
  <c r="AJ23" i="27"/>
  <c r="AL23" i="27"/>
  <c r="AH24" i="27"/>
  <c r="AI24" i="27" s="1"/>
  <c r="AJ24" i="27"/>
  <c r="AL24" i="27"/>
  <c r="AH25" i="27"/>
  <c r="AI25" i="27" s="1"/>
  <c r="AJ25" i="27"/>
  <c r="AL25" i="27"/>
  <c r="AH26" i="27"/>
  <c r="AJ26" i="27"/>
  <c r="AL26" i="27"/>
  <c r="AH27" i="27"/>
  <c r="AI27" i="27" s="1"/>
  <c r="AK27" i="27" s="1"/>
  <c r="AM27" i="27" s="1"/>
  <c r="AJ27" i="27"/>
  <c r="AL27" i="27"/>
  <c r="AN27" i="27"/>
  <c r="AH28" i="27"/>
  <c r="AI28" i="27" s="1"/>
  <c r="AJ28" i="27"/>
  <c r="AN28" i="27" s="1"/>
  <c r="AL28" i="27"/>
  <c r="AH29" i="27"/>
  <c r="AI29" i="27" s="1"/>
  <c r="AK29" i="27" s="1"/>
  <c r="AJ29" i="27"/>
  <c r="AL29" i="27"/>
  <c r="AH30" i="27"/>
  <c r="AJ30" i="27"/>
  <c r="AL30" i="27"/>
  <c r="AH31" i="27"/>
  <c r="AI31" i="27"/>
  <c r="AK31" i="27" s="1"/>
  <c r="AM31" i="27" s="1"/>
  <c r="AJ31" i="27"/>
  <c r="AL31" i="27"/>
  <c r="AN31" i="27"/>
  <c r="AH32" i="27"/>
  <c r="AI32" i="27" s="1"/>
  <c r="AJ32" i="27"/>
  <c r="AL32" i="27"/>
  <c r="AH33" i="27"/>
  <c r="AI33" i="27" s="1"/>
  <c r="AJ33" i="27"/>
  <c r="AL33" i="27"/>
  <c r="AH34" i="27"/>
  <c r="AJ34" i="27"/>
  <c r="AL34" i="27"/>
  <c r="AH35" i="27"/>
  <c r="AI35" i="27"/>
  <c r="AJ35" i="27"/>
  <c r="AN35" i="27" s="1"/>
  <c r="AL35" i="27"/>
  <c r="AH36" i="27"/>
  <c r="AI36" i="27" s="1"/>
  <c r="AJ36" i="27"/>
  <c r="AN36" i="27" s="1"/>
  <c r="AL36" i="27"/>
  <c r="AH37" i="27"/>
  <c r="AI37" i="27" s="1"/>
  <c r="AJ37" i="27"/>
  <c r="AL37" i="27"/>
  <c r="AH38" i="27"/>
  <c r="AJ38" i="27"/>
  <c r="AL38" i="27"/>
  <c r="AH39" i="27"/>
  <c r="AI39" i="27" s="1"/>
  <c r="AK39" i="27" s="1"/>
  <c r="AM39" i="27" s="1"/>
  <c r="AJ39" i="27"/>
  <c r="AL39" i="27"/>
  <c r="AH40" i="27"/>
  <c r="AI40" i="27" s="1"/>
  <c r="AJ40" i="27"/>
  <c r="AL40" i="27"/>
  <c r="AH41" i="27"/>
  <c r="AI41" i="27" s="1"/>
  <c r="AJ41" i="27"/>
  <c r="AL41" i="27"/>
  <c r="AH42" i="27"/>
  <c r="AJ42" i="27"/>
  <c r="AL42" i="27"/>
  <c r="AH43" i="27"/>
  <c r="AI43" i="27"/>
  <c r="AJ43" i="27"/>
  <c r="AL43" i="27"/>
  <c r="AH44" i="27"/>
  <c r="AI44" i="27" s="1"/>
  <c r="AJ44" i="27"/>
  <c r="AL44" i="27"/>
  <c r="AH45" i="27"/>
  <c r="AI45" i="27" s="1"/>
  <c r="AJ45" i="27"/>
  <c r="AL45" i="27"/>
  <c r="AH46" i="27"/>
  <c r="AJ46" i="27"/>
  <c r="AL46" i="27"/>
  <c r="AH47" i="27"/>
  <c r="AI47" i="27" s="1"/>
  <c r="AJ47" i="27"/>
  <c r="AN47" i="27" s="1"/>
  <c r="AL47" i="27"/>
  <c r="AH23" i="28"/>
  <c r="AI23" i="28" s="1"/>
  <c r="AJ23" i="28"/>
  <c r="AL23" i="28"/>
  <c r="AH24" i="28"/>
  <c r="AI24" i="28" s="1"/>
  <c r="AJ24" i="28"/>
  <c r="AL24" i="28"/>
  <c r="AH25" i="28"/>
  <c r="AJ25" i="28"/>
  <c r="AL25" i="28"/>
  <c r="AH26" i="28"/>
  <c r="AI26" i="28"/>
  <c r="AJ26" i="28"/>
  <c r="AL26" i="28"/>
  <c r="AN26" i="28" s="1"/>
  <c r="AH27" i="28"/>
  <c r="AI27" i="28" s="1"/>
  <c r="AJ27" i="28"/>
  <c r="AL27" i="28"/>
  <c r="AN27" i="28" s="1"/>
  <c r="AH28" i="28"/>
  <c r="AI28" i="28" s="1"/>
  <c r="AK28" i="28" s="1"/>
  <c r="AJ28" i="28"/>
  <c r="AL28" i="28"/>
  <c r="AH29" i="28"/>
  <c r="AJ29" i="28"/>
  <c r="AL29" i="28"/>
  <c r="AH30" i="28"/>
  <c r="AI30" i="28" s="1"/>
  <c r="AJ30" i="28"/>
  <c r="AL30" i="28"/>
  <c r="AN30" i="28"/>
  <c r="AH31" i="28"/>
  <c r="AI31" i="28" s="1"/>
  <c r="AJ31" i="28"/>
  <c r="AL31" i="28"/>
  <c r="AN31" i="28"/>
  <c r="AH32" i="28"/>
  <c r="AJ32" i="28"/>
  <c r="AL32" i="28"/>
  <c r="AH33" i="28"/>
  <c r="AJ33" i="28"/>
  <c r="AL33" i="28"/>
  <c r="AH34" i="28"/>
  <c r="AI34" i="28" s="1"/>
  <c r="AJ34" i="28"/>
  <c r="AN34" i="28" s="1"/>
  <c r="AL34" i="28"/>
  <c r="AH35" i="28"/>
  <c r="AI35" i="28" s="1"/>
  <c r="AK35" i="28" s="1"/>
  <c r="AJ35" i="28"/>
  <c r="AL35" i="28"/>
  <c r="AH36" i="28"/>
  <c r="AJ36" i="28"/>
  <c r="AL36" i="28"/>
  <c r="AH37" i="28"/>
  <c r="AI37" i="28"/>
  <c r="AK37" i="28" s="1"/>
  <c r="AJ37" i="28"/>
  <c r="AL37" i="28"/>
  <c r="AN37" i="28" s="1"/>
  <c r="AH38" i="28"/>
  <c r="AI38" i="28" s="1"/>
  <c r="AJ38" i="28"/>
  <c r="AL38" i="28"/>
  <c r="AH39" i="28"/>
  <c r="AI39" i="28" s="1"/>
  <c r="AJ39" i="28"/>
  <c r="AL39" i="28"/>
  <c r="AH40" i="28"/>
  <c r="AJ40" i="28"/>
  <c r="AL40" i="28"/>
  <c r="AH41" i="28"/>
  <c r="AI41" i="28" s="1"/>
  <c r="AK41" i="28" s="1"/>
  <c r="AJ41" i="28"/>
  <c r="AN41" i="28" s="1"/>
  <c r="AL41" i="28"/>
  <c r="AH42" i="28"/>
  <c r="AI42" i="28" s="1"/>
  <c r="AJ42" i="28"/>
  <c r="AL42" i="28"/>
  <c r="AH43" i="28"/>
  <c r="AI43" i="28" s="1"/>
  <c r="AK43" i="28" s="1"/>
  <c r="AJ43" i="28"/>
  <c r="AL43" i="28"/>
  <c r="AH44" i="28"/>
  <c r="AJ44" i="28"/>
  <c r="AL44" i="28"/>
  <c r="AH45" i="28"/>
  <c r="AI45" i="28"/>
  <c r="AJ45" i="28"/>
  <c r="AN45" i="28" s="1"/>
  <c r="AL45" i="28"/>
  <c r="AH46" i="28"/>
  <c r="AI46" i="28" s="1"/>
  <c r="AJ46" i="28"/>
  <c r="AN46" i="28" s="1"/>
  <c r="AL46" i="28"/>
  <c r="AH47" i="28"/>
  <c r="AI47" i="28" s="1"/>
  <c r="AJ47" i="28"/>
  <c r="AL47" i="28"/>
  <c r="AH23" i="29"/>
  <c r="AJ23" i="29"/>
  <c r="AL23" i="29"/>
  <c r="AH24" i="29"/>
  <c r="AI24" i="29" s="1"/>
  <c r="AJ24" i="29"/>
  <c r="AL24" i="29"/>
  <c r="AH25" i="29"/>
  <c r="AI25" i="29" s="1"/>
  <c r="AJ25" i="29"/>
  <c r="AL25" i="29"/>
  <c r="AH26" i="29"/>
  <c r="AI26" i="29" s="1"/>
  <c r="AJ26" i="29"/>
  <c r="AL26" i="29"/>
  <c r="AH27" i="29"/>
  <c r="AJ27" i="29"/>
  <c r="AL27" i="29"/>
  <c r="AH28" i="29"/>
  <c r="AI28" i="29" s="1"/>
  <c r="AK28" i="29" s="1"/>
  <c r="AJ28" i="29"/>
  <c r="AL28" i="29"/>
  <c r="AN28" i="29" s="1"/>
  <c r="AH29" i="29"/>
  <c r="AI29" i="29" s="1"/>
  <c r="AJ29" i="29"/>
  <c r="AL29" i="29"/>
  <c r="AH30" i="29"/>
  <c r="AI30" i="29" s="1"/>
  <c r="AK30" i="29" s="1"/>
  <c r="AJ30" i="29"/>
  <c r="AL30" i="29"/>
  <c r="AH31" i="29"/>
  <c r="AJ31" i="29"/>
  <c r="AL31" i="29"/>
  <c r="AH32" i="29"/>
  <c r="AI32" i="29" s="1"/>
  <c r="AK32" i="29" s="1"/>
  <c r="AJ32" i="29"/>
  <c r="AN32" i="29" s="1"/>
  <c r="AL32" i="29"/>
  <c r="AH33" i="29"/>
  <c r="AI33" i="29" s="1"/>
  <c r="AJ33" i="29"/>
  <c r="AN33" i="29" s="1"/>
  <c r="AL33" i="29"/>
  <c r="AH34" i="29"/>
  <c r="AI34" i="29" s="1"/>
  <c r="AK34" i="29" s="1"/>
  <c r="AJ34" i="29"/>
  <c r="AL34" i="29"/>
  <c r="AH35" i="29"/>
  <c r="AJ35" i="29"/>
  <c r="AL35" i="29"/>
  <c r="AH36" i="29"/>
  <c r="AI36" i="29"/>
  <c r="AJ36" i="29"/>
  <c r="AN36" i="29" s="1"/>
  <c r="AL36" i="29"/>
  <c r="AH37" i="29"/>
  <c r="AI37" i="29" s="1"/>
  <c r="AJ37" i="29"/>
  <c r="AN37" i="29" s="1"/>
  <c r="AL37" i="29"/>
  <c r="AH38" i="29"/>
  <c r="AI38" i="29" s="1"/>
  <c r="AJ38" i="29"/>
  <c r="AK38" i="29" s="1"/>
  <c r="AL38" i="29"/>
  <c r="AH39" i="29"/>
  <c r="AJ39" i="29"/>
  <c r="AL39" i="29"/>
  <c r="AH40" i="29"/>
  <c r="AI40" i="29" s="1"/>
  <c r="AJ40" i="29"/>
  <c r="AL40" i="29"/>
  <c r="AH41" i="29"/>
  <c r="AI41" i="29" s="1"/>
  <c r="AJ41" i="29"/>
  <c r="AL41" i="29"/>
  <c r="AH42" i="29"/>
  <c r="AJ42" i="29"/>
  <c r="AL42" i="29"/>
  <c r="AH43" i="29"/>
  <c r="AI43" i="29" s="1"/>
  <c r="AJ43" i="29"/>
  <c r="AL43" i="29"/>
  <c r="AH44" i="29"/>
  <c r="AI44" i="29"/>
  <c r="AJ44" i="29"/>
  <c r="AL44" i="29"/>
  <c r="AH45" i="29"/>
  <c r="AI45" i="29" s="1"/>
  <c r="AJ45" i="29"/>
  <c r="AL45" i="29"/>
  <c r="AN45" i="29"/>
  <c r="AH46" i="29"/>
  <c r="AJ46" i="29"/>
  <c r="AL46" i="29"/>
  <c r="AH47" i="29"/>
  <c r="AI47" i="29" s="1"/>
  <c r="AJ47" i="29"/>
  <c r="AL47" i="29"/>
  <c r="AH23" i="23"/>
  <c r="AI23" i="23"/>
  <c r="AJ23" i="23"/>
  <c r="AN23" i="23" s="1"/>
  <c r="AL23" i="23"/>
  <c r="AH24" i="23"/>
  <c r="AI24" i="23" s="1"/>
  <c r="AJ24" i="23"/>
  <c r="AN24" i="23" s="1"/>
  <c r="AL24" i="23"/>
  <c r="AH25" i="23"/>
  <c r="AJ25" i="23"/>
  <c r="AL25" i="23"/>
  <c r="AH26" i="23"/>
  <c r="AI26" i="23" s="1"/>
  <c r="AJ26" i="23"/>
  <c r="AL26" i="23"/>
  <c r="AH27" i="23"/>
  <c r="AI27" i="23" s="1"/>
  <c r="AJ27" i="23"/>
  <c r="AL27" i="23"/>
  <c r="AH28" i="23"/>
  <c r="AI28" i="23" s="1"/>
  <c r="AK28" i="23" s="1"/>
  <c r="AJ28" i="23"/>
  <c r="AL28" i="23"/>
  <c r="AH29" i="23"/>
  <c r="AJ29" i="23"/>
  <c r="AL29" i="23"/>
  <c r="AH30" i="23"/>
  <c r="AI30" i="23" s="1"/>
  <c r="AJ30" i="23"/>
  <c r="AL30" i="23"/>
  <c r="AH31" i="23"/>
  <c r="AI31" i="23"/>
  <c r="AK31" i="23" s="1"/>
  <c r="AJ31" i="23"/>
  <c r="AN31" i="23" s="1"/>
  <c r="AL31" i="23"/>
  <c r="AH32" i="23"/>
  <c r="AI32" i="23" s="1"/>
  <c r="AJ32" i="23"/>
  <c r="AN32" i="23" s="1"/>
  <c r="AL32" i="23"/>
  <c r="AH33" i="23"/>
  <c r="AI33" i="23" s="1"/>
  <c r="AJ33" i="23"/>
  <c r="AL33" i="23"/>
  <c r="AH34" i="23"/>
  <c r="AI34" i="23" s="1"/>
  <c r="AJ34" i="23"/>
  <c r="AL34" i="23"/>
  <c r="AH35" i="23"/>
  <c r="AI35" i="23" s="1"/>
  <c r="AK35" i="23" s="1"/>
  <c r="AJ35" i="23"/>
  <c r="AL35" i="23"/>
  <c r="AH36" i="23"/>
  <c r="AI36" i="23" s="1"/>
  <c r="AJ36" i="23"/>
  <c r="AL36" i="23"/>
  <c r="AH37" i="23"/>
  <c r="AI37" i="23"/>
  <c r="AK37" i="23" s="1"/>
  <c r="AM37" i="23" s="1"/>
  <c r="AJ37" i="23"/>
  <c r="AL37" i="23"/>
  <c r="AH38" i="23"/>
  <c r="AI38" i="23" s="1"/>
  <c r="AJ38" i="23"/>
  <c r="AL38" i="23"/>
  <c r="AH39" i="23"/>
  <c r="AI39" i="23"/>
  <c r="AK39" i="23" s="1"/>
  <c r="AM39" i="23" s="1"/>
  <c r="AJ39" i="23"/>
  <c r="AN39" i="23" s="1"/>
  <c r="AL39" i="23"/>
  <c r="AH40" i="23"/>
  <c r="AI40" i="23" s="1"/>
  <c r="AJ40" i="23"/>
  <c r="AL40" i="23"/>
  <c r="AH41" i="23"/>
  <c r="AI41" i="23" s="1"/>
  <c r="AK41" i="23" s="1"/>
  <c r="AM41" i="23" s="1"/>
  <c r="AJ41" i="23"/>
  <c r="AL41" i="23"/>
  <c r="AH42" i="23"/>
  <c r="AI42" i="23" s="1"/>
  <c r="AJ42" i="23"/>
  <c r="AL42" i="23"/>
  <c r="AH43" i="23"/>
  <c r="AI43" i="23" s="1"/>
  <c r="AJ43" i="23"/>
  <c r="AL43" i="23"/>
  <c r="AH44" i="23"/>
  <c r="AI44" i="23"/>
  <c r="AJ44" i="23"/>
  <c r="AL44" i="23"/>
  <c r="AH45" i="23"/>
  <c r="AI45" i="23"/>
  <c r="AJ45" i="23"/>
  <c r="AL45" i="23"/>
  <c r="AH46" i="23"/>
  <c r="AI46" i="23" s="1"/>
  <c r="AJ46" i="23"/>
  <c r="AL46" i="23"/>
  <c r="AH47" i="23"/>
  <c r="AI47" i="23" s="1"/>
  <c r="AJ47" i="23"/>
  <c r="AL47" i="23"/>
  <c r="AH23" i="38"/>
  <c r="AI23" i="38"/>
  <c r="AJ23" i="38"/>
  <c r="AN23" i="38" s="1"/>
  <c r="AL23" i="38"/>
  <c r="AH24" i="38"/>
  <c r="AI24" i="38"/>
  <c r="AJ24" i="38"/>
  <c r="AL24" i="38"/>
  <c r="AH25" i="38"/>
  <c r="AI25" i="38" s="1"/>
  <c r="AJ25" i="38"/>
  <c r="AL25" i="38"/>
  <c r="AH26" i="38"/>
  <c r="AI26" i="38" s="1"/>
  <c r="AJ26" i="38"/>
  <c r="AL26" i="38"/>
  <c r="AH27" i="38"/>
  <c r="AI27" i="38"/>
  <c r="AJ27" i="38"/>
  <c r="AL27" i="38"/>
  <c r="AH28" i="38"/>
  <c r="AI28" i="38"/>
  <c r="AJ28" i="38"/>
  <c r="AL28" i="38"/>
  <c r="AH29" i="38"/>
  <c r="AI29" i="38" s="1"/>
  <c r="AJ29" i="38"/>
  <c r="AL29" i="38"/>
  <c r="AH30" i="38"/>
  <c r="AI30" i="38" s="1"/>
  <c r="AJ30" i="38"/>
  <c r="AL30" i="38"/>
  <c r="AH31" i="38"/>
  <c r="AI31" i="38" s="1"/>
  <c r="AJ31" i="38"/>
  <c r="AN31" i="38" s="1"/>
  <c r="AL31" i="38"/>
  <c r="AH32" i="38"/>
  <c r="AI32" i="38" s="1"/>
  <c r="AJ32" i="38"/>
  <c r="AL32" i="38"/>
  <c r="AH33" i="38"/>
  <c r="AI33" i="38" s="1"/>
  <c r="AJ33" i="38"/>
  <c r="AL33" i="38"/>
  <c r="AH34" i="38"/>
  <c r="AI34" i="38" s="1"/>
  <c r="AJ34" i="38"/>
  <c r="AL34" i="38"/>
  <c r="AH35" i="38"/>
  <c r="AI35" i="38"/>
  <c r="AJ35" i="38"/>
  <c r="AL35" i="38"/>
  <c r="AH36" i="38"/>
  <c r="AI36" i="38"/>
  <c r="AJ36" i="38"/>
  <c r="AL36" i="38"/>
  <c r="AH37" i="38"/>
  <c r="AI37" i="38" s="1"/>
  <c r="AJ37" i="38"/>
  <c r="AL37" i="38"/>
  <c r="AH38" i="38"/>
  <c r="AI38" i="38" s="1"/>
  <c r="AJ38" i="38"/>
  <c r="AL38" i="38"/>
  <c r="AH39" i="38"/>
  <c r="AI39" i="38"/>
  <c r="AK39" i="38" s="1"/>
  <c r="AJ39" i="38"/>
  <c r="AL39" i="38"/>
  <c r="AN39" i="38" s="1"/>
  <c r="AH40" i="38"/>
  <c r="AI40" i="38" s="1"/>
  <c r="AJ40" i="38"/>
  <c r="AL40" i="38"/>
  <c r="AN40" i="38" s="1"/>
  <c r="AH41" i="38"/>
  <c r="AI41" i="38" s="1"/>
  <c r="AJ41" i="38"/>
  <c r="AL41" i="38"/>
  <c r="AH42" i="38"/>
  <c r="AI42" i="38" s="1"/>
  <c r="AJ42" i="38"/>
  <c r="AL42" i="38"/>
  <c r="AH43" i="38"/>
  <c r="AI43" i="38"/>
  <c r="AK43" i="38" s="1"/>
  <c r="AM43" i="38" s="1"/>
  <c r="AJ43" i="38"/>
  <c r="AL43" i="38"/>
  <c r="AN43" i="38"/>
  <c r="AH44" i="38"/>
  <c r="AI44" i="38" s="1"/>
  <c r="AJ44" i="38"/>
  <c r="AN44" i="38" s="1"/>
  <c r="AL44" i="38"/>
  <c r="AH45" i="38"/>
  <c r="AI45" i="38" s="1"/>
  <c r="AJ45" i="38"/>
  <c r="AL45" i="38"/>
  <c r="AH46" i="38"/>
  <c r="AI46" i="38" s="1"/>
  <c r="AJ46" i="38"/>
  <c r="AL46" i="38"/>
  <c r="AH47" i="38"/>
  <c r="AI47" i="38" s="1"/>
  <c r="AJ47" i="38"/>
  <c r="AL47" i="38"/>
  <c r="AH23" i="1"/>
  <c r="AI23" i="1" s="1"/>
  <c r="AJ23" i="1"/>
  <c r="AL23" i="1"/>
  <c r="AH24" i="1"/>
  <c r="AI24" i="1" s="1"/>
  <c r="AJ24" i="1"/>
  <c r="AL24" i="1"/>
  <c r="AH25" i="1"/>
  <c r="AI25" i="1" s="1"/>
  <c r="AJ25" i="1"/>
  <c r="AL25" i="1"/>
  <c r="AH26" i="1"/>
  <c r="AI26" i="1"/>
  <c r="AK26" i="1" s="1"/>
  <c r="AM26" i="1" s="1"/>
  <c r="AJ26" i="1"/>
  <c r="AL26" i="1"/>
  <c r="AN26" i="1"/>
  <c r="AH27" i="1"/>
  <c r="AI27" i="1" s="1"/>
  <c r="AJ27" i="1"/>
  <c r="AL27" i="1"/>
  <c r="AH28" i="1"/>
  <c r="AI28" i="1" s="1"/>
  <c r="AJ28" i="1"/>
  <c r="AL28" i="1"/>
  <c r="AH29" i="1"/>
  <c r="AI29" i="1" s="1"/>
  <c r="AJ29" i="1"/>
  <c r="AL29" i="1"/>
  <c r="AH30" i="1"/>
  <c r="AI30" i="1" s="1"/>
  <c r="AK30" i="1" s="1"/>
  <c r="AM30" i="1" s="1"/>
  <c r="AJ30" i="1"/>
  <c r="AL30" i="1"/>
  <c r="AH31" i="1"/>
  <c r="AI31" i="1" s="1"/>
  <c r="AJ31" i="1"/>
  <c r="AL31" i="1"/>
  <c r="AN31" i="1"/>
  <c r="AH32" i="1"/>
  <c r="AI32" i="1" s="1"/>
  <c r="AJ32" i="1"/>
  <c r="AL32" i="1"/>
  <c r="AH33" i="1"/>
  <c r="AI33" i="1" s="1"/>
  <c r="AJ33" i="1"/>
  <c r="AL33" i="1"/>
  <c r="AH34" i="1"/>
  <c r="AI34" i="1"/>
  <c r="AK34" i="1" s="1"/>
  <c r="AM34" i="1" s="1"/>
  <c r="AJ34" i="1"/>
  <c r="AN34" i="1" s="1"/>
  <c r="AL34" i="1"/>
  <c r="AH35" i="1"/>
  <c r="AI35" i="1" s="1"/>
  <c r="AJ35" i="1"/>
  <c r="AN35" i="1" s="1"/>
  <c r="AL35" i="1"/>
  <c r="AH36" i="1"/>
  <c r="AI36" i="1" s="1"/>
  <c r="AJ36" i="1"/>
  <c r="AL36" i="1"/>
  <c r="AH37" i="1"/>
  <c r="AI37" i="1" s="1"/>
  <c r="AJ37" i="1"/>
  <c r="AL37" i="1"/>
  <c r="AH38" i="1"/>
  <c r="AI38" i="1" s="1"/>
  <c r="AJ38" i="1"/>
  <c r="AL38" i="1"/>
  <c r="AH39" i="1"/>
  <c r="AI39" i="1" s="1"/>
  <c r="AJ39" i="1"/>
  <c r="AL39" i="1"/>
  <c r="AH40" i="1"/>
  <c r="AI40" i="1" s="1"/>
  <c r="AJ40" i="1"/>
  <c r="AL40" i="1"/>
  <c r="AH41" i="1"/>
  <c r="AI41" i="1" s="1"/>
  <c r="AJ41" i="1"/>
  <c r="AL41" i="1"/>
  <c r="AH42" i="1"/>
  <c r="AI42" i="1"/>
  <c r="AJ42" i="1"/>
  <c r="AL42" i="1"/>
  <c r="AN42" i="1" s="1"/>
  <c r="AH43" i="1"/>
  <c r="AI43" i="1" s="1"/>
  <c r="AJ43" i="1"/>
  <c r="AL43" i="1"/>
  <c r="AH44" i="1"/>
  <c r="AI44" i="1" s="1"/>
  <c r="AJ44" i="1"/>
  <c r="AL44" i="1"/>
  <c r="AH45" i="1"/>
  <c r="AI45" i="1" s="1"/>
  <c r="AJ45" i="1"/>
  <c r="AL45" i="1"/>
  <c r="AH46" i="1"/>
  <c r="AI46" i="1" s="1"/>
  <c r="AK46" i="1" s="1"/>
  <c r="AJ46" i="1"/>
  <c r="AL46" i="1"/>
  <c r="AN46" i="1"/>
  <c r="AH47" i="1"/>
  <c r="AI47" i="1" s="1"/>
  <c r="AJ47" i="1"/>
  <c r="AL47" i="1"/>
  <c r="AN47" i="1"/>
  <c r="Y23" i="22"/>
  <c r="Z23" i="22" s="1"/>
  <c r="AA23" i="22"/>
  <c r="AC23" i="22"/>
  <c r="Y24" i="22"/>
  <c r="AA24" i="22"/>
  <c r="AC24" i="22"/>
  <c r="Y25" i="22"/>
  <c r="AE25" i="22" s="1"/>
  <c r="Z25" i="22"/>
  <c r="AB25" i="22" s="1"/>
  <c r="AA25" i="22"/>
  <c r="AC25" i="22"/>
  <c r="Y26" i="22"/>
  <c r="Z26" i="22"/>
  <c r="AA26" i="22"/>
  <c r="AC26" i="22"/>
  <c r="Y27" i="22"/>
  <c r="Z27" i="22" s="1"/>
  <c r="AA27" i="22"/>
  <c r="AE27" i="22" s="1"/>
  <c r="AC27" i="22"/>
  <c r="Y28" i="22"/>
  <c r="AA28" i="22"/>
  <c r="AC28" i="22"/>
  <c r="Y29" i="22"/>
  <c r="Z29" i="22"/>
  <c r="AA29" i="22"/>
  <c r="AC29" i="22"/>
  <c r="Y30" i="22"/>
  <c r="Z30" i="22"/>
  <c r="AA30" i="22"/>
  <c r="AC30" i="22"/>
  <c r="AE30" i="22" s="1"/>
  <c r="Y31" i="22"/>
  <c r="Z31" i="22" s="1"/>
  <c r="AB31" i="22" s="1"/>
  <c r="AA31" i="22"/>
  <c r="AC31" i="22"/>
  <c r="AE31" i="22" s="1"/>
  <c r="Y32" i="22"/>
  <c r="AA32" i="22"/>
  <c r="AC32" i="22"/>
  <c r="Y33" i="22"/>
  <c r="Z33" i="22"/>
  <c r="AB33" i="22" s="1"/>
  <c r="AA33" i="22"/>
  <c r="AC33" i="22"/>
  <c r="Y34" i="22"/>
  <c r="Z34" i="22"/>
  <c r="AA34" i="22"/>
  <c r="AC34" i="22"/>
  <c r="Y35" i="22"/>
  <c r="Z35" i="22" s="1"/>
  <c r="AA35" i="22"/>
  <c r="AE35" i="22" s="1"/>
  <c r="AC35" i="22"/>
  <c r="Y36" i="22"/>
  <c r="AA36" i="22"/>
  <c r="AC36" i="22"/>
  <c r="Y37" i="22"/>
  <c r="Z37" i="22"/>
  <c r="AA37" i="22"/>
  <c r="AC37" i="22"/>
  <c r="Y38" i="22"/>
  <c r="Z38" i="22"/>
  <c r="AA38" i="22"/>
  <c r="AE38" i="22" s="1"/>
  <c r="AC38" i="22"/>
  <c r="Y39" i="22"/>
  <c r="Z39" i="22" s="1"/>
  <c r="AA39" i="22"/>
  <c r="AE39" i="22" s="1"/>
  <c r="AC39" i="22"/>
  <c r="Y40" i="22"/>
  <c r="AA40" i="22"/>
  <c r="AC40" i="22"/>
  <c r="Y41" i="22"/>
  <c r="Z41" i="22"/>
  <c r="AA41" i="22"/>
  <c r="AC41" i="22"/>
  <c r="Y42" i="22"/>
  <c r="Z42" i="22"/>
  <c r="AA42" i="22"/>
  <c r="AC42" i="22"/>
  <c r="Y43" i="22"/>
  <c r="Z43" i="22"/>
  <c r="AA43" i="22"/>
  <c r="AC43" i="22"/>
  <c r="Y44" i="22"/>
  <c r="AA44" i="22"/>
  <c r="AC44" i="22"/>
  <c r="Y45" i="22"/>
  <c r="Z45" i="22"/>
  <c r="AB45" i="22" s="1"/>
  <c r="AA45" i="22"/>
  <c r="AC45" i="22"/>
  <c r="Y46" i="22"/>
  <c r="Z46" i="22"/>
  <c r="AA46" i="22"/>
  <c r="AE46" i="22" s="1"/>
  <c r="AC46" i="22"/>
  <c r="Y47" i="22"/>
  <c r="Z47" i="22"/>
  <c r="AA47" i="22"/>
  <c r="AB47" i="22" s="1"/>
  <c r="AD47" i="22" s="1"/>
  <c r="AC47" i="22"/>
  <c r="AE47" i="22"/>
  <c r="Y23" i="26"/>
  <c r="AA23" i="26"/>
  <c r="AC23" i="26"/>
  <c r="Y24" i="26"/>
  <c r="AE24" i="26" s="1"/>
  <c r="Z24" i="26"/>
  <c r="AA24" i="26"/>
  <c r="AC24" i="26"/>
  <c r="Y25" i="26"/>
  <c r="Z25" i="26"/>
  <c r="AB25" i="26" s="1"/>
  <c r="AD25" i="26" s="1"/>
  <c r="AA25" i="26"/>
  <c r="AC25" i="26"/>
  <c r="AE25" i="26"/>
  <c r="Y26" i="26"/>
  <c r="Z26" i="26"/>
  <c r="AB26" i="26" s="1"/>
  <c r="AD26" i="26" s="1"/>
  <c r="AA26" i="26"/>
  <c r="AC26" i="26"/>
  <c r="AE26" i="26" s="1"/>
  <c r="Y27" i="26"/>
  <c r="AA27" i="26"/>
  <c r="AC27" i="26"/>
  <c r="Y28" i="26"/>
  <c r="Z28" i="26"/>
  <c r="AA28" i="26"/>
  <c r="AC28" i="26"/>
  <c r="Y29" i="26"/>
  <c r="Z29" i="26"/>
  <c r="AA29" i="26"/>
  <c r="AC29" i="26"/>
  <c r="Y30" i="26"/>
  <c r="Z30" i="26"/>
  <c r="AB30" i="26" s="1"/>
  <c r="AD30" i="26" s="1"/>
  <c r="AA30" i="26"/>
  <c r="AC30" i="26"/>
  <c r="Y31" i="26"/>
  <c r="AA31" i="26"/>
  <c r="AC31" i="26"/>
  <c r="Y32" i="26"/>
  <c r="Z32" i="26"/>
  <c r="AB32" i="26" s="1"/>
  <c r="AA32" i="26"/>
  <c r="AC32" i="26"/>
  <c r="Y33" i="26"/>
  <c r="Z33" i="26"/>
  <c r="AA33" i="26"/>
  <c r="AE33" i="26" s="1"/>
  <c r="AC33" i="26"/>
  <c r="Y34" i="26"/>
  <c r="Z34" i="26"/>
  <c r="AA34" i="26"/>
  <c r="AB34" i="26" s="1"/>
  <c r="AD34" i="26" s="1"/>
  <c r="AC34" i="26"/>
  <c r="AE34" i="26"/>
  <c r="Y35" i="26"/>
  <c r="AA35" i="26"/>
  <c r="AC35" i="26"/>
  <c r="Y36" i="26"/>
  <c r="AE36" i="26" s="1"/>
  <c r="Z36" i="26"/>
  <c r="AB36" i="26" s="1"/>
  <c r="AA36" i="26"/>
  <c r="AC36" i="26"/>
  <c r="Y37" i="26"/>
  <c r="Z37" i="26"/>
  <c r="AA37" i="26"/>
  <c r="AC37" i="26"/>
  <c r="Y38" i="26"/>
  <c r="Z38" i="26"/>
  <c r="AB38" i="26" s="1"/>
  <c r="AA38" i="26"/>
  <c r="AC38" i="26"/>
  <c r="Y39" i="26"/>
  <c r="AA39" i="26"/>
  <c r="AC39" i="26"/>
  <c r="Y40" i="26"/>
  <c r="Z40" i="26"/>
  <c r="AA40" i="26"/>
  <c r="AC40" i="26"/>
  <c r="Y41" i="26"/>
  <c r="Z41" i="26"/>
  <c r="AB41" i="26" s="1"/>
  <c r="AA41" i="26"/>
  <c r="AC41" i="26"/>
  <c r="Y42" i="26"/>
  <c r="Z42" i="26" s="1"/>
  <c r="AB42" i="26" s="1"/>
  <c r="AA42" i="26"/>
  <c r="AC42" i="26"/>
  <c r="AE42" i="26" s="1"/>
  <c r="Y43" i="26"/>
  <c r="AA43" i="26"/>
  <c r="AC43" i="26"/>
  <c r="Y44" i="26"/>
  <c r="Z44" i="26" s="1"/>
  <c r="AB44" i="26" s="1"/>
  <c r="AA44" i="26"/>
  <c r="AC44" i="26"/>
  <c r="Y45" i="26"/>
  <c r="Z45" i="26" s="1"/>
  <c r="AA45" i="26"/>
  <c r="AC45" i="26"/>
  <c r="Y46" i="26"/>
  <c r="Z46" i="26" s="1"/>
  <c r="AA46" i="26"/>
  <c r="AC46" i="26"/>
  <c r="Y47" i="26"/>
  <c r="AA47" i="26"/>
  <c r="AC47" i="26"/>
  <c r="Y23" i="27"/>
  <c r="Z23" i="27"/>
  <c r="AB23" i="27" s="1"/>
  <c r="AD23" i="27" s="1"/>
  <c r="AA23" i="27"/>
  <c r="AC23" i="27"/>
  <c r="AE23" i="27"/>
  <c r="Y24" i="27"/>
  <c r="Z24" i="27" s="1"/>
  <c r="AA24" i="27"/>
  <c r="AC24" i="27"/>
  <c r="Y25" i="27"/>
  <c r="Z25" i="27" s="1"/>
  <c r="AB25" i="27" s="1"/>
  <c r="AA25" i="27"/>
  <c r="AC25" i="27"/>
  <c r="Y26" i="27"/>
  <c r="AA26" i="27"/>
  <c r="AC26" i="27"/>
  <c r="Y27" i="27"/>
  <c r="Z27" i="27"/>
  <c r="AA27" i="27"/>
  <c r="AE27" i="27" s="1"/>
  <c r="AC27" i="27"/>
  <c r="Y28" i="27"/>
  <c r="Z28" i="27" s="1"/>
  <c r="AA28" i="27"/>
  <c r="AE28" i="27" s="1"/>
  <c r="AC28" i="27"/>
  <c r="Y29" i="27"/>
  <c r="Z29" i="27" s="1"/>
  <c r="AA29" i="27"/>
  <c r="AC29" i="27"/>
  <c r="Y30" i="27"/>
  <c r="AA30" i="27"/>
  <c r="AC30" i="27"/>
  <c r="Y31" i="27"/>
  <c r="Z31" i="27"/>
  <c r="AB31" i="27" s="1"/>
  <c r="AA31" i="27"/>
  <c r="AC31" i="27"/>
  <c r="AE31" i="27"/>
  <c r="Y32" i="27"/>
  <c r="Z32" i="27" s="1"/>
  <c r="AA32" i="27"/>
  <c r="AC32" i="27"/>
  <c r="Y33" i="27"/>
  <c r="Z33" i="27" s="1"/>
  <c r="AA33" i="27"/>
  <c r="AC33" i="27"/>
  <c r="Y34" i="27"/>
  <c r="AA34" i="27"/>
  <c r="AC34" i="27"/>
  <c r="Y35" i="27"/>
  <c r="Z35" i="27"/>
  <c r="AA35" i="27"/>
  <c r="AE35" i="27" s="1"/>
  <c r="AC35" i="27"/>
  <c r="Y36" i="27"/>
  <c r="Z36" i="27"/>
  <c r="AA36" i="27"/>
  <c r="AC36" i="27"/>
  <c r="Y37" i="27"/>
  <c r="Z37" i="27" s="1"/>
  <c r="AA37" i="27"/>
  <c r="AB37" i="27"/>
  <c r="AC37" i="27"/>
  <c r="Y38" i="27"/>
  <c r="AA38" i="27"/>
  <c r="AC38" i="27"/>
  <c r="Y39" i="27"/>
  <c r="Z39" i="27" s="1"/>
  <c r="AB39" i="27" s="1"/>
  <c r="AA39" i="27"/>
  <c r="AC39" i="27"/>
  <c r="Y40" i="27"/>
  <c r="Z40" i="27" s="1"/>
  <c r="AA40" i="27"/>
  <c r="AC40" i="27"/>
  <c r="Y41" i="27"/>
  <c r="Z41" i="27" s="1"/>
  <c r="AA41" i="27"/>
  <c r="AC41" i="27"/>
  <c r="Y42" i="27"/>
  <c r="AA42" i="27"/>
  <c r="AC42" i="27"/>
  <c r="Y43" i="27"/>
  <c r="Z43" i="27"/>
  <c r="AB43" i="27" s="1"/>
  <c r="AA43" i="27"/>
  <c r="AC43" i="27"/>
  <c r="AE43" i="27" s="1"/>
  <c r="Y44" i="27"/>
  <c r="Z44" i="27"/>
  <c r="AA44" i="27"/>
  <c r="AE44" i="27" s="1"/>
  <c r="AC44" i="27"/>
  <c r="Y45" i="27"/>
  <c r="Z45" i="27" s="1"/>
  <c r="AA45" i="27"/>
  <c r="AE45" i="27" s="1"/>
  <c r="AC45" i="27"/>
  <c r="Y46" i="27"/>
  <c r="AA46" i="27"/>
  <c r="AC46" i="27"/>
  <c r="Y47" i="27"/>
  <c r="Z47" i="27"/>
  <c r="AA47" i="27"/>
  <c r="AC47" i="27"/>
  <c r="Y23" i="28"/>
  <c r="Z23" i="28"/>
  <c r="AB23" i="28" s="1"/>
  <c r="AD23" i="28" s="1"/>
  <c r="AA23" i="28"/>
  <c r="AC23" i="28"/>
  <c r="Y24" i="28"/>
  <c r="Z24" i="28" s="1"/>
  <c r="AA24" i="28"/>
  <c r="AE24" i="28" s="1"/>
  <c r="AC24" i="28"/>
  <c r="Y25" i="28"/>
  <c r="AA25" i="28"/>
  <c r="AC25" i="28"/>
  <c r="Y26" i="28"/>
  <c r="Z26" i="28"/>
  <c r="AB26" i="28" s="1"/>
  <c r="AD26" i="28" s="1"/>
  <c r="AA26" i="28"/>
  <c r="AC26" i="28"/>
  <c r="AE26" i="28" s="1"/>
  <c r="Y27" i="28"/>
  <c r="Z27" i="28"/>
  <c r="AA27" i="28"/>
  <c r="AE27" i="28" s="1"/>
  <c r="AC27" i="28"/>
  <c r="Y28" i="28"/>
  <c r="Z28" i="28" s="1"/>
  <c r="AA28" i="28"/>
  <c r="AB28" i="28"/>
  <c r="AC28" i="28"/>
  <c r="Y29" i="28"/>
  <c r="AA29" i="28"/>
  <c r="AC29" i="28"/>
  <c r="Y30" i="28"/>
  <c r="Z30" i="28" s="1"/>
  <c r="AB30" i="28" s="1"/>
  <c r="AA30" i="28"/>
  <c r="AC30" i="28"/>
  <c r="Y31" i="28"/>
  <c r="Z31" i="28" s="1"/>
  <c r="AA31" i="28"/>
  <c r="AC31" i="28"/>
  <c r="Y32" i="28"/>
  <c r="Z32" i="28" s="1"/>
  <c r="AA32" i="28"/>
  <c r="AC32" i="28"/>
  <c r="Y33" i="28"/>
  <c r="AA33" i="28"/>
  <c r="AC33" i="28"/>
  <c r="Y34" i="28"/>
  <c r="Z34" i="28"/>
  <c r="AA34" i="28"/>
  <c r="AC34" i="28"/>
  <c r="AE34" i="28" s="1"/>
  <c r="Y35" i="28"/>
  <c r="Z35" i="28"/>
  <c r="AA35" i="28"/>
  <c r="AC35" i="28"/>
  <c r="AE35" i="28" s="1"/>
  <c r="Y36" i="28"/>
  <c r="Z36" i="28" s="1"/>
  <c r="AB36" i="28" s="1"/>
  <c r="AA36" i="28"/>
  <c r="AC36" i="28"/>
  <c r="AE36" i="28"/>
  <c r="Y37" i="28"/>
  <c r="AA37" i="28"/>
  <c r="AC37" i="28"/>
  <c r="Y38" i="28"/>
  <c r="Z38" i="28"/>
  <c r="AA38" i="28"/>
  <c r="AC38" i="28"/>
  <c r="AE38" i="28"/>
  <c r="Y39" i="28"/>
  <c r="Z39" i="28" s="1"/>
  <c r="AB39" i="28" s="1"/>
  <c r="AA39" i="28"/>
  <c r="AC39" i="28"/>
  <c r="Y40" i="28"/>
  <c r="Z40" i="28" s="1"/>
  <c r="AA40" i="28"/>
  <c r="AC40" i="28"/>
  <c r="Y41" i="28"/>
  <c r="Z41" i="28" s="1"/>
  <c r="AA41" i="28"/>
  <c r="AC41" i="28"/>
  <c r="Y42" i="28"/>
  <c r="AA42" i="28"/>
  <c r="AC42" i="28"/>
  <c r="Y43" i="28"/>
  <c r="Z43" i="28"/>
  <c r="AB43" i="28" s="1"/>
  <c r="AA43" i="28"/>
  <c r="AC43" i="28"/>
  <c r="Y44" i="28"/>
  <c r="Z44" i="28"/>
  <c r="AB44" i="28" s="1"/>
  <c r="AD44" i="28" s="1"/>
  <c r="AA44" i="28"/>
  <c r="AC44" i="28"/>
  <c r="Y45" i="28"/>
  <c r="Z45" i="28"/>
  <c r="AA45" i="28"/>
  <c r="AC45" i="28"/>
  <c r="AE45" i="28"/>
  <c r="Y46" i="28"/>
  <c r="AA46" i="28"/>
  <c r="AC46" i="28"/>
  <c r="Y47" i="28"/>
  <c r="AE47" i="28" s="1"/>
  <c r="Z47" i="28"/>
  <c r="AA47" i="28"/>
  <c r="AC47" i="28"/>
  <c r="Y23" i="29"/>
  <c r="Z23" i="29"/>
  <c r="AA23" i="29"/>
  <c r="AC23" i="29"/>
  <c r="Y24" i="29"/>
  <c r="Z24" i="29"/>
  <c r="AA24" i="29"/>
  <c r="AC24" i="29"/>
  <c r="Y25" i="29"/>
  <c r="AA25" i="29"/>
  <c r="AC25" i="29"/>
  <c r="Y26" i="29"/>
  <c r="Z26" i="29" s="1"/>
  <c r="AA26" i="29"/>
  <c r="AC26" i="29"/>
  <c r="Y27" i="29"/>
  <c r="Z27" i="29"/>
  <c r="AA27" i="29"/>
  <c r="AE27" i="29" s="1"/>
  <c r="AC27" i="29"/>
  <c r="Y28" i="29"/>
  <c r="Z28" i="29"/>
  <c r="AA28" i="29"/>
  <c r="AE28" i="29" s="1"/>
  <c r="AC28" i="29"/>
  <c r="Y29" i="29"/>
  <c r="AA29" i="29"/>
  <c r="AC29" i="29"/>
  <c r="Y30" i="29"/>
  <c r="Z30" i="29" s="1"/>
  <c r="AB30" i="29" s="1"/>
  <c r="AA30" i="29"/>
  <c r="AC30" i="29"/>
  <c r="Y31" i="29"/>
  <c r="Z31" i="29" s="1"/>
  <c r="AB31" i="29" s="1"/>
  <c r="AA31" i="29"/>
  <c r="AC31" i="29"/>
  <c r="Y32" i="29"/>
  <c r="Z32" i="29" s="1"/>
  <c r="AA32" i="29"/>
  <c r="AC32" i="29"/>
  <c r="Y33" i="29"/>
  <c r="AA33" i="29"/>
  <c r="AC33" i="29"/>
  <c r="Y34" i="29"/>
  <c r="Z34" i="29"/>
  <c r="AB34" i="29" s="1"/>
  <c r="AA34" i="29"/>
  <c r="AC34" i="29"/>
  <c r="Y35" i="29"/>
  <c r="Z35" i="29"/>
  <c r="AB35" i="29" s="1"/>
  <c r="AA35" i="29"/>
  <c r="AC35" i="29"/>
  <c r="Y36" i="29"/>
  <c r="Z36" i="29"/>
  <c r="AA36" i="29"/>
  <c r="AC36" i="29"/>
  <c r="Y37" i="29"/>
  <c r="AA37" i="29"/>
  <c r="AC37" i="29"/>
  <c r="Y38" i="29"/>
  <c r="AA38" i="29"/>
  <c r="AC38" i="29"/>
  <c r="Y39" i="29"/>
  <c r="Z39" i="29"/>
  <c r="AA39" i="29"/>
  <c r="AE39" i="29" s="1"/>
  <c r="AC39" i="29"/>
  <c r="Y40" i="29"/>
  <c r="Z40" i="29"/>
  <c r="AA40" i="29"/>
  <c r="AB40" i="29" s="1"/>
  <c r="AD40" i="29" s="1"/>
  <c r="AC40" i="29"/>
  <c r="AE40" i="29"/>
  <c r="Y41" i="29"/>
  <c r="AA41" i="29"/>
  <c r="AC41" i="29"/>
  <c r="Y42" i="29"/>
  <c r="Z42" i="29" s="1"/>
  <c r="AA42" i="29"/>
  <c r="AC42" i="29"/>
  <c r="Y43" i="29"/>
  <c r="Z43" i="29" s="1"/>
  <c r="AA43" i="29"/>
  <c r="AC43" i="29"/>
  <c r="Y44" i="29"/>
  <c r="Z44" i="29" s="1"/>
  <c r="AB44" i="29" s="1"/>
  <c r="AD44" i="29" s="1"/>
  <c r="AA44" i="29"/>
  <c r="AC44" i="29"/>
  <c r="Y45" i="29"/>
  <c r="AA45" i="29"/>
  <c r="AC45" i="29"/>
  <c r="Y46" i="29"/>
  <c r="Z46" i="29" s="1"/>
  <c r="AA46" i="29"/>
  <c r="AC46" i="29"/>
  <c r="Y47" i="29"/>
  <c r="Z47" i="29" s="1"/>
  <c r="AA47" i="29"/>
  <c r="AC47" i="29"/>
  <c r="AE47" i="29"/>
  <c r="Y23" i="23"/>
  <c r="Z23" i="23"/>
  <c r="AB23" i="23" s="1"/>
  <c r="AD23" i="23" s="1"/>
  <c r="AA23" i="23"/>
  <c r="AC23" i="23"/>
  <c r="Y24" i="23"/>
  <c r="AA24" i="23"/>
  <c r="AC24" i="23"/>
  <c r="Y25" i="23"/>
  <c r="Z25" i="23"/>
  <c r="AB25" i="23" s="1"/>
  <c r="AA25" i="23"/>
  <c r="AC25" i="23"/>
  <c r="Y26" i="23"/>
  <c r="Z26" i="23"/>
  <c r="AB26" i="23" s="1"/>
  <c r="AA26" i="23"/>
  <c r="AC26" i="23"/>
  <c r="AE26" i="23" s="1"/>
  <c r="Y27" i="23"/>
  <c r="Z27" i="23"/>
  <c r="AA27" i="23"/>
  <c r="AC27" i="23"/>
  <c r="Y28" i="23"/>
  <c r="AA28" i="23"/>
  <c r="AC28" i="23"/>
  <c r="Y29" i="23"/>
  <c r="AA29" i="23"/>
  <c r="AC29" i="23"/>
  <c r="Y30" i="23"/>
  <c r="Z30" i="23" s="1"/>
  <c r="AA30" i="23"/>
  <c r="AC30" i="23"/>
  <c r="Y31" i="23"/>
  <c r="Z31" i="23" s="1"/>
  <c r="AA31" i="23"/>
  <c r="AC31" i="23"/>
  <c r="AE31" i="23"/>
  <c r="Y32" i="23"/>
  <c r="AA32" i="23"/>
  <c r="AC32" i="23"/>
  <c r="Y33" i="23"/>
  <c r="Z33" i="23" s="1"/>
  <c r="AA33" i="23"/>
  <c r="AC33" i="23"/>
  <c r="Y34" i="23"/>
  <c r="Z34" i="23"/>
  <c r="AA34" i="23"/>
  <c r="AC34" i="23"/>
  <c r="Y35" i="23"/>
  <c r="Z35" i="23"/>
  <c r="AB35" i="23" s="1"/>
  <c r="AD35" i="23" s="1"/>
  <c r="AA35" i="23"/>
  <c r="AE35" i="23" s="1"/>
  <c r="AC35" i="23"/>
  <c r="Y36" i="23"/>
  <c r="AA36" i="23"/>
  <c r="AC36" i="23"/>
  <c r="Y37" i="23"/>
  <c r="Z37" i="23"/>
  <c r="AB37" i="23" s="1"/>
  <c r="AA37" i="23"/>
  <c r="AC37" i="23"/>
  <c r="Y38" i="23"/>
  <c r="Z38" i="23"/>
  <c r="AB38" i="23" s="1"/>
  <c r="AA38" i="23"/>
  <c r="AE38" i="23" s="1"/>
  <c r="AC38" i="23"/>
  <c r="Y39" i="23"/>
  <c r="Z39" i="23"/>
  <c r="AA39" i="23"/>
  <c r="AC39" i="23"/>
  <c r="Y40" i="23"/>
  <c r="AA40" i="23"/>
  <c r="AC40" i="23"/>
  <c r="Y41" i="23"/>
  <c r="AE41" i="23" s="1"/>
  <c r="AA41" i="23"/>
  <c r="AC41" i="23"/>
  <c r="Y42" i="23"/>
  <c r="Z42" i="23" s="1"/>
  <c r="AA42" i="23"/>
  <c r="AC42" i="23"/>
  <c r="Y43" i="23"/>
  <c r="Z43" i="23" s="1"/>
  <c r="AA43" i="23"/>
  <c r="AC43" i="23"/>
  <c r="Y44" i="23"/>
  <c r="AA44" i="23"/>
  <c r="AC44" i="23"/>
  <c r="Y45" i="23"/>
  <c r="AA45" i="23"/>
  <c r="AC45" i="23"/>
  <c r="Y46" i="23"/>
  <c r="Z46" i="23"/>
  <c r="AA46" i="23"/>
  <c r="AE46" i="23" s="1"/>
  <c r="AC46" i="23"/>
  <c r="Y47" i="23"/>
  <c r="Z47" i="23"/>
  <c r="AA47" i="23"/>
  <c r="AC47" i="23"/>
  <c r="AE47" i="23"/>
  <c r="Y23" i="38"/>
  <c r="AA23" i="38"/>
  <c r="AC23" i="38"/>
  <c r="Y24" i="38"/>
  <c r="Z24" i="38"/>
  <c r="AA24" i="38"/>
  <c r="AC24" i="38"/>
  <c r="Y25" i="38"/>
  <c r="Z25" i="38" s="1"/>
  <c r="AA25" i="38"/>
  <c r="AC25" i="38"/>
  <c r="Y26" i="38"/>
  <c r="Z26" i="38" s="1"/>
  <c r="AA26" i="38"/>
  <c r="AC26" i="38"/>
  <c r="Y27" i="38"/>
  <c r="Z27" i="38" s="1"/>
  <c r="AA27" i="38"/>
  <c r="AC27" i="38"/>
  <c r="Y28" i="38"/>
  <c r="Z28" i="38" s="1"/>
  <c r="AA28" i="38"/>
  <c r="AC28" i="38"/>
  <c r="Y29" i="38"/>
  <c r="Z29" i="38" s="1"/>
  <c r="AA29" i="38"/>
  <c r="AC29" i="38"/>
  <c r="Y30" i="38"/>
  <c r="Z30" i="38" s="1"/>
  <c r="AA30" i="38"/>
  <c r="AC30" i="38"/>
  <c r="Y31" i="38"/>
  <c r="Z31" i="38"/>
  <c r="AA31" i="38"/>
  <c r="AE31" i="38" s="1"/>
  <c r="AC31" i="38"/>
  <c r="Y32" i="38"/>
  <c r="Z32" i="38"/>
  <c r="AA32" i="38"/>
  <c r="AC32" i="38"/>
  <c r="Y33" i="38"/>
  <c r="Z33" i="38" s="1"/>
  <c r="AA33" i="38"/>
  <c r="AC33" i="38"/>
  <c r="Y34" i="38"/>
  <c r="Z34" i="38" s="1"/>
  <c r="AA34" i="38"/>
  <c r="AC34" i="38"/>
  <c r="Y35" i="38"/>
  <c r="Z35" i="38" s="1"/>
  <c r="AB35" i="38" s="1"/>
  <c r="AA35" i="38"/>
  <c r="AC35" i="38"/>
  <c r="AE35" i="38" s="1"/>
  <c r="Y36" i="38"/>
  <c r="Z36" i="38" s="1"/>
  <c r="AA36" i="38"/>
  <c r="AC36" i="38"/>
  <c r="Y37" i="38"/>
  <c r="Z37" i="38" s="1"/>
  <c r="AA37" i="38"/>
  <c r="AC37" i="38"/>
  <c r="Y38" i="38"/>
  <c r="Z38" i="38" s="1"/>
  <c r="AA38" i="38"/>
  <c r="AC38" i="38"/>
  <c r="Y39" i="38"/>
  <c r="Z39" i="38"/>
  <c r="AB39" i="38" s="1"/>
  <c r="AA39" i="38"/>
  <c r="AC39" i="38"/>
  <c r="Y40" i="38"/>
  <c r="Z40" i="38"/>
  <c r="AA40" i="38"/>
  <c r="AC40" i="38"/>
  <c r="Y41" i="38"/>
  <c r="Z41" i="38" s="1"/>
  <c r="AA41" i="38"/>
  <c r="AC41" i="38"/>
  <c r="Y42" i="38"/>
  <c r="Z42" i="38" s="1"/>
  <c r="AA42" i="38"/>
  <c r="AC42" i="38"/>
  <c r="Y43" i="38"/>
  <c r="Z43" i="38" s="1"/>
  <c r="AA43" i="38"/>
  <c r="AC43" i="38"/>
  <c r="AE43" i="38"/>
  <c r="Y44" i="38"/>
  <c r="Z44" i="38"/>
  <c r="AA44" i="38"/>
  <c r="AC44" i="38"/>
  <c r="AE44" i="38" s="1"/>
  <c r="Y45" i="38"/>
  <c r="Z45" i="38" s="1"/>
  <c r="AA45" i="38"/>
  <c r="AC45" i="38"/>
  <c r="Y46" i="38"/>
  <c r="Z46" i="38" s="1"/>
  <c r="AA46" i="38"/>
  <c r="AC46" i="38"/>
  <c r="Y47" i="38"/>
  <c r="Z47" i="38" s="1"/>
  <c r="AA47" i="38"/>
  <c r="AC47" i="38"/>
  <c r="AE47" i="38"/>
  <c r="Y23" i="1"/>
  <c r="Z23" i="1" s="1"/>
  <c r="AA23" i="1"/>
  <c r="AC23" i="1"/>
  <c r="AE23" i="1" s="1"/>
  <c r="Y24" i="1"/>
  <c r="Z24" i="1" s="1"/>
  <c r="AA24" i="1"/>
  <c r="AC24" i="1"/>
  <c r="Y25" i="1"/>
  <c r="Z25" i="1" s="1"/>
  <c r="AA25" i="1"/>
  <c r="AC25" i="1"/>
  <c r="Y26" i="1"/>
  <c r="Z26" i="1"/>
  <c r="AA26" i="1"/>
  <c r="AC26" i="1"/>
  <c r="AE26" i="1"/>
  <c r="Y27" i="1"/>
  <c r="Z27" i="1" s="1"/>
  <c r="AA27" i="1"/>
  <c r="AC27" i="1"/>
  <c r="Y28" i="1"/>
  <c r="Z28" i="1" s="1"/>
  <c r="AA28" i="1"/>
  <c r="AC28" i="1"/>
  <c r="Y29" i="1"/>
  <c r="Z29" i="1" s="1"/>
  <c r="AA29" i="1"/>
  <c r="AC29" i="1"/>
  <c r="Y30" i="1"/>
  <c r="Z30" i="1"/>
  <c r="AA30" i="1"/>
  <c r="AC30" i="1"/>
  <c r="AE30" i="1"/>
  <c r="Y31" i="1"/>
  <c r="Z31" i="1"/>
  <c r="AA31" i="1"/>
  <c r="AC31" i="1"/>
  <c r="Y32" i="1"/>
  <c r="Z32" i="1" s="1"/>
  <c r="AA32" i="1"/>
  <c r="AC32" i="1"/>
  <c r="Y33" i="1"/>
  <c r="Z33" i="1" s="1"/>
  <c r="AA33" i="1"/>
  <c r="AC33" i="1"/>
  <c r="Y34" i="1"/>
  <c r="Z34" i="1" s="1"/>
  <c r="AA34" i="1"/>
  <c r="AC34" i="1"/>
  <c r="AE34" i="1"/>
  <c r="Y35" i="1"/>
  <c r="Z35" i="1"/>
  <c r="AA35" i="1"/>
  <c r="AB35" i="1" s="1"/>
  <c r="AC35" i="1"/>
  <c r="Y36" i="1"/>
  <c r="Z36" i="1" s="1"/>
  <c r="AA36" i="1"/>
  <c r="AC36" i="1"/>
  <c r="Y37" i="1"/>
  <c r="Z37" i="1" s="1"/>
  <c r="AA37" i="1"/>
  <c r="AC37" i="1"/>
  <c r="Y38" i="1"/>
  <c r="Z38" i="1" s="1"/>
  <c r="AA38" i="1"/>
  <c r="AC38" i="1"/>
  <c r="Y39" i="1"/>
  <c r="Z39" i="1" s="1"/>
  <c r="AA39" i="1"/>
  <c r="AC39" i="1"/>
  <c r="Y40" i="1"/>
  <c r="Z40" i="1" s="1"/>
  <c r="AA40" i="1"/>
  <c r="AC40" i="1"/>
  <c r="Y41" i="1"/>
  <c r="Z41" i="1" s="1"/>
  <c r="AA41" i="1"/>
  <c r="AC41" i="1"/>
  <c r="Y42" i="1"/>
  <c r="Z42" i="1"/>
  <c r="AB42" i="1" s="1"/>
  <c r="AD42" i="1" s="1"/>
  <c r="AA42" i="1"/>
  <c r="AC42" i="1"/>
  <c r="AE42" i="1"/>
  <c r="Y43" i="1"/>
  <c r="Z43" i="1" s="1"/>
  <c r="AA43" i="1"/>
  <c r="AC43" i="1"/>
  <c r="Y44" i="1"/>
  <c r="Z44" i="1" s="1"/>
  <c r="AA44" i="1"/>
  <c r="AC44" i="1"/>
  <c r="Y45" i="1"/>
  <c r="Z45" i="1" s="1"/>
  <c r="AA45" i="1"/>
  <c r="AC45" i="1"/>
  <c r="Y46" i="1"/>
  <c r="Z46" i="1"/>
  <c r="AA46" i="1"/>
  <c r="AE46" i="1" s="1"/>
  <c r="AC46" i="1"/>
  <c r="Y47" i="1"/>
  <c r="Z47" i="1"/>
  <c r="AA47" i="1"/>
  <c r="AB47" i="1" s="1"/>
  <c r="AC47" i="1"/>
  <c r="R25" i="22"/>
  <c r="T25" i="22"/>
  <c r="R26" i="22"/>
  <c r="T26" i="22"/>
  <c r="R27" i="22"/>
  <c r="T27" i="22"/>
  <c r="R28" i="22"/>
  <c r="T28" i="22"/>
  <c r="R29" i="22"/>
  <c r="T29" i="22"/>
  <c r="R30" i="22"/>
  <c r="T30" i="22"/>
  <c r="R31" i="22"/>
  <c r="T31" i="22"/>
  <c r="R32" i="22"/>
  <c r="T32" i="22"/>
  <c r="R33" i="22"/>
  <c r="T33" i="22"/>
  <c r="R34" i="22"/>
  <c r="T34" i="22"/>
  <c r="R35" i="22"/>
  <c r="T35" i="22"/>
  <c r="R36" i="22"/>
  <c r="T36" i="22"/>
  <c r="R37" i="22"/>
  <c r="T37" i="22"/>
  <c r="R38" i="22"/>
  <c r="T38" i="22"/>
  <c r="R39" i="22"/>
  <c r="T39" i="22"/>
  <c r="R40" i="22"/>
  <c r="T40" i="22"/>
  <c r="R41" i="22"/>
  <c r="T41" i="22"/>
  <c r="R42" i="22"/>
  <c r="T42" i="22"/>
  <c r="R43" i="22"/>
  <c r="T43" i="22"/>
  <c r="R44" i="22"/>
  <c r="T44" i="22"/>
  <c r="R45" i="22"/>
  <c r="T45" i="22"/>
  <c r="R46" i="22"/>
  <c r="T46" i="22"/>
  <c r="R47" i="22"/>
  <c r="T47" i="22"/>
  <c r="R25" i="26"/>
  <c r="T25" i="26"/>
  <c r="R26" i="26"/>
  <c r="T26" i="26"/>
  <c r="R27" i="26"/>
  <c r="T27" i="26"/>
  <c r="R28" i="26"/>
  <c r="T28" i="26"/>
  <c r="R29" i="26"/>
  <c r="T29" i="26"/>
  <c r="R30" i="26"/>
  <c r="T30" i="26"/>
  <c r="R31" i="26"/>
  <c r="T31" i="26"/>
  <c r="R32" i="26"/>
  <c r="T32" i="26"/>
  <c r="R33" i="26"/>
  <c r="T33" i="26"/>
  <c r="R34" i="26"/>
  <c r="T34" i="26"/>
  <c r="R35" i="26"/>
  <c r="T35" i="26"/>
  <c r="R36" i="26"/>
  <c r="T36" i="26"/>
  <c r="R37" i="26"/>
  <c r="T37" i="26"/>
  <c r="R38" i="26"/>
  <c r="T38" i="26"/>
  <c r="R39" i="26"/>
  <c r="T39" i="26"/>
  <c r="R40" i="26"/>
  <c r="T40" i="26"/>
  <c r="R41" i="26"/>
  <c r="T41" i="26"/>
  <c r="R42" i="26"/>
  <c r="T42" i="26"/>
  <c r="R43" i="26"/>
  <c r="T43" i="26"/>
  <c r="R44" i="26"/>
  <c r="T44" i="26"/>
  <c r="R45" i="26"/>
  <c r="T45" i="26"/>
  <c r="R46" i="26"/>
  <c r="T46" i="26"/>
  <c r="R47" i="26"/>
  <c r="T47" i="26"/>
  <c r="R25" i="27"/>
  <c r="T25" i="27"/>
  <c r="R26" i="27"/>
  <c r="T26" i="27"/>
  <c r="R27" i="27"/>
  <c r="T27" i="27"/>
  <c r="R28" i="27"/>
  <c r="T28" i="27"/>
  <c r="R29" i="27"/>
  <c r="T29" i="27"/>
  <c r="R30" i="27"/>
  <c r="T30" i="27"/>
  <c r="R31" i="27"/>
  <c r="T31" i="27"/>
  <c r="R32" i="27"/>
  <c r="T32" i="27"/>
  <c r="R33" i="27"/>
  <c r="T33" i="27"/>
  <c r="R34" i="27"/>
  <c r="T34" i="27"/>
  <c r="R35" i="27"/>
  <c r="T35" i="27"/>
  <c r="R36" i="27"/>
  <c r="T36" i="27"/>
  <c r="R37" i="27"/>
  <c r="T37" i="27"/>
  <c r="R38" i="27"/>
  <c r="T38" i="27"/>
  <c r="R39" i="27"/>
  <c r="T39" i="27"/>
  <c r="R40" i="27"/>
  <c r="T40" i="27"/>
  <c r="R41" i="27"/>
  <c r="T41" i="27"/>
  <c r="R42" i="27"/>
  <c r="T42" i="27"/>
  <c r="R43" i="27"/>
  <c r="T43" i="27"/>
  <c r="R44" i="27"/>
  <c r="T44" i="27"/>
  <c r="R45" i="27"/>
  <c r="T45" i="27"/>
  <c r="R46" i="27"/>
  <c r="T46" i="27"/>
  <c r="R47" i="27"/>
  <c r="T47" i="27"/>
  <c r="R25" i="28"/>
  <c r="T25" i="28"/>
  <c r="R26" i="28"/>
  <c r="T26" i="28"/>
  <c r="R27" i="28"/>
  <c r="T27" i="28"/>
  <c r="R28" i="28"/>
  <c r="T28" i="28"/>
  <c r="R29" i="28"/>
  <c r="T29" i="28"/>
  <c r="R30" i="28"/>
  <c r="T30" i="28"/>
  <c r="R31" i="28"/>
  <c r="T31" i="28"/>
  <c r="R32" i="28"/>
  <c r="T32" i="28"/>
  <c r="R33" i="28"/>
  <c r="T33" i="28"/>
  <c r="R34" i="28"/>
  <c r="T34" i="28"/>
  <c r="R35" i="28"/>
  <c r="T35" i="28"/>
  <c r="R36" i="28"/>
  <c r="T36" i="28"/>
  <c r="R37" i="28"/>
  <c r="T37" i="28"/>
  <c r="R38" i="28"/>
  <c r="T38" i="28"/>
  <c r="R39" i="28"/>
  <c r="T39" i="28"/>
  <c r="R40" i="28"/>
  <c r="T40" i="28"/>
  <c r="R41" i="28"/>
  <c r="T41" i="28"/>
  <c r="R42" i="28"/>
  <c r="T42" i="28"/>
  <c r="R43" i="28"/>
  <c r="T43" i="28"/>
  <c r="R44" i="28"/>
  <c r="T44" i="28"/>
  <c r="R45" i="28"/>
  <c r="T45" i="28"/>
  <c r="R46" i="28"/>
  <c r="T46" i="28"/>
  <c r="R47" i="28"/>
  <c r="T47" i="28"/>
  <c r="R25" i="29"/>
  <c r="T25" i="29"/>
  <c r="R26" i="29"/>
  <c r="T26" i="29"/>
  <c r="R27" i="29"/>
  <c r="T27" i="29"/>
  <c r="R28" i="29"/>
  <c r="T28" i="29"/>
  <c r="R29" i="29"/>
  <c r="T29" i="29"/>
  <c r="R30" i="29"/>
  <c r="T30" i="29"/>
  <c r="R31" i="29"/>
  <c r="T31" i="29"/>
  <c r="R32" i="29"/>
  <c r="T32" i="29"/>
  <c r="R33" i="29"/>
  <c r="T33" i="29"/>
  <c r="R34" i="29"/>
  <c r="T34" i="29"/>
  <c r="R35" i="29"/>
  <c r="T35" i="29"/>
  <c r="R36" i="29"/>
  <c r="T36" i="29"/>
  <c r="R37" i="29"/>
  <c r="T37" i="29"/>
  <c r="R38" i="29"/>
  <c r="T38" i="29"/>
  <c r="R39" i="29"/>
  <c r="T39" i="29"/>
  <c r="R40" i="29"/>
  <c r="T40" i="29"/>
  <c r="R41" i="29"/>
  <c r="T41" i="29"/>
  <c r="R42" i="29"/>
  <c r="T42" i="29"/>
  <c r="R43" i="29"/>
  <c r="T43" i="29"/>
  <c r="R44" i="29"/>
  <c r="T44" i="29"/>
  <c r="R45" i="29"/>
  <c r="T45" i="29"/>
  <c r="R46" i="29"/>
  <c r="T46" i="29"/>
  <c r="R47" i="29"/>
  <c r="T47" i="29"/>
  <c r="R25" i="23"/>
  <c r="T25" i="23"/>
  <c r="R26" i="23"/>
  <c r="T26" i="23"/>
  <c r="R27" i="23"/>
  <c r="T27" i="23"/>
  <c r="R28" i="23"/>
  <c r="T28" i="23"/>
  <c r="R29" i="23"/>
  <c r="T29" i="23"/>
  <c r="R30" i="23"/>
  <c r="T30" i="23"/>
  <c r="R31" i="23"/>
  <c r="T31" i="23"/>
  <c r="R32" i="23"/>
  <c r="T32" i="23"/>
  <c r="R33" i="23"/>
  <c r="T33" i="23"/>
  <c r="R34" i="23"/>
  <c r="T34" i="23"/>
  <c r="R35" i="23"/>
  <c r="T35" i="23"/>
  <c r="R36" i="23"/>
  <c r="T36" i="23"/>
  <c r="R37" i="23"/>
  <c r="T37" i="23"/>
  <c r="R38" i="23"/>
  <c r="T38" i="23"/>
  <c r="R39" i="23"/>
  <c r="T39" i="23"/>
  <c r="R40" i="23"/>
  <c r="T40" i="23"/>
  <c r="R41" i="23"/>
  <c r="T41" i="23"/>
  <c r="R42" i="23"/>
  <c r="T42" i="23"/>
  <c r="R43" i="23"/>
  <c r="T43" i="23"/>
  <c r="R44" i="23"/>
  <c r="T44" i="23"/>
  <c r="R45" i="23"/>
  <c r="T45" i="23"/>
  <c r="R46" i="23"/>
  <c r="T46" i="23"/>
  <c r="R47" i="23"/>
  <c r="T47" i="23"/>
  <c r="R25" i="38"/>
  <c r="T25" i="38"/>
  <c r="R26" i="38"/>
  <c r="T26" i="38"/>
  <c r="R27" i="38"/>
  <c r="T27" i="38"/>
  <c r="R28" i="38"/>
  <c r="T28" i="38"/>
  <c r="R29" i="38"/>
  <c r="T29" i="38"/>
  <c r="R30" i="38"/>
  <c r="T30" i="38"/>
  <c r="R31" i="38"/>
  <c r="T31" i="38"/>
  <c r="R32" i="38"/>
  <c r="T32" i="38"/>
  <c r="R33" i="38"/>
  <c r="T33" i="38"/>
  <c r="R34" i="38"/>
  <c r="T34" i="38"/>
  <c r="R35" i="38"/>
  <c r="T35" i="38"/>
  <c r="R36" i="38"/>
  <c r="T36" i="38"/>
  <c r="R37" i="38"/>
  <c r="T37" i="38"/>
  <c r="R38" i="38"/>
  <c r="T38" i="38"/>
  <c r="R39" i="38"/>
  <c r="T39" i="38"/>
  <c r="R40" i="38"/>
  <c r="T40" i="38"/>
  <c r="R41" i="38"/>
  <c r="T41" i="38"/>
  <c r="R42" i="38"/>
  <c r="T42" i="38"/>
  <c r="R43" i="38"/>
  <c r="T43" i="38"/>
  <c r="R44" i="38"/>
  <c r="T44" i="38"/>
  <c r="R45" i="38"/>
  <c r="T45" i="38"/>
  <c r="R46" i="38"/>
  <c r="T46" i="38"/>
  <c r="R47" i="38"/>
  <c r="T47" i="38"/>
  <c r="R25" i="1"/>
  <c r="T25" i="1"/>
  <c r="R26" i="1"/>
  <c r="T26" i="1"/>
  <c r="R27" i="1"/>
  <c r="T27" i="1"/>
  <c r="R28" i="1"/>
  <c r="T28" i="1"/>
  <c r="R29" i="1"/>
  <c r="T29" i="1"/>
  <c r="R30" i="1"/>
  <c r="T30" i="1"/>
  <c r="R31" i="1"/>
  <c r="T31" i="1"/>
  <c r="R32" i="1"/>
  <c r="T32" i="1"/>
  <c r="R33" i="1"/>
  <c r="T33" i="1"/>
  <c r="R34" i="1"/>
  <c r="T34" i="1"/>
  <c r="R35" i="1"/>
  <c r="T35" i="1"/>
  <c r="R36" i="1"/>
  <c r="T36" i="1"/>
  <c r="R37" i="1"/>
  <c r="T37" i="1"/>
  <c r="R38" i="1"/>
  <c r="T38" i="1"/>
  <c r="R39" i="1"/>
  <c r="T39" i="1"/>
  <c r="R40" i="1"/>
  <c r="T40" i="1"/>
  <c r="R41" i="1"/>
  <c r="T41" i="1"/>
  <c r="R42" i="1"/>
  <c r="T42" i="1"/>
  <c r="R43" i="1"/>
  <c r="T43" i="1"/>
  <c r="R44" i="1"/>
  <c r="T44" i="1"/>
  <c r="R45" i="1"/>
  <c r="T45" i="1"/>
  <c r="R46" i="1"/>
  <c r="T46" i="1"/>
  <c r="R47" i="1"/>
  <c r="T47" i="1"/>
  <c r="I25" i="22"/>
  <c r="K25" i="22"/>
  <c r="I26" i="22"/>
  <c r="K26" i="22"/>
  <c r="I27" i="22"/>
  <c r="K27" i="22"/>
  <c r="I28" i="22"/>
  <c r="K28" i="22"/>
  <c r="I29" i="22"/>
  <c r="K29" i="22"/>
  <c r="I30" i="22"/>
  <c r="K30" i="22"/>
  <c r="I31" i="22"/>
  <c r="K31" i="22"/>
  <c r="I32" i="22"/>
  <c r="K32" i="22"/>
  <c r="I33" i="22"/>
  <c r="K33" i="22"/>
  <c r="I34" i="22"/>
  <c r="K34" i="22"/>
  <c r="I35" i="22"/>
  <c r="K35" i="22"/>
  <c r="I36" i="22"/>
  <c r="K36" i="22"/>
  <c r="I37" i="22"/>
  <c r="K37" i="22"/>
  <c r="I38" i="22"/>
  <c r="K38" i="22"/>
  <c r="I39" i="22"/>
  <c r="K39" i="22"/>
  <c r="I40" i="22"/>
  <c r="K40" i="22"/>
  <c r="I41" i="22"/>
  <c r="K41" i="22"/>
  <c r="I42" i="22"/>
  <c r="K42" i="22"/>
  <c r="I43" i="22"/>
  <c r="K43" i="22"/>
  <c r="I44" i="22"/>
  <c r="K44" i="22"/>
  <c r="I45" i="22"/>
  <c r="K45" i="22"/>
  <c r="I46" i="22"/>
  <c r="K46" i="22"/>
  <c r="I47" i="22"/>
  <c r="K47" i="22"/>
  <c r="I25" i="26"/>
  <c r="K25" i="26"/>
  <c r="I26" i="26"/>
  <c r="K26" i="26"/>
  <c r="I27" i="26"/>
  <c r="K27" i="26"/>
  <c r="I28" i="26"/>
  <c r="K28" i="26"/>
  <c r="I29" i="26"/>
  <c r="K29" i="26"/>
  <c r="I30" i="26"/>
  <c r="K30" i="26"/>
  <c r="I31" i="26"/>
  <c r="K31" i="26"/>
  <c r="I32" i="26"/>
  <c r="K32" i="26"/>
  <c r="I33" i="26"/>
  <c r="K33" i="26"/>
  <c r="I34" i="26"/>
  <c r="K34" i="26"/>
  <c r="I35" i="26"/>
  <c r="K35" i="26"/>
  <c r="I36" i="26"/>
  <c r="K36" i="26"/>
  <c r="I37" i="26"/>
  <c r="K37" i="26"/>
  <c r="I38" i="26"/>
  <c r="K38" i="26"/>
  <c r="I39" i="26"/>
  <c r="K39" i="26"/>
  <c r="I40" i="26"/>
  <c r="K40" i="26"/>
  <c r="I41" i="26"/>
  <c r="K41" i="26"/>
  <c r="I42" i="26"/>
  <c r="K42" i="26"/>
  <c r="I43" i="26"/>
  <c r="K43" i="26"/>
  <c r="I44" i="26"/>
  <c r="K44" i="26"/>
  <c r="I45" i="26"/>
  <c r="K45" i="26"/>
  <c r="I46" i="26"/>
  <c r="K46" i="26"/>
  <c r="I47" i="26"/>
  <c r="K47" i="26"/>
  <c r="I25" i="27"/>
  <c r="K25" i="27"/>
  <c r="I26" i="27"/>
  <c r="K26" i="27"/>
  <c r="I27" i="27"/>
  <c r="K27" i="27"/>
  <c r="I28" i="27"/>
  <c r="K28" i="27"/>
  <c r="I29" i="27"/>
  <c r="K29" i="27"/>
  <c r="I30" i="27"/>
  <c r="K30" i="27"/>
  <c r="I31" i="27"/>
  <c r="K31" i="27"/>
  <c r="I32" i="27"/>
  <c r="K32" i="27"/>
  <c r="I33" i="27"/>
  <c r="K33" i="27"/>
  <c r="I34" i="27"/>
  <c r="K34" i="27"/>
  <c r="I35" i="27"/>
  <c r="K35" i="27"/>
  <c r="I36" i="27"/>
  <c r="K36" i="27"/>
  <c r="I37" i="27"/>
  <c r="K37" i="27"/>
  <c r="I38" i="27"/>
  <c r="K38" i="27"/>
  <c r="I39" i="27"/>
  <c r="K39" i="27"/>
  <c r="I40" i="27"/>
  <c r="K40" i="27"/>
  <c r="I41" i="27"/>
  <c r="K41" i="27"/>
  <c r="I42" i="27"/>
  <c r="K42" i="27"/>
  <c r="I43" i="27"/>
  <c r="K43" i="27"/>
  <c r="I44" i="27"/>
  <c r="K44" i="27"/>
  <c r="I45" i="27"/>
  <c r="K45" i="27"/>
  <c r="I46" i="27"/>
  <c r="K46" i="27"/>
  <c r="I47" i="27"/>
  <c r="K47" i="27"/>
  <c r="I25" i="28"/>
  <c r="K25" i="28"/>
  <c r="I26" i="28"/>
  <c r="K26" i="28"/>
  <c r="I27" i="28"/>
  <c r="K27" i="28"/>
  <c r="I28" i="28"/>
  <c r="K28" i="28"/>
  <c r="I29" i="28"/>
  <c r="K29" i="28"/>
  <c r="I30" i="28"/>
  <c r="K30" i="28"/>
  <c r="I31" i="28"/>
  <c r="K31" i="28"/>
  <c r="I32" i="28"/>
  <c r="K32" i="28"/>
  <c r="I33" i="28"/>
  <c r="K33" i="28"/>
  <c r="I34" i="28"/>
  <c r="K34" i="28"/>
  <c r="I35" i="28"/>
  <c r="K35" i="28"/>
  <c r="I36" i="28"/>
  <c r="K36" i="28"/>
  <c r="I37" i="28"/>
  <c r="K37" i="28"/>
  <c r="I38" i="28"/>
  <c r="K38" i="28"/>
  <c r="I39" i="28"/>
  <c r="K39" i="28"/>
  <c r="I40" i="28"/>
  <c r="K40" i="28"/>
  <c r="I41" i="28"/>
  <c r="K41" i="28"/>
  <c r="I42" i="28"/>
  <c r="K42" i="28"/>
  <c r="I43" i="28"/>
  <c r="K43" i="28"/>
  <c r="I44" i="28"/>
  <c r="K44" i="28"/>
  <c r="I45" i="28"/>
  <c r="K45" i="28"/>
  <c r="I46" i="28"/>
  <c r="K46" i="28"/>
  <c r="I47" i="28"/>
  <c r="K47" i="28"/>
  <c r="I25" i="29"/>
  <c r="K25" i="29"/>
  <c r="I26" i="29"/>
  <c r="K26" i="29"/>
  <c r="I27" i="29"/>
  <c r="K27" i="29"/>
  <c r="I28" i="29"/>
  <c r="K28" i="29"/>
  <c r="I29" i="29"/>
  <c r="K29" i="29"/>
  <c r="I30" i="29"/>
  <c r="K30" i="29"/>
  <c r="I31" i="29"/>
  <c r="K31" i="29"/>
  <c r="I32" i="29"/>
  <c r="K32" i="29"/>
  <c r="I33" i="29"/>
  <c r="K33" i="29"/>
  <c r="I34" i="29"/>
  <c r="K34" i="29"/>
  <c r="I35" i="29"/>
  <c r="K35" i="29"/>
  <c r="I36" i="29"/>
  <c r="K36" i="29"/>
  <c r="I37" i="29"/>
  <c r="K37" i="29"/>
  <c r="I38" i="29"/>
  <c r="K38" i="29"/>
  <c r="I39" i="29"/>
  <c r="K39" i="29"/>
  <c r="I40" i="29"/>
  <c r="K40" i="29"/>
  <c r="I41" i="29"/>
  <c r="K41" i="29"/>
  <c r="I42" i="29"/>
  <c r="K42" i="29"/>
  <c r="I43" i="29"/>
  <c r="K43" i="29"/>
  <c r="I44" i="29"/>
  <c r="K44" i="29"/>
  <c r="I45" i="29"/>
  <c r="K45" i="29"/>
  <c r="I46" i="29"/>
  <c r="K46" i="29"/>
  <c r="I47" i="29"/>
  <c r="K47" i="29"/>
  <c r="I25" i="23"/>
  <c r="K25" i="23"/>
  <c r="I26" i="23"/>
  <c r="K26" i="23"/>
  <c r="I27" i="23"/>
  <c r="K27" i="23"/>
  <c r="I28" i="23"/>
  <c r="K28" i="23"/>
  <c r="I29" i="23"/>
  <c r="K29" i="23"/>
  <c r="I30" i="23"/>
  <c r="K30" i="23"/>
  <c r="I31" i="23"/>
  <c r="K31" i="23"/>
  <c r="I32" i="23"/>
  <c r="K32" i="23"/>
  <c r="I33" i="23"/>
  <c r="K33" i="23"/>
  <c r="I34" i="23"/>
  <c r="K34" i="23"/>
  <c r="I35" i="23"/>
  <c r="K35" i="23"/>
  <c r="I36" i="23"/>
  <c r="K36" i="23"/>
  <c r="I37" i="23"/>
  <c r="K37" i="23"/>
  <c r="I38" i="23"/>
  <c r="K38" i="23"/>
  <c r="I39" i="23"/>
  <c r="K39" i="23"/>
  <c r="I40" i="23"/>
  <c r="K40" i="23"/>
  <c r="I41" i="23"/>
  <c r="K41" i="23"/>
  <c r="I42" i="23"/>
  <c r="K42" i="23"/>
  <c r="I43" i="23"/>
  <c r="K43" i="23"/>
  <c r="I44" i="23"/>
  <c r="K44" i="23"/>
  <c r="I45" i="23"/>
  <c r="K45" i="23"/>
  <c r="I46" i="23"/>
  <c r="K46" i="23"/>
  <c r="I47" i="23"/>
  <c r="K47" i="23"/>
  <c r="I25" i="38"/>
  <c r="K25" i="38"/>
  <c r="I26" i="38"/>
  <c r="K26" i="38"/>
  <c r="I27" i="38"/>
  <c r="K27" i="38"/>
  <c r="I28" i="38"/>
  <c r="K28" i="38"/>
  <c r="I29" i="38"/>
  <c r="K29" i="38"/>
  <c r="I30" i="38"/>
  <c r="K30" i="38"/>
  <c r="I31" i="38"/>
  <c r="K31" i="38"/>
  <c r="I32" i="38"/>
  <c r="K32" i="38"/>
  <c r="I33" i="38"/>
  <c r="K33" i="38"/>
  <c r="I34" i="38"/>
  <c r="K34" i="38"/>
  <c r="I35" i="38"/>
  <c r="K35" i="38"/>
  <c r="I36" i="38"/>
  <c r="K36" i="38"/>
  <c r="I37" i="38"/>
  <c r="K37" i="38"/>
  <c r="I38" i="38"/>
  <c r="K38" i="38"/>
  <c r="I39" i="38"/>
  <c r="K39" i="38"/>
  <c r="I40" i="38"/>
  <c r="K40" i="38"/>
  <c r="I41" i="38"/>
  <c r="K41" i="38"/>
  <c r="I42" i="38"/>
  <c r="K42" i="38"/>
  <c r="I43" i="38"/>
  <c r="K43" i="38"/>
  <c r="I44" i="38"/>
  <c r="K44" i="38"/>
  <c r="I45" i="38"/>
  <c r="K45" i="38"/>
  <c r="I46" i="38"/>
  <c r="K46" i="38"/>
  <c r="I47" i="38"/>
  <c r="K47" i="38"/>
  <c r="I25" i="1"/>
  <c r="K25" i="1"/>
  <c r="I26" i="1"/>
  <c r="K26" i="1"/>
  <c r="I27" i="1"/>
  <c r="K27" i="1"/>
  <c r="I28" i="1"/>
  <c r="K28" i="1"/>
  <c r="I29" i="1"/>
  <c r="K29" i="1"/>
  <c r="I30" i="1"/>
  <c r="K30" i="1"/>
  <c r="I31" i="1"/>
  <c r="K31" i="1"/>
  <c r="I32" i="1"/>
  <c r="K32" i="1"/>
  <c r="I33" i="1"/>
  <c r="K33" i="1"/>
  <c r="I34" i="1"/>
  <c r="K34" i="1"/>
  <c r="I35" i="1"/>
  <c r="K35" i="1"/>
  <c r="I36" i="1"/>
  <c r="K36" i="1"/>
  <c r="I37" i="1"/>
  <c r="K37" i="1"/>
  <c r="I38" i="1"/>
  <c r="K38" i="1"/>
  <c r="I39" i="1"/>
  <c r="K39" i="1"/>
  <c r="I40" i="1"/>
  <c r="K40" i="1"/>
  <c r="I41" i="1"/>
  <c r="K41" i="1"/>
  <c r="I42" i="1"/>
  <c r="K42" i="1"/>
  <c r="I43" i="1"/>
  <c r="K43" i="1"/>
  <c r="I44" i="1"/>
  <c r="K44" i="1"/>
  <c r="I45" i="1"/>
  <c r="K45" i="1"/>
  <c r="I46" i="1"/>
  <c r="K46" i="1"/>
  <c r="I47" i="1"/>
  <c r="K47" i="1"/>
  <c r="I24" i="1"/>
  <c r="K24" i="1"/>
  <c r="I24" i="38"/>
  <c r="K24" i="38"/>
  <c r="I24" i="23"/>
  <c r="K24" i="23"/>
  <c r="I24" i="29"/>
  <c r="K24" i="29"/>
  <c r="I24" i="28"/>
  <c r="K24" i="28"/>
  <c r="I24" i="27"/>
  <c r="K24" i="27"/>
  <c r="I24" i="26"/>
  <c r="K24" i="26"/>
  <c r="I24" i="22"/>
  <c r="K24" i="22"/>
  <c r="BC38" i="23" l="1"/>
  <c r="BE38" i="23" s="1"/>
  <c r="BC30" i="23"/>
  <c r="BE30" i="23" s="1"/>
  <c r="AK24" i="38"/>
  <c r="AM24" i="38" s="1"/>
  <c r="AK38" i="26"/>
  <c r="AK26" i="26"/>
  <c r="AB44" i="38"/>
  <c r="AB39" i="23"/>
  <c r="AD39" i="23" s="1"/>
  <c r="AB27" i="23"/>
  <c r="AD27" i="23" s="1"/>
  <c r="AB36" i="27"/>
  <c r="AD36" i="27" s="1"/>
  <c r="BE41" i="22"/>
  <c r="BE25" i="22"/>
  <c r="BE44" i="28"/>
  <c r="BE23" i="27"/>
  <c r="BE32" i="26"/>
  <c r="BC42" i="23"/>
  <c r="BE42" i="23" s="1"/>
  <c r="BC34" i="23"/>
  <c r="BE34" i="23" s="1"/>
  <c r="BC26" i="23"/>
  <c r="BE26" i="23" s="1"/>
  <c r="AK40" i="23"/>
  <c r="AM40" i="23" s="1"/>
  <c r="AK41" i="27"/>
  <c r="AB39" i="1"/>
  <c r="AE27" i="1"/>
  <c r="AB23" i="1"/>
  <c r="AB36" i="38"/>
  <c r="AD36" i="38" s="1"/>
  <c r="AE28" i="38"/>
  <c r="AE27" i="38"/>
  <c r="AB43" i="23"/>
  <c r="AD43" i="23" s="1"/>
  <c r="AE42" i="23"/>
  <c r="AE40" i="28"/>
  <c r="AD44" i="26"/>
  <c r="AE23" i="22"/>
  <c r="AE38" i="1"/>
  <c r="AB27" i="1"/>
  <c r="AD27" i="1" s="1"/>
  <c r="AE39" i="38"/>
  <c r="Z41" i="23"/>
  <c r="AB41" i="23" s="1"/>
  <c r="AD41" i="23" s="1"/>
  <c r="AE30" i="23"/>
  <c r="AE35" i="29"/>
  <c r="AE32" i="29"/>
  <c r="AE31" i="29"/>
  <c r="AB41" i="28"/>
  <c r="AD41" i="28" s="1"/>
  <c r="AB31" i="28"/>
  <c r="AD31" i="28" s="1"/>
  <c r="AE30" i="28"/>
  <c r="AE39" i="27"/>
  <c r="AE32" i="27"/>
  <c r="AB46" i="26"/>
  <c r="AD46" i="26" s="1"/>
  <c r="AE45" i="26"/>
  <c r="AE38" i="26"/>
  <c r="AD36" i="26"/>
  <c r="AE31" i="28"/>
  <c r="AB31" i="1"/>
  <c r="AD31" i="1" s="1"/>
  <c r="AB40" i="38"/>
  <c r="AD40" i="38" s="1"/>
  <c r="AB47" i="23"/>
  <c r="AD47" i="23" s="1"/>
  <c r="AE44" i="29"/>
  <c r="AB36" i="29"/>
  <c r="AD36" i="29" s="1"/>
  <c r="AE24" i="29"/>
  <c r="AE23" i="29"/>
  <c r="AE44" i="28"/>
  <c r="AE23" i="28"/>
  <c r="AE47" i="27"/>
  <c r="AE24" i="27"/>
  <c r="AE41" i="26"/>
  <c r="AE30" i="26"/>
  <c r="AE29" i="26"/>
  <c r="AB43" i="22"/>
  <c r="AD43" i="22" s="1"/>
  <c r="AE42" i="22"/>
  <c r="AE26" i="22"/>
  <c r="AB23" i="22"/>
  <c r="AB46" i="1"/>
  <c r="AD46" i="1" s="1"/>
  <c r="AD39" i="1"/>
  <c r="AD35" i="1"/>
  <c r="AD23" i="1"/>
  <c r="AD44" i="38"/>
  <c r="AB31" i="38"/>
  <c r="AD31" i="38" s="1"/>
  <c r="AE23" i="23"/>
  <c r="AB32" i="29"/>
  <c r="AD32" i="29" s="1"/>
  <c r="AB28" i="29"/>
  <c r="AD28" i="29" s="1"/>
  <c r="AB24" i="29"/>
  <c r="AD24" i="29" s="1"/>
  <c r="AE43" i="28"/>
  <c r="AE41" i="28"/>
  <c r="AE28" i="28"/>
  <c r="AB47" i="27"/>
  <c r="AB45" i="27"/>
  <c r="AD45" i="27" s="1"/>
  <c r="AB27" i="27"/>
  <c r="AD27" i="27" s="1"/>
  <c r="AE46" i="26"/>
  <c r="AE37" i="26"/>
  <c r="AE32" i="26"/>
  <c r="AB29" i="26"/>
  <c r="AD29" i="26" s="1"/>
  <c r="AB28" i="26"/>
  <c r="AE45" i="22"/>
  <c r="AE43" i="22"/>
  <c r="AB41" i="22"/>
  <c r="AB39" i="22"/>
  <c r="AE33" i="22"/>
  <c r="AE29" i="22"/>
  <c r="AD39" i="38"/>
  <c r="AE36" i="38"/>
  <c r="AE39" i="23"/>
  <c r="AD41" i="26"/>
  <c r="AD38" i="26"/>
  <c r="AE28" i="26"/>
  <c r="AE41" i="22"/>
  <c r="AE37" i="22"/>
  <c r="AD47" i="1"/>
  <c r="AB38" i="1"/>
  <c r="AD38" i="1" s="1"/>
  <c r="AE35" i="1"/>
  <c r="AB34" i="1"/>
  <c r="AD34" i="1" s="1"/>
  <c r="AE31" i="1"/>
  <c r="AB30" i="1"/>
  <c r="AB26" i="1"/>
  <c r="AD26" i="1" s="1"/>
  <c r="AB47" i="38"/>
  <c r="AD47" i="38" s="1"/>
  <c r="AE45" i="23"/>
  <c r="AB42" i="23"/>
  <c r="AD42" i="23" s="1"/>
  <c r="AE34" i="23"/>
  <c r="AE29" i="23"/>
  <c r="AE25" i="23"/>
  <c r="AB47" i="29"/>
  <c r="AB46" i="29"/>
  <c r="AE43" i="29"/>
  <c r="AE38" i="29"/>
  <c r="AE34" i="29"/>
  <c r="AB23" i="29"/>
  <c r="AD23" i="29" s="1"/>
  <c r="AB47" i="28"/>
  <c r="AB45" i="28"/>
  <c r="AD45" i="28" s="1"/>
  <c r="AE39" i="28"/>
  <c r="AB38" i="28"/>
  <c r="AD38" i="28" s="1"/>
  <c r="AE40" i="27"/>
  <c r="AE44" i="26"/>
  <c r="AE40" i="26"/>
  <c r="AE34" i="22"/>
  <c r="AK28" i="26"/>
  <c r="AM28" i="26" s="1"/>
  <c r="AK27" i="1"/>
  <c r="AN41" i="22"/>
  <c r="AN43" i="1"/>
  <c r="AK32" i="38"/>
  <c r="AM32" i="38" s="1"/>
  <c r="AN28" i="23"/>
  <c r="AK47" i="28"/>
  <c r="AM47" i="28" s="1"/>
  <c r="AN42" i="28"/>
  <c r="AN43" i="27"/>
  <c r="AN39" i="27"/>
  <c r="AN32" i="27"/>
  <c r="AK25" i="26"/>
  <c r="AM25" i="26" s="1"/>
  <c r="AN24" i="26"/>
  <c r="AK38" i="22"/>
  <c r="AM38" i="22" s="1"/>
  <c r="AN37" i="22"/>
  <c r="AN38" i="1"/>
  <c r="AN30" i="1"/>
  <c r="AN47" i="38"/>
  <c r="AN35" i="23"/>
  <c r="AN40" i="29"/>
  <c r="AN24" i="29"/>
  <c r="AK24" i="27"/>
  <c r="AM24" i="27" s="1"/>
  <c r="AN23" i="27"/>
  <c r="AN41" i="26"/>
  <c r="AK43" i="22"/>
  <c r="AK30" i="22"/>
  <c r="AM30" i="22" s="1"/>
  <c r="AN29" i="22"/>
  <c r="AN39" i="1"/>
  <c r="AN23" i="1"/>
  <c r="AK36" i="38"/>
  <c r="AM36" i="38" s="1"/>
  <c r="AN35" i="38"/>
  <c r="AK28" i="38"/>
  <c r="AM28" i="38" s="1"/>
  <c r="AN27" i="38"/>
  <c r="AK45" i="23"/>
  <c r="AM45" i="23" s="1"/>
  <c r="AN44" i="23"/>
  <c r="AN36" i="23"/>
  <c r="AN41" i="29"/>
  <c r="AN25" i="29"/>
  <c r="AK45" i="27"/>
  <c r="AM45" i="27" s="1"/>
  <c r="AN40" i="27"/>
  <c r="AK25" i="27"/>
  <c r="AK42" i="26"/>
  <c r="AM42" i="26" s="1"/>
  <c r="AN28" i="26"/>
  <c r="AK38" i="1"/>
  <c r="AM27" i="1"/>
  <c r="AK47" i="38"/>
  <c r="AM47" i="38" s="1"/>
  <c r="AK35" i="38"/>
  <c r="AM35" i="38" s="1"/>
  <c r="AN32" i="38"/>
  <c r="AK31" i="38"/>
  <c r="AN28" i="38"/>
  <c r="AK27" i="38"/>
  <c r="AM27" i="38" s="1"/>
  <c r="AN24" i="38"/>
  <c r="AK23" i="38"/>
  <c r="AN45" i="23"/>
  <c r="AK44" i="23"/>
  <c r="AM44" i="23" s="1"/>
  <c r="AN40" i="23"/>
  <c r="AN27" i="23"/>
  <c r="AN44" i="29"/>
  <c r="AK36" i="29"/>
  <c r="AM36" i="29" s="1"/>
  <c r="AN29" i="29"/>
  <c r="AK26" i="29"/>
  <c r="AK24" i="29"/>
  <c r="AM24" i="29" s="1"/>
  <c r="AK45" i="28"/>
  <c r="AM45" i="28" s="1"/>
  <c r="AN38" i="28"/>
  <c r="AK47" i="27"/>
  <c r="AM47" i="27" s="1"/>
  <c r="AK43" i="27"/>
  <c r="AM43" i="27" s="1"/>
  <c r="AK37" i="27"/>
  <c r="AM37" i="27" s="1"/>
  <c r="AN24" i="27"/>
  <c r="AN46" i="22"/>
  <c r="AK37" i="22"/>
  <c r="AM37" i="22" s="1"/>
  <c r="AK29" i="22"/>
  <c r="AM29" i="22" s="1"/>
  <c r="AK25" i="22"/>
  <c r="AM39" i="38"/>
  <c r="AK36" i="23"/>
  <c r="AK32" i="23"/>
  <c r="AM32" i="23" s="1"/>
  <c r="AK31" i="28"/>
  <c r="AK30" i="28"/>
  <c r="AM30" i="28" s="1"/>
  <c r="AN23" i="28"/>
  <c r="AN44" i="27"/>
  <c r="AK45" i="22"/>
  <c r="AM45" i="22" s="1"/>
  <c r="AK39" i="22"/>
  <c r="AK31" i="22"/>
  <c r="BC25" i="38"/>
  <c r="BE25" i="38" s="1"/>
  <c r="BC39" i="29"/>
  <c r="BE39" i="29" s="1"/>
  <c r="BC31" i="29"/>
  <c r="BE31" i="29" s="1"/>
  <c r="BE26" i="28"/>
  <c r="BC46" i="23"/>
  <c r="BE46" i="23" s="1"/>
  <c r="BC43" i="29"/>
  <c r="BE43" i="29" s="1"/>
  <c r="BC35" i="29"/>
  <c r="BE35" i="29" s="1"/>
  <c r="BC27" i="29"/>
  <c r="BE27" i="29" s="1"/>
  <c r="BE40" i="28"/>
  <c r="BC31" i="28"/>
  <c r="BE31" i="28" s="1"/>
  <c r="BE40" i="26"/>
  <c r="BE24" i="26"/>
  <c r="AT27" i="26"/>
  <c r="AV27" i="26" s="1"/>
  <c r="AM33" i="22"/>
  <c r="AK31" i="1"/>
  <c r="AM31" i="1" s="1"/>
  <c r="AM36" i="26"/>
  <c r="AM25" i="22"/>
  <c r="AD39" i="28"/>
  <c r="AB43" i="1"/>
  <c r="AD43" i="1" s="1"/>
  <c r="AD35" i="29"/>
  <c r="AD26" i="23"/>
  <c r="AD32" i="26"/>
  <c r="AB32" i="38"/>
  <c r="AD32" i="38" s="1"/>
  <c r="AB28" i="38"/>
  <c r="AD28" i="38" s="1"/>
  <c r="AB31" i="23"/>
  <c r="AD31" i="23" s="1"/>
  <c r="AB44" i="27"/>
  <c r="AD44" i="27" s="1"/>
  <c r="AD45" i="22"/>
  <c r="AB24" i="38"/>
  <c r="AD24" i="38" s="1"/>
  <c r="BC47" i="1"/>
  <c r="BE47" i="1"/>
  <c r="BE45" i="1"/>
  <c r="BC45" i="1"/>
  <c r="BC32" i="1"/>
  <c r="BE32" i="1" s="1"/>
  <c r="BC45" i="38"/>
  <c r="BE45" i="38" s="1"/>
  <c r="BC33" i="38"/>
  <c r="BE33" i="38" s="1"/>
  <c r="BC32" i="38"/>
  <c r="BE32" i="38" s="1"/>
  <c r="BC30" i="38"/>
  <c r="BE30" i="38" s="1"/>
  <c r="BC45" i="23"/>
  <c r="BE45" i="23" s="1"/>
  <c r="BC40" i="23"/>
  <c r="BE40" i="23" s="1"/>
  <c r="BC32" i="23"/>
  <c r="BE32" i="23" s="1"/>
  <c r="BC24" i="23"/>
  <c r="BE24" i="23" s="1"/>
  <c r="BC42" i="29"/>
  <c r="BE42" i="29" s="1"/>
  <c r="BC34" i="29"/>
  <c r="BE34" i="29" s="1"/>
  <c r="BC26" i="29"/>
  <c r="BE26" i="29" s="1"/>
  <c r="BC36" i="1"/>
  <c r="BE36" i="1" s="1"/>
  <c r="BC35" i="1"/>
  <c r="BE35" i="1" s="1"/>
  <c r="BC33" i="1"/>
  <c r="BE33" i="1" s="1"/>
  <c r="BC24" i="1"/>
  <c r="BE24" i="1" s="1"/>
  <c r="BC23" i="1"/>
  <c r="BE23" i="1" s="1"/>
  <c r="BC46" i="38"/>
  <c r="BE46" i="38" s="1"/>
  <c r="BC37" i="38"/>
  <c r="BE37" i="38" s="1"/>
  <c r="BC36" i="38"/>
  <c r="BE36" i="38" s="1"/>
  <c r="BC34" i="38"/>
  <c r="BE34" i="38" s="1"/>
  <c r="BC23" i="38"/>
  <c r="BE23" i="38" s="1"/>
  <c r="BC41" i="23"/>
  <c r="BE41" i="23" s="1"/>
  <c r="BC33" i="23"/>
  <c r="BE33" i="23" s="1"/>
  <c r="BC25" i="23"/>
  <c r="BE25" i="23" s="1"/>
  <c r="BC45" i="29"/>
  <c r="BE45" i="29" s="1"/>
  <c r="BC37" i="29"/>
  <c r="BE37" i="29" s="1"/>
  <c r="BC29" i="29"/>
  <c r="BE29" i="29" s="1"/>
  <c r="BC46" i="28"/>
  <c r="BE46" i="28" s="1"/>
  <c r="BC40" i="1"/>
  <c r="BE40" i="1" s="1"/>
  <c r="BC39" i="1"/>
  <c r="BE39" i="1" s="1"/>
  <c r="BC37" i="1"/>
  <c r="BE37" i="1" s="1"/>
  <c r="BE28" i="1"/>
  <c r="BC28" i="1"/>
  <c r="BC27" i="1"/>
  <c r="BE27" i="1" s="1"/>
  <c r="BC25" i="1"/>
  <c r="BE25" i="1" s="1"/>
  <c r="BC41" i="38"/>
  <c r="BE41" i="38" s="1"/>
  <c r="BC40" i="38"/>
  <c r="BE40" i="38" s="1"/>
  <c r="BC38" i="38"/>
  <c r="BE38" i="38" s="1"/>
  <c r="BC28" i="38"/>
  <c r="BE28" i="38" s="1"/>
  <c r="BC24" i="38"/>
  <c r="BE24" i="38" s="1"/>
  <c r="BC36" i="23"/>
  <c r="BE36" i="23" s="1"/>
  <c r="BC28" i="23"/>
  <c r="BE28" i="23" s="1"/>
  <c r="BC46" i="29"/>
  <c r="BE46" i="29" s="1"/>
  <c r="BC38" i="29"/>
  <c r="BE38" i="29" s="1"/>
  <c r="BC30" i="29"/>
  <c r="BE30" i="29" s="1"/>
  <c r="BC47" i="28"/>
  <c r="BE47" i="28" s="1"/>
  <c r="BC44" i="1"/>
  <c r="BE44" i="1" s="1"/>
  <c r="BC43" i="1"/>
  <c r="BE43" i="1" s="1"/>
  <c r="BC41" i="1"/>
  <c r="BE41" i="1" s="1"/>
  <c r="BC31" i="1"/>
  <c r="BE31" i="1" s="1"/>
  <c r="BC29" i="1"/>
  <c r="BE29" i="1" s="1"/>
  <c r="BC44" i="38"/>
  <c r="BE44" i="38" s="1"/>
  <c r="BC42" i="38"/>
  <c r="BE42" i="38" s="1"/>
  <c r="BC29" i="38"/>
  <c r="BE29" i="38" s="1"/>
  <c r="BC44" i="23"/>
  <c r="BE44" i="23" s="1"/>
  <c r="BC37" i="23"/>
  <c r="BE37" i="23" s="1"/>
  <c r="BC29" i="23"/>
  <c r="BE29" i="23" s="1"/>
  <c r="BC41" i="29"/>
  <c r="BE41" i="29" s="1"/>
  <c r="BC33" i="29"/>
  <c r="BE33" i="29" s="1"/>
  <c r="BC25" i="29"/>
  <c r="BE25" i="29" s="1"/>
  <c r="BE38" i="1"/>
  <c r="BE34" i="1"/>
  <c r="BE47" i="38"/>
  <c r="BE43" i="38"/>
  <c r="BE39" i="38"/>
  <c r="BE35" i="38"/>
  <c r="BE27" i="38"/>
  <c r="BF47" i="29"/>
  <c r="BC41" i="28"/>
  <c r="BE41" i="28" s="1"/>
  <c r="BF44" i="1"/>
  <c r="BF40" i="1"/>
  <c r="BF36" i="1"/>
  <c r="BF32" i="1"/>
  <c r="BF28" i="1"/>
  <c r="BF24" i="1"/>
  <c r="BF45" i="38"/>
  <c r="BF41" i="38"/>
  <c r="BF37" i="38"/>
  <c r="BF33" i="38"/>
  <c r="BF29" i="38"/>
  <c r="BA39" i="28"/>
  <c r="BF39" i="28"/>
  <c r="BA36" i="28"/>
  <c r="BF36" i="28"/>
  <c r="BC30" i="28"/>
  <c r="BE30" i="28" s="1"/>
  <c r="BA29" i="28"/>
  <c r="BF29" i="28"/>
  <c r="BE30" i="1"/>
  <c r="BE26" i="1"/>
  <c r="BF42" i="23"/>
  <c r="BC46" i="1"/>
  <c r="BE46" i="1" s="1"/>
  <c r="BF45" i="1"/>
  <c r="BF41" i="1"/>
  <c r="BF37" i="1"/>
  <c r="BF33" i="1"/>
  <c r="BF29" i="1"/>
  <c r="BF25" i="1"/>
  <c r="BF46" i="38"/>
  <c r="BF42" i="38"/>
  <c r="BF38" i="38"/>
  <c r="BF34" i="38"/>
  <c r="BF30" i="38"/>
  <c r="BF26" i="38"/>
  <c r="BF23" i="38"/>
  <c r="BF44" i="23"/>
  <c r="BF40" i="23"/>
  <c r="BF36" i="23"/>
  <c r="BF32" i="23"/>
  <c r="BF28" i="23"/>
  <c r="BF24" i="23"/>
  <c r="BF45" i="29"/>
  <c r="BF41" i="29"/>
  <c r="BF37" i="29"/>
  <c r="BF33" i="29"/>
  <c r="BF29" i="29"/>
  <c r="BF25" i="29"/>
  <c r="BF46" i="28"/>
  <c r="BC45" i="28"/>
  <c r="BE45" i="28" s="1"/>
  <c r="BF37" i="28"/>
  <c r="BA37" i="28"/>
  <c r="BC43" i="27"/>
  <c r="BE43" i="27" s="1"/>
  <c r="BA42" i="27"/>
  <c r="BF42" i="27"/>
  <c r="BF24" i="38"/>
  <c r="BE47" i="23"/>
  <c r="BF45" i="23"/>
  <c r="BE43" i="23"/>
  <c r="BF41" i="23"/>
  <c r="BE39" i="23"/>
  <c r="BF37" i="23"/>
  <c r="BE35" i="23"/>
  <c r="BF33" i="23"/>
  <c r="BE31" i="23"/>
  <c r="BF29" i="23"/>
  <c r="BE27" i="23"/>
  <c r="BF25" i="23"/>
  <c r="BE23" i="23"/>
  <c r="BF46" i="29"/>
  <c r="BE44" i="29"/>
  <c r="BF42" i="29"/>
  <c r="BE40" i="29"/>
  <c r="BF38" i="29"/>
  <c r="BE36" i="29"/>
  <c r="BF34" i="29"/>
  <c r="BE32" i="29"/>
  <c r="BF30" i="29"/>
  <c r="BE28" i="29"/>
  <c r="BF26" i="29"/>
  <c r="BE24" i="29"/>
  <c r="BF47" i="28"/>
  <c r="BA43" i="28"/>
  <c r="BF43" i="28"/>
  <c r="BC35" i="28"/>
  <c r="BE35" i="28" s="1"/>
  <c r="BF35" i="28"/>
  <c r="BC44" i="27"/>
  <c r="BE44" i="27" s="1"/>
  <c r="BC31" i="27"/>
  <c r="BE31" i="27" s="1"/>
  <c r="BA30" i="27"/>
  <c r="BF30" i="27"/>
  <c r="BC44" i="26"/>
  <c r="BE44" i="26" s="1"/>
  <c r="BA43" i="26"/>
  <c r="BF43" i="26"/>
  <c r="BC28" i="26"/>
  <c r="BE28" i="26" s="1"/>
  <c r="BA27" i="26"/>
  <c r="BF27" i="26"/>
  <c r="BC37" i="22"/>
  <c r="BE37" i="22" s="1"/>
  <c r="BA36" i="22"/>
  <c r="BF36" i="22"/>
  <c r="BC23" i="28"/>
  <c r="BE23" i="28" s="1"/>
  <c r="BA34" i="27"/>
  <c r="BF34" i="27"/>
  <c r="BE29" i="27"/>
  <c r="BC28" i="27"/>
  <c r="BE28" i="27" s="1"/>
  <c r="BA47" i="26"/>
  <c r="BF47" i="26"/>
  <c r="BC37" i="26"/>
  <c r="BE37" i="26" s="1"/>
  <c r="BA31" i="26"/>
  <c r="BF31" i="26"/>
  <c r="BC46" i="22"/>
  <c r="BE46" i="22" s="1"/>
  <c r="BA40" i="22"/>
  <c r="BF40" i="22"/>
  <c r="BC30" i="22"/>
  <c r="BE30" i="22" s="1"/>
  <c r="BA24" i="22"/>
  <c r="BF24" i="22"/>
  <c r="BA33" i="28"/>
  <c r="BF33" i="28"/>
  <c r="BE32" i="28"/>
  <c r="BA46" i="27"/>
  <c r="BF46" i="27"/>
  <c r="BC40" i="27"/>
  <c r="BE40" i="27" s="1"/>
  <c r="BA38" i="27"/>
  <c r="BF38" i="27"/>
  <c r="BA26" i="27"/>
  <c r="BF26" i="27"/>
  <c r="BA35" i="26"/>
  <c r="BF35" i="26"/>
  <c r="BA44" i="22"/>
  <c r="BF44" i="22"/>
  <c r="BA28" i="22"/>
  <c r="BF28" i="22"/>
  <c r="BA25" i="28"/>
  <c r="BF25" i="28"/>
  <c r="BE39" i="27"/>
  <c r="BC32" i="27"/>
  <c r="BE32" i="27" s="1"/>
  <c r="BE27" i="27"/>
  <c r="BC45" i="26"/>
  <c r="BE45" i="26" s="1"/>
  <c r="BA39" i="26"/>
  <c r="BF39" i="26"/>
  <c r="BE36" i="26"/>
  <c r="BC29" i="26"/>
  <c r="BE29" i="26" s="1"/>
  <c r="BA23" i="26"/>
  <c r="BF23" i="26"/>
  <c r="BE45" i="22"/>
  <c r="BC38" i="22"/>
  <c r="BE38" i="22" s="1"/>
  <c r="BA32" i="22"/>
  <c r="BF32" i="22"/>
  <c r="BE29" i="22"/>
  <c r="BF32" i="28"/>
  <c r="AT43" i="1"/>
  <c r="AV43" i="1"/>
  <c r="AT35" i="1"/>
  <c r="AV35" i="1" s="1"/>
  <c r="AT27" i="1"/>
  <c r="AV27" i="1"/>
  <c r="AT44" i="38"/>
  <c r="AV44" i="38" s="1"/>
  <c r="AT47" i="1"/>
  <c r="AV47" i="1" s="1"/>
  <c r="AT39" i="1"/>
  <c r="AV39" i="1" s="1"/>
  <c r="AT31" i="1"/>
  <c r="AV31" i="1" s="1"/>
  <c r="AT23" i="1"/>
  <c r="AV23" i="1"/>
  <c r="AT40" i="38"/>
  <c r="AV40" i="38" s="1"/>
  <c r="AW47" i="1"/>
  <c r="AW43" i="1"/>
  <c r="AW39" i="1"/>
  <c r="AW35" i="1"/>
  <c r="AW31" i="1"/>
  <c r="AW27" i="1"/>
  <c r="AW23" i="1"/>
  <c r="AW44" i="38"/>
  <c r="AW40" i="38"/>
  <c r="AV34" i="38"/>
  <c r="AR33" i="38"/>
  <c r="AW33" i="38"/>
  <c r="AV30" i="38"/>
  <c r="AR29" i="38"/>
  <c r="AW29" i="38"/>
  <c r="AV26" i="38"/>
  <c r="AR25" i="38"/>
  <c r="AW25" i="38"/>
  <c r="AV47" i="23"/>
  <c r="AR46" i="23"/>
  <c r="AW46" i="23"/>
  <c r="AV43" i="23"/>
  <c r="AR42" i="23"/>
  <c r="AW42" i="23"/>
  <c r="AV39" i="23"/>
  <c r="AR38" i="23"/>
  <c r="AW38" i="23"/>
  <c r="AT32" i="23"/>
  <c r="AV32" i="23" s="1"/>
  <c r="AT24" i="23"/>
  <c r="AV24" i="23" s="1"/>
  <c r="AR43" i="29"/>
  <c r="AW43" i="29"/>
  <c r="AV40" i="29"/>
  <c r="AT33" i="29"/>
  <c r="AV33" i="29" s="1"/>
  <c r="AV32" i="38"/>
  <c r="AV28" i="38"/>
  <c r="AV24" i="38"/>
  <c r="AV45" i="23"/>
  <c r="AV41" i="23"/>
  <c r="AV35" i="23"/>
  <c r="AW35" i="23"/>
  <c r="AR34" i="23"/>
  <c r="AW34" i="23"/>
  <c r="AR31" i="23"/>
  <c r="AT29" i="23"/>
  <c r="AV29" i="23" s="1"/>
  <c r="AT28" i="23"/>
  <c r="AV28" i="23" s="1"/>
  <c r="AR47" i="29"/>
  <c r="AW47" i="29"/>
  <c r="AV44" i="29"/>
  <c r="AT37" i="29"/>
  <c r="AV37" i="29" s="1"/>
  <c r="AT31" i="29"/>
  <c r="AV31" i="29" s="1"/>
  <c r="AT23" i="29"/>
  <c r="AV23" i="29"/>
  <c r="AT40" i="28"/>
  <c r="AV40" i="28" s="1"/>
  <c r="AR30" i="23"/>
  <c r="AW30" i="23"/>
  <c r="AR26" i="23"/>
  <c r="AW26" i="23"/>
  <c r="AR35" i="29"/>
  <c r="AW35" i="29"/>
  <c r="AV35" i="38"/>
  <c r="AV31" i="38"/>
  <c r="AV27" i="38"/>
  <c r="AV23" i="38"/>
  <c r="AV44" i="23"/>
  <c r="AV40" i="23"/>
  <c r="AT36" i="23"/>
  <c r="AV36" i="23" s="1"/>
  <c r="AV27" i="23"/>
  <c r="AT45" i="29"/>
  <c r="AV45" i="29" s="1"/>
  <c r="AR39" i="29"/>
  <c r="AW39" i="29"/>
  <c r="AV36" i="29"/>
  <c r="AT27" i="29"/>
  <c r="AV27" i="29" s="1"/>
  <c r="AT44" i="28"/>
  <c r="AV44" i="28"/>
  <c r="AT36" i="28"/>
  <c r="AV36" i="28" s="1"/>
  <c r="AW31" i="29"/>
  <c r="AW27" i="29"/>
  <c r="AW23" i="29"/>
  <c r="AW44" i="28"/>
  <c r="AW40" i="28"/>
  <c r="AW36" i="28"/>
  <c r="AT32" i="28"/>
  <c r="AV32" i="28" s="1"/>
  <c r="AV23" i="28"/>
  <c r="AT36" i="27"/>
  <c r="AV36" i="27" s="1"/>
  <c r="AT24" i="27"/>
  <c r="AV24" i="27" s="1"/>
  <c r="AT46" i="22"/>
  <c r="AV46" i="22" s="1"/>
  <c r="AR31" i="28"/>
  <c r="AT29" i="28"/>
  <c r="AV29" i="28" s="1"/>
  <c r="AT28" i="28"/>
  <c r="AV28" i="28" s="1"/>
  <c r="AT32" i="27"/>
  <c r="AV32" i="27" s="1"/>
  <c r="AT45" i="26"/>
  <c r="AV45" i="26" s="1"/>
  <c r="AW30" i="28"/>
  <c r="AR30" i="28"/>
  <c r="AT44" i="27"/>
  <c r="AV44" i="27" s="1"/>
  <c r="AT41" i="26"/>
  <c r="AV41" i="26" s="1"/>
  <c r="AT37" i="26"/>
  <c r="AV37" i="26"/>
  <c r="AT33" i="26"/>
  <c r="AV33" i="26" s="1"/>
  <c r="AV27" i="28"/>
  <c r="AW26" i="28"/>
  <c r="AR26" i="28"/>
  <c r="AV24" i="28"/>
  <c r="AT40" i="27"/>
  <c r="AV40" i="27" s="1"/>
  <c r="AT29" i="26"/>
  <c r="AV29" i="26" s="1"/>
  <c r="AT25" i="26"/>
  <c r="AV25" i="26" s="1"/>
  <c r="AT44" i="22"/>
  <c r="AV44" i="22" s="1"/>
  <c r="AT40" i="22"/>
  <c r="AV40" i="22" s="1"/>
  <c r="AV23" i="22"/>
  <c r="AT23" i="22"/>
  <c r="AR47" i="27"/>
  <c r="AW44" i="27"/>
  <c r="AR43" i="27"/>
  <c r="AW40" i="27"/>
  <c r="AR39" i="27"/>
  <c r="AW36" i="27"/>
  <c r="AR35" i="27"/>
  <c r="AW32" i="27"/>
  <c r="AR31" i="27"/>
  <c r="AR27" i="27"/>
  <c r="AW24" i="27"/>
  <c r="AR23" i="27"/>
  <c r="AW45" i="26"/>
  <c r="AR44" i="26"/>
  <c r="AW41" i="26"/>
  <c r="AR40" i="26"/>
  <c r="AW37" i="26"/>
  <c r="AR36" i="26"/>
  <c r="AW33" i="26"/>
  <c r="AR32" i="26"/>
  <c r="AW29" i="26"/>
  <c r="AR28" i="26"/>
  <c r="AW25" i="26"/>
  <c r="AR24" i="26"/>
  <c r="AW46" i="22"/>
  <c r="AR45" i="22"/>
  <c r="AR41" i="22"/>
  <c r="AR37" i="22"/>
  <c r="AR33" i="22"/>
  <c r="AR29" i="22"/>
  <c r="AR25" i="22"/>
  <c r="AK39" i="1"/>
  <c r="AM39" i="1" s="1"/>
  <c r="AK37" i="1"/>
  <c r="AM37" i="1" s="1"/>
  <c r="AK23" i="1"/>
  <c r="AM23" i="1" s="1"/>
  <c r="AK46" i="38"/>
  <c r="AM46" i="38" s="1"/>
  <c r="AK37" i="38"/>
  <c r="AM37" i="38" s="1"/>
  <c r="AK34" i="38"/>
  <c r="AM34" i="38" s="1"/>
  <c r="AK26" i="38"/>
  <c r="AM26" i="38" s="1"/>
  <c r="AK47" i="23"/>
  <c r="AM47" i="23" s="1"/>
  <c r="AK44" i="1"/>
  <c r="AM44" i="1" s="1"/>
  <c r="AK43" i="1"/>
  <c r="AM43" i="1" s="1"/>
  <c r="AK41" i="1"/>
  <c r="AM41" i="1" s="1"/>
  <c r="AK24" i="1"/>
  <c r="AM24" i="1" s="1"/>
  <c r="AK41" i="38"/>
  <c r="AM41" i="38" s="1"/>
  <c r="AK40" i="38"/>
  <c r="AM40" i="38" s="1"/>
  <c r="AK38" i="38"/>
  <c r="AM38" i="38" s="1"/>
  <c r="AK26" i="23"/>
  <c r="AM26" i="23" s="1"/>
  <c r="AK43" i="29"/>
  <c r="AM43" i="29" s="1"/>
  <c r="AK40" i="1"/>
  <c r="AM40" i="1" s="1"/>
  <c r="AK30" i="38"/>
  <c r="AM30" i="38" s="1"/>
  <c r="AK47" i="1"/>
  <c r="AM47" i="1" s="1"/>
  <c r="AK45" i="1"/>
  <c r="AM45" i="1" s="1"/>
  <c r="AK32" i="1"/>
  <c r="AM32" i="1" s="1"/>
  <c r="AK28" i="1"/>
  <c r="AM28" i="1"/>
  <c r="AK25" i="1"/>
  <c r="AM25" i="1" s="1"/>
  <c r="AK44" i="38"/>
  <c r="AM44" i="38" s="1"/>
  <c r="AK42" i="38"/>
  <c r="AM42" i="38" s="1"/>
  <c r="AK43" i="23"/>
  <c r="AM43" i="23" s="1"/>
  <c r="AK36" i="1"/>
  <c r="AM36" i="1" s="1"/>
  <c r="AK35" i="1"/>
  <c r="AM35" i="1" s="1"/>
  <c r="AM33" i="1"/>
  <c r="AK33" i="1"/>
  <c r="AK29" i="1"/>
  <c r="AM29" i="1" s="1"/>
  <c r="AK45" i="38"/>
  <c r="AM45" i="38" s="1"/>
  <c r="AK33" i="38"/>
  <c r="AM33" i="38" s="1"/>
  <c r="AK29" i="38"/>
  <c r="AM29" i="38" s="1"/>
  <c r="AK25" i="38"/>
  <c r="AM25" i="38" s="1"/>
  <c r="AK46" i="23"/>
  <c r="AM46" i="23" s="1"/>
  <c r="AK42" i="23"/>
  <c r="AM42" i="23" s="1"/>
  <c r="AK38" i="23"/>
  <c r="AM38" i="23" s="1"/>
  <c r="AK34" i="23"/>
  <c r="AM34" i="23" s="1"/>
  <c r="AK30" i="23"/>
  <c r="AM30" i="23" s="1"/>
  <c r="AK47" i="29"/>
  <c r="AM47" i="29" s="1"/>
  <c r="AM46" i="1"/>
  <c r="AM35" i="23"/>
  <c r="AM31" i="23"/>
  <c r="AK29" i="29"/>
  <c r="AM29" i="29" s="1"/>
  <c r="AK35" i="27"/>
  <c r="AM35" i="27" s="1"/>
  <c r="AK23" i="27"/>
  <c r="AM23" i="27" s="1"/>
  <c r="AN44" i="1"/>
  <c r="AN40" i="1"/>
  <c r="AN36" i="1"/>
  <c r="AN32" i="1"/>
  <c r="AN28" i="1"/>
  <c r="AN24" i="1"/>
  <c r="AN45" i="38"/>
  <c r="AN41" i="38"/>
  <c r="AN37" i="38"/>
  <c r="AN33" i="38"/>
  <c r="AN29" i="38"/>
  <c r="AN25" i="38"/>
  <c r="AN46" i="23"/>
  <c r="AN42" i="23"/>
  <c r="AN41" i="23"/>
  <c r="AN37" i="23"/>
  <c r="AN33" i="23"/>
  <c r="AK27" i="23"/>
  <c r="AM27" i="23" s="1"/>
  <c r="AK23" i="23"/>
  <c r="AM23" i="23" s="1"/>
  <c r="AK44" i="29"/>
  <c r="AK40" i="29"/>
  <c r="AM40" i="29" s="1"/>
  <c r="AM32" i="29"/>
  <c r="AI27" i="29"/>
  <c r="AN27" i="29"/>
  <c r="AM26" i="29"/>
  <c r="AK25" i="29"/>
  <c r="AM25" i="29" s="1"/>
  <c r="AM41" i="28"/>
  <c r="AI36" i="28"/>
  <c r="AN36" i="28"/>
  <c r="AM35" i="28"/>
  <c r="AK34" i="28"/>
  <c r="AM34" i="28" s="1"/>
  <c r="AI33" i="28"/>
  <c r="AN33" i="28"/>
  <c r="AK26" i="28"/>
  <c r="AM26" i="28" s="1"/>
  <c r="AI25" i="28"/>
  <c r="AN25" i="28"/>
  <c r="AK42" i="22"/>
  <c r="AM42" i="22" s="1"/>
  <c r="AN42" i="22"/>
  <c r="AK26" i="22"/>
  <c r="AM26" i="22" s="1"/>
  <c r="AN26" i="22"/>
  <c r="AM38" i="1"/>
  <c r="AM31" i="38"/>
  <c r="AM23" i="38"/>
  <c r="AI31" i="29"/>
  <c r="AN31" i="29"/>
  <c r="AI40" i="28"/>
  <c r="AN40" i="28"/>
  <c r="AK38" i="28"/>
  <c r="AM38" i="28" s="1"/>
  <c r="AK24" i="28"/>
  <c r="AM24" i="28" s="1"/>
  <c r="AI34" i="27"/>
  <c r="AN34" i="27"/>
  <c r="AI47" i="26"/>
  <c r="AN47" i="26"/>
  <c r="AK24" i="26"/>
  <c r="AM24" i="26" s="1"/>
  <c r="AI23" i="26"/>
  <c r="AN23" i="26"/>
  <c r="AN45" i="1"/>
  <c r="AK42" i="1"/>
  <c r="AM42" i="1" s="1"/>
  <c r="AN41" i="1"/>
  <c r="AN37" i="1"/>
  <c r="AN33" i="1"/>
  <c r="AN29" i="1"/>
  <c r="AN25" i="1"/>
  <c r="AN46" i="38"/>
  <c r="AN42" i="38"/>
  <c r="AN38" i="38"/>
  <c r="AN34" i="38"/>
  <c r="AN30" i="38"/>
  <c r="AN26" i="38"/>
  <c r="AN47" i="23"/>
  <c r="AN43" i="23"/>
  <c r="AN38" i="23"/>
  <c r="AM36" i="23"/>
  <c r="AN34" i="23"/>
  <c r="AK33" i="23"/>
  <c r="AM33" i="23" s="1"/>
  <c r="AN30" i="23"/>
  <c r="AK24" i="23"/>
  <c r="AM24" i="23" s="1"/>
  <c r="AK45" i="29"/>
  <c r="AM45" i="29" s="1"/>
  <c r="AM44" i="29"/>
  <c r="AK41" i="29"/>
  <c r="AM41" i="29" s="1"/>
  <c r="AI39" i="29"/>
  <c r="AN39" i="29"/>
  <c r="AM38" i="29"/>
  <c r="AK37" i="29"/>
  <c r="AM37" i="29" s="1"/>
  <c r="AM28" i="29"/>
  <c r="AI23" i="29"/>
  <c r="AN23" i="29"/>
  <c r="AK46" i="28"/>
  <c r="AM46" i="28" s="1"/>
  <c r="AK39" i="28"/>
  <c r="AM39" i="28" s="1"/>
  <c r="AM37" i="28"/>
  <c r="AK32" i="27"/>
  <c r="AM32" i="27" s="1"/>
  <c r="AK45" i="26"/>
  <c r="AM45" i="26" s="1"/>
  <c r="AK30" i="26"/>
  <c r="AM30" i="26" s="1"/>
  <c r="AK46" i="22"/>
  <c r="AM46" i="22" s="1"/>
  <c r="AN27" i="1"/>
  <c r="AN36" i="38"/>
  <c r="AM28" i="23"/>
  <c r="AM30" i="29"/>
  <c r="AI29" i="23"/>
  <c r="AN29" i="23"/>
  <c r="AN26" i="23"/>
  <c r="AI25" i="23"/>
  <c r="AN25" i="23"/>
  <c r="AN47" i="29"/>
  <c r="AI46" i="29"/>
  <c r="AN46" i="29"/>
  <c r="AN43" i="29"/>
  <c r="AI42" i="29"/>
  <c r="AN42" i="29"/>
  <c r="AI35" i="29"/>
  <c r="AN35" i="29"/>
  <c r="AM34" i="29"/>
  <c r="AK33" i="29"/>
  <c r="AM33" i="29" s="1"/>
  <c r="AI44" i="28"/>
  <c r="AN44" i="28"/>
  <c r="AM43" i="28"/>
  <c r="AK42" i="28"/>
  <c r="AM42" i="28" s="1"/>
  <c r="AK23" i="28"/>
  <c r="AM23" i="28" s="1"/>
  <c r="AK33" i="27"/>
  <c r="AM33" i="27" s="1"/>
  <c r="AK46" i="26"/>
  <c r="AM46" i="26" s="1"/>
  <c r="AK32" i="26"/>
  <c r="AM32" i="26" s="1"/>
  <c r="AI31" i="26"/>
  <c r="AN31" i="26"/>
  <c r="AK47" i="22"/>
  <c r="AM47" i="22" s="1"/>
  <c r="AK34" i="22"/>
  <c r="AM34" i="22" s="1"/>
  <c r="AN34" i="22"/>
  <c r="AN38" i="29"/>
  <c r="AN34" i="29"/>
  <c r="AN30" i="29"/>
  <c r="AN26" i="29"/>
  <c r="AN47" i="28"/>
  <c r="AN43" i="28"/>
  <c r="AN39" i="28"/>
  <c r="AN35" i="28"/>
  <c r="AI32" i="28"/>
  <c r="AN32" i="28"/>
  <c r="AI46" i="27"/>
  <c r="AN46" i="27"/>
  <c r="AK44" i="27"/>
  <c r="AM44" i="27" s="1"/>
  <c r="AI30" i="27"/>
  <c r="AN30" i="27"/>
  <c r="AM29" i="27"/>
  <c r="AK28" i="27"/>
  <c r="AM28" i="27" s="1"/>
  <c r="AI43" i="26"/>
  <c r="AN43" i="26"/>
  <c r="AK41" i="26"/>
  <c r="AM41" i="26" s="1"/>
  <c r="AN29" i="26"/>
  <c r="AI44" i="22"/>
  <c r="AN44" i="22"/>
  <c r="AM43" i="22"/>
  <c r="AI36" i="22"/>
  <c r="AN36" i="22"/>
  <c r="AM35" i="22"/>
  <c r="AI28" i="22"/>
  <c r="AN28" i="22"/>
  <c r="AM27" i="22"/>
  <c r="AM31" i="28"/>
  <c r="AI42" i="27"/>
  <c r="AN42" i="27"/>
  <c r="AM41" i="27"/>
  <c r="AK40" i="27"/>
  <c r="AM40" i="27" s="1"/>
  <c r="AI26" i="27"/>
  <c r="AN26" i="27"/>
  <c r="AM25" i="27"/>
  <c r="AI39" i="26"/>
  <c r="AN39" i="26"/>
  <c r="AM38" i="26"/>
  <c r="AK37" i="26"/>
  <c r="AM37" i="26" s="1"/>
  <c r="AI27" i="26"/>
  <c r="AN27" i="26"/>
  <c r="AM26" i="26"/>
  <c r="AI29" i="28"/>
  <c r="AN29" i="28"/>
  <c r="AM28" i="28"/>
  <c r="AK27" i="28"/>
  <c r="AM27" i="28" s="1"/>
  <c r="AI38" i="27"/>
  <c r="AN38" i="27"/>
  <c r="AK36" i="27"/>
  <c r="AM36" i="27" s="1"/>
  <c r="AI35" i="26"/>
  <c r="AN35" i="26"/>
  <c r="AM34" i="26"/>
  <c r="AK33" i="26"/>
  <c r="AM33" i="26" s="1"/>
  <c r="AI40" i="22"/>
  <c r="AN40" i="22"/>
  <c r="AM39" i="22"/>
  <c r="AI32" i="22"/>
  <c r="AN32" i="22"/>
  <c r="AM31" i="22"/>
  <c r="AI24" i="22"/>
  <c r="AN24" i="22"/>
  <c r="AM23" i="22"/>
  <c r="AN28" i="28"/>
  <c r="AN24" i="28"/>
  <c r="AN45" i="27"/>
  <c r="AN41" i="27"/>
  <c r="AN37" i="27"/>
  <c r="AN33" i="27"/>
  <c r="AN29" i="27"/>
  <c r="AN25" i="27"/>
  <c r="AN46" i="26"/>
  <c r="AN42" i="26"/>
  <c r="AN38" i="26"/>
  <c r="AN34" i="26"/>
  <c r="AN30" i="26"/>
  <c r="AN26" i="26"/>
  <c r="AN47" i="22"/>
  <c r="AN43" i="22"/>
  <c r="AN39" i="22"/>
  <c r="AN35" i="22"/>
  <c r="AN31" i="22"/>
  <c r="AN27" i="22"/>
  <c r="AN23" i="22"/>
  <c r="AB37" i="38"/>
  <c r="AD37" i="38" s="1"/>
  <c r="AB33" i="38"/>
  <c r="AD33" i="38" s="1"/>
  <c r="AB30" i="38"/>
  <c r="AD30" i="38" s="1"/>
  <c r="AB26" i="38"/>
  <c r="AD26" i="38" s="1"/>
  <c r="AB36" i="1"/>
  <c r="AD36" i="1" s="1"/>
  <c r="AB32" i="1"/>
  <c r="AD32" i="1" s="1"/>
  <c r="AB28" i="1"/>
  <c r="AD28" i="1" s="1"/>
  <c r="AB24" i="1"/>
  <c r="AD24" i="1" s="1"/>
  <c r="AB45" i="38"/>
  <c r="AD45" i="38" s="1"/>
  <c r="AB41" i="38"/>
  <c r="AD41" i="38" s="1"/>
  <c r="AB38" i="38"/>
  <c r="AD38" i="38" s="1"/>
  <c r="AB34" i="38"/>
  <c r="AD34" i="38" s="1"/>
  <c r="AB42" i="29"/>
  <c r="AD42" i="29" s="1"/>
  <c r="AB45" i="1"/>
  <c r="AD45" i="1" s="1"/>
  <c r="AB33" i="23"/>
  <c r="AD33" i="23" s="1"/>
  <c r="AB40" i="1"/>
  <c r="AD40" i="1" s="1"/>
  <c r="AB37" i="1"/>
  <c r="AD37" i="1" s="1"/>
  <c r="AB33" i="1"/>
  <c r="AD33" i="1" s="1"/>
  <c r="AB29" i="1"/>
  <c r="AD29" i="1" s="1"/>
  <c r="AB25" i="1"/>
  <c r="AD25" i="1" s="1"/>
  <c r="AB46" i="38"/>
  <c r="AD46" i="38" s="1"/>
  <c r="AB42" i="38"/>
  <c r="AD42" i="38" s="1"/>
  <c r="AB26" i="29"/>
  <c r="AD26" i="29" s="1"/>
  <c r="AB44" i="1"/>
  <c r="AD44" i="1" s="1"/>
  <c r="AB41" i="1"/>
  <c r="AD41" i="1" s="1"/>
  <c r="AB29" i="38"/>
  <c r="AD29" i="38" s="1"/>
  <c r="AB25" i="38"/>
  <c r="AD25" i="38" s="1"/>
  <c r="AE40" i="38"/>
  <c r="Z28" i="23"/>
  <c r="AE28" i="23"/>
  <c r="Z42" i="28"/>
  <c r="AE42" i="28"/>
  <c r="AE44" i="1"/>
  <c r="AE40" i="1"/>
  <c r="AE36" i="1"/>
  <c r="AE32" i="1"/>
  <c r="AE28" i="1"/>
  <c r="AE24" i="1"/>
  <c r="AE45" i="38"/>
  <c r="AE41" i="38"/>
  <c r="AE37" i="38"/>
  <c r="AE33" i="38"/>
  <c r="AE29" i="38"/>
  <c r="AE25" i="38"/>
  <c r="AE43" i="23"/>
  <c r="Z40" i="23"/>
  <c r="AE40" i="23"/>
  <c r="AD38" i="23"/>
  <c r="AB34" i="23"/>
  <c r="AD34" i="23" s="1"/>
  <c r="AE27" i="23"/>
  <c r="AD25" i="23"/>
  <c r="Z24" i="23"/>
  <c r="AE24" i="23"/>
  <c r="AD47" i="29"/>
  <c r="AB43" i="29"/>
  <c r="AE36" i="29"/>
  <c r="AD34" i="29"/>
  <c r="Z33" i="29"/>
  <c r="AE33" i="29"/>
  <c r="AD31" i="29"/>
  <c r="AB27" i="29"/>
  <c r="AD27" i="29" s="1"/>
  <c r="Z46" i="28"/>
  <c r="AE46" i="28"/>
  <c r="AD43" i="28"/>
  <c r="AB34" i="28"/>
  <c r="AD34" i="28" s="1"/>
  <c r="Z33" i="28"/>
  <c r="AE33" i="28"/>
  <c r="AD24" i="28"/>
  <c r="AB24" i="28"/>
  <c r="AB33" i="27"/>
  <c r="AD33" i="27" s="1"/>
  <c r="AB32" i="27"/>
  <c r="AD32" i="27" s="1"/>
  <c r="AD30" i="1"/>
  <c r="AD35" i="38"/>
  <c r="Z44" i="23"/>
  <c r="AE44" i="23"/>
  <c r="Z37" i="29"/>
  <c r="AE37" i="29"/>
  <c r="AD32" i="28"/>
  <c r="AB32" i="28"/>
  <c r="AE45" i="1"/>
  <c r="AE41" i="1"/>
  <c r="AE37" i="1"/>
  <c r="AE33" i="1"/>
  <c r="AE29" i="1"/>
  <c r="AE25" i="1"/>
  <c r="AE46" i="38"/>
  <c r="AB43" i="38"/>
  <c r="AD43" i="38" s="1"/>
  <c r="AE42" i="38"/>
  <c r="AE38" i="38"/>
  <c r="AE34" i="38"/>
  <c r="AE30" i="38"/>
  <c r="AB27" i="38"/>
  <c r="AD27" i="38" s="1"/>
  <c r="AE26" i="38"/>
  <c r="AB46" i="23"/>
  <c r="AD46" i="23" s="1"/>
  <c r="AD37" i="23"/>
  <c r="AE37" i="23"/>
  <c r="Z36" i="23"/>
  <c r="AE36" i="23"/>
  <c r="AB30" i="23"/>
  <c r="AD30" i="23" s="1"/>
  <c r="AD46" i="29"/>
  <c r="AE46" i="29"/>
  <c r="Z45" i="29"/>
  <c r="AE45" i="29"/>
  <c r="AD43" i="29"/>
  <c r="AB39" i="29"/>
  <c r="AD39" i="29" s="1"/>
  <c r="AD30" i="29"/>
  <c r="AE30" i="29"/>
  <c r="Z29" i="29"/>
  <c r="AE29" i="29"/>
  <c r="Z25" i="29"/>
  <c r="AE25" i="29"/>
  <c r="AD47" i="28"/>
  <c r="AB40" i="28"/>
  <c r="AD40" i="28" s="1"/>
  <c r="AB35" i="27"/>
  <c r="AD35" i="27" s="1"/>
  <c r="Z34" i="27"/>
  <c r="AE34" i="27"/>
  <c r="AE47" i="1"/>
  <c r="AE43" i="1"/>
  <c r="AE39" i="1"/>
  <c r="AE32" i="38"/>
  <c r="AE24" i="38"/>
  <c r="Z23" i="38"/>
  <c r="AE23" i="38"/>
  <c r="Z45" i="23"/>
  <c r="AE33" i="23"/>
  <c r="Z32" i="23"/>
  <c r="AE32" i="23"/>
  <c r="Z29" i="23"/>
  <c r="AE42" i="29"/>
  <c r="Z41" i="29"/>
  <c r="AE41" i="29"/>
  <c r="Z38" i="29"/>
  <c r="AE26" i="29"/>
  <c r="AB40" i="26"/>
  <c r="AD40" i="26" s="1"/>
  <c r="Z39" i="26"/>
  <c r="AE39" i="26"/>
  <c r="AB24" i="26"/>
  <c r="AD24" i="26" s="1"/>
  <c r="Z23" i="26"/>
  <c r="AE23" i="26"/>
  <c r="AB37" i="22"/>
  <c r="AD37" i="22" s="1"/>
  <c r="Z36" i="22"/>
  <c r="AE36" i="22"/>
  <c r="AB29" i="22"/>
  <c r="AD29" i="22" s="1"/>
  <c r="Z28" i="22"/>
  <c r="AE28" i="22"/>
  <c r="Z42" i="27"/>
  <c r="AE42" i="27"/>
  <c r="AB40" i="27"/>
  <c r="AD40" i="27" s="1"/>
  <c r="Z30" i="27"/>
  <c r="AE30" i="27"/>
  <c r="AB28" i="27"/>
  <c r="AD28" i="27" s="1"/>
  <c r="AB45" i="26"/>
  <c r="AD45" i="26" s="1"/>
  <c r="AB33" i="26"/>
  <c r="AD33" i="26" s="1"/>
  <c r="Z27" i="26"/>
  <c r="AE27" i="26"/>
  <c r="AB42" i="22"/>
  <c r="AD42" i="22" s="1"/>
  <c r="AB34" i="22"/>
  <c r="AD34" i="22" s="1"/>
  <c r="AB26" i="22"/>
  <c r="AD26" i="22" s="1"/>
  <c r="Z37" i="28"/>
  <c r="AE37" i="28"/>
  <c r="Z29" i="28"/>
  <c r="AE29" i="28"/>
  <c r="AD28" i="28"/>
  <c r="AB27" i="28"/>
  <c r="AD27" i="28" s="1"/>
  <c r="Z46" i="27"/>
  <c r="AE46" i="27"/>
  <c r="AD43" i="27"/>
  <c r="Z38" i="27"/>
  <c r="AE38" i="27"/>
  <c r="AD37" i="27"/>
  <c r="AD31" i="27"/>
  <c r="Z26" i="27"/>
  <c r="AE26" i="27"/>
  <c r="AD25" i="27"/>
  <c r="AB24" i="27"/>
  <c r="AD24" i="27" s="1"/>
  <c r="Z43" i="26"/>
  <c r="AE43" i="26"/>
  <c r="AB37" i="26"/>
  <c r="AD37" i="26" s="1"/>
  <c r="Z31" i="26"/>
  <c r="AE31" i="26"/>
  <c r="AD28" i="26"/>
  <c r="AB46" i="22"/>
  <c r="AD46" i="22" s="1"/>
  <c r="Z40" i="22"/>
  <c r="AE40" i="22"/>
  <c r="Z32" i="22"/>
  <c r="AE32" i="22"/>
  <c r="Z24" i="22"/>
  <c r="AE24" i="22"/>
  <c r="AD36" i="28"/>
  <c r="AB35" i="28"/>
  <c r="AD35" i="28" s="1"/>
  <c r="AD30" i="28"/>
  <c r="Z25" i="28"/>
  <c r="AE25" i="28"/>
  <c r="AD47" i="27"/>
  <c r="AB41" i="27"/>
  <c r="AD41" i="27" s="1"/>
  <c r="AD39" i="27"/>
  <c r="AE36" i="27"/>
  <c r="AB29" i="27"/>
  <c r="AD29" i="27" s="1"/>
  <c r="Z47" i="26"/>
  <c r="AE47" i="26"/>
  <c r="AD42" i="26"/>
  <c r="Z35" i="26"/>
  <c r="AE35" i="26"/>
  <c r="Z44" i="22"/>
  <c r="AE44" i="22"/>
  <c r="AD41" i="22"/>
  <c r="AD39" i="22"/>
  <c r="AB38" i="22"/>
  <c r="AD38" i="22" s="1"/>
  <c r="AB35" i="22"/>
  <c r="AD35" i="22" s="1"/>
  <c r="AD33" i="22"/>
  <c r="AD31" i="22"/>
  <c r="AB30" i="22"/>
  <c r="AD30" i="22" s="1"/>
  <c r="AB27" i="22"/>
  <c r="AD27" i="22" s="1"/>
  <c r="AD25" i="22"/>
  <c r="AD23" i="22"/>
  <c r="AE32" i="28"/>
  <c r="AE41" i="27"/>
  <c r="AE37" i="27"/>
  <c r="AE33" i="27"/>
  <c r="AE29" i="27"/>
  <c r="AE25" i="27"/>
  <c r="M40" i="50"/>
  <c r="M41" i="50"/>
  <c r="M42" i="50"/>
  <c r="M43" i="50"/>
  <c r="M44" i="50"/>
  <c r="M45" i="50"/>
  <c r="M47" i="50"/>
  <c r="O48" i="27"/>
  <c r="BH46" i="27" l="1"/>
  <c r="M46" i="50" s="1"/>
  <c r="BC44" i="22"/>
  <c r="BE44" i="22" s="1"/>
  <c r="BC34" i="27"/>
  <c r="BE34" i="27" s="1"/>
  <c r="BC27" i="26"/>
  <c r="BE27" i="26" s="1"/>
  <c r="BC30" i="27"/>
  <c r="BE30" i="27" s="1"/>
  <c r="BC43" i="28"/>
  <c r="BE43" i="28" s="1"/>
  <c r="BC37" i="28"/>
  <c r="BE37" i="28"/>
  <c r="BC33" i="28"/>
  <c r="BE33" i="28" s="1"/>
  <c r="BC31" i="26"/>
  <c r="BE31" i="26" s="1"/>
  <c r="BC42" i="27"/>
  <c r="BE42" i="27" s="1"/>
  <c r="BC39" i="28"/>
  <c r="BE39" i="28" s="1"/>
  <c r="BC25" i="28"/>
  <c r="BE25" i="28" s="1"/>
  <c r="BC36" i="22"/>
  <c r="BE36" i="22" s="1"/>
  <c r="BC32" i="22"/>
  <c r="BE32" i="22" s="1"/>
  <c r="BC23" i="26"/>
  <c r="BE23" i="26" s="1"/>
  <c r="BC39" i="26"/>
  <c r="BE39" i="26" s="1"/>
  <c r="BC28" i="22"/>
  <c r="BE28" i="22" s="1"/>
  <c r="BC35" i="26"/>
  <c r="BE35" i="26" s="1"/>
  <c r="BC38" i="27"/>
  <c r="BE38" i="27" s="1"/>
  <c r="BC46" i="27"/>
  <c r="BE46" i="27" s="1"/>
  <c r="BC40" i="22"/>
  <c r="BE40" i="22" s="1"/>
  <c r="BC26" i="27"/>
  <c r="BE26" i="27" s="1"/>
  <c r="BC47" i="26"/>
  <c r="BE47" i="26" s="1"/>
  <c r="BC43" i="26"/>
  <c r="BE43" i="26" s="1"/>
  <c r="BC24" i="22"/>
  <c r="BE24" i="22" s="1"/>
  <c r="BC29" i="28"/>
  <c r="BE29" i="28" s="1"/>
  <c r="BC36" i="28"/>
  <c r="BE36" i="28" s="1"/>
  <c r="AT33" i="22"/>
  <c r="AV33" i="22" s="1"/>
  <c r="AT31" i="27"/>
  <c r="AV31" i="27" s="1"/>
  <c r="AT39" i="27"/>
  <c r="AV39" i="27" s="1"/>
  <c r="AT47" i="27"/>
  <c r="AV47" i="27" s="1"/>
  <c r="AT35" i="29"/>
  <c r="AV35" i="29" s="1"/>
  <c r="AT30" i="23"/>
  <c r="AV30" i="23" s="1"/>
  <c r="AT34" i="23"/>
  <c r="AV34" i="23" s="1"/>
  <c r="AT25" i="38"/>
  <c r="AV25" i="38" s="1"/>
  <c r="AT37" i="22"/>
  <c r="AV37" i="22" s="1"/>
  <c r="AT24" i="26"/>
  <c r="AV24" i="26"/>
  <c r="AT32" i="26"/>
  <c r="AV32" i="26" s="1"/>
  <c r="AT40" i="26"/>
  <c r="AV40" i="26" s="1"/>
  <c r="AT23" i="27"/>
  <c r="AV23" i="27" s="1"/>
  <c r="AT30" i="28"/>
  <c r="AV30" i="28" s="1"/>
  <c r="AT31" i="28"/>
  <c r="AV31" i="28" s="1"/>
  <c r="AT39" i="29"/>
  <c r="AV39" i="29"/>
  <c r="AT31" i="23"/>
  <c r="AV31" i="23" s="1"/>
  <c r="AT46" i="23"/>
  <c r="AV46" i="23" s="1"/>
  <c r="AT25" i="22"/>
  <c r="AV25" i="22" s="1"/>
  <c r="AT41" i="22"/>
  <c r="AV41" i="22" s="1"/>
  <c r="AT35" i="27"/>
  <c r="AV35" i="27" s="1"/>
  <c r="AT43" i="27"/>
  <c r="AV43" i="27" s="1"/>
  <c r="AT26" i="28"/>
  <c r="AV26" i="28" s="1"/>
  <c r="AT26" i="23"/>
  <c r="AV26" i="23" s="1"/>
  <c r="AT47" i="29"/>
  <c r="AV47" i="29" s="1"/>
  <c r="AT42" i="23"/>
  <c r="AV42" i="23" s="1"/>
  <c r="AT33" i="38"/>
  <c r="AV33" i="38" s="1"/>
  <c r="AT29" i="22"/>
  <c r="AV29" i="22" s="1"/>
  <c r="AT45" i="22"/>
  <c r="AV45" i="22" s="1"/>
  <c r="AT28" i="26"/>
  <c r="AV28" i="26" s="1"/>
  <c r="AT36" i="26"/>
  <c r="AV36" i="26" s="1"/>
  <c r="AT44" i="26"/>
  <c r="AV44" i="26"/>
  <c r="AT27" i="27"/>
  <c r="AV27" i="27" s="1"/>
  <c r="AT43" i="29"/>
  <c r="AV43" i="29" s="1"/>
  <c r="AT38" i="23"/>
  <c r="AV38" i="23" s="1"/>
  <c r="AT29" i="38"/>
  <c r="AV29" i="38" s="1"/>
  <c r="AK38" i="27"/>
  <c r="AM38" i="27" s="1"/>
  <c r="AK27" i="26"/>
  <c r="AM27" i="26" s="1"/>
  <c r="AK44" i="28"/>
  <c r="AM44" i="28" s="1"/>
  <c r="AK47" i="26"/>
  <c r="AM47" i="26" s="1"/>
  <c r="AK29" i="28"/>
  <c r="AM29" i="28" s="1"/>
  <c r="AK39" i="26"/>
  <c r="AM39" i="26" s="1"/>
  <c r="AK42" i="27"/>
  <c r="AM42" i="27" s="1"/>
  <c r="AK28" i="22"/>
  <c r="AM28" i="22" s="1"/>
  <c r="AK43" i="26"/>
  <c r="AM43" i="26" s="1"/>
  <c r="AK32" i="28"/>
  <c r="AM32" i="28" s="1"/>
  <c r="AK35" i="29"/>
  <c r="AM35" i="29" s="1"/>
  <c r="AK25" i="23"/>
  <c r="AM25" i="23" s="1"/>
  <c r="AK39" i="29"/>
  <c r="AM39" i="29" s="1"/>
  <c r="AK26" i="27"/>
  <c r="AM26" i="27" s="1"/>
  <c r="AK36" i="22"/>
  <c r="AM36" i="22" s="1"/>
  <c r="AK29" i="23"/>
  <c r="AM29" i="23" s="1"/>
  <c r="AK23" i="26"/>
  <c r="AM23" i="26" s="1"/>
  <c r="AK40" i="28"/>
  <c r="AM40" i="28" s="1"/>
  <c r="AK36" i="28"/>
  <c r="AM36" i="28" s="1"/>
  <c r="AK40" i="22"/>
  <c r="AM40" i="22" s="1"/>
  <c r="AK30" i="27"/>
  <c r="AM30" i="27" s="1"/>
  <c r="AK46" i="29"/>
  <c r="AM46" i="29" s="1"/>
  <c r="AK34" i="27"/>
  <c r="AM34" i="27" s="1"/>
  <c r="AK31" i="29"/>
  <c r="AM31" i="29" s="1"/>
  <c r="AK27" i="29"/>
  <c r="AM27" i="29" s="1"/>
  <c r="AK24" i="22"/>
  <c r="AM24" i="22" s="1"/>
  <c r="AK32" i="22"/>
  <c r="AM32" i="22" s="1"/>
  <c r="AK35" i="26"/>
  <c r="AM35" i="26" s="1"/>
  <c r="AK44" i="22"/>
  <c r="AM44" i="22" s="1"/>
  <c r="AK46" i="27"/>
  <c r="AM46" i="27" s="1"/>
  <c r="AK31" i="26"/>
  <c r="AM31" i="26" s="1"/>
  <c r="AK42" i="29"/>
  <c r="AM42" i="29" s="1"/>
  <c r="AK23" i="29"/>
  <c r="AM23" i="29" s="1"/>
  <c r="AK25" i="28"/>
  <c r="AM25" i="28" s="1"/>
  <c r="AK33" i="28"/>
  <c r="AM33" i="28" s="1"/>
  <c r="AB24" i="22"/>
  <c r="AD24" i="22" s="1"/>
  <c r="AB31" i="26"/>
  <c r="AD31" i="26" s="1"/>
  <c r="AB38" i="27"/>
  <c r="AD38" i="27" s="1"/>
  <c r="AB27" i="26"/>
  <c r="AD27" i="26" s="1"/>
  <c r="AB41" i="29"/>
  <c r="AD41" i="29" s="1"/>
  <c r="AB23" i="38"/>
  <c r="AD23" i="38" s="1"/>
  <c r="AB29" i="29"/>
  <c r="AD29" i="29" s="1"/>
  <c r="AB36" i="23"/>
  <c r="AD36" i="23" s="1"/>
  <c r="AB28" i="23"/>
  <c r="AD28" i="23" s="1"/>
  <c r="AB44" i="22"/>
  <c r="AD44" i="22" s="1"/>
  <c r="AB37" i="28"/>
  <c r="AD37" i="28" s="1"/>
  <c r="AB25" i="29"/>
  <c r="AD25" i="29" s="1"/>
  <c r="AB37" i="29"/>
  <c r="AD37" i="29" s="1"/>
  <c r="AB33" i="28"/>
  <c r="AD33" i="28" s="1"/>
  <c r="AB32" i="23"/>
  <c r="AD32" i="23" s="1"/>
  <c r="AB47" i="26"/>
  <c r="AD47" i="26" s="1"/>
  <c r="AB25" i="28"/>
  <c r="AD25" i="28" s="1"/>
  <c r="AB32" i="22"/>
  <c r="AD32" i="22" s="1"/>
  <c r="AB28" i="22"/>
  <c r="AD28" i="22" s="1"/>
  <c r="AB36" i="22"/>
  <c r="AD36" i="22" s="1"/>
  <c r="AB23" i="26"/>
  <c r="AD23" i="26" s="1"/>
  <c r="AB39" i="26"/>
  <c r="AD39" i="26" s="1"/>
  <c r="AB38" i="29"/>
  <c r="AD38" i="29" s="1"/>
  <c r="AB29" i="23"/>
  <c r="AD29" i="23" s="1"/>
  <c r="AB45" i="23"/>
  <c r="AD45" i="23" s="1"/>
  <c r="AB45" i="29"/>
  <c r="AD45" i="29" s="1"/>
  <c r="AB46" i="28"/>
  <c r="AD46" i="28" s="1"/>
  <c r="AB33" i="29"/>
  <c r="AD33" i="29" s="1"/>
  <c r="AB40" i="23"/>
  <c r="AD40" i="23" s="1"/>
  <c r="AB42" i="28"/>
  <c r="AD42" i="28" s="1"/>
  <c r="AB40" i="22"/>
  <c r="AD40" i="22" s="1"/>
  <c r="AB26" i="27"/>
  <c r="AD26" i="27" s="1"/>
  <c r="AB42" i="27"/>
  <c r="AD42" i="27" s="1"/>
  <c r="AB24" i="23"/>
  <c r="AD24" i="23" s="1"/>
  <c r="AB35" i="26"/>
  <c r="AD35" i="26" s="1"/>
  <c r="AB43" i="26"/>
  <c r="AD43" i="26" s="1"/>
  <c r="AB46" i="27"/>
  <c r="AD46" i="27" s="1"/>
  <c r="AB29" i="28"/>
  <c r="AD29" i="28" s="1"/>
  <c r="AB30" i="27"/>
  <c r="AD30" i="27" s="1"/>
  <c r="AB34" i="27"/>
  <c r="AD34" i="27" s="1"/>
  <c r="AB44" i="23"/>
  <c r="AD44" i="23" s="1"/>
  <c r="O117" i="17"/>
  <c r="O108" i="17"/>
  <c r="O97" i="17"/>
  <c r="O88" i="17"/>
  <c r="O77" i="17"/>
  <c r="O68" i="17"/>
  <c r="BF3" i="22"/>
  <c r="BF3" i="26"/>
  <c r="BF3" i="27"/>
  <c r="BF3" i="28"/>
  <c r="BF3" i="29"/>
  <c r="BF3" i="23"/>
  <c r="BF3" i="38"/>
  <c r="BF3" i="1"/>
  <c r="AW3" i="22"/>
  <c r="AW3" i="26"/>
  <c r="AW3" i="27"/>
  <c r="AW3" i="28"/>
  <c r="AW3" i="29"/>
  <c r="AW3" i="23"/>
  <c r="AW3" i="38"/>
  <c r="AW3" i="1"/>
  <c r="AN3" i="22"/>
  <c r="AN3" i="26"/>
  <c r="AN3" i="27"/>
  <c r="AN3" i="28"/>
  <c r="AN3" i="29"/>
  <c r="AN3" i="23"/>
  <c r="AN3" i="38"/>
  <c r="AN3" i="1"/>
  <c r="AE3" i="22"/>
  <c r="AE3" i="26"/>
  <c r="AE3" i="27"/>
  <c r="AE3" i="28"/>
  <c r="AE3" i="29"/>
  <c r="AE3" i="23"/>
  <c r="AE3" i="38"/>
  <c r="AE3" i="1"/>
  <c r="M3" i="22"/>
  <c r="M3" i="26"/>
  <c r="M3" i="27"/>
  <c r="M3" i="28"/>
  <c r="M3" i="29"/>
  <c r="M3" i="23"/>
  <c r="M3" i="38"/>
  <c r="M3" i="1"/>
  <c r="V3" i="22"/>
  <c r="V3" i="26"/>
  <c r="V3" i="27"/>
  <c r="V3" i="28"/>
  <c r="V3" i="29"/>
  <c r="V3" i="23"/>
  <c r="V3" i="38"/>
  <c r="V3" i="1"/>
  <c r="C56" i="26" l="1"/>
  <c r="C56" i="27"/>
  <c r="C56" i="28"/>
  <c r="C56" i="29"/>
  <c r="C56" i="23"/>
  <c r="C56" i="38"/>
  <c r="C56" i="22"/>
  <c r="J60" i="17" l="1"/>
  <c r="J59" i="17"/>
  <c r="J58" i="17"/>
  <c r="J57" i="17"/>
  <c r="J56" i="17"/>
  <c r="J55" i="17"/>
  <c r="J54" i="17"/>
  <c r="J53" i="17"/>
  <c r="J51" i="17"/>
  <c r="J50" i="17"/>
  <c r="J49" i="17"/>
  <c r="J48" i="17"/>
  <c r="J47" i="17"/>
  <c r="J46" i="17"/>
  <c r="J45" i="17"/>
  <c r="J44" i="17"/>
  <c r="J42" i="17"/>
  <c r="J41" i="17"/>
  <c r="J40" i="17"/>
  <c r="J39" i="17"/>
  <c r="J38" i="17"/>
  <c r="J37" i="17"/>
  <c r="J36" i="17"/>
  <c r="J35" i="17"/>
  <c r="J33" i="17"/>
  <c r="J32" i="17"/>
  <c r="J31" i="17"/>
  <c r="J30" i="17"/>
  <c r="J29" i="17"/>
  <c r="J28" i="17"/>
  <c r="J27" i="17"/>
  <c r="J26" i="17"/>
  <c r="J24" i="17"/>
  <c r="J23" i="17"/>
  <c r="J22" i="17"/>
  <c r="J21" i="17"/>
  <c r="J20" i="17"/>
  <c r="J19" i="17"/>
  <c r="J18" i="17"/>
  <c r="J17" i="17"/>
  <c r="J9" i="17"/>
  <c r="J10" i="17"/>
  <c r="J11" i="17"/>
  <c r="J12" i="17"/>
  <c r="J13" i="17"/>
  <c r="J14" i="17"/>
  <c r="J15" i="17"/>
  <c r="J8" i="17"/>
  <c r="M8" i="17" s="1"/>
  <c r="L71" i="17"/>
  <c r="L90" i="17"/>
  <c r="L91" i="17"/>
  <c r="L92" i="17"/>
  <c r="L93" i="17"/>
  <c r="L94" i="17"/>
  <c r="L95" i="17"/>
  <c r="L96" i="17"/>
  <c r="L119" i="17"/>
  <c r="L120" i="17"/>
  <c r="L121" i="17"/>
  <c r="L122" i="17"/>
  <c r="L123" i="17"/>
  <c r="L124" i="17"/>
  <c r="L125" i="17"/>
  <c r="L118" i="17"/>
  <c r="L110" i="17"/>
  <c r="L111" i="17"/>
  <c r="L112" i="17"/>
  <c r="L113" i="17"/>
  <c r="L114" i="17"/>
  <c r="L115" i="17"/>
  <c r="L116" i="17"/>
  <c r="L109" i="17"/>
  <c r="L99" i="17"/>
  <c r="L100" i="17"/>
  <c r="L101" i="17"/>
  <c r="L102" i="17"/>
  <c r="L103" i="17"/>
  <c r="L104" i="17"/>
  <c r="L105" i="17"/>
  <c r="L98" i="17"/>
  <c r="L89" i="17"/>
  <c r="H97" i="17"/>
  <c r="L79" i="17"/>
  <c r="L80" i="17"/>
  <c r="L81" i="17"/>
  <c r="L82" i="17"/>
  <c r="L83" i="17"/>
  <c r="L84" i="17"/>
  <c r="L85" i="17"/>
  <c r="L78" i="17"/>
  <c r="L70" i="17"/>
  <c r="L72" i="17"/>
  <c r="L73" i="17"/>
  <c r="L74" i="17"/>
  <c r="L75" i="17"/>
  <c r="L76" i="17"/>
  <c r="L69" i="17"/>
  <c r="V65" i="22"/>
  <c r="V64" i="22"/>
  <c r="V63" i="22"/>
  <c r="V62" i="22"/>
  <c r="V65" i="26"/>
  <c r="V64" i="26"/>
  <c r="V63" i="26"/>
  <c r="V62" i="26"/>
  <c r="V65" i="27"/>
  <c r="V64" i="27"/>
  <c r="V63" i="27"/>
  <c r="V62" i="27"/>
  <c r="V65" i="28"/>
  <c r="V64" i="28"/>
  <c r="V63" i="28"/>
  <c r="V62" i="28"/>
  <c r="V65" i="29"/>
  <c r="V64" i="29"/>
  <c r="V63" i="29"/>
  <c r="V62" i="29"/>
  <c r="V65" i="23"/>
  <c r="V64" i="23"/>
  <c r="V63" i="23"/>
  <c r="V62" i="23"/>
  <c r="V65" i="38"/>
  <c r="V64" i="38"/>
  <c r="V63" i="38"/>
  <c r="V62" i="38"/>
  <c r="V65" i="1"/>
  <c r="V64" i="1"/>
  <c r="V63" i="1"/>
  <c r="V62" i="1"/>
  <c r="M65" i="22"/>
  <c r="M64" i="22"/>
  <c r="M63" i="22"/>
  <c r="M62" i="22"/>
  <c r="M65" i="26"/>
  <c r="M64" i="26"/>
  <c r="M63" i="26"/>
  <c r="M62" i="26"/>
  <c r="M65" i="27"/>
  <c r="M64" i="27"/>
  <c r="M63" i="27"/>
  <c r="M62" i="27"/>
  <c r="M65" i="28"/>
  <c r="M64" i="28"/>
  <c r="M63" i="28"/>
  <c r="M62" i="28"/>
  <c r="M65" i="29"/>
  <c r="M64" i="29"/>
  <c r="M63" i="29"/>
  <c r="M62" i="29"/>
  <c r="M65" i="23"/>
  <c r="M64" i="23"/>
  <c r="M63" i="23"/>
  <c r="M62" i="23"/>
  <c r="M65" i="38"/>
  <c r="M64" i="38"/>
  <c r="M63" i="38"/>
  <c r="M62" i="38"/>
  <c r="M65" i="1"/>
  <c r="M64" i="1"/>
  <c r="M63" i="1"/>
  <c r="M62" i="1"/>
  <c r="AE65" i="22"/>
  <c r="AE64" i="22"/>
  <c r="AE63" i="22"/>
  <c r="AE62" i="22"/>
  <c r="AE65" i="26"/>
  <c r="AE64" i="26"/>
  <c r="AE63" i="26"/>
  <c r="AE62" i="26"/>
  <c r="AE65" i="27"/>
  <c r="AE64" i="27"/>
  <c r="AE63" i="27"/>
  <c r="AE62" i="27"/>
  <c r="AE65" i="28"/>
  <c r="AE64" i="28"/>
  <c r="AE63" i="28"/>
  <c r="AE62" i="28"/>
  <c r="AE65" i="29"/>
  <c r="AE64" i="29"/>
  <c r="AE63" i="29"/>
  <c r="AE62" i="29"/>
  <c r="AE65" i="23"/>
  <c r="AE64" i="23"/>
  <c r="AE63" i="23"/>
  <c r="AE62" i="23"/>
  <c r="AE65" i="38"/>
  <c r="AE64" i="38"/>
  <c r="AE63" i="38"/>
  <c r="AE62" i="38"/>
  <c r="AE65" i="1"/>
  <c r="AE64" i="1"/>
  <c r="AE63" i="1"/>
  <c r="AE62" i="1"/>
  <c r="AN65" i="22"/>
  <c r="AN64" i="22"/>
  <c r="AN63" i="22"/>
  <c r="AN62" i="22"/>
  <c r="AN65" i="26"/>
  <c r="AN64" i="26"/>
  <c r="AN63" i="26"/>
  <c r="AN62" i="26"/>
  <c r="AN65" i="27"/>
  <c r="AN64" i="27"/>
  <c r="AN63" i="27"/>
  <c r="AN62" i="27"/>
  <c r="AN65" i="28"/>
  <c r="AN64" i="28"/>
  <c r="AN63" i="28"/>
  <c r="AN62" i="28"/>
  <c r="AN65" i="29"/>
  <c r="AN64" i="29"/>
  <c r="AN63" i="29"/>
  <c r="AN62" i="29"/>
  <c r="AN65" i="23"/>
  <c r="AN64" i="23"/>
  <c r="AN63" i="23"/>
  <c r="AN62" i="23"/>
  <c r="AN65" i="38"/>
  <c r="AN64" i="38"/>
  <c r="AN63" i="38"/>
  <c r="AN62" i="38"/>
  <c r="AN65" i="1"/>
  <c r="AN64" i="1"/>
  <c r="AN63" i="1"/>
  <c r="AN62" i="1"/>
  <c r="AW65" i="22"/>
  <c r="AW64" i="22"/>
  <c r="AW63" i="22"/>
  <c r="AW62" i="22"/>
  <c r="AW65" i="26"/>
  <c r="AW64" i="26"/>
  <c r="AW63" i="26"/>
  <c r="AW62" i="26"/>
  <c r="AW65" i="27"/>
  <c r="AW64" i="27"/>
  <c r="AW63" i="27"/>
  <c r="AW62" i="27"/>
  <c r="AW65" i="28"/>
  <c r="AW64" i="28"/>
  <c r="AW63" i="28"/>
  <c r="AW62" i="28"/>
  <c r="AW65" i="29"/>
  <c r="AW64" i="29"/>
  <c r="AW63" i="29"/>
  <c r="AW62" i="29"/>
  <c r="AW65" i="23"/>
  <c r="AW64" i="23"/>
  <c r="AW63" i="23"/>
  <c r="AW62" i="23"/>
  <c r="AW65" i="38"/>
  <c r="AW64" i="38"/>
  <c r="AW63" i="38"/>
  <c r="AW62" i="38"/>
  <c r="AW65" i="1"/>
  <c r="AW64" i="1"/>
  <c r="AW63" i="1"/>
  <c r="AW62" i="1"/>
  <c r="BF63" i="22"/>
  <c r="BF64" i="22"/>
  <c r="BF65" i="22"/>
  <c r="BF63" i="26"/>
  <c r="BF64" i="26"/>
  <c r="BF65" i="26"/>
  <c r="BF63" i="27"/>
  <c r="BF64" i="27"/>
  <c r="BF65" i="27"/>
  <c r="BF63" i="28"/>
  <c r="BF64" i="28"/>
  <c r="BF65" i="28"/>
  <c r="BF63" i="29"/>
  <c r="BF64" i="29"/>
  <c r="BF65" i="29"/>
  <c r="BF63" i="23"/>
  <c r="BF64" i="23"/>
  <c r="BF65" i="23"/>
  <c r="BF63" i="38"/>
  <c r="BF64" i="38"/>
  <c r="BF65" i="38"/>
  <c r="BF63" i="1"/>
  <c r="BF64" i="1"/>
  <c r="BF65" i="1"/>
  <c r="BF62" i="22"/>
  <c r="BF62" i="26"/>
  <c r="BF62" i="27"/>
  <c r="BF62" i="28"/>
  <c r="BF62" i="29"/>
  <c r="BF62" i="23"/>
  <c r="BF62" i="38"/>
  <c r="BF62" i="1"/>
  <c r="H117" i="17"/>
  <c r="H108" i="17"/>
  <c r="H88" i="17"/>
  <c r="H77" i="17"/>
  <c r="H68" i="17"/>
  <c r="J77" i="55"/>
  <c r="J76" i="55"/>
  <c r="J75" i="55"/>
  <c r="J74" i="55"/>
  <c r="J73" i="55"/>
  <c r="J72" i="55"/>
  <c r="J7" i="55"/>
  <c r="J8" i="55"/>
  <c r="J9" i="55"/>
  <c r="J10" i="55"/>
  <c r="J11" i="55"/>
  <c r="J12" i="55"/>
  <c r="J13" i="55"/>
  <c r="J14" i="55"/>
  <c r="J15" i="55"/>
  <c r="J16" i="55"/>
  <c r="J17" i="55"/>
  <c r="J18" i="55"/>
  <c r="J19" i="55"/>
  <c r="J20" i="55"/>
  <c r="J21" i="55"/>
  <c r="J22" i="55"/>
  <c r="J23" i="55"/>
  <c r="J24" i="55"/>
  <c r="J25" i="55"/>
  <c r="J26" i="55"/>
  <c r="J27" i="55"/>
  <c r="J28" i="55"/>
  <c r="J29" i="55"/>
  <c r="J30" i="55"/>
  <c r="J31" i="55"/>
  <c r="J32" i="55"/>
  <c r="J33" i="55"/>
  <c r="J34" i="55"/>
  <c r="J35" i="55"/>
  <c r="J36" i="55"/>
  <c r="J37" i="55"/>
  <c r="J38" i="55"/>
  <c r="J39" i="55"/>
  <c r="J40" i="55"/>
  <c r="J41" i="55"/>
  <c r="J42" i="55"/>
  <c r="J43" i="55"/>
  <c r="J44" i="55"/>
  <c r="J45" i="55"/>
  <c r="J46" i="55"/>
  <c r="J47" i="55"/>
  <c r="J48" i="55"/>
  <c r="J49" i="55"/>
  <c r="J50" i="55"/>
  <c r="J51" i="55"/>
  <c r="J52" i="55"/>
  <c r="J53" i="55"/>
  <c r="J54" i="55"/>
  <c r="J55" i="55"/>
  <c r="J56" i="55"/>
  <c r="J57" i="55"/>
  <c r="J58" i="55"/>
  <c r="J59" i="55"/>
  <c r="J60" i="55"/>
  <c r="J61" i="55"/>
  <c r="J62" i="55"/>
  <c r="J63" i="55"/>
  <c r="J64" i="55"/>
  <c r="J65" i="55"/>
  <c r="J6" i="55"/>
  <c r="B2" i="55"/>
  <c r="AF54" i="47"/>
  <c r="AB54" i="47"/>
  <c r="S54" i="47"/>
  <c r="Q54" i="47"/>
  <c r="X54" i="47" s="1"/>
  <c r="P54" i="47"/>
  <c r="W54" i="47" s="1"/>
  <c r="O54" i="47"/>
  <c r="U54" i="47" s="1"/>
  <c r="AF64" i="47"/>
  <c r="AB64" i="47"/>
  <c r="S64" i="47"/>
  <c r="Q64" i="47"/>
  <c r="X64" i="47" s="1"/>
  <c r="P64" i="47"/>
  <c r="W64" i="47" s="1"/>
  <c r="O64" i="47"/>
  <c r="U64" i="47" s="1"/>
  <c r="AF63" i="47"/>
  <c r="AB63" i="47"/>
  <c r="S63" i="47"/>
  <c r="Q63" i="47"/>
  <c r="X63" i="47" s="1"/>
  <c r="P63" i="47"/>
  <c r="W63" i="47" s="1"/>
  <c r="O63" i="47"/>
  <c r="U63" i="47" s="1"/>
  <c r="AF62" i="47"/>
  <c r="AB62" i="47"/>
  <c r="S62" i="47"/>
  <c r="Q62" i="47"/>
  <c r="X62" i="47" s="1"/>
  <c r="P62" i="47"/>
  <c r="W62" i="47" s="1"/>
  <c r="O62" i="47"/>
  <c r="U62" i="47" s="1"/>
  <c r="AF61" i="47"/>
  <c r="AB61" i="47"/>
  <c r="S61" i="47"/>
  <c r="Q61" i="47"/>
  <c r="X61" i="47" s="1"/>
  <c r="P61" i="47"/>
  <c r="W61" i="47" s="1"/>
  <c r="O61" i="47"/>
  <c r="U61" i="47" s="1"/>
  <c r="AF60" i="47"/>
  <c r="AB60" i="47"/>
  <c r="S60" i="47"/>
  <c r="Q60" i="47"/>
  <c r="X60" i="47" s="1"/>
  <c r="P60" i="47"/>
  <c r="W60" i="47" s="1"/>
  <c r="O60" i="47"/>
  <c r="U60" i="47" s="1"/>
  <c r="AF59" i="47"/>
  <c r="AB59" i="47"/>
  <c r="S59" i="47"/>
  <c r="Q59" i="47"/>
  <c r="X59" i="47" s="1"/>
  <c r="P59" i="47"/>
  <c r="W59" i="47" s="1"/>
  <c r="O59" i="47"/>
  <c r="U59" i="47" s="1"/>
  <c r="AF58" i="47"/>
  <c r="AB58" i="47"/>
  <c r="S58" i="47"/>
  <c r="Q58" i="47"/>
  <c r="X58" i="47" s="1"/>
  <c r="P58" i="47"/>
  <c r="W58" i="47" s="1"/>
  <c r="O58" i="47"/>
  <c r="U58" i="47" s="1"/>
  <c r="AF57" i="47"/>
  <c r="AB57" i="47"/>
  <c r="S57" i="47"/>
  <c r="P57" i="47"/>
  <c r="Q57" i="47" s="1"/>
  <c r="X57" i="47" s="1"/>
  <c r="O57" i="47"/>
  <c r="AF53" i="47"/>
  <c r="AB53" i="47"/>
  <c r="S53" i="47"/>
  <c r="Q53" i="47"/>
  <c r="X53" i="47" s="1"/>
  <c r="P53" i="47"/>
  <c r="W53" i="47" s="1"/>
  <c r="O53" i="47"/>
  <c r="U53" i="47" s="1"/>
  <c r="AF52" i="47"/>
  <c r="AB52" i="47"/>
  <c r="S52" i="47"/>
  <c r="Q52" i="47"/>
  <c r="X52" i="47" s="1"/>
  <c r="P52" i="47"/>
  <c r="W52" i="47" s="1"/>
  <c r="O52" i="47"/>
  <c r="U52" i="47" s="1"/>
  <c r="AF51" i="47"/>
  <c r="AB51" i="47"/>
  <c r="S51" i="47"/>
  <c r="Q51" i="47"/>
  <c r="X51" i="47" s="1"/>
  <c r="P51" i="47"/>
  <c r="W51" i="47" s="1"/>
  <c r="Y51" i="47" s="1"/>
  <c r="O51" i="47"/>
  <c r="U51" i="47" s="1"/>
  <c r="AF50" i="47"/>
  <c r="AB50" i="47"/>
  <c r="S50" i="47"/>
  <c r="Q50" i="47"/>
  <c r="X50" i="47" s="1"/>
  <c r="P50" i="47"/>
  <c r="W50" i="47" s="1"/>
  <c r="O50" i="47"/>
  <c r="U50" i="47" s="1"/>
  <c r="AF49" i="47"/>
  <c r="AB49" i="47"/>
  <c r="S49" i="47"/>
  <c r="Q49" i="47"/>
  <c r="X49" i="47" s="1"/>
  <c r="P49" i="47"/>
  <c r="W49" i="47" s="1"/>
  <c r="Y49" i="47" s="1"/>
  <c r="O49" i="47"/>
  <c r="U49" i="47" s="1"/>
  <c r="AF48" i="47"/>
  <c r="AB48" i="47"/>
  <c r="S48" i="47"/>
  <c r="Q48" i="47"/>
  <c r="X48" i="47" s="1"/>
  <c r="P48" i="47"/>
  <c r="W48" i="47" s="1"/>
  <c r="O48" i="47"/>
  <c r="U48" i="47" s="1"/>
  <c r="AF47" i="47"/>
  <c r="AB47" i="47"/>
  <c r="S47" i="47"/>
  <c r="P47" i="47"/>
  <c r="Q47" i="47" s="1"/>
  <c r="O47" i="47"/>
  <c r="U47" i="47" s="1"/>
  <c r="AF44" i="47"/>
  <c r="AB44" i="47"/>
  <c r="S44" i="47"/>
  <c r="Q44" i="47"/>
  <c r="X44" i="47" s="1"/>
  <c r="P44" i="47"/>
  <c r="W44" i="47" s="1"/>
  <c r="O44" i="47"/>
  <c r="U44" i="47" s="1"/>
  <c r="AF43" i="47"/>
  <c r="AB43" i="47"/>
  <c r="S43" i="47"/>
  <c r="Q43" i="47"/>
  <c r="X43" i="47" s="1"/>
  <c r="P43" i="47"/>
  <c r="W43" i="47" s="1"/>
  <c r="O43" i="47"/>
  <c r="U43" i="47" s="1"/>
  <c r="AF42" i="47"/>
  <c r="AB42" i="47"/>
  <c r="S42" i="47"/>
  <c r="Q42" i="47"/>
  <c r="X42" i="47" s="1"/>
  <c r="P42" i="47"/>
  <c r="W42" i="47" s="1"/>
  <c r="O42" i="47"/>
  <c r="U42" i="47" s="1"/>
  <c r="AF41" i="47"/>
  <c r="AB41" i="47"/>
  <c r="S41" i="47"/>
  <c r="Q41" i="47"/>
  <c r="X41" i="47" s="1"/>
  <c r="P41" i="47"/>
  <c r="W41" i="47" s="1"/>
  <c r="O41" i="47"/>
  <c r="U41" i="47" s="1"/>
  <c r="AF40" i="47"/>
  <c r="AB40" i="47"/>
  <c r="S40" i="47"/>
  <c r="Q40" i="47"/>
  <c r="X40" i="47" s="1"/>
  <c r="P40" i="47"/>
  <c r="W40" i="47" s="1"/>
  <c r="O40" i="47"/>
  <c r="U40" i="47" s="1"/>
  <c r="AF39" i="47"/>
  <c r="AB39" i="47"/>
  <c r="S39" i="47"/>
  <c r="Q39" i="47"/>
  <c r="X39" i="47" s="1"/>
  <c r="P39" i="47"/>
  <c r="W39" i="47" s="1"/>
  <c r="O39" i="47"/>
  <c r="U39" i="47" s="1"/>
  <c r="AF38" i="47"/>
  <c r="AB38" i="47"/>
  <c r="S38" i="47"/>
  <c r="Q38" i="47"/>
  <c r="X38" i="47" s="1"/>
  <c r="P38" i="47"/>
  <c r="W38" i="47" s="1"/>
  <c r="O38" i="47"/>
  <c r="U38" i="47" s="1"/>
  <c r="AF37" i="47"/>
  <c r="AB37" i="47"/>
  <c r="S37" i="47"/>
  <c r="S36" i="47" s="1"/>
  <c r="P37" i="47"/>
  <c r="O37" i="47"/>
  <c r="AF34" i="47"/>
  <c r="AB34" i="47"/>
  <c r="S34" i="47"/>
  <c r="Q34" i="47"/>
  <c r="X34" i="47" s="1"/>
  <c r="P34" i="47"/>
  <c r="W34" i="47" s="1"/>
  <c r="O34" i="47"/>
  <c r="U34" i="47" s="1"/>
  <c r="AF33" i="47"/>
  <c r="AB33" i="47"/>
  <c r="S33" i="47"/>
  <c r="Q33" i="47"/>
  <c r="X33" i="47" s="1"/>
  <c r="P33" i="47"/>
  <c r="W33" i="47" s="1"/>
  <c r="O33" i="47"/>
  <c r="U33" i="47" s="1"/>
  <c r="AF32" i="47"/>
  <c r="AB32" i="47"/>
  <c r="S32" i="47"/>
  <c r="Q32" i="47"/>
  <c r="X32" i="47" s="1"/>
  <c r="P32" i="47"/>
  <c r="W32" i="47" s="1"/>
  <c r="O32" i="47"/>
  <c r="U32" i="47" s="1"/>
  <c r="AF31" i="47"/>
  <c r="AB31" i="47"/>
  <c r="S31" i="47"/>
  <c r="Q31" i="47"/>
  <c r="X31" i="47" s="1"/>
  <c r="P31" i="47"/>
  <c r="W31" i="47" s="1"/>
  <c r="O31" i="47"/>
  <c r="U31" i="47" s="1"/>
  <c r="AF30" i="47"/>
  <c r="AB30" i="47"/>
  <c r="S30" i="47"/>
  <c r="Q30" i="47"/>
  <c r="X30" i="47" s="1"/>
  <c r="P30" i="47"/>
  <c r="W30" i="47" s="1"/>
  <c r="Y30" i="47" s="1"/>
  <c r="O30" i="47"/>
  <c r="U30" i="47" s="1"/>
  <c r="AF29" i="47"/>
  <c r="AB29" i="47"/>
  <c r="S29" i="47"/>
  <c r="Q29" i="47"/>
  <c r="X29" i="47" s="1"/>
  <c r="P29" i="47"/>
  <c r="W29" i="47" s="1"/>
  <c r="O29" i="47"/>
  <c r="U29" i="47" s="1"/>
  <c r="AF28" i="47"/>
  <c r="AB28" i="47"/>
  <c r="S28" i="47"/>
  <c r="Q28" i="47"/>
  <c r="X28" i="47" s="1"/>
  <c r="P28" i="47"/>
  <c r="W28" i="47" s="1"/>
  <c r="Y28" i="47" s="1"/>
  <c r="O28" i="47"/>
  <c r="U28" i="47" s="1"/>
  <c r="AF27" i="47"/>
  <c r="AB27" i="47"/>
  <c r="S27" i="47"/>
  <c r="P27" i="47"/>
  <c r="Q27" i="47" s="1"/>
  <c r="X27" i="47" s="1"/>
  <c r="O27" i="47"/>
  <c r="U27" i="47" s="1"/>
  <c r="AF24" i="47"/>
  <c r="AB24" i="47"/>
  <c r="S24" i="47"/>
  <c r="Q24" i="47"/>
  <c r="X24" i="47" s="1"/>
  <c r="P24" i="47"/>
  <c r="W24" i="47" s="1"/>
  <c r="O24" i="47"/>
  <c r="U24" i="47" s="1"/>
  <c r="AF23" i="47"/>
  <c r="AB23" i="47"/>
  <c r="S23" i="47"/>
  <c r="Q23" i="47"/>
  <c r="X23" i="47" s="1"/>
  <c r="P23" i="47"/>
  <c r="W23" i="47" s="1"/>
  <c r="O23" i="47"/>
  <c r="U23" i="47" s="1"/>
  <c r="AF22" i="47"/>
  <c r="AB22" i="47"/>
  <c r="S22" i="47"/>
  <c r="Q22" i="47"/>
  <c r="X22" i="47" s="1"/>
  <c r="P22" i="47"/>
  <c r="W22" i="47" s="1"/>
  <c r="O22" i="47"/>
  <c r="U22" i="47" s="1"/>
  <c r="AF21" i="47"/>
  <c r="AB21" i="47"/>
  <c r="S21" i="47"/>
  <c r="Q21" i="47"/>
  <c r="X21" i="47" s="1"/>
  <c r="P21" i="47"/>
  <c r="W21" i="47" s="1"/>
  <c r="O21" i="47"/>
  <c r="U21" i="47" s="1"/>
  <c r="AF20" i="47"/>
  <c r="AB20" i="47"/>
  <c r="S20" i="47"/>
  <c r="Q20" i="47"/>
  <c r="X20" i="47" s="1"/>
  <c r="P20" i="47"/>
  <c r="W20" i="47" s="1"/>
  <c r="O20" i="47"/>
  <c r="U20" i="47" s="1"/>
  <c r="AF19" i="47"/>
  <c r="AB19" i="47"/>
  <c r="S19" i="47"/>
  <c r="Q19" i="47"/>
  <c r="X19" i="47" s="1"/>
  <c r="P19" i="47"/>
  <c r="W19" i="47" s="1"/>
  <c r="O19" i="47"/>
  <c r="U19" i="47" s="1"/>
  <c r="AF18" i="47"/>
  <c r="AB18" i="47"/>
  <c r="S18" i="47"/>
  <c r="Q18" i="47"/>
  <c r="X18" i="47" s="1"/>
  <c r="P18" i="47"/>
  <c r="W18" i="47" s="1"/>
  <c r="O18" i="47"/>
  <c r="U18" i="47" s="1"/>
  <c r="AF17" i="47"/>
  <c r="AB17" i="47"/>
  <c r="S17" i="47"/>
  <c r="P17" i="47"/>
  <c r="W17" i="47" s="1"/>
  <c r="O17" i="47"/>
  <c r="U17" i="47" s="1"/>
  <c r="AH56" i="47"/>
  <c r="AG56" i="47"/>
  <c r="AE56" i="47"/>
  <c r="AD56" i="47"/>
  <c r="AA56" i="47"/>
  <c r="Z56" i="47"/>
  <c r="V56" i="47"/>
  <c r="T56" i="47"/>
  <c r="R56" i="47"/>
  <c r="N56" i="47"/>
  <c r="M56" i="47"/>
  <c r="L56" i="47"/>
  <c r="AH46" i="47"/>
  <c r="AG46" i="47"/>
  <c r="AE46" i="47"/>
  <c r="AD46" i="47"/>
  <c r="AA46" i="47"/>
  <c r="Z46" i="47"/>
  <c r="V46" i="47"/>
  <c r="T46" i="47"/>
  <c r="R46" i="47"/>
  <c r="N46" i="47"/>
  <c r="M46" i="47"/>
  <c r="L46" i="47"/>
  <c r="AH36" i="47"/>
  <c r="AG36" i="47"/>
  <c r="AE36" i="47"/>
  <c r="AD36" i="47"/>
  <c r="AA36" i="47"/>
  <c r="Z36" i="47"/>
  <c r="V36" i="47"/>
  <c r="T36" i="47"/>
  <c r="R36" i="47"/>
  <c r="N36" i="47"/>
  <c r="M36" i="47"/>
  <c r="L36" i="47"/>
  <c r="AH26" i="47"/>
  <c r="AG26" i="47"/>
  <c r="AE26" i="47"/>
  <c r="AD26" i="47"/>
  <c r="AA26" i="47"/>
  <c r="Z26" i="47"/>
  <c r="V26" i="47"/>
  <c r="T26" i="47"/>
  <c r="R26" i="47"/>
  <c r="N26" i="47"/>
  <c r="M26" i="47"/>
  <c r="L26" i="47"/>
  <c r="AH16" i="47"/>
  <c r="AG16" i="47"/>
  <c r="AE16" i="47"/>
  <c r="AD16" i="47"/>
  <c r="AA16" i="47"/>
  <c r="Z16" i="47"/>
  <c r="V16" i="47"/>
  <c r="T16" i="47"/>
  <c r="R16" i="47"/>
  <c r="N16" i="47"/>
  <c r="M16" i="47"/>
  <c r="L16" i="47"/>
  <c r="AF14" i="47"/>
  <c r="AF13" i="47"/>
  <c r="AF12" i="47"/>
  <c r="AF11" i="47"/>
  <c r="AF10" i="47"/>
  <c r="AF9" i="47"/>
  <c r="AF8" i="47"/>
  <c r="AF7" i="47"/>
  <c r="AB8" i="47"/>
  <c r="AB14" i="47"/>
  <c r="AB13" i="47"/>
  <c r="AB12" i="47"/>
  <c r="AB11" i="47"/>
  <c r="AB10" i="47"/>
  <c r="AB9" i="47"/>
  <c r="AB7" i="47"/>
  <c r="Y32" i="47" l="1"/>
  <c r="P36" i="47"/>
  <c r="AB56" i="47"/>
  <c r="AF26" i="47"/>
  <c r="U26" i="47"/>
  <c r="AW66" i="1"/>
  <c r="AW66" i="38"/>
  <c r="AW66" i="23"/>
  <c r="AW66" i="29"/>
  <c r="AW66" i="28"/>
  <c r="AW66" i="27"/>
  <c r="AW66" i="26"/>
  <c r="AW66" i="22"/>
  <c r="AN66" i="1"/>
  <c r="AN66" i="38"/>
  <c r="AN66" i="23"/>
  <c r="AN66" i="29"/>
  <c r="AN66" i="28"/>
  <c r="AN66" i="27"/>
  <c r="AN66" i="26"/>
  <c r="AN66" i="22"/>
  <c r="AE66" i="1"/>
  <c r="AE66" i="38"/>
  <c r="AE66" i="23"/>
  <c r="AE66" i="29"/>
  <c r="AE66" i="28"/>
  <c r="AE66" i="27"/>
  <c r="AE66" i="26"/>
  <c r="AE66" i="22"/>
  <c r="M66" i="1"/>
  <c r="M66" i="38"/>
  <c r="M66" i="23"/>
  <c r="M66" i="29"/>
  <c r="M66" i="28"/>
  <c r="M66" i="27"/>
  <c r="M66" i="26"/>
  <c r="M66" i="22"/>
  <c r="V66" i="1"/>
  <c r="V66" i="38"/>
  <c r="V66" i="23"/>
  <c r="V66" i="29"/>
  <c r="V66" i="28"/>
  <c r="V66" i="27"/>
  <c r="V66" i="26"/>
  <c r="V66" i="22"/>
  <c r="E73" i="55"/>
  <c r="E77" i="55"/>
  <c r="E81" i="55"/>
  <c r="G81" i="55" s="1"/>
  <c r="E85" i="55"/>
  <c r="G85" i="55" s="1"/>
  <c r="E75" i="55"/>
  <c r="E83" i="55"/>
  <c r="G83" i="55" s="1"/>
  <c r="E76" i="55"/>
  <c r="E84" i="55"/>
  <c r="E74" i="55"/>
  <c r="E78" i="55"/>
  <c r="G78" i="55" s="1"/>
  <c r="E82" i="55"/>
  <c r="G82" i="55" s="1"/>
  <c r="E86" i="55"/>
  <c r="E79" i="55"/>
  <c r="E87" i="55"/>
  <c r="E80" i="55"/>
  <c r="G80" i="55" s="1"/>
  <c r="E72" i="55"/>
  <c r="J52" i="17"/>
  <c r="J16" i="17"/>
  <c r="J43" i="17"/>
  <c r="J7" i="17"/>
  <c r="J34" i="17"/>
  <c r="J25" i="17"/>
  <c r="L88" i="17"/>
  <c r="L97" i="17"/>
  <c r="L108" i="17"/>
  <c r="L117" i="17"/>
  <c r="L77" i="17"/>
  <c r="J66" i="55"/>
  <c r="G77" i="55"/>
  <c r="AF16" i="47"/>
  <c r="Y19" i="47"/>
  <c r="J19" i="47" s="1"/>
  <c r="K19" i="47" s="1"/>
  <c r="Y21" i="47"/>
  <c r="Y23" i="47"/>
  <c r="S56" i="47"/>
  <c r="AF56" i="47"/>
  <c r="AF36" i="47"/>
  <c r="AB16" i="47"/>
  <c r="P16" i="47"/>
  <c r="AF46" i="47"/>
  <c r="P46" i="47"/>
  <c r="Q17" i="47"/>
  <c r="X17" i="47" s="1"/>
  <c r="Y17" i="47" s="1"/>
  <c r="S26" i="47"/>
  <c r="Y38" i="47"/>
  <c r="J38" i="47" s="1"/>
  <c r="K38" i="47" s="1"/>
  <c r="Y40" i="47"/>
  <c r="Y42" i="47"/>
  <c r="J42" i="47" s="1"/>
  <c r="K42" i="47" s="1"/>
  <c r="Y44" i="47"/>
  <c r="J44" i="47" s="1"/>
  <c r="K44" i="47" s="1"/>
  <c r="AB46" i="47"/>
  <c r="S46" i="47"/>
  <c r="S16" i="47"/>
  <c r="AB36" i="47"/>
  <c r="J49" i="47"/>
  <c r="K49" i="47" s="1"/>
  <c r="O26" i="47"/>
  <c r="AB26" i="47"/>
  <c r="O36" i="47"/>
  <c r="Y39" i="47"/>
  <c r="J39" i="47" s="1"/>
  <c r="K39" i="47" s="1"/>
  <c r="Y41" i="47"/>
  <c r="J41" i="47" s="1"/>
  <c r="K41" i="47" s="1"/>
  <c r="Y43" i="47"/>
  <c r="J43" i="47" s="1"/>
  <c r="K43" i="47" s="1"/>
  <c r="O56" i="47"/>
  <c r="Y59" i="47"/>
  <c r="J59" i="47" s="1"/>
  <c r="K59" i="47" s="1"/>
  <c r="Y61" i="47"/>
  <c r="Y63" i="47"/>
  <c r="J63" i="47" s="1"/>
  <c r="K63" i="47" s="1"/>
  <c r="Y54" i="47"/>
  <c r="J54" i="47" s="1"/>
  <c r="K54" i="47" s="1"/>
  <c r="Y53" i="47"/>
  <c r="J53" i="47" s="1"/>
  <c r="K53" i="47" s="1"/>
  <c r="Y58" i="47"/>
  <c r="Y60" i="47"/>
  <c r="Y62" i="47"/>
  <c r="J62" i="47" s="1"/>
  <c r="K62" i="47" s="1"/>
  <c r="Y64" i="47"/>
  <c r="J64" i="47" s="1"/>
  <c r="K64" i="47" s="1"/>
  <c r="U57" i="47"/>
  <c r="U56" i="47" s="1"/>
  <c r="W57" i="47"/>
  <c r="Y57" i="47" s="1"/>
  <c r="X47" i="47"/>
  <c r="X46" i="47" s="1"/>
  <c r="Q46" i="47"/>
  <c r="Y48" i="47"/>
  <c r="J48" i="47" s="1"/>
  <c r="K48" i="47" s="1"/>
  <c r="Y50" i="47"/>
  <c r="J50" i="47" s="1"/>
  <c r="K50" i="47" s="1"/>
  <c r="Y52" i="47"/>
  <c r="J52" i="47" s="1"/>
  <c r="K52" i="47" s="1"/>
  <c r="W47" i="47"/>
  <c r="W46" i="47" s="1"/>
  <c r="U37" i="47"/>
  <c r="U36" i="47" s="1"/>
  <c r="W37" i="47"/>
  <c r="W36" i="47" s="1"/>
  <c r="Q37" i="47"/>
  <c r="Y29" i="47"/>
  <c r="J29" i="47" s="1"/>
  <c r="K29" i="47" s="1"/>
  <c r="Y31" i="47"/>
  <c r="J31" i="47" s="1"/>
  <c r="K31" i="47" s="1"/>
  <c r="Y33" i="47"/>
  <c r="J33" i="47" s="1"/>
  <c r="K33" i="47" s="1"/>
  <c r="Y34" i="47"/>
  <c r="J34" i="47" s="1"/>
  <c r="K34" i="47" s="1"/>
  <c r="W27" i="47"/>
  <c r="Y27" i="47" s="1"/>
  <c r="Y18" i="47"/>
  <c r="J18" i="47" s="1"/>
  <c r="K18" i="47" s="1"/>
  <c r="Y20" i="47"/>
  <c r="J20" i="47" s="1"/>
  <c r="K20" i="47" s="1"/>
  <c r="Y22" i="47"/>
  <c r="J22" i="47" s="1"/>
  <c r="K22" i="47" s="1"/>
  <c r="Y24" i="47"/>
  <c r="J24" i="47" s="1"/>
  <c r="K24" i="47" s="1"/>
  <c r="J58" i="47"/>
  <c r="K58" i="47" s="1"/>
  <c r="J60" i="47"/>
  <c r="K60" i="47" s="1"/>
  <c r="J61" i="47"/>
  <c r="K61" i="47" s="1"/>
  <c r="P56" i="47"/>
  <c r="J51" i="47"/>
  <c r="K51" i="47" s="1"/>
  <c r="U46" i="47"/>
  <c r="O46" i="47"/>
  <c r="J40" i="47"/>
  <c r="K40" i="47" s="1"/>
  <c r="J28" i="47"/>
  <c r="K28" i="47" s="1"/>
  <c r="J32" i="47"/>
  <c r="K32" i="47" s="1"/>
  <c r="J30" i="47"/>
  <c r="K30" i="47" s="1"/>
  <c r="P26" i="47"/>
  <c r="W16" i="47"/>
  <c r="U16" i="47"/>
  <c r="J21" i="47"/>
  <c r="K21" i="47" s="1"/>
  <c r="J23" i="47"/>
  <c r="K23" i="47" s="1"/>
  <c r="O16" i="47"/>
  <c r="G73" i="55" l="1"/>
  <c r="G75" i="55"/>
  <c r="G87" i="55"/>
  <c r="G86" i="55"/>
  <c r="G84" i="55"/>
  <c r="G74" i="55"/>
  <c r="G76" i="55"/>
  <c r="G79" i="55"/>
  <c r="G72" i="55"/>
  <c r="W56" i="47"/>
  <c r="Y47" i="47"/>
  <c r="X37" i="47"/>
  <c r="X36" i="47" s="1"/>
  <c r="Q36" i="47"/>
  <c r="W26" i="47"/>
  <c r="Q56" i="47"/>
  <c r="Q26" i="47"/>
  <c r="Q16" i="47"/>
  <c r="E88" i="55" l="1"/>
  <c r="Y37" i="47"/>
  <c r="J37" i="47" s="1"/>
  <c r="X56" i="47"/>
  <c r="Y46" i="47"/>
  <c r="J47" i="47"/>
  <c r="X26" i="47"/>
  <c r="X16" i="47"/>
  <c r="Y36" i="47" l="1"/>
  <c r="Y56" i="47"/>
  <c r="J57" i="47"/>
  <c r="J46" i="47"/>
  <c r="K47" i="47"/>
  <c r="K46" i="47" s="1"/>
  <c r="K37" i="47"/>
  <c r="K36" i="47" s="1"/>
  <c r="J36" i="47"/>
  <c r="Y26" i="47"/>
  <c r="J27" i="47"/>
  <c r="Y16" i="47"/>
  <c r="J17" i="47"/>
  <c r="K57" i="47" l="1"/>
  <c r="K56" i="47" s="1"/>
  <c r="J56" i="47"/>
  <c r="K27" i="47"/>
  <c r="K26" i="47" s="1"/>
  <c r="J26" i="47"/>
  <c r="K17" i="47"/>
  <c r="K16" i="47" s="1"/>
  <c r="J16" i="47"/>
  <c r="AB6" i="47" l="1"/>
  <c r="S8" i="47"/>
  <c r="S9" i="47"/>
  <c r="S10" i="47"/>
  <c r="S11" i="47"/>
  <c r="S12" i="47"/>
  <c r="S13" i="47"/>
  <c r="S14" i="47"/>
  <c r="N6" i="47"/>
  <c r="M6" i="47"/>
  <c r="L6" i="47"/>
  <c r="AG6" i="47"/>
  <c r="AD6" i="47"/>
  <c r="AA6" i="47"/>
  <c r="AE6" i="47"/>
  <c r="Z6" i="47"/>
  <c r="V6" i="47"/>
  <c r="T6" i="47"/>
  <c r="R6" i="47"/>
  <c r="AF6" i="47"/>
  <c r="AH6" i="47" l="1"/>
  <c r="K28" i="54" l="1"/>
  <c r="K27" i="54"/>
  <c r="K26" i="54"/>
  <c r="K25" i="54"/>
  <c r="K24" i="54"/>
  <c r="K23" i="54"/>
  <c r="I17" i="54"/>
  <c r="I16" i="54"/>
  <c r="I15" i="54"/>
  <c r="I14" i="54"/>
  <c r="I13" i="54"/>
  <c r="I12" i="54"/>
  <c r="I11" i="54"/>
  <c r="I10" i="54"/>
  <c r="I9" i="54"/>
  <c r="I8" i="54"/>
  <c r="I7" i="54"/>
  <c r="I6" i="54"/>
  <c r="B2" i="54"/>
  <c r="E32" i="54" l="1"/>
  <c r="E25" i="54"/>
  <c r="E29" i="54"/>
  <c r="G29" i="54" s="1"/>
  <c r="E33" i="54"/>
  <c r="G33" i="54" s="1"/>
  <c r="E31" i="54"/>
  <c r="G31" i="54" s="1"/>
  <c r="E28" i="54"/>
  <c r="E26" i="54"/>
  <c r="E30" i="54"/>
  <c r="E34" i="54"/>
  <c r="G34" i="54" s="1"/>
  <c r="E27" i="54"/>
  <c r="E24" i="54"/>
  <c r="E23" i="54"/>
  <c r="I18" i="54"/>
  <c r="G26" i="54" l="1"/>
  <c r="G30" i="54"/>
  <c r="G27" i="54"/>
  <c r="G23" i="54"/>
  <c r="G28" i="54"/>
  <c r="G25" i="54"/>
  <c r="G24" i="54"/>
  <c r="G32" i="54"/>
  <c r="E35" i="54" l="1"/>
  <c r="C85" i="7" l="1"/>
  <c r="C84" i="7"/>
  <c r="C83" i="7"/>
  <c r="C82" i="7"/>
  <c r="C81" i="7"/>
  <c r="C76" i="7"/>
  <c r="C75" i="7"/>
  <c r="C74" i="7"/>
  <c r="C73" i="7"/>
  <c r="C72" i="7"/>
  <c r="C67" i="7"/>
  <c r="D85" i="7" s="1"/>
  <c r="C66" i="7"/>
  <c r="D84" i="7" s="1"/>
  <c r="C65" i="7"/>
  <c r="D83" i="7" s="1"/>
  <c r="C64" i="7"/>
  <c r="D82" i="7" s="1"/>
  <c r="C63" i="7"/>
  <c r="D81" i="7" s="1"/>
  <c r="C58" i="7"/>
  <c r="D76" i="7" s="1"/>
  <c r="C57" i="7"/>
  <c r="D75" i="7" s="1"/>
  <c r="C56" i="7"/>
  <c r="D74" i="7" s="1"/>
  <c r="C55" i="7"/>
  <c r="D73" i="7" s="1"/>
  <c r="C54" i="7"/>
  <c r="D72" i="7" s="1"/>
  <c r="D49" i="7"/>
  <c r="C49" i="7"/>
  <c r="D67" i="7" s="1"/>
  <c r="D48" i="7"/>
  <c r="C48" i="7"/>
  <c r="D66" i="7" s="1"/>
  <c r="D47" i="7"/>
  <c r="C47" i="7"/>
  <c r="D65" i="7" s="1"/>
  <c r="D46" i="7"/>
  <c r="C46" i="7"/>
  <c r="D64" i="7" s="1"/>
  <c r="D45" i="7"/>
  <c r="C45" i="7"/>
  <c r="D63" i="7" s="1"/>
  <c r="L85" i="7"/>
  <c r="L84" i="7"/>
  <c r="L83" i="7"/>
  <c r="L82" i="7"/>
  <c r="L81" i="7"/>
  <c r="L76" i="7"/>
  <c r="L75" i="7"/>
  <c r="L74" i="7"/>
  <c r="L73" i="7"/>
  <c r="L72" i="7"/>
  <c r="L67" i="7"/>
  <c r="L66" i="7"/>
  <c r="L65" i="7"/>
  <c r="L64" i="7"/>
  <c r="L63" i="7"/>
  <c r="L58" i="7"/>
  <c r="L57" i="7"/>
  <c r="L56" i="7"/>
  <c r="L55" i="7"/>
  <c r="L54" i="7"/>
  <c r="L49" i="7"/>
  <c r="L48" i="7"/>
  <c r="L47" i="7"/>
  <c r="L46" i="7"/>
  <c r="L45" i="7"/>
  <c r="L40" i="7"/>
  <c r="L39" i="7"/>
  <c r="L38" i="7"/>
  <c r="L36" i="7"/>
  <c r="L37" i="7"/>
  <c r="C40" i="7"/>
  <c r="D58" i="7" s="1"/>
  <c r="C39" i="7"/>
  <c r="D57" i="7" s="1"/>
  <c r="C38" i="7"/>
  <c r="D56" i="7" s="1"/>
  <c r="C37" i="7"/>
  <c r="D55" i="7" s="1"/>
  <c r="C36" i="7"/>
  <c r="D54" i="7" s="1"/>
  <c r="U80" i="7"/>
  <c r="T80" i="7"/>
  <c r="S80" i="7"/>
  <c r="R80" i="7"/>
  <c r="Q80" i="7"/>
  <c r="P80" i="7"/>
  <c r="U71" i="7"/>
  <c r="T71" i="7"/>
  <c r="S71" i="7"/>
  <c r="R71" i="7"/>
  <c r="Q71" i="7"/>
  <c r="P71" i="7"/>
  <c r="U62" i="7"/>
  <c r="T62" i="7"/>
  <c r="S62" i="7"/>
  <c r="R62" i="7"/>
  <c r="Q62" i="7"/>
  <c r="P62" i="7"/>
  <c r="U53" i="7"/>
  <c r="T53" i="7"/>
  <c r="S53" i="7"/>
  <c r="R53" i="7"/>
  <c r="Q53" i="7"/>
  <c r="P53" i="7"/>
  <c r="E103" i="45"/>
  <c r="U44" i="7"/>
  <c r="T44" i="7"/>
  <c r="S44" i="7"/>
  <c r="R44" i="7"/>
  <c r="Q44" i="7"/>
  <c r="P44" i="7"/>
  <c r="U35" i="7"/>
  <c r="Q35" i="7"/>
  <c r="R35" i="7"/>
  <c r="S35" i="7"/>
  <c r="T35" i="7"/>
  <c r="P35" i="7"/>
  <c r="G100" i="45"/>
  <c r="V80" i="7" l="1"/>
  <c r="V71" i="7"/>
  <c r="V62" i="7"/>
  <c r="V53" i="7"/>
  <c r="V35" i="7"/>
  <c r="V44" i="7"/>
  <c r="D40" i="7" l="1"/>
  <c r="D39" i="7"/>
  <c r="D38" i="7"/>
  <c r="D37" i="7"/>
  <c r="D36" i="7"/>
  <c r="P29" i="7"/>
  <c r="P28" i="7"/>
  <c r="B2" i="50" l="1"/>
  <c r="B2" i="35"/>
  <c r="S7" i="47" l="1"/>
  <c r="O7" i="47"/>
  <c r="U7" i="47" s="1"/>
  <c r="P7" i="47"/>
  <c r="O8" i="47"/>
  <c r="U8" i="47" s="1"/>
  <c r="P8" i="47"/>
  <c r="W8" i="47" s="1"/>
  <c r="Q8" i="47"/>
  <c r="X8" i="47" s="1"/>
  <c r="O9" i="47"/>
  <c r="U9" i="47" s="1"/>
  <c r="P9" i="47"/>
  <c r="W9" i="47" s="1"/>
  <c r="Q9" i="47"/>
  <c r="X9" i="47" s="1"/>
  <c r="O10" i="47"/>
  <c r="U10" i="47" s="1"/>
  <c r="P10" i="47"/>
  <c r="W10" i="47" s="1"/>
  <c r="Q10" i="47"/>
  <c r="X10" i="47" s="1"/>
  <c r="O11" i="47"/>
  <c r="U11" i="47" s="1"/>
  <c r="P11" i="47"/>
  <c r="W11" i="47" s="1"/>
  <c r="Q11" i="47"/>
  <c r="X11" i="47" s="1"/>
  <c r="O12" i="47"/>
  <c r="U12" i="47" s="1"/>
  <c r="P12" i="47"/>
  <c r="W12" i="47" s="1"/>
  <c r="Q12" i="47"/>
  <c r="X12" i="47" s="1"/>
  <c r="O13" i="47"/>
  <c r="U13" i="47" s="1"/>
  <c r="P13" i="47"/>
  <c r="W13" i="47" s="1"/>
  <c r="Q13" i="47"/>
  <c r="X13" i="47" s="1"/>
  <c r="O14" i="47"/>
  <c r="U14" i="47" s="1"/>
  <c r="P14" i="47"/>
  <c r="W14" i="47" s="1"/>
  <c r="Q14" i="47"/>
  <c r="X14" i="47" s="1"/>
  <c r="B2" i="47"/>
  <c r="I77" i="47"/>
  <c r="I76" i="47"/>
  <c r="I75" i="47"/>
  <c r="I74" i="47"/>
  <c r="I73" i="47"/>
  <c r="Y13" i="47" l="1"/>
  <c r="J13" i="47" s="1"/>
  <c r="K13" i="47" s="1"/>
  <c r="Y9" i="47"/>
  <c r="J9" i="47" s="1"/>
  <c r="K9" i="47" s="1"/>
  <c r="U6" i="47"/>
  <c r="Q7" i="47"/>
  <c r="X7" i="47" s="1"/>
  <c r="X6" i="47" s="1"/>
  <c r="W7" i="47"/>
  <c r="Y14" i="47"/>
  <c r="J14" i="47" s="1"/>
  <c r="K14" i="47" s="1"/>
  <c r="Y10" i="47"/>
  <c r="J10" i="47" s="1"/>
  <c r="K10" i="47" s="1"/>
  <c r="Y11" i="47"/>
  <c r="J11" i="47" s="1"/>
  <c r="K11" i="47" s="1"/>
  <c r="Y12" i="47"/>
  <c r="J12" i="47" s="1"/>
  <c r="K12" i="47" s="1"/>
  <c r="Y8" i="47"/>
  <c r="O6" i="47"/>
  <c r="S6" i="47"/>
  <c r="P6" i="47"/>
  <c r="Y7" i="47" l="1"/>
  <c r="J7" i="47" s="1"/>
  <c r="K7" i="47" s="1"/>
  <c r="W6" i="47"/>
  <c r="Q6" i="47"/>
  <c r="J8" i="47"/>
  <c r="Y6" i="47" l="1"/>
  <c r="K8" i="47"/>
  <c r="K6" i="47" s="1"/>
  <c r="J6" i="47"/>
  <c r="K65" i="47" l="1"/>
  <c r="E77" i="47"/>
  <c r="G77" i="47" s="1"/>
  <c r="E87" i="47"/>
  <c r="G87" i="47" s="1"/>
  <c r="E78" i="47"/>
  <c r="G78" i="47" s="1"/>
  <c r="E83" i="47"/>
  <c r="G83" i="47" s="1"/>
  <c r="E81" i="47"/>
  <c r="G81" i="47" s="1"/>
  <c r="E76" i="47"/>
  <c r="G76" i="47" s="1"/>
  <c r="E82" i="47"/>
  <c r="G82" i="47" s="1"/>
  <c r="E80" i="47"/>
  <c r="G80" i="47" s="1"/>
  <c r="E85" i="47"/>
  <c r="G85" i="47" s="1"/>
  <c r="E84" i="47"/>
  <c r="G84" i="47" s="1"/>
  <c r="E86" i="47"/>
  <c r="G86" i="47" s="1"/>
  <c r="E72" i="47"/>
  <c r="E75" i="47"/>
  <c r="G75" i="47" s="1"/>
  <c r="E73" i="47"/>
  <c r="G73" i="47" s="1"/>
  <c r="E79" i="47"/>
  <c r="G79" i="47" s="1"/>
  <c r="E74" i="47"/>
  <c r="G74" i="47" s="1"/>
  <c r="I72" i="47"/>
  <c r="K71" i="16"/>
  <c r="F110" i="17"/>
  <c r="F109" i="17"/>
  <c r="F108" i="17"/>
  <c r="F107" i="17"/>
  <c r="F106" i="17"/>
  <c r="F105" i="17"/>
  <c r="I105" i="45"/>
  <c r="H105" i="45"/>
  <c r="H102" i="45"/>
  <c r="G102" i="45"/>
  <c r="F102" i="45"/>
  <c r="F99" i="45"/>
  <c r="E99" i="45"/>
  <c r="B2" i="45"/>
  <c r="B2" i="53"/>
  <c r="E88" i="47" l="1"/>
  <c r="G72" i="47"/>
  <c r="D10" i="53"/>
  <c r="C16" i="53" s="1"/>
  <c r="G10" i="53"/>
  <c r="F16" i="53" s="1"/>
  <c r="J10" i="53"/>
  <c r="M10" i="53"/>
  <c r="L16" i="53" s="1"/>
  <c r="P10" i="53"/>
  <c r="O16" i="53" s="1"/>
  <c r="S10" i="53"/>
  <c r="R16" i="53" l="1"/>
  <c r="R17" i="53" s="1"/>
  <c r="R18" i="53" s="1"/>
  <c r="R19" i="53" s="1"/>
  <c r="R20" i="53" s="1"/>
  <c r="R21" i="53" s="1"/>
  <c r="R22" i="53" s="1"/>
  <c r="R23" i="53" s="1"/>
  <c r="R24" i="53" s="1"/>
  <c r="R25" i="53" s="1"/>
  <c r="R26" i="53" s="1"/>
  <c r="R27" i="53" s="1"/>
  <c r="R28" i="53" s="1"/>
  <c r="R29" i="53" s="1"/>
  <c r="R30" i="53" s="1"/>
  <c r="R31" i="53" s="1"/>
  <c r="R32" i="53" s="1"/>
  <c r="R33" i="53" s="1"/>
  <c r="R34" i="53" s="1"/>
  <c r="R35" i="53" s="1"/>
  <c r="R36" i="53" s="1"/>
  <c r="R37" i="53" s="1"/>
  <c r="R38" i="53" s="1"/>
  <c r="R39" i="53" s="1"/>
  <c r="Q16" i="53"/>
  <c r="O17" i="53"/>
  <c r="M12" i="53"/>
  <c r="J12" i="53"/>
  <c r="I16" i="53"/>
  <c r="H16" i="53"/>
  <c r="F17" i="53"/>
  <c r="E16" i="53"/>
  <c r="C17" i="53"/>
  <c r="S11" i="53"/>
  <c r="S12" i="53"/>
  <c r="G12" i="53"/>
  <c r="P12" i="53"/>
  <c r="D12" i="53"/>
  <c r="Q17" i="53" l="1"/>
  <c r="O18" i="53"/>
  <c r="O19" i="53" s="1"/>
  <c r="O20" i="53" s="1"/>
  <c r="O21" i="53" s="1"/>
  <c r="O22" i="53" s="1"/>
  <c r="O23" i="53" s="1"/>
  <c r="O24" i="53" s="1"/>
  <c r="O25" i="53" s="1"/>
  <c r="O26" i="53" s="1"/>
  <c r="O27" i="53" s="1"/>
  <c r="O28" i="53" s="1"/>
  <c r="O29" i="53" s="1"/>
  <c r="O30" i="53" s="1"/>
  <c r="O31" i="53" s="1"/>
  <c r="O32" i="53" s="1"/>
  <c r="O33" i="53" s="1"/>
  <c r="O34" i="53" s="1"/>
  <c r="O35" i="53" s="1"/>
  <c r="O36" i="53" s="1"/>
  <c r="O37" i="53" s="1"/>
  <c r="O38" i="53" s="1"/>
  <c r="O39" i="53" s="1"/>
  <c r="N16" i="53"/>
  <c r="L17" i="53"/>
  <c r="K16" i="53"/>
  <c r="I17" i="53"/>
  <c r="F18" i="53"/>
  <c r="F19" i="53" s="1"/>
  <c r="F20" i="53" s="1"/>
  <c r="F21" i="53" s="1"/>
  <c r="F22" i="53" s="1"/>
  <c r="F23" i="53" s="1"/>
  <c r="F24" i="53" s="1"/>
  <c r="F25" i="53" s="1"/>
  <c r="F26" i="53" s="1"/>
  <c r="F27" i="53" s="1"/>
  <c r="F28" i="53" s="1"/>
  <c r="F29" i="53" s="1"/>
  <c r="F30" i="53" s="1"/>
  <c r="F31" i="53" s="1"/>
  <c r="F32" i="53" s="1"/>
  <c r="F33" i="53" s="1"/>
  <c r="F34" i="53" s="1"/>
  <c r="F35" i="53" s="1"/>
  <c r="F36" i="53" s="1"/>
  <c r="F37" i="53" s="1"/>
  <c r="F38" i="53" s="1"/>
  <c r="F39" i="53" s="1"/>
  <c r="H17" i="53"/>
  <c r="E17" i="53"/>
  <c r="C18" i="53"/>
  <c r="C19" i="53" s="1"/>
  <c r="C20" i="53" s="1"/>
  <c r="C21" i="53" s="1"/>
  <c r="C22" i="53" s="1"/>
  <c r="C23" i="53" s="1"/>
  <c r="C24" i="53" s="1"/>
  <c r="C25" i="53" s="1"/>
  <c r="C26" i="53" s="1"/>
  <c r="C27" i="53" s="1"/>
  <c r="C28" i="53" s="1"/>
  <c r="C29" i="53" s="1"/>
  <c r="C30" i="53" s="1"/>
  <c r="C31" i="53" s="1"/>
  <c r="C32" i="53" s="1"/>
  <c r="C33" i="53" s="1"/>
  <c r="C34" i="53" s="1"/>
  <c r="C35" i="53" s="1"/>
  <c r="C36" i="53" s="1"/>
  <c r="C37" i="53" s="1"/>
  <c r="C38" i="53" s="1"/>
  <c r="C39" i="53" s="1"/>
  <c r="N17" i="53" l="1"/>
  <c r="L18" i="53"/>
  <c r="L19" i="53" s="1"/>
  <c r="L20" i="53" s="1"/>
  <c r="L21" i="53" s="1"/>
  <c r="L22" i="53" s="1"/>
  <c r="L23" i="53" s="1"/>
  <c r="L24" i="53" s="1"/>
  <c r="L25" i="53" s="1"/>
  <c r="L26" i="53" s="1"/>
  <c r="L27" i="53" s="1"/>
  <c r="L28" i="53" s="1"/>
  <c r="L29" i="53" s="1"/>
  <c r="K17" i="53"/>
  <c r="I18" i="53"/>
  <c r="I19" i="53" s="1"/>
  <c r="I20" i="53" s="1"/>
  <c r="I21" i="53" s="1"/>
  <c r="I22" i="53" s="1"/>
  <c r="I23" i="53" s="1"/>
  <c r="I24" i="53" s="1"/>
  <c r="I25" i="53" s="1"/>
  <c r="I26" i="53" s="1"/>
  <c r="I27" i="53" s="1"/>
  <c r="I28" i="53" s="1"/>
  <c r="I29" i="53" s="1"/>
  <c r="I30" i="53" s="1"/>
  <c r="I31" i="53" s="1"/>
  <c r="I32" i="53" s="1"/>
  <c r="I33" i="53" s="1"/>
  <c r="I34" i="53" s="1"/>
  <c r="I35" i="53" s="1"/>
  <c r="I36" i="53" s="1"/>
  <c r="I37" i="53" s="1"/>
  <c r="I38" i="53" s="1"/>
  <c r="I39" i="53" s="1"/>
  <c r="E18" i="53"/>
  <c r="L30" i="53" l="1"/>
  <c r="N29" i="53"/>
  <c r="K18" i="53"/>
  <c r="E19" i="53"/>
  <c r="Q18" i="53"/>
  <c r="H18" i="53"/>
  <c r="Q19" i="53"/>
  <c r="N18" i="53"/>
  <c r="L31" i="53" l="1"/>
  <c r="N30" i="53"/>
  <c r="E20" i="53"/>
  <c r="K19" i="53"/>
  <c r="H19" i="53"/>
  <c r="N19" i="53"/>
  <c r="Q20" i="53"/>
  <c r="L32" i="53" l="1"/>
  <c r="N31" i="53"/>
  <c r="E21" i="53"/>
  <c r="K20" i="53"/>
  <c r="Q21" i="53"/>
  <c r="H20" i="53"/>
  <c r="N20" i="53"/>
  <c r="L33" i="53" l="1"/>
  <c r="N32" i="53"/>
  <c r="K21" i="53"/>
  <c r="Q22" i="53"/>
  <c r="N21" i="53"/>
  <c r="E22" i="53"/>
  <c r="H21" i="53"/>
  <c r="L34" i="53" l="1"/>
  <c r="N33" i="53"/>
  <c r="K22" i="53"/>
  <c r="Q23" i="53"/>
  <c r="E23" i="53"/>
  <c r="H22" i="53"/>
  <c r="N22" i="53"/>
  <c r="L35" i="53" l="1"/>
  <c r="N34" i="53"/>
  <c r="K23" i="53"/>
  <c r="H23" i="53"/>
  <c r="E24" i="53"/>
  <c r="N23" i="53"/>
  <c r="Q24" i="53"/>
  <c r="L36" i="53" l="1"/>
  <c r="N35" i="53"/>
  <c r="K24" i="53"/>
  <c r="E25" i="53"/>
  <c r="N24" i="53"/>
  <c r="H24" i="53"/>
  <c r="Q25" i="53"/>
  <c r="L37" i="53" l="1"/>
  <c r="N36" i="53"/>
  <c r="K25" i="53"/>
  <c r="Q26" i="53"/>
  <c r="N25" i="53"/>
  <c r="H25" i="53"/>
  <c r="E26" i="53"/>
  <c r="L38" i="53" l="1"/>
  <c r="N37" i="53"/>
  <c r="K26" i="53"/>
  <c r="H26" i="53"/>
  <c r="E27" i="53"/>
  <c r="Q27" i="53"/>
  <c r="N26" i="53"/>
  <c r="L39" i="53" l="1"/>
  <c r="N39" i="53" s="1"/>
  <c r="N38" i="53"/>
  <c r="K27" i="53"/>
  <c r="E28" i="53"/>
  <c r="H27" i="53"/>
  <c r="N27" i="53"/>
  <c r="Q28" i="53"/>
  <c r="K28" i="53" l="1"/>
  <c r="Q29" i="53"/>
  <c r="H28" i="53"/>
  <c r="N28" i="53"/>
  <c r="E29" i="53"/>
  <c r="K29" i="53" l="1"/>
  <c r="Q30" i="53"/>
  <c r="E30" i="53"/>
  <c r="H29" i="53"/>
  <c r="K30" i="53" l="1"/>
  <c r="E31" i="53"/>
  <c r="H30" i="53"/>
  <c r="Q31" i="53"/>
  <c r="K31" i="53" l="1"/>
  <c r="H31" i="53"/>
  <c r="E32" i="53"/>
  <c r="Q32" i="53"/>
  <c r="K32" i="53" l="1"/>
  <c r="Q33" i="53"/>
  <c r="H32" i="53"/>
  <c r="E33" i="53"/>
  <c r="K33" i="53" l="1"/>
  <c r="Q34" i="53"/>
  <c r="E34" i="53"/>
  <c r="H33" i="53"/>
  <c r="K34" i="53" l="1"/>
  <c r="H34" i="53"/>
  <c r="E35" i="53"/>
  <c r="Q35" i="53"/>
  <c r="K35" i="53" l="1"/>
  <c r="Q36" i="53"/>
  <c r="E36" i="53"/>
  <c r="H35" i="53"/>
  <c r="K36" i="53" l="1"/>
  <c r="E37" i="53"/>
  <c r="Q37" i="53"/>
  <c r="H36" i="53"/>
  <c r="K37" i="53" l="1"/>
  <c r="H37" i="53"/>
  <c r="E39" i="53"/>
  <c r="E38" i="53"/>
  <c r="Q38" i="53"/>
  <c r="Q39" i="53"/>
  <c r="K39" i="53" l="1"/>
  <c r="K38" i="53"/>
  <c r="H38" i="53"/>
  <c r="H39" i="53"/>
  <c r="M60" i="17" l="1"/>
  <c r="M59" i="17"/>
  <c r="M58" i="17"/>
  <c r="M57" i="17"/>
  <c r="M56" i="17"/>
  <c r="M55" i="17"/>
  <c r="M54" i="17"/>
  <c r="M53" i="17"/>
  <c r="L52" i="17"/>
  <c r="K52" i="17"/>
  <c r="H52" i="17"/>
  <c r="M51" i="17"/>
  <c r="M50" i="17"/>
  <c r="M49" i="17"/>
  <c r="M48" i="17"/>
  <c r="M47" i="17"/>
  <c r="M46" i="17"/>
  <c r="M45" i="17"/>
  <c r="M44" i="17"/>
  <c r="L43" i="17"/>
  <c r="K43" i="17"/>
  <c r="H43" i="17"/>
  <c r="M42" i="17"/>
  <c r="M41" i="17"/>
  <c r="M40" i="17"/>
  <c r="M39" i="17"/>
  <c r="M38" i="17"/>
  <c r="M37" i="17"/>
  <c r="M36" i="17"/>
  <c r="M35" i="17"/>
  <c r="L34" i="17"/>
  <c r="K34" i="17"/>
  <c r="H34" i="17"/>
  <c r="M33" i="17"/>
  <c r="M32" i="17"/>
  <c r="M31" i="17"/>
  <c r="M30" i="17"/>
  <c r="M29" i="17"/>
  <c r="M28" i="17"/>
  <c r="M27" i="17"/>
  <c r="M26" i="17"/>
  <c r="L25" i="17"/>
  <c r="K25" i="17"/>
  <c r="H25" i="17"/>
  <c r="M24" i="17"/>
  <c r="M23" i="17"/>
  <c r="M22" i="17"/>
  <c r="M21" i="17"/>
  <c r="M20" i="17"/>
  <c r="M19" i="17"/>
  <c r="M18" i="17"/>
  <c r="M17" i="17"/>
  <c r="L16" i="17"/>
  <c r="K16" i="17"/>
  <c r="H16" i="17"/>
  <c r="L7" i="17"/>
  <c r="K7" i="17"/>
  <c r="H7" i="17"/>
  <c r="M52" i="17" l="1"/>
  <c r="M16" i="17"/>
  <c r="M43" i="17"/>
  <c r="H61" i="17"/>
  <c r="M34" i="17"/>
  <c r="N92" i="17"/>
  <c r="P92" i="17" s="1"/>
  <c r="N96" i="17"/>
  <c r="P96" i="17" s="1"/>
  <c r="M25" i="17"/>
  <c r="N93" i="17"/>
  <c r="P93" i="17" s="1"/>
  <c r="N89" i="17"/>
  <c r="N91" i="17"/>
  <c r="P91" i="17" s="1"/>
  <c r="N94" i="17"/>
  <c r="P94" i="17" s="1"/>
  <c r="N90" i="17"/>
  <c r="P90" i="17" s="1"/>
  <c r="N95" i="17"/>
  <c r="P95" i="17" s="1"/>
  <c r="N122" i="17"/>
  <c r="P122" i="17" s="1"/>
  <c r="N118" i="17"/>
  <c r="P118" i="17" s="1"/>
  <c r="N121" i="17"/>
  <c r="P121" i="17" s="1"/>
  <c r="N119" i="17"/>
  <c r="P119" i="17" s="1"/>
  <c r="N123" i="17"/>
  <c r="P123" i="17" s="1"/>
  <c r="N124" i="17"/>
  <c r="P124" i="17" s="1"/>
  <c r="N125" i="17"/>
  <c r="P125" i="17" s="1"/>
  <c r="N120" i="17"/>
  <c r="P120" i="17" s="1"/>
  <c r="N113" i="17"/>
  <c r="P113" i="17" s="1"/>
  <c r="N109" i="17"/>
  <c r="P109" i="17" s="1"/>
  <c r="N110" i="17"/>
  <c r="P110" i="17" s="1"/>
  <c r="N114" i="17"/>
  <c r="P114" i="17" s="1"/>
  <c r="N111" i="17"/>
  <c r="P111" i="17" s="1"/>
  <c r="N115" i="17"/>
  <c r="P115" i="17" s="1"/>
  <c r="N112" i="17"/>
  <c r="P112" i="17" s="1"/>
  <c r="N116" i="17"/>
  <c r="P116" i="17" s="1"/>
  <c r="N102" i="17"/>
  <c r="P102" i="17" s="1"/>
  <c r="N98" i="17"/>
  <c r="P98" i="17" s="1"/>
  <c r="N99" i="17"/>
  <c r="P99" i="17" s="1"/>
  <c r="N103" i="17"/>
  <c r="P103" i="17" s="1"/>
  <c r="N100" i="17"/>
  <c r="P100" i="17" s="1"/>
  <c r="N104" i="17"/>
  <c r="P104" i="17" s="1"/>
  <c r="N101" i="17"/>
  <c r="P101" i="17" s="1"/>
  <c r="N105" i="17"/>
  <c r="P105" i="17" s="1"/>
  <c r="N81" i="17"/>
  <c r="P81" i="17" s="1"/>
  <c r="N85" i="17"/>
  <c r="P85" i="17" s="1"/>
  <c r="N80" i="17"/>
  <c r="P80" i="17" s="1"/>
  <c r="N82" i="17"/>
  <c r="P82" i="17" s="1"/>
  <c r="N78" i="17"/>
  <c r="P78" i="17" s="1"/>
  <c r="N83" i="17"/>
  <c r="P83" i="17" s="1"/>
  <c r="N79" i="17"/>
  <c r="P79" i="17" s="1"/>
  <c r="N84" i="17"/>
  <c r="P84" i="17" s="1"/>
  <c r="P89" i="17" l="1"/>
  <c r="N88" i="17"/>
  <c r="P88" i="17" s="1"/>
  <c r="N77" i="17"/>
  <c r="P77" i="17" s="1"/>
  <c r="N108" i="17"/>
  <c r="P108" i="17" s="1"/>
  <c r="N117" i="17"/>
  <c r="P117" i="17" s="1"/>
  <c r="N97" i="17"/>
  <c r="P97" i="17" s="1"/>
  <c r="AB89" i="21"/>
  <c r="X89" i="21"/>
  <c r="T89" i="21"/>
  <c r="P89" i="21"/>
  <c r="L89" i="21"/>
  <c r="H89" i="21"/>
  <c r="M9" i="17" l="1"/>
  <c r="M10" i="17"/>
  <c r="M11" i="17"/>
  <c r="M12" i="17"/>
  <c r="M13" i="17"/>
  <c r="M14" i="17"/>
  <c r="M15" i="17"/>
  <c r="M7" i="17" l="1"/>
  <c r="M61" i="17" s="1"/>
  <c r="N72" i="17"/>
  <c r="P72" i="17" s="1"/>
  <c r="N76" i="17"/>
  <c r="P76" i="17" s="1"/>
  <c r="N73" i="17"/>
  <c r="P73" i="17" s="1"/>
  <c r="N75" i="17"/>
  <c r="P75" i="17" s="1"/>
  <c r="N74" i="17"/>
  <c r="P74" i="17" s="1"/>
  <c r="N70" i="17"/>
  <c r="P70" i="17" s="1"/>
  <c r="N71" i="17"/>
  <c r="P71" i="17" s="1"/>
  <c r="N69" i="17"/>
  <c r="AE89" i="21"/>
  <c r="P69" i="17" l="1"/>
  <c r="N68" i="17"/>
  <c r="BH10" i="22"/>
  <c r="I10" i="50" s="1"/>
  <c r="BH11" i="22"/>
  <c r="I11" i="50" s="1"/>
  <c r="BH9" i="1"/>
  <c r="G9" i="50" s="1"/>
  <c r="M72" i="1" l="1"/>
  <c r="K72" i="16" l="1"/>
  <c r="K73" i="16"/>
  <c r="K74" i="16"/>
  <c r="K75" i="16"/>
  <c r="K76" i="16"/>
  <c r="I6" i="16"/>
  <c r="I65" i="16"/>
  <c r="K11" i="18"/>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BI6" i="29"/>
  <c r="BI6" i="28"/>
  <c r="BI6" i="27"/>
  <c r="BI6" i="26"/>
  <c r="BI6" i="22"/>
  <c r="BI6" i="1"/>
  <c r="B2" i="7"/>
  <c r="F36" i="45"/>
  <c r="F63" i="45"/>
  <c r="F22" i="45"/>
  <c r="K102" i="45"/>
  <c r="K105" i="45"/>
  <c r="K108" i="45"/>
  <c r="K111" i="45"/>
  <c r="K114" i="45"/>
  <c r="K99" i="45"/>
  <c r="E95" i="45"/>
  <c r="E94" i="45"/>
  <c r="F49" i="45"/>
  <c r="F76" i="45"/>
  <c r="F9" i="45"/>
  <c r="E73" i="16" l="1"/>
  <c r="E77" i="16"/>
  <c r="E81" i="16"/>
  <c r="E85" i="16"/>
  <c r="G85" i="16" s="1"/>
  <c r="E84" i="16"/>
  <c r="G84" i="16" s="1"/>
  <c r="E74" i="16"/>
  <c r="G74" i="16" s="1"/>
  <c r="E78" i="16"/>
  <c r="E82" i="16"/>
  <c r="E86" i="16"/>
  <c r="E79" i="16"/>
  <c r="E83" i="16"/>
  <c r="E72" i="16"/>
  <c r="E80" i="16"/>
  <c r="G80" i="16" s="1"/>
  <c r="E75" i="16"/>
  <c r="E71" i="16"/>
  <c r="E76" i="16"/>
  <c r="G76" i="16" s="1"/>
  <c r="I66" i="16"/>
  <c r="G71" i="16" s="1"/>
  <c r="AE6" i="21"/>
  <c r="G81" i="16"/>
  <c r="F8" i="45"/>
  <c r="F62" i="45"/>
  <c r="F35" i="45"/>
  <c r="G78" i="16" l="1"/>
  <c r="G73" i="16"/>
  <c r="G77" i="16"/>
  <c r="G82" i="16"/>
  <c r="G86" i="16"/>
  <c r="G79" i="16"/>
  <c r="G83" i="16"/>
  <c r="G72" i="16"/>
  <c r="G75" i="16"/>
  <c r="F89" i="45"/>
  <c r="D8" i="36"/>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B4" i="49"/>
  <c r="E87" i="16" l="1"/>
  <c r="T16" i="53"/>
  <c r="S14" i="53"/>
  <c r="S13" i="53" s="1"/>
  <c r="P47" i="22"/>
  <c r="G47" i="22"/>
  <c r="H47" i="22" s="1"/>
  <c r="D47" i="22"/>
  <c r="P46" i="22"/>
  <c r="G46" i="22"/>
  <c r="H46" i="22" s="1"/>
  <c r="D46" i="22"/>
  <c r="P45" i="22"/>
  <c r="G45" i="22"/>
  <c r="H45" i="22" s="1"/>
  <c r="D45" i="22"/>
  <c r="P44" i="22"/>
  <c r="G44" i="22"/>
  <c r="H44" i="22" s="1"/>
  <c r="D44" i="22"/>
  <c r="P43" i="22"/>
  <c r="G43" i="22"/>
  <c r="H43" i="22" s="1"/>
  <c r="D43" i="22"/>
  <c r="P42" i="22"/>
  <c r="G42" i="22"/>
  <c r="H42" i="22" s="1"/>
  <c r="D42" i="22"/>
  <c r="P41" i="22"/>
  <c r="G41" i="22"/>
  <c r="H41" i="22" s="1"/>
  <c r="D41" i="22"/>
  <c r="P40" i="22"/>
  <c r="G40" i="22"/>
  <c r="H40" i="22" s="1"/>
  <c r="D40" i="22"/>
  <c r="P39" i="22"/>
  <c r="G39" i="22"/>
  <c r="H39" i="22" s="1"/>
  <c r="D39" i="22"/>
  <c r="P38" i="22"/>
  <c r="G38" i="22"/>
  <c r="H38" i="22" s="1"/>
  <c r="D38" i="22"/>
  <c r="P37" i="22"/>
  <c r="G37" i="22"/>
  <c r="H37" i="22" s="1"/>
  <c r="D37" i="22"/>
  <c r="P36" i="22"/>
  <c r="G36" i="22"/>
  <c r="H36" i="22" s="1"/>
  <c r="D36" i="22"/>
  <c r="P35" i="22"/>
  <c r="G35" i="22"/>
  <c r="H35" i="22" s="1"/>
  <c r="D35" i="22"/>
  <c r="P34" i="22"/>
  <c r="G34" i="22"/>
  <c r="H34" i="22" s="1"/>
  <c r="D34" i="22"/>
  <c r="P33" i="22"/>
  <c r="G33" i="22"/>
  <c r="H33" i="22" s="1"/>
  <c r="D33" i="22"/>
  <c r="P32" i="22"/>
  <c r="G32" i="22"/>
  <c r="H32" i="22" s="1"/>
  <c r="D32" i="22"/>
  <c r="P31" i="22"/>
  <c r="G31" i="22"/>
  <c r="H31" i="22" s="1"/>
  <c r="D31" i="22"/>
  <c r="P30" i="22"/>
  <c r="G30" i="22"/>
  <c r="H30" i="22" s="1"/>
  <c r="D30" i="22"/>
  <c r="P29" i="22"/>
  <c r="G29" i="22"/>
  <c r="H29" i="22" s="1"/>
  <c r="D29" i="22"/>
  <c r="P28" i="22"/>
  <c r="G28" i="22"/>
  <c r="H28" i="22" s="1"/>
  <c r="D28" i="22"/>
  <c r="P27" i="22"/>
  <c r="G27" i="22"/>
  <c r="H27" i="22" s="1"/>
  <c r="D27" i="22"/>
  <c r="P26" i="22"/>
  <c r="G26" i="22"/>
  <c r="H26" i="22" s="1"/>
  <c r="D26" i="22"/>
  <c r="P25" i="22"/>
  <c r="G25" i="22"/>
  <c r="H25" i="22" s="1"/>
  <c r="D25" i="22"/>
  <c r="T24" i="22"/>
  <c r="R24" i="22"/>
  <c r="P24" i="22"/>
  <c r="Q24" i="22" s="1"/>
  <c r="G24" i="22"/>
  <c r="H24" i="22" s="1"/>
  <c r="D24" i="22"/>
  <c r="BH23" i="22"/>
  <c r="T23" i="22"/>
  <c r="R23" i="22"/>
  <c r="P23" i="22"/>
  <c r="K23" i="22"/>
  <c r="I23" i="22"/>
  <c r="G23" i="22"/>
  <c r="H23" i="22" s="1"/>
  <c r="D23" i="22"/>
  <c r="BH22" i="22"/>
  <c r="BD22" i="22"/>
  <c r="BB22" i="22"/>
  <c r="AZ22" i="22"/>
  <c r="BA22" i="22" s="1"/>
  <c r="AU22" i="22"/>
  <c r="AS22" i="22"/>
  <c r="AQ22" i="22"/>
  <c r="AR22" i="22" s="1"/>
  <c r="AL22" i="22"/>
  <c r="AJ22" i="22"/>
  <c r="AH22" i="22"/>
  <c r="AC22" i="22"/>
  <c r="AA22" i="22"/>
  <c r="Y22" i="22"/>
  <c r="T22" i="22"/>
  <c r="R22" i="22"/>
  <c r="P22" i="22"/>
  <c r="K22" i="22"/>
  <c r="I22" i="22"/>
  <c r="G22" i="22"/>
  <c r="H22" i="22" s="1"/>
  <c r="D22" i="22"/>
  <c r="BH21" i="22"/>
  <c r="BD21" i="22"/>
  <c r="BB21" i="22"/>
  <c r="AZ21" i="22"/>
  <c r="BA21" i="22" s="1"/>
  <c r="AU21" i="22"/>
  <c r="AS21" i="22"/>
  <c r="AQ21" i="22"/>
  <c r="AR21" i="22" s="1"/>
  <c r="AL21" i="22"/>
  <c r="AJ21" i="22"/>
  <c r="AH21" i="22"/>
  <c r="AC21" i="22"/>
  <c r="AA21" i="22"/>
  <c r="Y21" i="22"/>
  <c r="T21" i="22"/>
  <c r="R21" i="22"/>
  <c r="P21" i="22"/>
  <c r="K21" i="22"/>
  <c r="I21" i="22"/>
  <c r="G21" i="22"/>
  <c r="H21" i="22" s="1"/>
  <c r="D21" i="22"/>
  <c r="BH20" i="22"/>
  <c r="BD20" i="22"/>
  <c r="BB20" i="22"/>
  <c r="AZ20" i="22"/>
  <c r="BA20" i="22" s="1"/>
  <c r="AU20" i="22"/>
  <c r="AS20" i="22"/>
  <c r="AQ20" i="22"/>
  <c r="AL20" i="22"/>
  <c r="AJ20" i="22"/>
  <c r="AH20" i="22"/>
  <c r="AI20" i="22" s="1"/>
  <c r="AC20" i="22"/>
  <c r="AA20" i="22"/>
  <c r="Y20" i="22"/>
  <c r="Z20" i="22" s="1"/>
  <c r="T20" i="22"/>
  <c r="R20" i="22"/>
  <c r="P20" i="22"/>
  <c r="K20" i="22"/>
  <c r="I20" i="22"/>
  <c r="G20" i="22"/>
  <c r="H20" i="22" s="1"/>
  <c r="D20" i="22"/>
  <c r="BH19" i="22"/>
  <c r="BD19" i="22"/>
  <c r="BB19" i="22"/>
  <c r="AZ19" i="22"/>
  <c r="AU19" i="22"/>
  <c r="AS19" i="22"/>
  <c r="AQ19" i="22"/>
  <c r="AR19" i="22" s="1"/>
  <c r="AL19" i="22"/>
  <c r="AJ19" i="22"/>
  <c r="AH19" i="22"/>
  <c r="AI19" i="22" s="1"/>
  <c r="AC19" i="22"/>
  <c r="AA19" i="22"/>
  <c r="Y19" i="22"/>
  <c r="Z19" i="22" s="1"/>
  <c r="T19" i="22"/>
  <c r="R19" i="22"/>
  <c r="P19" i="22"/>
  <c r="Q19" i="22" s="1"/>
  <c r="K19" i="22"/>
  <c r="I19" i="22"/>
  <c r="G19" i="22"/>
  <c r="H19" i="22" s="1"/>
  <c r="D19" i="22"/>
  <c r="BH18" i="22"/>
  <c r="BD18" i="22"/>
  <c r="BB18" i="22"/>
  <c r="AZ18" i="22"/>
  <c r="AU18" i="22"/>
  <c r="AS18" i="22"/>
  <c r="AQ18" i="22"/>
  <c r="AL18" i="22"/>
  <c r="AJ18" i="22"/>
  <c r="AH18" i="22"/>
  <c r="AI18" i="22" s="1"/>
  <c r="AC18" i="22"/>
  <c r="AA18" i="22"/>
  <c r="Y18" i="22"/>
  <c r="T18" i="22"/>
  <c r="R18" i="22"/>
  <c r="P18" i="22"/>
  <c r="K18" i="22"/>
  <c r="I18" i="22"/>
  <c r="G18" i="22"/>
  <c r="H18" i="22" s="1"/>
  <c r="D18" i="22"/>
  <c r="BH17" i="22"/>
  <c r="BD17" i="22"/>
  <c r="BB17" i="22"/>
  <c r="AZ17" i="22"/>
  <c r="BA17" i="22" s="1"/>
  <c r="AU17" i="22"/>
  <c r="AS17" i="22"/>
  <c r="AQ17" i="22"/>
  <c r="AL17" i="22"/>
  <c r="AJ17" i="22"/>
  <c r="AH17" i="22"/>
  <c r="AC17" i="22"/>
  <c r="AA17" i="22"/>
  <c r="Y17" i="22"/>
  <c r="Z17" i="22" s="1"/>
  <c r="T17" i="22"/>
  <c r="R17" i="22"/>
  <c r="P17" i="22"/>
  <c r="Q17" i="22" s="1"/>
  <c r="K17" i="22"/>
  <c r="I17" i="22"/>
  <c r="G17" i="22"/>
  <c r="H17" i="22" s="1"/>
  <c r="D17" i="22"/>
  <c r="BH16" i="22"/>
  <c r="BD16" i="22"/>
  <c r="BB16" i="22"/>
  <c r="AZ16" i="22"/>
  <c r="AU16" i="22"/>
  <c r="AS16" i="22"/>
  <c r="AQ16" i="22"/>
  <c r="AL16" i="22"/>
  <c r="AJ16" i="22"/>
  <c r="AH16" i="22"/>
  <c r="AI16" i="22" s="1"/>
  <c r="AC16" i="22"/>
  <c r="AA16" i="22"/>
  <c r="Y16" i="22"/>
  <c r="Z16" i="22" s="1"/>
  <c r="T16" i="22"/>
  <c r="R16" i="22"/>
  <c r="P16" i="22"/>
  <c r="K16" i="22"/>
  <c r="I16" i="22"/>
  <c r="G16" i="22"/>
  <c r="H16" i="22" s="1"/>
  <c r="D16" i="22"/>
  <c r="BH15" i="22"/>
  <c r="BD15" i="22"/>
  <c r="BB15" i="22"/>
  <c r="AZ15" i="22"/>
  <c r="AU15" i="22"/>
  <c r="AS15" i="22"/>
  <c r="AQ15" i="22"/>
  <c r="AR15" i="22" s="1"/>
  <c r="AL15" i="22"/>
  <c r="AJ15" i="22"/>
  <c r="AH15" i="22"/>
  <c r="AI15" i="22" s="1"/>
  <c r="AC15" i="22"/>
  <c r="AA15" i="22"/>
  <c r="Y15" i="22"/>
  <c r="T15" i="22"/>
  <c r="R15" i="22"/>
  <c r="P15" i="22"/>
  <c r="K15" i="22"/>
  <c r="I15" i="22"/>
  <c r="G15" i="22"/>
  <c r="H15" i="22" s="1"/>
  <c r="D15" i="22"/>
  <c r="BH14" i="22"/>
  <c r="BD14" i="22"/>
  <c r="BB14" i="22"/>
  <c r="AZ14" i="22"/>
  <c r="AU14" i="22"/>
  <c r="AS14" i="22"/>
  <c r="AQ14" i="22"/>
  <c r="AR14" i="22" s="1"/>
  <c r="AL14" i="22"/>
  <c r="AJ14" i="22"/>
  <c r="AH14" i="22"/>
  <c r="AC14" i="22"/>
  <c r="AA14" i="22"/>
  <c r="Y14" i="22"/>
  <c r="T14" i="22"/>
  <c r="R14" i="22"/>
  <c r="P14" i="22"/>
  <c r="Q14" i="22" s="1"/>
  <c r="K14" i="22"/>
  <c r="I14" i="22"/>
  <c r="G14" i="22"/>
  <c r="H14" i="22" s="1"/>
  <c r="D14" i="22"/>
  <c r="BH13" i="22"/>
  <c r="BD13" i="22"/>
  <c r="BB13" i="22"/>
  <c r="AZ13" i="22"/>
  <c r="BA13" i="22" s="1"/>
  <c r="AU13" i="22"/>
  <c r="AS13" i="22"/>
  <c r="AQ13" i="22"/>
  <c r="AL13" i="22"/>
  <c r="AJ13" i="22"/>
  <c r="AH13" i="22"/>
  <c r="AC13" i="22"/>
  <c r="AA13" i="22"/>
  <c r="Y13" i="22"/>
  <c r="Z13" i="22" s="1"/>
  <c r="T13" i="22"/>
  <c r="R13" i="22"/>
  <c r="P13" i="22"/>
  <c r="Q13" i="22" s="1"/>
  <c r="K13" i="22"/>
  <c r="I13" i="22"/>
  <c r="G13" i="22"/>
  <c r="H13" i="22" s="1"/>
  <c r="D13" i="22"/>
  <c r="BH12" i="22"/>
  <c r="BD12" i="22"/>
  <c r="BB12" i="22"/>
  <c r="AZ12" i="22"/>
  <c r="AU12" i="22"/>
  <c r="AS12" i="22"/>
  <c r="AQ12" i="22"/>
  <c r="AR12" i="22" s="1"/>
  <c r="AL12" i="22"/>
  <c r="AJ12" i="22"/>
  <c r="AH12" i="22"/>
  <c r="AI12" i="22" s="1"/>
  <c r="AC12" i="22"/>
  <c r="AA12" i="22"/>
  <c r="Y12" i="22"/>
  <c r="T12" i="22"/>
  <c r="R12" i="22"/>
  <c r="P12" i="22"/>
  <c r="K12" i="22"/>
  <c r="I12" i="22"/>
  <c r="G12" i="22"/>
  <c r="H12" i="22" s="1"/>
  <c r="D12" i="22"/>
  <c r="J11" i="21"/>
  <c r="BD11" i="22"/>
  <c r="BB11" i="22"/>
  <c r="AZ11" i="22"/>
  <c r="BA11" i="22" s="1"/>
  <c r="AU11" i="22"/>
  <c r="AS11" i="22"/>
  <c r="AQ11" i="22"/>
  <c r="AR11" i="22" s="1"/>
  <c r="AL11" i="22"/>
  <c r="AJ11" i="22"/>
  <c r="AH11" i="22"/>
  <c r="AI11" i="22" s="1"/>
  <c r="AC11" i="22"/>
  <c r="AA11" i="22"/>
  <c r="Y11" i="22"/>
  <c r="T11" i="22"/>
  <c r="R11" i="22"/>
  <c r="P11" i="22"/>
  <c r="Q11" i="22" s="1"/>
  <c r="K11" i="22"/>
  <c r="I11" i="22"/>
  <c r="G11" i="22"/>
  <c r="H11" i="22" s="1"/>
  <c r="D11" i="22"/>
  <c r="J10" i="21"/>
  <c r="BD10" i="22"/>
  <c r="BB10" i="22"/>
  <c r="AZ10" i="22"/>
  <c r="BA10" i="22" s="1"/>
  <c r="AU10" i="22"/>
  <c r="AS10" i="22"/>
  <c r="AQ10" i="22"/>
  <c r="AL10" i="22"/>
  <c r="AJ10" i="22"/>
  <c r="AH10" i="22"/>
  <c r="AC10" i="22"/>
  <c r="AA10" i="22"/>
  <c r="Y10" i="22"/>
  <c r="Z10" i="22" s="1"/>
  <c r="T10" i="22"/>
  <c r="R10" i="22"/>
  <c r="P10" i="22"/>
  <c r="Q10" i="22" s="1"/>
  <c r="K10" i="22"/>
  <c r="I10" i="22"/>
  <c r="G10" i="22"/>
  <c r="H10" i="22" s="1"/>
  <c r="D10" i="22"/>
  <c r="BH9" i="22"/>
  <c r="I9" i="50" s="1"/>
  <c r="BD9" i="22"/>
  <c r="BB9" i="22"/>
  <c r="AZ9" i="22"/>
  <c r="BA9" i="22" s="1"/>
  <c r="AU9" i="22"/>
  <c r="AS9" i="22"/>
  <c r="AQ9" i="22"/>
  <c r="AL9" i="22"/>
  <c r="AJ9" i="22"/>
  <c r="AH9" i="22"/>
  <c r="AI9" i="22" s="1"/>
  <c r="AC9" i="22"/>
  <c r="AA9" i="22"/>
  <c r="Y9" i="22"/>
  <c r="Z9" i="22" s="1"/>
  <c r="T9" i="22"/>
  <c r="R9" i="22"/>
  <c r="P9" i="22"/>
  <c r="K9" i="22"/>
  <c r="I9" i="22"/>
  <c r="G9" i="22"/>
  <c r="H9" i="22" s="1"/>
  <c r="D9" i="22"/>
  <c r="P47" i="26"/>
  <c r="G47" i="26"/>
  <c r="H47" i="26" s="1"/>
  <c r="D47" i="26"/>
  <c r="P46" i="26"/>
  <c r="G46" i="26"/>
  <c r="H46" i="26" s="1"/>
  <c r="D46" i="26"/>
  <c r="P45" i="26"/>
  <c r="G45" i="26"/>
  <c r="H45" i="26" s="1"/>
  <c r="D45" i="26"/>
  <c r="P44" i="26"/>
  <c r="G44" i="26"/>
  <c r="H44" i="26" s="1"/>
  <c r="D44" i="26"/>
  <c r="P43" i="26"/>
  <c r="G43" i="26"/>
  <c r="H43" i="26" s="1"/>
  <c r="D43" i="26"/>
  <c r="P42" i="26"/>
  <c r="G42" i="26"/>
  <c r="H42" i="26" s="1"/>
  <c r="D42" i="26"/>
  <c r="P41" i="26"/>
  <c r="G41" i="26"/>
  <c r="H41" i="26" s="1"/>
  <c r="D41" i="26"/>
  <c r="P40" i="26"/>
  <c r="G40" i="26"/>
  <c r="H40" i="26" s="1"/>
  <c r="D40" i="26"/>
  <c r="P39" i="26"/>
  <c r="G39" i="26"/>
  <c r="H39" i="26" s="1"/>
  <c r="D39" i="26"/>
  <c r="P38" i="26"/>
  <c r="G38" i="26"/>
  <c r="H38" i="26" s="1"/>
  <c r="D38" i="26"/>
  <c r="P37" i="26"/>
  <c r="G37" i="26"/>
  <c r="H37" i="26" s="1"/>
  <c r="D37" i="26"/>
  <c r="P36" i="26"/>
  <c r="G36" i="26"/>
  <c r="H36" i="26" s="1"/>
  <c r="D36" i="26"/>
  <c r="P35" i="26"/>
  <c r="G35" i="26"/>
  <c r="H35" i="26" s="1"/>
  <c r="D35" i="26"/>
  <c r="P34" i="26"/>
  <c r="G34" i="26"/>
  <c r="H34" i="26" s="1"/>
  <c r="D34" i="26"/>
  <c r="P33" i="26"/>
  <c r="G33" i="26"/>
  <c r="H33" i="26" s="1"/>
  <c r="D33" i="26"/>
  <c r="P32" i="26"/>
  <c r="G32" i="26"/>
  <c r="H32" i="26" s="1"/>
  <c r="D32" i="26"/>
  <c r="P31" i="26"/>
  <c r="G31" i="26"/>
  <c r="H31" i="26" s="1"/>
  <c r="D31" i="26"/>
  <c r="P30" i="26"/>
  <c r="G30" i="26"/>
  <c r="H30" i="26" s="1"/>
  <c r="D30" i="26"/>
  <c r="P29" i="26"/>
  <c r="G29" i="26"/>
  <c r="H29" i="26" s="1"/>
  <c r="D29" i="26"/>
  <c r="P28" i="26"/>
  <c r="G28" i="26"/>
  <c r="H28" i="26" s="1"/>
  <c r="D28" i="26"/>
  <c r="P27" i="26"/>
  <c r="G27" i="26"/>
  <c r="H27" i="26" s="1"/>
  <c r="D27" i="26"/>
  <c r="P26" i="26"/>
  <c r="G26" i="26"/>
  <c r="H26" i="26" s="1"/>
  <c r="D26" i="26"/>
  <c r="P25" i="26"/>
  <c r="G25" i="26"/>
  <c r="H25" i="26" s="1"/>
  <c r="D25" i="26"/>
  <c r="T24" i="26"/>
  <c r="R24" i="26"/>
  <c r="P24" i="26"/>
  <c r="Q24" i="26" s="1"/>
  <c r="G24" i="26"/>
  <c r="H24" i="26" s="1"/>
  <c r="D24" i="26"/>
  <c r="BH23" i="26"/>
  <c r="T23" i="26"/>
  <c r="R23" i="26"/>
  <c r="P23" i="26"/>
  <c r="Q23" i="26" s="1"/>
  <c r="K23" i="26"/>
  <c r="I23" i="26"/>
  <c r="G23" i="26"/>
  <c r="H23" i="26" s="1"/>
  <c r="D23" i="26"/>
  <c r="BH22" i="26"/>
  <c r="BD22" i="26"/>
  <c r="BB22" i="26"/>
  <c r="AZ22" i="26"/>
  <c r="AU22" i="26"/>
  <c r="AS22" i="26"/>
  <c r="AQ22" i="26"/>
  <c r="AL22" i="26"/>
  <c r="AJ22" i="26"/>
  <c r="AH22" i="26"/>
  <c r="AI22" i="26" s="1"/>
  <c r="AC22" i="26"/>
  <c r="AA22" i="26"/>
  <c r="Y22" i="26"/>
  <c r="Z22" i="26" s="1"/>
  <c r="T22" i="26"/>
  <c r="R22" i="26"/>
  <c r="P22" i="26"/>
  <c r="K22" i="26"/>
  <c r="I22" i="26"/>
  <c r="G22" i="26"/>
  <c r="H22" i="26" s="1"/>
  <c r="D22" i="26"/>
  <c r="BH21" i="26"/>
  <c r="BD21" i="26"/>
  <c r="BB21" i="26"/>
  <c r="AZ21" i="26"/>
  <c r="AU21" i="26"/>
  <c r="AS21" i="26"/>
  <c r="AQ21" i="26"/>
  <c r="AR21" i="26" s="1"/>
  <c r="AL21" i="26"/>
  <c r="AJ21" i="26"/>
  <c r="AH21" i="26"/>
  <c r="AI21" i="26" s="1"/>
  <c r="AC21" i="26"/>
  <c r="AA21" i="26"/>
  <c r="Y21" i="26"/>
  <c r="T21" i="26"/>
  <c r="R21" i="26"/>
  <c r="P21" i="26"/>
  <c r="K21" i="26"/>
  <c r="I21" i="26"/>
  <c r="G21" i="26"/>
  <c r="H21" i="26" s="1"/>
  <c r="D21" i="26"/>
  <c r="BH20" i="26"/>
  <c r="BD20" i="26"/>
  <c r="BB20" i="26"/>
  <c r="AZ20" i="26"/>
  <c r="BA20" i="26" s="1"/>
  <c r="AU20" i="26"/>
  <c r="AS20" i="26"/>
  <c r="AQ20" i="26"/>
  <c r="AR20" i="26" s="1"/>
  <c r="AL20" i="26"/>
  <c r="AJ20" i="26"/>
  <c r="AH20" i="26"/>
  <c r="AC20" i="26"/>
  <c r="AA20" i="26"/>
  <c r="Y20" i="26"/>
  <c r="T20" i="26"/>
  <c r="R20" i="26"/>
  <c r="P20" i="26"/>
  <c r="Q20" i="26" s="1"/>
  <c r="K20" i="26"/>
  <c r="I20" i="26"/>
  <c r="G20" i="26"/>
  <c r="H20" i="26" s="1"/>
  <c r="D20" i="26"/>
  <c r="BH19" i="26"/>
  <c r="BD19" i="26"/>
  <c r="BB19" i="26"/>
  <c r="AZ19" i="26"/>
  <c r="BA19" i="26" s="1"/>
  <c r="AU19" i="26"/>
  <c r="AS19" i="26"/>
  <c r="AQ19" i="26"/>
  <c r="AL19" i="26"/>
  <c r="AJ19" i="26"/>
  <c r="AH19" i="26"/>
  <c r="AC19" i="26"/>
  <c r="AA19" i="26"/>
  <c r="Y19" i="26"/>
  <c r="Z19" i="26" s="1"/>
  <c r="T19" i="26"/>
  <c r="R19" i="26"/>
  <c r="P19" i="26"/>
  <c r="Q19" i="26" s="1"/>
  <c r="K19" i="26"/>
  <c r="I19" i="26"/>
  <c r="G19" i="26"/>
  <c r="H19" i="26" s="1"/>
  <c r="D19" i="26"/>
  <c r="BH18" i="26"/>
  <c r="BD18" i="26"/>
  <c r="BB18" i="26"/>
  <c r="AZ18" i="26"/>
  <c r="BA18" i="26" s="1"/>
  <c r="AU18" i="26"/>
  <c r="AS18" i="26"/>
  <c r="AQ18" i="26"/>
  <c r="AL18" i="26"/>
  <c r="AJ18" i="26"/>
  <c r="AH18" i="26"/>
  <c r="AI18" i="26" s="1"/>
  <c r="AC18" i="26"/>
  <c r="AA18" i="26"/>
  <c r="Y18" i="26"/>
  <c r="Z18" i="26" s="1"/>
  <c r="T18" i="26"/>
  <c r="R18" i="26"/>
  <c r="P18" i="26"/>
  <c r="Q18" i="26" s="1"/>
  <c r="K18" i="26"/>
  <c r="I18" i="26"/>
  <c r="G18" i="26"/>
  <c r="H18" i="26" s="1"/>
  <c r="D18" i="26"/>
  <c r="BH17" i="26"/>
  <c r="BD17" i="26"/>
  <c r="BB17" i="26"/>
  <c r="AZ17" i="26"/>
  <c r="AU17" i="26"/>
  <c r="AS17" i="26"/>
  <c r="AQ17" i="26"/>
  <c r="AR17" i="26" s="1"/>
  <c r="AL17" i="26"/>
  <c r="AJ17" i="26"/>
  <c r="AH17" i="26"/>
  <c r="AC17" i="26"/>
  <c r="AA17" i="26"/>
  <c r="Y17" i="26"/>
  <c r="T17" i="26"/>
  <c r="R17" i="26"/>
  <c r="P17" i="26"/>
  <c r="K17" i="26"/>
  <c r="I17" i="26"/>
  <c r="G17" i="26"/>
  <c r="H17" i="26" s="1"/>
  <c r="D17" i="26"/>
  <c r="BH16" i="26"/>
  <c r="BD16" i="26"/>
  <c r="BB16" i="26"/>
  <c r="AZ16" i="26"/>
  <c r="BA16" i="26" s="1"/>
  <c r="AU16" i="26"/>
  <c r="AS16" i="26"/>
  <c r="AQ16" i="26"/>
  <c r="AR16" i="26" s="1"/>
  <c r="AL16" i="26"/>
  <c r="AJ16" i="26"/>
  <c r="AH16" i="26"/>
  <c r="AC16" i="26"/>
  <c r="AA16" i="26"/>
  <c r="Y16" i="26"/>
  <c r="T16" i="26"/>
  <c r="R16" i="26"/>
  <c r="P16" i="26"/>
  <c r="Q16" i="26" s="1"/>
  <c r="K16" i="26"/>
  <c r="I16" i="26"/>
  <c r="G16" i="26"/>
  <c r="H16" i="26" s="1"/>
  <c r="D16" i="26"/>
  <c r="BH15" i="26"/>
  <c r="BD15" i="26"/>
  <c r="BB15" i="26"/>
  <c r="AZ15" i="26"/>
  <c r="BA15" i="26" s="1"/>
  <c r="AU15" i="26"/>
  <c r="AS15" i="26"/>
  <c r="AQ15" i="26"/>
  <c r="AR15" i="26" s="1"/>
  <c r="AL15" i="26"/>
  <c r="AJ15" i="26"/>
  <c r="AH15" i="26"/>
  <c r="AC15" i="26"/>
  <c r="AA15" i="26"/>
  <c r="Y15" i="26"/>
  <c r="Z15" i="26" s="1"/>
  <c r="T15" i="26"/>
  <c r="R15" i="26"/>
  <c r="P15" i="26"/>
  <c r="K15" i="26"/>
  <c r="I15" i="26"/>
  <c r="G15" i="26"/>
  <c r="H15" i="26" s="1"/>
  <c r="D15" i="26"/>
  <c r="BH14" i="26"/>
  <c r="BD14" i="26"/>
  <c r="BB14" i="26"/>
  <c r="AZ14" i="26"/>
  <c r="BA14" i="26" s="1"/>
  <c r="AU14" i="26"/>
  <c r="AS14" i="26"/>
  <c r="AQ14" i="26"/>
  <c r="AL14" i="26"/>
  <c r="AJ14" i="26"/>
  <c r="AH14" i="26"/>
  <c r="AI14" i="26" s="1"/>
  <c r="AC14" i="26"/>
  <c r="AA14" i="26"/>
  <c r="Y14" i="26"/>
  <c r="Z14" i="26" s="1"/>
  <c r="T14" i="26"/>
  <c r="R14" i="26"/>
  <c r="P14" i="26"/>
  <c r="K14" i="26"/>
  <c r="I14" i="26"/>
  <c r="G14" i="26"/>
  <c r="H14" i="26" s="1"/>
  <c r="D14" i="26"/>
  <c r="BH13" i="26"/>
  <c r="BD13" i="26"/>
  <c r="BB13" i="26"/>
  <c r="AZ13" i="26"/>
  <c r="AU13" i="26"/>
  <c r="AS13" i="26"/>
  <c r="AQ13" i="26"/>
  <c r="AR13" i="26" s="1"/>
  <c r="AL13" i="26"/>
  <c r="AJ13" i="26"/>
  <c r="AH13" i="26"/>
  <c r="AI13" i="26" s="1"/>
  <c r="AC13" i="26"/>
  <c r="AA13" i="26"/>
  <c r="Y13" i="26"/>
  <c r="T13" i="26"/>
  <c r="R13" i="26"/>
  <c r="P13" i="26"/>
  <c r="K13" i="26"/>
  <c r="I13" i="26"/>
  <c r="G13" i="26"/>
  <c r="H13" i="26" s="1"/>
  <c r="D13" i="26"/>
  <c r="BH12" i="26"/>
  <c r="BD12" i="26"/>
  <c r="BB12" i="26"/>
  <c r="AZ12" i="26"/>
  <c r="BA12" i="26" s="1"/>
  <c r="AU12" i="26"/>
  <c r="AS12" i="26"/>
  <c r="AQ12" i="26"/>
  <c r="AR12" i="26" s="1"/>
  <c r="AL12" i="26"/>
  <c r="AJ12" i="26"/>
  <c r="AH12" i="26"/>
  <c r="AI12" i="26" s="1"/>
  <c r="AC12" i="26"/>
  <c r="AA12" i="26"/>
  <c r="Y12" i="26"/>
  <c r="T12" i="26"/>
  <c r="R12" i="26"/>
  <c r="P12" i="26"/>
  <c r="K12" i="26"/>
  <c r="I12" i="26"/>
  <c r="G12" i="26"/>
  <c r="H12" i="26" s="1"/>
  <c r="D12" i="26"/>
  <c r="BH11" i="26"/>
  <c r="BD11" i="26"/>
  <c r="BB11" i="26"/>
  <c r="AZ11" i="26"/>
  <c r="BA11" i="26" s="1"/>
  <c r="AU11" i="26"/>
  <c r="AS11" i="26"/>
  <c r="AQ11" i="26"/>
  <c r="AL11" i="26"/>
  <c r="AJ11" i="26"/>
  <c r="AH11" i="26"/>
  <c r="AC11" i="26"/>
  <c r="AA11" i="26"/>
  <c r="Y11" i="26"/>
  <c r="Z11" i="26" s="1"/>
  <c r="T11" i="26"/>
  <c r="R11" i="26"/>
  <c r="P11" i="26"/>
  <c r="Q11" i="26" s="1"/>
  <c r="K11" i="26"/>
  <c r="I11" i="26"/>
  <c r="G11" i="26"/>
  <c r="H11" i="26" s="1"/>
  <c r="D11" i="26"/>
  <c r="BH10" i="26"/>
  <c r="BD10" i="26"/>
  <c r="BB10" i="26"/>
  <c r="AZ10" i="26"/>
  <c r="BA10" i="26" s="1"/>
  <c r="AU10" i="26"/>
  <c r="AS10" i="26"/>
  <c r="AQ10" i="26"/>
  <c r="AR10" i="26" s="1"/>
  <c r="AL10" i="26"/>
  <c r="AJ10" i="26"/>
  <c r="AH10" i="26"/>
  <c r="AC10" i="26"/>
  <c r="AA10" i="26"/>
  <c r="Y10" i="26"/>
  <c r="T10" i="26"/>
  <c r="R10" i="26"/>
  <c r="P10" i="26"/>
  <c r="Q10" i="26" s="1"/>
  <c r="K10" i="26"/>
  <c r="I10" i="26"/>
  <c r="G10" i="26"/>
  <c r="H10" i="26" s="1"/>
  <c r="D10" i="26"/>
  <c r="BH9" i="26"/>
  <c r="K9" i="50" s="1"/>
  <c r="BD9" i="26"/>
  <c r="BB9" i="26"/>
  <c r="AZ9" i="26"/>
  <c r="BA9" i="26" s="1"/>
  <c r="AU9" i="26"/>
  <c r="AS9" i="26"/>
  <c r="AQ9" i="26"/>
  <c r="AL9" i="26"/>
  <c r="AJ9" i="26"/>
  <c r="AH9" i="26"/>
  <c r="AC9" i="26"/>
  <c r="AA9" i="26"/>
  <c r="Y9" i="26"/>
  <c r="Z9" i="26" s="1"/>
  <c r="T9" i="26"/>
  <c r="R9" i="26"/>
  <c r="P9" i="26"/>
  <c r="K9" i="26"/>
  <c r="I9" i="26"/>
  <c r="G9" i="26"/>
  <c r="H9" i="26" s="1"/>
  <c r="D9" i="26"/>
  <c r="R47" i="21"/>
  <c r="P47" i="27"/>
  <c r="G47" i="27"/>
  <c r="H47" i="27" s="1"/>
  <c r="D47" i="27"/>
  <c r="R46" i="21"/>
  <c r="P46" i="27"/>
  <c r="G46" i="27"/>
  <c r="H46" i="27" s="1"/>
  <c r="D46" i="27"/>
  <c r="R45" i="21"/>
  <c r="P45" i="27"/>
  <c r="G45" i="27"/>
  <c r="H45" i="27" s="1"/>
  <c r="D45" i="27"/>
  <c r="R44" i="21"/>
  <c r="P44" i="27"/>
  <c r="G44" i="27"/>
  <c r="H44" i="27" s="1"/>
  <c r="D44" i="27"/>
  <c r="R43" i="21"/>
  <c r="P43" i="27"/>
  <c r="G43" i="27"/>
  <c r="H43" i="27" s="1"/>
  <c r="D43" i="27"/>
  <c r="R42" i="21"/>
  <c r="P42" i="27"/>
  <c r="G42" i="27"/>
  <c r="H42" i="27" s="1"/>
  <c r="D42" i="27"/>
  <c r="R41" i="21"/>
  <c r="P41" i="27"/>
  <c r="G41" i="27"/>
  <c r="H41" i="27" s="1"/>
  <c r="D41" i="27"/>
  <c r="R40" i="21"/>
  <c r="P40" i="27"/>
  <c r="G40" i="27"/>
  <c r="H40" i="27" s="1"/>
  <c r="D40" i="27"/>
  <c r="P39" i="27"/>
  <c r="G39" i="27"/>
  <c r="H39" i="27" s="1"/>
  <c r="D39" i="27"/>
  <c r="P38" i="27"/>
  <c r="G38" i="27"/>
  <c r="H38" i="27" s="1"/>
  <c r="D38" i="27"/>
  <c r="P37" i="27"/>
  <c r="G37" i="27"/>
  <c r="H37" i="27" s="1"/>
  <c r="D37" i="27"/>
  <c r="P36" i="27"/>
  <c r="G36" i="27"/>
  <c r="H36" i="27" s="1"/>
  <c r="D36" i="27"/>
  <c r="P35" i="27"/>
  <c r="G35" i="27"/>
  <c r="H35" i="27" s="1"/>
  <c r="D35" i="27"/>
  <c r="P34" i="27"/>
  <c r="G34" i="27"/>
  <c r="H34" i="27" s="1"/>
  <c r="D34" i="27"/>
  <c r="P33" i="27"/>
  <c r="G33" i="27"/>
  <c r="H33" i="27" s="1"/>
  <c r="D33" i="27"/>
  <c r="P32" i="27"/>
  <c r="G32" i="27"/>
  <c r="H32" i="27" s="1"/>
  <c r="D32" i="27"/>
  <c r="P31" i="27"/>
  <c r="G31" i="27"/>
  <c r="H31" i="27" s="1"/>
  <c r="D31" i="27"/>
  <c r="P30" i="27"/>
  <c r="G30" i="27"/>
  <c r="H30" i="27" s="1"/>
  <c r="D30" i="27"/>
  <c r="P29" i="27"/>
  <c r="G29" i="27"/>
  <c r="H29" i="27" s="1"/>
  <c r="D29" i="27"/>
  <c r="P28" i="27"/>
  <c r="G28" i="27"/>
  <c r="H28" i="27" s="1"/>
  <c r="D28" i="27"/>
  <c r="P27" i="27"/>
  <c r="G27" i="27"/>
  <c r="H27" i="27" s="1"/>
  <c r="D27" i="27"/>
  <c r="P26" i="27"/>
  <c r="G26" i="27"/>
  <c r="H26" i="27" s="1"/>
  <c r="D26" i="27"/>
  <c r="P25" i="27"/>
  <c r="G25" i="27"/>
  <c r="H25" i="27" s="1"/>
  <c r="D25" i="27"/>
  <c r="T24" i="27"/>
  <c r="R24" i="27"/>
  <c r="P24" i="27"/>
  <c r="G24" i="27"/>
  <c r="H24" i="27" s="1"/>
  <c r="D24" i="27"/>
  <c r="BH23" i="27"/>
  <c r="T23" i="27"/>
  <c r="R23" i="27"/>
  <c r="P23" i="27"/>
  <c r="K23" i="27"/>
  <c r="I23" i="27"/>
  <c r="G23" i="27"/>
  <c r="H23" i="27" s="1"/>
  <c r="D23" i="27"/>
  <c r="BH22" i="27"/>
  <c r="BD22" i="27"/>
  <c r="BB22" i="27"/>
  <c r="AZ22" i="27"/>
  <c r="AU22" i="27"/>
  <c r="AS22" i="27"/>
  <c r="AQ22" i="27"/>
  <c r="AR22" i="27" s="1"/>
  <c r="AL22" i="27"/>
  <c r="AJ22" i="27"/>
  <c r="AH22" i="27"/>
  <c r="AC22" i="27"/>
  <c r="AA22" i="27"/>
  <c r="Y22" i="27"/>
  <c r="Z22" i="27" s="1"/>
  <c r="T22" i="27"/>
  <c r="R22" i="27"/>
  <c r="P22" i="27"/>
  <c r="K22" i="27"/>
  <c r="I22" i="27"/>
  <c r="G22" i="27"/>
  <c r="H22" i="27" s="1"/>
  <c r="D22" i="27"/>
  <c r="BH21" i="27"/>
  <c r="BD21" i="27"/>
  <c r="BB21" i="27"/>
  <c r="AZ21" i="27"/>
  <c r="AU21" i="27"/>
  <c r="AS21" i="27"/>
  <c r="AQ21" i="27"/>
  <c r="AL21" i="27"/>
  <c r="AJ21" i="27"/>
  <c r="AH21" i="27"/>
  <c r="AC21" i="27"/>
  <c r="AA21" i="27"/>
  <c r="Y21" i="27"/>
  <c r="Z21" i="27" s="1"/>
  <c r="T21" i="27"/>
  <c r="R21" i="27"/>
  <c r="P21" i="27"/>
  <c r="K21" i="27"/>
  <c r="I21" i="27"/>
  <c r="G21" i="27"/>
  <c r="H21" i="27" s="1"/>
  <c r="D21" i="27"/>
  <c r="BH20" i="27"/>
  <c r="BD20" i="27"/>
  <c r="BB20" i="27"/>
  <c r="AZ20" i="27"/>
  <c r="BA20" i="27" s="1"/>
  <c r="AU20" i="27"/>
  <c r="AS20" i="27"/>
  <c r="AQ20" i="27"/>
  <c r="AR20" i="27" s="1"/>
  <c r="AL20" i="27"/>
  <c r="AJ20" i="27"/>
  <c r="AH20" i="27"/>
  <c r="AC20" i="27"/>
  <c r="AA20" i="27"/>
  <c r="Y20" i="27"/>
  <c r="T20" i="27"/>
  <c r="R20" i="27"/>
  <c r="P20" i="27"/>
  <c r="Q20" i="27" s="1"/>
  <c r="K20" i="27"/>
  <c r="I20" i="27"/>
  <c r="G20" i="27"/>
  <c r="H20" i="27" s="1"/>
  <c r="D20" i="27"/>
  <c r="BH19" i="27"/>
  <c r="BD19" i="27"/>
  <c r="BB19" i="27"/>
  <c r="AZ19" i="27"/>
  <c r="BA19" i="27" s="1"/>
  <c r="AU19" i="27"/>
  <c r="AS19" i="27"/>
  <c r="AQ19" i="27"/>
  <c r="AL19" i="27"/>
  <c r="AJ19" i="27"/>
  <c r="AH19" i="27"/>
  <c r="AC19" i="27"/>
  <c r="AA19" i="27"/>
  <c r="Y19" i="27"/>
  <c r="Z19" i="27" s="1"/>
  <c r="T19" i="27"/>
  <c r="R19" i="27"/>
  <c r="P19" i="27"/>
  <c r="Q19" i="27" s="1"/>
  <c r="K19" i="27"/>
  <c r="I19" i="27"/>
  <c r="G19" i="27"/>
  <c r="H19" i="27" s="1"/>
  <c r="D19" i="27"/>
  <c r="BH18" i="27"/>
  <c r="BD18" i="27"/>
  <c r="BB18" i="27"/>
  <c r="AZ18" i="27"/>
  <c r="AU18" i="27"/>
  <c r="AS18" i="27"/>
  <c r="AQ18" i="27"/>
  <c r="AL18" i="27"/>
  <c r="AJ18" i="27"/>
  <c r="AH18" i="27"/>
  <c r="AI18" i="27" s="1"/>
  <c r="AC18" i="27"/>
  <c r="AA18" i="27"/>
  <c r="Y18" i="27"/>
  <c r="Z18" i="27" s="1"/>
  <c r="T18" i="27"/>
  <c r="R18" i="27"/>
  <c r="P18" i="27"/>
  <c r="K18" i="27"/>
  <c r="I18" i="27"/>
  <c r="G18" i="27"/>
  <c r="H18" i="27" s="1"/>
  <c r="D18" i="27"/>
  <c r="BH17" i="27"/>
  <c r="BD17" i="27"/>
  <c r="BB17" i="27"/>
  <c r="AZ17" i="27"/>
  <c r="AU17" i="27"/>
  <c r="AS17" i="27"/>
  <c r="AQ17" i="27"/>
  <c r="AR17" i="27" s="1"/>
  <c r="AL17" i="27"/>
  <c r="AJ17" i="27"/>
  <c r="AH17" i="27"/>
  <c r="AI17" i="27" s="1"/>
  <c r="AC17" i="27"/>
  <c r="AA17" i="27"/>
  <c r="Y17" i="27"/>
  <c r="T17" i="27"/>
  <c r="R17" i="27"/>
  <c r="P17" i="27"/>
  <c r="K17" i="27"/>
  <c r="I17" i="27"/>
  <c r="G17" i="27"/>
  <c r="H17" i="27" s="1"/>
  <c r="D17" i="27"/>
  <c r="BH16" i="27"/>
  <c r="BD16" i="27"/>
  <c r="BB16" i="27"/>
  <c r="AZ16" i="27"/>
  <c r="BA16" i="27" s="1"/>
  <c r="AU16" i="27"/>
  <c r="AS16" i="27"/>
  <c r="AQ16" i="27"/>
  <c r="AR16" i="27" s="1"/>
  <c r="AL16" i="27"/>
  <c r="AJ16" i="27"/>
  <c r="AH16" i="27"/>
  <c r="AC16" i="27"/>
  <c r="AA16" i="27"/>
  <c r="Y16" i="27"/>
  <c r="T16" i="27"/>
  <c r="R16" i="27"/>
  <c r="P16" i="27"/>
  <c r="Q16" i="27" s="1"/>
  <c r="K16" i="27"/>
  <c r="I16" i="27"/>
  <c r="G16" i="27"/>
  <c r="H16" i="27" s="1"/>
  <c r="D16" i="27"/>
  <c r="BH15" i="27"/>
  <c r="BD15" i="27"/>
  <c r="BB15" i="27"/>
  <c r="AZ15" i="27"/>
  <c r="BA15" i="27" s="1"/>
  <c r="AU15" i="27"/>
  <c r="AS15" i="27"/>
  <c r="AQ15" i="27"/>
  <c r="AL15" i="27"/>
  <c r="AJ15" i="27"/>
  <c r="AH15" i="27"/>
  <c r="AC15" i="27"/>
  <c r="AA15" i="27"/>
  <c r="Y15" i="27"/>
  <c r="Z15" i="27" s="1"/>
  <c r="T15" i="27"/>
  <c r="R15" i="27"/>
  <c r="P15" i="27"/>
  <c r="Q15" i="27" s="1"/>
  <c r="K15" i="27"/>
  <c r="I15" i="27"/>
  <c r="G15" i="27"/>
  <c r="H15" i="27" s="1"/>
  <c r="D15" i="27"/>
  <c r="BH14" i="27"/>
  <c r="BD14" i="27"/>
  <c r="BB14" i="27"/>
  <c r="AZ14" i="27"/>
  <c r="AU14" i="27"/>
  <c r="AS14" i="27"/>
  <c r="AQ14" i="27"/>
  <c r="AL14" i="27"/>
  <c r="AJ14" i="27"/>
  <c r="AH14" i="27"/>
  <c r="AI14" i="27" s="1"/>
  <c r="AC14" i="27"/>
  <c r="AA14" i="27"/>
  <c r="Y14" i="27"/>
  <c r="Z14" i="27" s="1"/>
  <c r="T14" i="27"/>
  <c r="R14" i="27"/>
  <c r="P14" i="27"/>
  <c r="K14" i="27"/>
  <c r="I14" i="27"/>
  <c r="G14" i="27"/>
  <c r="H14" i="27" s="1"/>
  <c r="D14" i="27"/>
  <c r="BH13" i="27"/>
  <c r="BD13" i="27"/>
  <c r="BB13" i="27"/>
  <c r="AZ13" i="27"/>
  <c r="AU13" i="27"/>
  <c r="AS13" i="27"/>
  <c r="AQ13" i="27"/>
  <c r="AR13" i="27" s="1"/>
  <c r="AL13" i="27"/>
  <c r="AJ13" i="27"/>
  <c r="AH13" i="27"/>
  <c r="AI13" i="27" s="1"/>
  <c r="AC13" i="27"/>
  <c r="AA13" i="27"/>
  <c r="Y13" i="27"/>
  <c r="T13" i="27"/>
  <c r="R13" i="27"/>
  <c r="P13" i="27"/>
  <c r="K13" i="27"/>
  <c r="I13" i="27"/>
  <c r="G13" i="27"/>
  <c r="H13" i="27" s="1"/>
  <c r="D13" i="27"/>
  <c r="BH12" i="27"/>
  <c r="BD12" i="27"/>
  <c r="BB12" i="27"/>
  <c r="AZ12" i="27"/>
  <c r="BA12" i="27" s="1"/>
  <c r="AU12" i="27"/>
  <c r="AS12" i="27"/>
  <c r="AQ12" i="27"/>
  <c r="AR12" i="27" s="1"/>
  <c r="AL12" i="27"/>
  <c r="AJ12" i="27"/>
  <c r="AH12" i="27"/>
  <c r="AC12" i="27"/>
  <c r="AA12" i="27"/>
  <c r="Y12" i="27"/>
  <c r="T12" i="27"/>
  <c r="R12" i="27"/>
  <c r="P12" i="27"/>
  <c r="Q12" i="27" s="1"/>
  <c r="K12" i="27"/>
  <c r="I12" i="27"/>
  <c r="G12" i="27"/>
  <c r="H12" i="27" s="1"/>
  <c r="D12" i="27"/>
  <c r="BH11" i="27"/>
  <c r="BD11" i="27"/>
  <c r="BB11" i="27"/>
  <c r="AZ11" i="27"/>
  <c r="BA11" i="27" s="1"/>
  <c r="AU11" i="27"/>
  <c r="AS11" i="27"/>
  <c r="AQ11" i="27"/>
  <c r="AL11" i="27"/>
  <c r="AJ11" i="27"/>
  <c r="AH11" i="27"/>
  <c r="AC11" i="27"/>
  <c r="AA11" i="27"/>
  <c r="Y11" i="27"/>
  <c r="Z11" i="27" s="1"/>
  <c r="T11" i="27"/>
  <c r="R11" i="27"/>
  <c r="P11" i="27"/>
  <c r="Q11" i="27" s="1"/>
  <c r="K11" i="27"/>
  <c r="I11" i="27"/>
  <c r="G11" i="27"/>
  <c r="H11" i="27" s="1"/>
  <c r="D11" i="27"/>
  <c r="BH10" i="27"/>
  <c r="BD10" i="27"/>
  <c r="BB10" i="27"/>
  <c r="AZ10" i="27"/>
  <c r="AU10" i="27"/>
  <c r="AS10" i="27"/>
  <c r="AQ10" i="27"/>
  <c r="AL10" i="27"/>
  <c r="AJ10" i="27"/>
  <c r="AH10" i="27"/>
  <c r="AI10" i="27" s="1"/>
  <c r="AC10" i="27"/>
  <c r="AA10" i="27"/>
  <c r="Y10" i="27"/>
  <c r="Z10" i="27" s="1"/>
  <c r="T10" i="27"/>
  <c r="R10" i="27"/>
  <c r="P10" i="27"/>
  <c r="K10" i="27"/>
  <c r="I10" i="27"/>
  <c r="G10" i="27"/>
  <c r="H10" i="27" s="1"/>
  <c r="D10" i="27"/>
  <c r="BH9" i="27"/>
  <c r="M9" i="50" s="1"/>
  <c r="BD9" i="27"/>
  <c r="BB9" i="27"/>
  <c r="AZ9" i="27"/>
  <c r="AU9" i="27"/>
  <c r="AS9" i="27"/>
  <c r="AQ9" i="27"/>
  <c r="AR9" i="27" s="1"/>
  <c r="AL9" i="27"/>
  <c r="AJ9" i="27"/>
  <c r="AH9" i="27"/>
  <c r="AI9" i="27" s="1"/>
  <c r="AC9" i="27"/>
  <c r="AA9" i="27"/>
  <c r="Y9" i="27"/>
  <c r="T9" i="27"/>
  <c r="R9" i="27"/>
  <c r="P9" i="27"/>
  <c r="K9" i="27"/>
  <c r="I9" i="27"/>
  <c r="G9" i="27"/>
  <c r="H9" i="27" s="1"/>
  <c r="D9" i="27"/>
  <c r="P47" i="28"/>
  <c r="G47" i="28"/>
  <c r="H47" i="28" s="1"/>
  <c r="D47" i="28"/>
  <c r="P46" i="28"/>
  <c r="G46" i="28"/>
  <c r="H46" i="28" s="1"/>
  <c r="D46" i="28"/>
  <c r="P45" i="28"/>
  <c r="G45" i="28"/>
  <c r="H45" i="28" s="1"/>
  <c r="D45" i="28"/>
  <c r="P44" i="28"/>
  <c r="G44" i="28"/>
  <c r="H44" i="28" s="1"/>
  <c r="D44" i="28"/>
  <c r="P43" i="28"/>
  <c r="G43" i="28"/>
  <c r="H43" i="28" s="1"/>
  <c r="D43" i="28"/>
  <c r="P42" i="28"/>
  <c r="G42" i="28"/>
  <c r="H42" i="28" s="1"/>
  <c r="D42" i="28"/>
  <c r="P41" i="28"/>
  <c r="G41" i="28"/>
  <c r="H41" i="28" s="1"/>
  <c r="D41" i="28"/>
  <c r="P40" i="28"/>
  <c r="G40" i="28"/>
  <c r="H40" i="28" s="1"/>
  <c r="D40" i="28"/>
  <c r="P39" i="28"/>
  <c r="G39" i="28"/>
  <c r="H39" i="28" s="1"/>
  <c r="D39" i="28"/>
  <c r="P38" i="28"/>
  <c r="G38" i="28"/>
  <c r="H38" i="28" s="1"/>
  <c r="D38" i="28"/>
  <c r="P37" i="28"/>
  <c r="G37" i="28"/>
  <c r="H37" i="28" s="1"/>
  <c r="D37" i="28"/>
  <c r="P36" i="28"/>
  <c r="G36" i="28"/>
  <c r="H36" i="28" s="1"/>
  <c r="D36" i="28"/>
  <c r="P35" i="28"/>
  <c r="G35" i="28"/>
  <c r="H35" i="28" s="1"/>
  <c r="D35" i="28"/>
  <c r="P34" i="28"/>
  <c r="G34" i="28"/>
  <c r="H34" i="28" s="1"/>
  <c r="D34" i="28"/>
  <c r="P33" i="28"/>
  <c r="G33" i="28"/>
  <c r="H33" i="28" s="1"/>
  <c r="D33" i="28"/>
  <c r="P32" i="28"/>
  <c r="G32" i="28"/>
  <c r="H32" i="28" s="1"/>
  <c r="D32" i="28"/>
  <c r="P31" i="28"/>
  <c r="G31" i="28"/>
  <c r="H31" i="28" s="1"/>
  <c r="D31" i="28"/>
  <c r="P30" i="28"/>
  <c r="G30" i="28"/>
  <c r="H30" i="28" s="1"/>
  <c r="D30" i="28"/>
  <c r="P29" i="28"/>
  <c r="G29" i="28"/>
  <c r="H29" i="28" s="1"/>
  <c r="D29" i="28"/>
  <c r="P28" i="28"/>
  <c r="G28" i="28"/>
  <c r="H28" i="28" s="1"/>
  <c r="D28" i="28"/>
  <c r="P27" i="28"/>
  <c r="G27" i="28"/>
  <c r="H27" i="28" s="1"/>
  <c r="D27" i="28"/>
  <c r="P26" i="28"/>
  <c r="G26" i="28"/>
  <c r="H26" i="28" s="1"/>
  <c r="D26" i="28"/>
  <c r="P25" i="28"/>
  <c r="G25" i="28"/>
  <c r="H25" i="28" s="1"/>
  <c r="D25" i="28"/>
  <c r="T24" i="28"/>
  <c r="R24" i="28"/>
  <c r="P24" i="28"/>
  <c r="G24" i="28"/>
  <c r="H24" i="28" s="1"/>
  <c r="D24" i="28"/>
  <c r="BH23" i="28"/>
  <c r="T23" i="28"/>
  <c r="R23" i="28"/>
  <c r="P23" i="28"/>
  <c r="Q23" i="28" s="1"/>
  <c r="K23" i="28"/>
  <c r="I23" i="28"/>
  <c r="G23" i="28"/>
  <c r="H23" i="28" s="1"/>
  <c r="D23" i="28"/>
  <c r="BH22" i="28"/>
  <c r="BD22" i="28"/>
  <c r="BB22" i="28"/>
  <c r="AZ22" i="28"/>
  <c r="BA22" i="28" s="1"/>
  <c r="AU22" i="28"/>
  <c r="AS22" i="28"/>
  <c r="AQ22" i="28"/>
  <c r="AR22" i="28" s="1"/>
  <c r="AL22" i="28"/>
  <c r="AJ22" i="28"/>
  <c r="AH22" i="28"/>
  <c r="AC22" i="28"/>
  <c r="AA22" i="28"/>
  <c r="Y22" i="28"/>
  <c r="Z22" i="28" s="1"/>
  <c r="T22" i="28"/>
  <c r="R22" i="28"/>
  <c r="P22" i="28"/>
  <c r="Q22" i="28" s="1"/>
  <c r="K22" i="28"/>
  <c r="I22" i="28"/>
  <c r="G22" i="28"/>
  <c r="H22" i="28" s="1"/>
  <c r="D22" i="28"/>
  <c r="BH21" i="28"/>
  <c r="BD21" i="28"/>
  <c r="BB21" i="28"/>
  <c r="AZ21" i="28"/>
  <c r="AU21" i="28"/>
  <c r="AS21" i="28"/>
  <c r="AQ21" i="28"/>
  <c r="AL21" i="28"/>
  <c r="AJ21" i="28"/>
  <c r="AH21" i="28"/>
  <c r="AI21" i="28" s="1"/>
  <c r="AC21" i="28"/>
  <c r="AA21" i="28"/>
  <c r="Y21" i="28"/>
  <c r="Z21" i="28" s="1"/>
  <c r="T21" i="28"/>
  <c r="R21" i="28"/>
  <c r="P21" i="28"/>
  <c r="Q21" i="28" s="1"/>
  <c r="K21" i="28"/>
  <c r="I21" i="28"/>
  <c r="G21" i="28"/>
  <c r="H21" i="28" s="1"/>
  <c r="D21" i="28"/>
  <c r="BH20" i="28"/>
  <c r="BD20" i="28"/>
  <c r="BB20" i="28"/>
  <c r="AZ20" i="28"/>
  <c r="AU20" i="28"/>
  <c r="AS20" i="28"/>
  <c r="AQ20" i="28"/>
  <c r="AR20" i="28" s="1"/>
  <c r="AL20" i="28"/>
  <c r="AJ20" i="28"/>
  <c r="AH20" i="28"/>
  <c r="AI20" i="28" s="1"/>
  <c r="AC20" i="28"/>
  <c r="AA20" i="28"/>
  <c r="Y20" i="28"/>
  <c r="T20" i="28"/>
  <c r="R20" i="28"/>
  <c r="P20" i="28"/>
  <c r="K20" i="28"/>
  <c r="I20" i="28"/>
  <c r="G20" i="28"/>
  <c r="H20" i="28" s="1"/>
  <c r="D20" i="28"/>
  <c r="BH19" i="28"/>
  <c r="BD19" i="28"/>
  <c r="BB19" i="28"/>
  <c r="AZ19" i="28"/>
  <c r="BA19" i="28" s="1"/>
  <c r="AU19" i="28"/>
  <c r="AS19" i="28"/>
  <c r="AQ19" i="28"/>
  <c r="AR19" i="28" s="1"/>
  <c r="AL19" i="28"/>
  <c r="AJ19" i="28"/>
  <c r="AH19" i="28"/>
  <c r="AI19" i="28" s="1"/>
  <c r="AC19" i="28"/>
  <c r="AA19" i="28"/>
  <c r="Y19" i="28"/>
  <c r="T19" i="28"/>
  <c r="R19" i="28"/>
  <c r="P19" i="28"/>
  <c r="Q19" i="28" s="1"/>
  <c r="K19" i="28"/>
  <c r="I19" i="28"/>
  <c r="G19" i="28"/>
  <c r="H19" i="28" s="1"/>
  <c r="D19" i="28"/>
  <c r="BH18" i="28"/>
  <c r="BD18" i="28"/>
  <c r="BB18" i="28"/>
  <c r="AZ18" i="28"/>
  <c r="BA18" i="28" s="1"/>
  <c r="AU18" i="28"/>
  <c r="AS18" i="28"/>
  <c r="AQ18" i="28"/>
  <c r="AL18" i="28"/>
  <c r="AJ18" i="28"/>
  <c r="AH18" i="28"/>
  <c r="AC18" i="28"/>
  <c r="AA18" i="28"/>
  <c r="Y18" i="28"/>
  <c r="Z18" i="28" s="1"/>
  <c r="T18" i="28"/>
  <c r="R18" i="28"/>
  <c r="P18" i="28"/>
  <c r="Q18" i="28" s="1"/>
  <c r="K18" i="28"/>
  <c r="I18" i="28"/>
  <c r="G18" i="28"/>
  <c r="H18" i="28" s="1"/>
  <c r="D18" i="28"/>
  <c r="BH17" i="28"/>
  <c r="BD17" i="28"/>
  <c r="BB17" i="28"/>
  <c r="AZ17" i="28"/>
  <c r="AU17" i="28"/>
  <c r="AS17" i="28"/>
  <c r="AQ17" i="28"/>
  <c r="AL17" i="28"/>
  <c r="AJ17" i="28"/>
  <c r="AH17" i="28"/>
  <c r="AI17" i="28" s="1"/>
  <c r="AC17" i="28"/>
  <c r="AA17" i="28"/>
  <c r="Y17" i="28"/>
  <c r="Z17" i="28" s="1"/>
  <c r="T17" i="28"/>
  <c r="R17" i="28"/>
  <c r="P17" i="28"/>
  <c r="Q17" i="28" s="1"/>
  <c r="K17" i="28"/>
  <c r="I17" i="28"/>
  <c r="G17" i="28"/>
  <c r="H17" i="28" s="1"/>
  <c r="D17" i="28"/>
  <c r="BH16" i="28"/>
  <c r="BD16" i="28"/>
  <c r="BB16" i="28"/>
  <c r="AZ16" i="28"/>
  <c r="AU16" i="28"/>
  <c r="AS16" i="28"/>
  <c r="AQ16" i="28"/>
  <c r="AR16" i="28" s="1"/>
  <c r="AL16" i="28"/>
  <c r="AJ16" i="28"/>
  <c r="AH16" i="28"/>
  <c r="AI16" i="28" s="1"/>
  <c r="AC16" i="28"/>
  <c r="AA16" i="28"/>
  <c r="Y16" i="28"/>
  <c r="T16" i="28"/>
  <c r="R16" i="28"/>
  <c r="P16" i="28"/>
  <c r="K16" i="28"/>
  <c r="I16" i="28"/>
  <c r="G16" i="28"/>
  <c r="H16" i="28" s="1"/>
  <c r="D16" i="28"/>
  <c r="BH15" i="28"/>
  <c r="BD15" i="28"/>
  <c r="BB15" i="28"/>
  <c r="AZ15" i="28"/>
  <c r="BA15" i="28" s="1"/>
  <c r="AU15" i="28"/>
  <c r="AS15" i="28"/>
  <c r="AQ15" i="28"/>
  <c r="AR15" i="28" s="1"/>
  <c r="AL15" i="28"/>
  <c r="AJ15" i="28"/>
  <c r="AH15" i="28"/>
  <c r="AI15" i="28" s="1"/>
  <c r="AC15" i="28"/>
  <c r="AA15" i="28"/>
  <c r="Y15" i="28"/>
  <c r="T15" i="28"/>
  <c r="R15" i="28"/>
  <c r="P15" i="28"/>
  <c r="Q15" i="28" s="1"/>
  <c r="K15" i="28"/>
  <c r="I15" i="28"/>
  <c r="G15" i="28"/>
  <c r="H15" i="28" s="1"/>
  <c r="D15" i="28"/>
  <c r="BH14" i="28"/>
  <c r="BD14" i="28"/>
  <c r="BB14" i="28"/>
  <c r="AZ14" i="28"/>
  <c r="BA14" i="28" s="1"/>
  <c r="AU14" i="28"/>
  <c r="AS14" i="28"/>
  <c r="AQ14" i="28"/>
  <c r="AL14" i="28"/>
  <c r="AJ14" i="28"/>
  <c r="AH14" i="28"/>
  <c r="AC14" i="28"/>
  <c r="AA14" i="28"/>
  <c r="Y14" i="28"/>
  <c r="Z14" i="28" s="1"/>
  <c r="T14" i="28"/>
  <c r="R14" i="28"/>
  <c r="P14" i="28"/>
  <c r="Q14" i="28" s="1"/>
  <c r="K14" i="28"/>
  <c r="I14" i="28"/>
  <c r="G14" i="28"/>
  <c r="H14" i="28" s="1"/>
  <c r="D14" i="28"/>
  <c r="BH13" i="28"/>
  <c r="BD13" i="28"/>
  <c r="BB13" i="28"/>
  <c r="AZ13" i="28"/>
  <c r="AU13" i="28"/>
  <c r="AS13" i="28"/>
  <c r="AQ13" i="28"/>
  <c r="AL13" i="28"/>
  <c r="AJ13" i="28"/>
  <c r="AH13" i="28"/>
  <c r="AI13" i="28" s="1"/>
  <c r="AC13" i="28"/>
  <c r="AA13" i="28"/>
  <c r="Y13" i="28"/>
  <c r="Z13" i="28" s="1"/>
  <c r="T13" i="28"/>
  <c r="R13" i="28"/>
  <c r="P13" i="28"/>
  <c r="Q13" i="28" s="1"/>
  <c r="K13" i="28"/>
  <c r="I13" i="28"/>
  <c r="G13" i="28"/>
  <c r="H13" i="28" s="1"/>
  <c r="D13" i="28"/>
  <c r="BH12" i="28"/>
  <c r="BD12" i="28"/>
  <c r="BB12" i="28"/>
  <c r="AZ12" i="28"/>
  <c r="AU12" i="28"/>
  <c r="AS12" i="28"/>
  <c r="AQ12" i="28"/>
  <c r="AR12" i="28" s="1"/>
  <c r="AL12" i="28"/>
  <c r="AJ12" i="28"/>
  <c r="AH12" i="28"/>
  <c r="AI12" i="28" s="1"/>
  <c r="AC12" i="28"/>
  <c r="AA12" i="28"/>
  <c r="Y12" i="28"/>
  <c r="T12" i="28"/>
  <c r="R12" i="28"/>
  <c r="P12" i="28"/>
  <c r="K12" i="28"/>
  <c r="I12" i="28"/>
  <c r="G12" i="28"/>
  <c r="H12" i="28" s="1"/>
  <c r="D12" i="28"/>
  <c r="BH11" i="28"/>
  <c r="BD11" i="28"/>
  <c r="BB11" i="28"/>
  <c r="AZ11" i="28"/>
  <c r="BA11" i="28" s="1"/>
  <c r="AU11" i="28"/>
  <c r="AS11" i="28"/>
  <c r="AQ11" i="28"/>
  <c r="AR11" i="28" s="1"/>
  <c r="AL11" i="28"/>
  <c r="AJ11" i="28"/>
  <c r="AH11" i="28"/>
  <c r="AI11" i="28" s="1"/>
  <c r="AC11" i="28"/>
  <c r="AA11" i="28"/>
  <c r="Y11" i="28"/>
  <c r="T11" i="28"/>
  <c r="R11" i="28"/>
  <c r="P11" i="28"/>
  <c r="Q11" i="28" s="1"/>
  <c r="K11" i="28"/>
  <c r="I11" i="28"/>
  <c r="G11" i="28"/>
  <c r="H11" i="28" s="1"/>
  <c r="D11" i="28"/>
  <c r="BH10" i="28"/>
  <c r="BD10" i="28"/>
  <c r="BB10" i="28"/>
  <c r="AZ10" i="28"/>
  <c r="BA10" i="28" s="1"/>
  <c r="AU10" i="28"/>
  <c r="AS10" i="28"/>
  <c r="AQ10" i="28"/>
  <c r="AL10" i="28"/>
  <c r="AJ10" i="28"/>
  <c r="AH10" i="28"/>
  <c r="AC10" i="28"/>
  <c r="AA10" i="28"/>
  <c r="Y10" i="28"/>
  <c r="Z10" i="28" s="1"/>
  <c r="T10" i="28"/>
  <c r="R10" i="28"/>
  <c r="P10" i="28"/>
  <c r="Q10" i="28" s="1"/>
  <c r="K10" i="28"/>
  <c r="I10" i="28"/>
  <c r="G10" i="28"/>
  <c r="H10" i="28" s="1"/>
  <c r="D10" i="28"/>
  <c r="BH9" i="28"/>
  <c r="O9" i="50" s="1"/>
  <c r="BD9" i="28"/>
  <c r="BB9" i="28"/>
  <c r="AZ9" i="28"/>
  <c r="AU9" i="28"/>
  <c r="AS9" i="28"/>
  <c r="AQ9" i="28"/>
  <c r="AL9" i="28"/>
  <c r="AJ9" i="28"/>
  <c r="AH9" i="28"/>
  <c r="AI9" i="28" s="1"/>
  <c r="AC9" i="28"/>
  <c r="AA9" i="28"/>
  <c r="Y9" i="28"/>
  <c r="Z9" i="28" s="1"/>
  <c r="T9" i="28"/>
  <c r="R9" i="28"/>
  <c r="P9" i="28"/>
  <c r="Q9" i="28" s="1"/>
  <c r="K9" i="28"/>
  <c r="I9" i="28"/>
  <c r="G9" i="28"/>
  <c r="H9" i="28" s="1"/>
  <c r="D9" i="28"/>
  <c r="P47" i="29"/>
  <c r="G47" i="29"/>
  <c r="H47" i="29" s="1"/>
  <c r="D47" i="29"/>
  <c r="P46" i="29"/>
  <c r="G46" i="29"/>
  <c r="H46" i="29" s="1"/>
  <c r="D46" i="29"/>
  <c r="P45" i="29"/>
  <c r="G45" i="29"/>
  <c r="H45" i="29" s="1"/>
  <c r="D45" i="29"/>
  <c r="P44" i="29"/>
  <c r="G44" i="29"/>
  <c r="H44" i="29" s="1"/>
  <c r="D44" i="29"/>
  <c r="P43" i="29"/>
  <c r="G43" i="29"/>
  <c r="H43" i="29" s="1"/>
  <c r="D43" i="29"/>
  <c r="P42" i="29"/>
  <c r="G42" i="29"/>
  <c r="H42" i="29" s="1"/>
  <c r="D42" i="29"/>
  <c r="P41" i="29"/>
  <c r="G41" i="29"/>
  <c r="H41" i="29" s="1"/>
  <c r="D41" i="29"/>
  <c r="P40" i="29"/>
  <c r="G40" i="29"/>
  <c r="H40" i="29" s="1"/>
  <c r="D40" i="29"/>
  <c r="P39" i="29"/>
  <c r="G39" i="29"/>
  <c r="H39" i="29" s="1"/>
  <c r="D39" i="29"/>
  <c r="P38" i="29"/>
  <c r="G38" i="29"/>
  <c r="H38" i="29" s="1"/>
  <c r="D38" i="29"/>
  <c r="P37" i="29"/>
  <c r="G37" i="29"/>
  <c r="H37" i="29" s="1"/>
  <c r="D37" i="29"/>
  <c r="P36" i="29"/>
  <c r="G36" i="29"/>
  <c r="H36" i="29" s="1"/>
  <c r="D36" i="29"/>
  <c r="P35" i="29"/>
  <c r="G35" i="29"/>
  <c r="H35" i="29" s="1"/>
  <c r="D35" i="29"/>
  <c r="P34" i="29"/>
  <c r="G34" i="29"/>
  <c r="H34" i="29" s="1"/>
  <c r="D34" i="29"/>
  <c r="P33" i="29"/>
  <c r="G33" i="29"/>
  <c r="H33" i="29" s="1"/>
  <c r="D33" i="29"/>
  <c r="P32" i="29"/>
  <c r="G32" i="29"/>
  <c r="H32" i="29" s="1"/>
  <c r="D32" i="29"/>
  <c r="P31" i="29"/>
  <c r="G31" i="29"/>
  <c r="H31" i="29" s="1"/>
  <c r="D31" i="29"/>
  <c r="P30" i="29"/>
  <c r="G30" i="29"/>
  <c r="H30" i="29" s="1"/>
  <c r="D30" i="29"/>
  <c r="P29" i="29"/>
  <c r="G29" i="29"/>
  <c r="H29" i="29" s="1"/>
  <c r="D29" i="29"/>
  <c r="P28" i="29"/>
  <c r="G28" i="29"/>
  <c r="H28" i="29" s="1"/>
  <c r="D28" i="29"/>
  <c r="P27" i="29"/>
  <c r="G27" i="29"/>
  <c r="H27" i="29" s="1"/>
  <c r="D27" i="29"/>
  <c r="P26" i="29"/>
  <c r="G26" i="29"/>
  <c r="H26" i="29" s="1"/>
  <c r="D26" i="29"/>
  <c r="P25" i="29"/>
  <c r="G25" i="29"/>
  <c r="H25" i="29" s="1"/>
  <c r="D25" i="29"/>
  <c r="T24" i="29"/>
  <c r="R24" i="29"/>
  <c r="P24" i="29"/>
  <c r="G24" i="29"/>
  <c r="H24" i="29" s="1"/>
  <c r="D24" i="29"/>
  <c r="BH23" i="29"/>
  <c r="T23" i="29"/>
  <c r="R23" i="29"/>
  <c r="P23" i="29"/>
  <c r="K23" i="29"/>
  <c r="I23" i="29"/>
  <c r="G23" i="29"/>
  <c r="H23" i="29" s="1"/>
  <c r="D23" i="29"/>
  <c r="BH22" i="29"/>
  <c r="BD22" i="29"/>
  <c r="BB22" i="29"/>
  <c r="AZ22" i="29"/>
  <c r="BA22" i="29" s="1"/>
  <c r="AU22" i="29"/>
  <c r="AS22" i="29"/>
  <c r="AQ22" i="29"/>
  <c r="AR22" i="29" s="1"/>
  <c r="AL22" i="29"/>
  <c r="AJ22" i="29"/>
  <c r="AH22" i="29"/>
  <c r="AC22" i="29"/>
  <c r="AA22" i="29"/>
  <c r="Y22" i="29"/>
  <c r="T22" i="29"/>
  <c r="R22" i="29"/>
  <c r="P22" i="29"/>
  <c r="Q22" i="29" s="1"/>
  <c r="K22" i="29"/>
  <c r="I22" i="29"/>
  <c r="G22" i="29"/>
  <c r="H22" i="29" s="1"/>
  <c r="D22" i="29"/>
  <c r="BH21" i="29"/>
  <c r="BD21" i="29"/>
  <c r="BB21" i="29"/>
  <c r="AZ21" i="29"/>
  <c r="BA21" i="29" s="1"/>
  <c r="AU21" i="29"/>
  <c r="AS21" i="29"/>
  <c r="AQ21" i="29"/>
  <c r="AR21" i="29" s="1"/>
  <c r="AL21" i="29"/>
  <c r="AJ21" i="29"/>
  <c r="AH21" i="29"/>
  <c r="AC21" i="29"/>
  <c r="AA21" i="29"/>
  <c r="Y21" i="29"/>
  <c r="Z21" i="29" s="1"/>
  <c r="T21" i="29"/>
  <c r="R21" i="29"/>
  <c r="P21" i="29"/>
  <c r="K21" i="29"/>
  <c r="I21" i="29"/>
  <c r="G21" i="29"/>
  <c r="H21" i="29" s="1"/>
  <c r="D21" i="29"/>
  <c r="BH20" i="29"/>
  <c r="BD20" i="29"/>
  <c r="BB20" i="29"/>
  <c r="AZ20" i="29"/>
  <c r="BA20" i="29" s="1"/>
  <c r="AU20" i="29"/>
  <c r="AS20" i="29"/>
  <c r="AQ20" i="29"/>
  <c r="AL20" i="29"/>
  <c r="AJ20" i="29"/>
  <c r="AH20" i="29"/>
  <c r="AI20" i="29" s="1"/>
  <c r="AC20" i="29"/>
  <c r="AA20" i="29"/>
  <c r="Y20" i="29"/>
  <c r="T20" i="29"/>
  <c r="R20" i="29"/>
  <c r="P20" i="29"/>
  <c r="Q20" i="29" s="1"/>
  <c r="K20" i="29"/>
  <c r="I20" i="29"/>
  <c r="G20" i="29"/>
  <c r="H20" i="29" s="1"/>
  <c r="D20" i="29"/>
  <c r="BH19" i="29"/>
  <c r="BD19" i="29"/>
  <c r="BB19" i="29"/>
  <c r="AZ19" i="29"/>
  <c r="AU19" i="29"/>
  <c r="AS19" i="29"/>
  <c r="AQ19" i="29"/>
  <c r="AL19" i="29"/>
  <c r="AJ19" i="29"/>
  <c r="AH19" i="29"/>
  <c r="AI19" i="29" s="1"/>
  <c r="AC19" i="29"/>
  <c r="AA19" i="29"/>
  <c r="Y19" i="29"/>
  <c r="T19" i="29"/>
  <c r="R19" i="29"/>
  <c r="P19" i="29"/>
  <c r="Q19" i="29" s="1"/>
  <c r="K19" i="29"/>
  <c r="I19" i="29"/>
  <c r="G19" i="29"/>
  <c r="H19" i="29" s="1"/>
  <c r="D19" i="29"/>
  <c r="BH18" i="29"/>
  <c r="BD18" i="29"/>
  <c r="BB18" i="29"/>
  <c r="AZ18" i="29"/>
  <c r="BA18" i="29" s="1"/>
  <c r="AU18" i="29"/>
  <c r="AS18" i="29"/>
  <c r="AQ18" i="29"/>
  <c r="AR18" i="29" s="1"/>
  <c r="AL18" i="29"/>
  <c r="AJ18" i="29"/>
  <c r="AH18" i="29"/>
  <c r="AC18" i="29"/>
  <c r="AA18" i="29"/>
  <c r="Y18" i="29"/>
  <c r="Z18" i="29" s="1"/>
  <c r="T18" i="29"/>
  <c r="R18" i="29"/>
  <c r="P18" i="29"/>
  <c r="Q18" i="29" s="1"/>
  <c r="K18" i="29"/>
  <c r="I18" i="29"/>
  <c r="G18" i="29"/>
  <c r="H18" i="29" s="1"/>
  <c r="D18" i="29"/>
  <c r="BH17" i="29"/>
  <c r="BD17" i="29"/>
  <c r="BB17" i="29"/>
  <c r="AZ17" i="29"/>
  <c r="AU17" i="29"/>
  <c r="AS17" i="29"/>
  <c r="AQ17" i="29"/>
  <c r="AL17" i="29"/>
  <c r="AJ17" i="29"/>
  <c r="AH17" i="29"/>
  <c r="AI17" i="29" s="1"/>
  <c r="AC17" i="29"/>
  <c r="AA17" i="29"/>
  <c r="Y17" i="29"/>
  <c r="Z17" i="29" s="1"/>
  <c r="T17" i="29"/>
  <c r="R17" i="29"/>
  <c r="P17" i="29"/>
  <c r="K17" i="29"/>
  <c r="I17" i="29"/>
  <c r="G17" i="29"/>
  <c r="H17" i="29" s="1"/>
  <c r="D17" i="29"/>
  <c r="BH16" i="29"/>
  <c r="BD16" i="29"/>
  <c r="BB16" i="29"/>
  <c r="AZ16" i="29"/>
  <c r="BA16" i="29" s="1"/>
  <c r="AU16" i="29"/>
  <c r="AS16" i="29"/>
  <c r="AQ16" i="29"/>
  <c r="AR16" i="29" s="1"/>
  <c r="AL16" i="29"/>
  <c r="AJ16" i="29"/>
  <c r="AH16" i="29"/>
  <c r="AI16" i="29" s="1"/>
  <c r="AC16" i="29"/>
  <c r="AA16" i="29"/>
  <c r="Y16" i="29"/>
  <c r="T16" i="29"/>
  <c r="R16" i="29"/>
  <c r="P16" i="29"/>
  <c r="Q16" i="29" s="1"/>
  <c r="K16" i="29"/>
  <c r="I16" i="29"/>
  <c r="G16" i="29"/>
  <c r="H16" i="29" s="1"/>
  <c r="D16" i="29"/>
  <c r="BH15" i="29"/>
  <c r="BD15" i="29"/>
  <c r="BB15" i="29"/>
  <c r="AZ15" i="29"/>
  <c r="BA15" i="29" s="1"/>
  <c r="AU15" i="29"/>
  <c r="AS15" i="29"/>
  <c r="AQ15" i="29"/>
  <c r="AR15" i="29" s="1"/>
  <c r="AL15" i="29"/>
  <c r="AJ15" i="29"/>
  <c r="AH15" i="29"/>
  <c r="AC15" i="29"/>
  <c r="AA15" i="29"/>
  <c r="Y15" i="29"/>
  <c r="T15" i="29"/>
  <c r="R15" i="29"/>
  <c r="P15" i="29"/>
  <c r="Q15" i="29" s="1"/>
  <c r="K15" i="29"/>
  <c r="I15" i="29"/>
  <c r="G15" i="29"/>
  <c r="H15" i="29" s="1"/>
  <c r="D15" i="29"/>
  <c r="BH14" i="29"/>
  <c r="BD14" i="29"/>
  <c r="BB14" i="29"/>
  <c r="AZ14" i="29"/>
  <c r="BA14" i="29" s="1"/>
  <c r="AU14" i="29"/>
  <c r="AS14" i="29"/>
  <c r="AQ14" i="29"/>
  <c r="AL14" i="29"/>
  <c r="AJ14" i="29"/>
  <c r="AH14" i="29"/>
  <c r="AI14" i="29" s="1"/>
  <c r="AC14" i="29"/>
  <c r="AA14" i="29"/>
  <c r="Y14" i="29"/>
  <c r="T14" i="29"/>
  <c r="R14" i="29"/>
  <c r="P14" i="29"/>
  <c r="K14" i="29"/>
  <c r="I14" i="29"/>
  <c r="G14" i="29"/>
  <c r="H14" i="29" s="1"/>
  <c r="D14" i="29"/>
  <c r="BH13" i="29"/>
  <c r="BD13" i="29"/>
  <c r="BB13" i="29"/>
  <c r="AZ13" i="29"/>
  <c r="BA13" i="29" s="1"/>
  <c r="AU13" i="29"/>
  <c r="AS13" i="29"/>
  <c r="AQ13" i="29"/>
  <c r="AR13" i="29" s="1"/>
  <c r="AL13" i="29"/>
  <c r="AJ13" i="29"/>
  <c r="AH13" i="29"/>
  <c r="AC13" i="29"/>
  <c r="AA13" i="29"/>
  <c r="Y13" i="29"/>
  <c r="T13" i="29"/>
  <c r="R13" i="29"/>
  <c r="P13" i="29"/>
  <c r="Q13" i="29" s="1"/>
  <c r="K13" i="29"/>
  <c r="I13" i="29"/>
  <c r="G13" i="29"/>
  <c r="H13" i="29" s="1"/>
  <c r="D13" i="29"/>
  <c r="BH12" i="29"/>
  <c r="BD12" i="29"/>
  <c r="BB12" i="29"/>
  <c r="AZ12" i="29"/>
  <c r="BA12" i="29" s="1"/>
  <c r="AU12" i="29"/>
  <c r="AS12" i="29"/>
  <c r="AQ12" i="29"/>
  <c r="AL12" i="29"/>
  <c r="AJ12" i="29"/>
  <c r="AH12" i="29"/>
  <c r="AC12" i="29"/>
  <c r="AA12" i="29"/>
  <c r="Y12" i="29"/>
  <c r="Z12" i="29" s="1"/>
  <c r="T12" i="29"/>
  <c r="R12" i="29"/>
  <c r="P12" i="29"/>
  <c r="Q12" i="29" s="1"/>
  <c r="K12" i="29"/>
  <c r="I12" i="29"/>
  <c r="G12" i="29"/>
  <c r="H12" i="29" s="1"/>
  <c r="D12" i="29"/>
  <c r="BH11" i="29"/>
  <c r="BD11" i="29"/>
  <c r="BB11" i="29"/>
  <c r="AZ11" i="29"/>
  <c r="AU11" i="29"/>
  <c r="AS11" i="29"/>
  <c r="AQ11" i="29"/>
  <c r="AL11" i="29"/>
  <c r="AJ11" i="29"/>
  <c r="AH11" i="29"/>
  <c r="AI11" i="29" s="1"/>
  <c r="AC11" i="29"/>
  <c r="AA11" i="29"/>
  <c r="Y11" i="29"/>
  <c r="Z11" i="29" s="1"/>
  <c r="T11" i="29"/>
  <c r="R11" i="29"/>
  <c r="P11" i="29"/>
  <c r="K11" i="29"/>
  <c r="I11" i="29"/>
  <c r="G11" i="29"/>
  <c r="H11" i="29" s="1"/>
  <c r="D11" i="29"/>
  <c r="BH10" i="29"/>
  <c r="BD10" i="29"/>
  <c r="BB10" i="29"/>
  <c r="AZ10" i="29"/>
  <c r="AU10" i="29"/>
  <c r="AS10" i="29"/>
  <c r="AQ10" i="29"/>
  <c r="AR10" i="29" s="1"/>
  <c r="AL10" i="29"/>
  <c r="AJ10" i="29"/>
  <c r="AH10" i="29"/>
  <c r="AI10" i="29" s="1"/>
  <c r="AC10" i="29"/>
  <c r="AA10" i="29"/>
  <c r="Y10" i="29"/>
  <c r="T10" i="29"/>
  <c r="R10" i="29"/>
  <c r="P10" i="29"/>
  <c r="K10" i="29"/>
  <c r="I10" i="29"/>
  <c r="G10" i="29"/>
  <c r="H10" i="29" s="1"/>
  <c r="D10" i="29"/>
  <c r="BH9" i="29"/>
  <c r="Q9" i="50" s="1"/>
  <c r="BD9" i="29"/>
  <c r="BB9" i="29"/>
  <c r="AZ9" i="29"/>
  <c r="BA9" i="29" s="1"/>
  <c r="AU9" i="29"/>
  <c r="AS9" i="29"/>
  <c r="AQ9" i="29"/>
  <c r="AR9" i="29" s="1"/>
  <c r="AL9" i="29"/>
  <c r="AJ9" i="29"/>
  <c r="AH9" i="29"/>
  <c r="AC9" i="29"/>
  <c r="AA9" i="29"/>
  <c r="Y9" i="29"/>
  <c r="T9" i="29"/>
  <c r="R9" i="29"/>
  <c r="P9" i="29"/>
  <c r="Q9" i="29" s="1"/>
  <c r="K9" i="29"/>
  <c r="I9" i="29"/>
  <c r="G9" i="29"/>
  <c r="H9" i="29" s="1"/>
  <c r="D9" i="29"/>
  <c r="P47" i="23"/>
  <c r="G47" i="23"/>
  <c r="H47" i="23" s="1"/>
  <c r="D47" i="23"/>
  <c r="P46" i="23"/>
  <c r="G46" i="23"/>
  <c r="H46" i="23" s="1"/>
  <c r="D46" i="23"/>
  <c r="P45" i="23"/>
  <c r="G45" i="23"/>
  <c r="H45" i="23" s="1"/>
  <c r="D45" i="23"/>
  <c r="P44" i="23"/>
  <c r="G44" i="23"/>
  <c r="H44" i="23" s="1"/>
  <c r="D44" i="23"/>
  <c r="P43" i="23"/>
  <c r="G43" i="23"/>
  <c r="H43" i="23" s="1"/>
  <c r="D43" i="23"/>
  <c r="P42" i="23"/>
  <c r="G42" i="23"/>
  <c r="H42" i="23" s="1"/>
  <c r="D42" i="23"/>
  <c r="P41" i="23"/>
  <c r="G41" i="23"/>
  <c r="H41" i="23" s="1"/>
  <c r="D41" i="23"/>
  <c r="P40" i="23"/>
  <c r="G40" i="23"/>
  <c r="H40" i="23" s="1"/>
  <c r="D40" i="23"/>
  <c r="P39" i="23"/>
  <c r="G39" i="23"/>
  <c r="H39" i="23" s="1"/>
  <c r="D39" i="23"/>
  <c r="P38" i="23"/>
  <c r="G38" i="23"/>
  <c r="H38" i="23" s="1"/>
  <c r="D38" i="23"/>
  <c r="P37" i="23"/>
  <c r="G37" i="23"/>
  <c r="H37" i="23" s="1"/>
  <c r="D37" i="23"/>
  <c r="P36" i="23"/>
  <c r="G36" i="23"/>
  <c r="H36" i="23" s="1"/>
  <c r="D36" i="23"/>
  <c r="P35" i="23"/>
  <c r="G35" i="23"/>
  <c r="H35" i="23" s="1"/>
  <c r="D35" i="23"/>
  <c r="P34" i="23"/>
  <c r="G34" i="23"/>
  <c r="H34" i="23" s="1"/>
  <c r="D34" i="23"/>
  <c r="P33" i="23"/>
  <c r="G33" i="23"/>
  <c r="H33" i="23" s="1"/>
  <c r="D33" i="23"/>
  <c r="P32" i="23"/>
  <c r="G32" i="23"/>
  <c r="H32" i="23" s="1"/>
  <c r="D32" i="23"/>
  <c r="P31" i="23"/>
  <c r="G31" i="23"/>
  <c r="H31" i="23" s="1"/>
  <c r="D31" i="23"/>
  <c r="P30" i="23"/>
  <c r="G30" i="23"/>
  <c r="H30" i="23" s="1"/>
  <c r="D30" i="23"/>
  <c r="P29" i="23"/>
  <c r="G29" i="23"/>
  <c r="H29" i="23" s="1"/>
  <c r="D29" i="23"/>
  <c r="P28" i="23"/>
  <c r="G28" i="23"/>
  <c r="H28" i="23" s="1"/>
  <c r="D28" i="23"/>
  <c r="P27" i="23"/>
  <c r="G27" i="23"/>
  <c r="H27" i="23" s="1"/>
  <c r="D27" i="23"/>
  <c r="P26" i="23"/>
  <c r="G26" i="23"/>
  <c r="H26" i="23" s="1"/>
  <c r="D26" i="23"/>
  <c r="P25" i="23"/>
  <c r="G25" i="23"/>
  <c r="H25" i="23" s="1"/>
  <c r="D25" i="23"/>
  <c r="T24" i="23"/>
  <c r="R24" i="23"/>
  <c r="P24" i="23"/>
  <c r="G24" i="23"/>
  <c r="H24" i="23" s="1"/>
  <c r="D24" i="23"/>
  <c r="BH23" i="23"/>
  <c r="T23" i="23"/>
  <c r="R23" i="23"/>
  <c r="P23" i="23"/>
  <c r="Q23" i="23" s="1"/>
  <c r="K23" i="23"/>
  <c r="I23" i="23"/>
  <c r="G23" i="23"/>
  <c r="H23" i="23" s="1"/>
  <c r="D23" i="23"/>
  <c r="BH22" i="23"/>
  <c r="BD22" i="23"/>
  <c r="BB22" i="23"/>
  <c r="AZ22" i="23"/>
  <c r="AU22" i="23"/>
  <c r="AS22" i="23"/>
  <c r="AQ22" i="23"/>
  <c r="AR22" i="23" s="1"/>
  <c r="AL22" i="23"/>
  <c r="AJ22" i="23"/>
  <c r="AH22" i="23"/>
  <c r="AI22" i="23" s="1"/>
  <c r="AC22" i="23"/>
  <c r="AA22" i="23"/>
  <c r="Y22" i="23"/>
  <c r="T22" i="23"/>
  <c r="R22" i="23"/>
  <c r="P22" i="23"/>
  <c r="K22" i="23"/>
  <c r="I22" i="23"/>
  <c r="G22" i="23"/>
  <c r="H22" i="23" s="1"/>
  <c r="D22" i="23"/>
  <c r="BH21" i="23"/>
  <c r="BD21" i="23"/>
  <c r="BB21" i="23"/>
  <c r="AZ21" i="23"/>
  <c r="BA21" i="23" s="1"/>
  <c r="AU21" i="23"/>
  <c r="AS21" i="23"/>
  <c r="AQ21" i="23"/>
  <c r="AR21" i="23" s="1"/>
  <c r="AL21" i="23"/>
  <c r="AJ21" i="23"/>
  <c r="AH21" i="23"/>
  <c r="AI21" i="23" s="1"/>
  <c r="AC21" i="23"/>
  <c r="AA21" i="23"/>
  <c r="Y21" i="23"/>
  <c r="T21" i="23"/>
  <c r="R21" i="23"/>
  <c r="P21" i="23"/>
  <c r="K21" i="23"/>
  <c r="I21" i="23"/>
  <c r="G21" i="23"/>
  <c r="H21" i="23" s="1"/>
  <c r="D21" i="23"/>
  <c r="BH20" i="23"/>
  <c r="BD20" i="23"/>
  <c r="BB20" i="23"/>
  <c r="AZ20" i="23"/>
  <c r="BA20" i="23" s="1"/>
  <c r="AU20" i="23"/>
  <c r="AS20" i="23"/>
  <c r="AQ20" i="23"/>
  <c r="AR20" i="23" s="1"/>
  <c r="AL20" i="23"/>
  <c r="AJ20" i="23"/>
  <c r="AH20" i="23"/>
  <c r="AC20" i="23"/>
  <c r="AA20" i="23"/>
  <c r="Y20" i="23"/>
  <c r="T20" i="23"/>
  <c r="R20" i="23"/>
  <c r="P20" i="23"/>
  <c r="Q20" i="23" s="1"/>
  <c r="K20" i="23"/>
  <c r="I20" i="23"/>
  <c r="G20" i="23"/>
  <c r="H20" i="23" s="1"/>
  <c r="D20" i="23"/>
  <c r="BH19" i="23"/>
  <c r="BD19" i="23"/>
  <c r="BB19" i="23"/>
  <c r="AZ19" i="23"/>
  <c r="BA19" i="23" s="1"/>
  <c r="AU19" i="23"/>
  <c r="AS19" i="23"/>
  <c r="AQ19" i="23"/>
  <c r="AL19" i="23"/>
  <c r="AJ19" i="23"/>
  <c r="AH19" i="23"/>
  <c r="AC19" i="23"/>
  <c r="AA19" i="23"/>
  <c r="Y19" i="23"/>
  <c r="Z19" i="23" s="1"/>
  <c r="T19" i="23"/>
  <c r="R19" i="23"/>
  <c r="P19" i="23"/>
  <c r="Q19" i="23" s="1"/>
  <c r="K19" i="23"/>
  <c r="I19" i="23"/>
  <c r="G19" i="23"/>
  <c r="H19" i="23" s="1"/>
  <c r="D19" i="23"/>
  <c r="BH18" i="23"/>
  <c r="BD18" i="23"/>
  <c r="BB18" i="23"/>
  <c r="AZ18" i="23"/>
  <c r="AU18" i="23"/>
  <c r="AS18" i="23"/>
  <c r="AQ18" i="23"/>
  <c r="AL18" i="23"/>
  <c r="AJ18" i="23"/>
  <c r="AH18" i="23"/>
  <c r="AI18" i="23" s="1"/>
  <c r="AC18" i="23"/>
  <c r="AA18" i="23"/>
  <c r="Y18" i="23"/>
  <c r="Z18" i="23" s="1"/>
  <c r="T18" i="23"/>
  <c r="R18" i="23"/>
  <c r="P18" i="23"/>
  <c r="K18" i="23"/>
  <c r="I18" i="23"/>
  <c r="G18" i="23"/>
  <c r="H18" i="23" s="1"/>
  <c r="D18" i="23"/>
  <c r="BH17" i="23"/>
  <c r="BD17" i="23"/>
  <c r="BB17" i="23"/>
  <c r="AZ17" i="23"/>
  <c r="BA17" i="23" s="1"/>
  <c r="AU17" i="23"/>
  <c r="AS17" i="23"/>
  <c r="AQ17" i="23"/>
  <c r="AR17" i="23" s="1"/>
  <c r="AL17" i="23"/>
  <c r="AJ17" i="23"/>
  <c r="AH17" i="23"/>
  <c r="AI17" i="23" s="1"/>
  <c r="AC17" i="23"/>
  <c r="AA17" i="23"/>
  <c r="Y17" i="23"/>
  <c r="T17" i="23"/>
  <c r="R17" i="23"/>
  <c r="P17" i="23"/>
  <c r="Q17" i="23" s="1"/>
  <c r="K17" i="23"/>
  <c r="I17" i="23"/>
  <c r="G17" i="23"/>
  <c r="H17" i="23" s="1"/>
  <c r="D17" i="23"/>
  <c r="BH16" i="23"/>
  <c r="BD16" i="23"/>
  <c r="BB16" i="23"/>
  <c r="AZ16" i="23"/>
  <c r="BA16" i="23" s="1"/>
  <c r="AU16" i="23"/>
  <c r="AS16" i="23"/>
  <c r="AQ16" i="23"/>
  <c r="AR16" i="23" s="1"/>
  <c r="AL16" i="23"/>
  <c r="AJ16" i="23"/>
  <c r="AH16" i="23"/>
  <c r="AC16" i="23"/>
  <c r="AA16" i="23"/>
  <c r="Y16" i="23"/>
  <c r="T16" i="23"/>
  <c r="R16" i="23"/>
  <c r="P16" i="23"/>
  <c r="Q16" i="23" s="1"/>
  <c r="K16" i="23"/>
  <c r="I16" i="23"/>
  <c r="G16" i="23"/>
  <c r="H16" i="23" s="1"/>
  <c r="D16" i="23"/>
  <c r="BH15" i="23"/>
  <c r="BD15" i="23"/>
  <c r="BB15" i="23"/>
  <c r="AZ15" i="23"/>
  <c r="BA15" i="23" s="1"/>
  <c r="AU15" i="23"/>
  <c r="AS15" i="23"/>
  <c r="AQ15" i="23"/>
  <c r="AL15" i="23"/>
  <c r="AJ15" i="23"/>
  <c r="AH15" i="23"/>
  <c r="AC15" i="23"/>
  <c r="AA15" i="23"/>
  <c r="Y15" i="23"/>
  <c r="Z15" i="23" s="1"/>
  <c r="T15" i="23"/>
  <c r="R15" i="23"/>
  <c r="P15" i="23"/>
  <c r="Q15" i="23" s="1"/>
  <c r="K15" i="23"/>
  <c r="I15" i="23"/>
  <c r="G15" i="23"/>
  <c r="H15" i="23" s="1"/>
  <c r="D15" i="23"/>
  <c r="BH14" i="23"/>
  <c r="BD14" i="23"/>
  <c r="BB14" i="23"/>
  <c r="AZ14" i="23"/>
  <c r="AU14" i="23"/>
  <c r="AS14" i="23"/>
  <c r="AQ14" i="23"/>
  <c r="AR14" i="23" s="1"/>
  <c r="AL14" i="23"/>
  <c r="AJ14" i="23"/>
  <c r="AH14" i="23"/>
  <c r="AI14" i="23" s="1"/>
  <c r="AC14" i="23"/>
  <c r="AA14" i="23"/>
  <c r="Y14" i="23"/>
  <c r="T14" i="23"/>
  <c r="R14" i="23"/>
  <c r="P14" i="23"/>
  <c r="K14" i="23"/>
  <c r="I14" i="23"/>
  <c r="G14" i="23"/>
  <c r="H14" i="23" s="1"/>
  <c r="D14" i="23"/>
  <c r="BH13" i="23"/>
  <c r="BD13" i="23"/>
  <c r="BB13" i="23"/>
  <c r="AZ13" i="23"/>
  <c r="BA13" i="23" s="1"/>
  <c r="AU13" i="23"/>
  <c r="AS13" i="23"/>
  <c r="AQ13" i="23"/>
  <c r="AR13" i="23" s="1"/>
  <c r="AL13" i="23"/>
  <c r="AJ13" i="23"/>
  <c r="AH13" i="23"/>
  <c r="AI13" i="23" s="1"/>
  <c r="AC13" i="23"/>
  <c r="AA13" i="23"/>
  <c r="Y13" i="23"/>
  <c r="T13" i="23"/>
  <c r="R13" i="23"/>
  <c r="P13" i="23"/>
  <c r="Q13" i="23" s="1"/>
  <c r="K13" i="23"/>
  <c r="I13" i="23"/>
  <c r="G13" i="23"/>
  <c r="H13" i="23" s="1"/>
  <c r="D13" i="23"/>
  <c r="BH12" i="23"/>
  <c r="BD12" i="23"/>
  <c r="BB12" i="23"/>
  <c r="AZ12" i="23"/>
  <c r="BA12" i="23" s="1"/>
  <c r="AU12" i="23"/>
  <c r="AS12" i="23"/>
  <c r="AQ12" i="23"/>
  <c r="AL12" i="23"/>
  <c r="AJ12" i="23"/>
  <c r="AH12" i="23"/>
  <c r="AC12" i="23"/>
  <c r="AA12" i="23"/>
  <c r="Y12" i="23"/>
  <c r="T12" i="23"/>
  <c r="R12" i="23"/>
  <c r="P12" i="23"/>
  <c r="K12" i="23"/>
  <c r="I12" i="23"/>
  <c r="G12" i="23"/>
  <c r="H12" i="23" s="1"/>
  <c r="D12" i="23"/>
  <c r="BH11" i="23"/>
  <c r="BD11" i="23"/>
  <c r="BB11" i="23"/>
  <c r="AZ11" i="23"/>
  <c r="BA11" i="23" s="1"/>
  <c r="AU11" i="23"/>
  <c r="AS11" i="23"/>
  <c r="AQ11" i="23"/>
  <c r="AL11" i="23"/>
  <c r="AJ11" i="23"/>
  <c r="AH11" i="23"/>
  <c r="AC11" i="23"/>
  <c r="AA11" i="23"/>
  <c r="Y11" i="23"/>
  <c r="Z11" i="23" s="1"/>
  <c r="T11" i="23"/>
  <c r="R11" i="23"/>
  <c r="P11" i="23"/>
  <c r="Q11" i="23" s="1"/>
  <c r="K11" i="23"/>
  <c r="I11" i="23"/>
  <c r="G11" i="23"/>
  <c r="H11" i="23" s="1"/>
  <c r="D11" i="23"/>
  <c r="BH10" i="23"/>
  <c r="BD10" i="23"/>
  <c r="BB10" i="23"/>
  <c r="AZ10" i="23"/>
  <c r="AU10" i="23"/>
  <c r="AS10" i="23"/>
  <c r="AQ10" i="23"/>
  <c r="AL10" i="23"/>
  <c r="AJ10" i="23"/>
  <c r="AH10" i="23"/>
  <c r="AI10" i="23" s="1"/>
  <c r="AC10" i="23"/>
  <c r="AA10" i="23"/>
  <c r="Y10" i="23"/>
  <c r="T10" i="23"/>
  <c r="R10" i="23"/>
  <c r="P10" i="23"/>
  <c r="K10" i="23"/>
  <c r="I10" i="23"/>
  <c r="G10" i="23"/>
  <c r="H10" i="23" s="1"/>
  <c r="D10" i="23"/>
  <c r="BH9" i="23"/>
  <c r="BD9" i="23"/>
  <c r="BB9" i="23"/>
  <c r="AZ9" i="23"/>
  <c r="BA9" i="23" s="1"/>
  <c r="AU9" i="23"/>
  <c r="AS9" i="23"/>
  <c r="AQ9" i="23"/>
  <c r="AR9" i="23" s="1"/>
  <c r="AL9" i="23"/>
  <c r="AJ9" i="23"/>
  <c r="AH9" i="23"/>
  <c r="AI9" i="23" s="1"/>
  <c r="AC9" i="23"/>
  <c r="AA9" i="23"/>
  <c r="Y9" i="23"/>
  <c r="T9" i="23"/>
  <c r="R9" i="23"/>
  <c r="P9" i="23"/>
  <c r="Q9" i="23" s="1"/>
  <c r="K9" i="23"/>
  <c r="I9" i="23"/>
  <c r="G9" i="23"/>
  <c r="H9" i="23" s="1"/>
  <c r="D9" i="23"/>
  <c r="P47" i="38"/>
  <c r="G47" i="38"/>
  <c r="H47" i="38" s="1"/>
  <c r="D47" i="38"/>
  <c r="P46" i="38"/>
  <c r="G46" i="38"/>
  <c r="H46" i="38" s="1"/>
  <c r="D46" i="38"/>
  <c r="P45" i="38"/>
  <c r="G45" i="38"/>
  <c r="H45" i="38" s="1"/>
  <c r="D45" i="38"/>
  <c r="P44" i="38"/>
  <c r="G44" i="38"/>
  <c r="H44" i="38" s="1"/>
  <c r="D44" i="38"/>
  <c r="P43" i="38"/>
  <c r="G43" i="38"/>
  <c r="H43" i="38" s="1"/>
  <c r="D43" i="38"/>
  <c r="P42" i="38"/>
  <c r="G42" i="38"/>
  <c r="H42" i="38" s="1"/>
  <c r="D42" i="38"/>
  <c r="P41" i="38"/>
  <c r="G41" i="38"/>
  <c r="H41" i="38" s="1"/>
  <c r="D41" i="38"/>
  <c r="P40" i="38"/>
  <c r="G40" i="38"/>
  <c r="H40" i="38" s="1"/>
  <c r="D40" i="38"/>
  <c r="P39" i="38"/>
  <c r="G39" i="38"/>
  <c r="H39" i="38" s="1"/>
  <c r="D39" i="38"/>
  <c r="P38" i="38"/>
  <c r="G38" i="38"/>
  <c r="H38" i="38" s="1"/>
  <c r="D38" i="38"/>
  <c r="P37" i="38"/>
  <c r="G37" i="38"/>
  <c r="H37" i="38" s="1"/>
  <c r="D37" i="38"/>
  <c r="P36" i="38"/>
  <c r="G36" i="38"/>
  <c r="H36" i="38" s="1"/>
  <c r="D36" i="38"/>
  <c r="P35" i="38"/>
  <c r="G35" i="38"/>
  <c r="H35" i="38" s="1"/>
  <c r="D35" i="38"/>
  <c r="P34" i="38"/>
  <c r="G34" i="38"/>
  <c r="H34" i="38" s="1"/>
  <c r="D34" i="38"/>
  <c r="P33" i="38"/>
  <c r="G33" i="38"/>
  <c r="H33" i="38" s="1"/>
  <c r="D33" i="38"/>
  <c r="P32" i="38"/>
  <c r="G32" i="38"/>
  <c r="H32" i="38" s="1"/>
  <c r="D32" i="38"/>
  <c r="P31" i="38"/>
  <c r="G31" i="38"/>
  <c r="H31" i="38" s="1"/>
  <c r="D31" i="38"/>
  <c r="P30" i="38"/>
  <c r="G30" i="38"/>
  <c r="H30" i="38" s="1"/>
  <c r="D30" i="38"/>
  <c r="P29" i="38"/>
  <c r="G29" i="38"/>
  <c r="H29" i="38" s="1"/>
  <c r="D29" i="38"/>
  <c r="P28" i="38"/>
  <c r="G28" i="38"/>
  <c r="H28" i="38" s="1"/>
  <c r="D28" i="38"/>
  <c r="P27" i="38"/>
  <c r="G27" i="38"/>
  <c r="H27" i="38" s="1"/>
  <c r="D27" i="38"/>
  <c r="P26" i="38"/>
  <c r="G26" i="38"/>
  <c r="H26" i="38" s="1"/>
  <c r="D26" i="38"/>
  <c r="P25" i="38"/>
  <c r="G25" i="38"/>
  <c r="H25" i="38" s="1"/>
  <c r="D25" i="38"/>
  <c r="T24" i="38"/>
  <c r="R24" i="38"/>
  <c r="P24" i="38"/>
  <c r="Q24" i="38" s="1"/>
  <c r="G24" i="38"/>
  <c r="H24" i="38" s="1"/>
  <c r="D24" i="38"/>
  <c r="BH23" i="38"/>
  <c r="T23" i="38"/>
  <c r="R23" i="38"/>
  <c r="P23" i="38"/>
  <c r="Q23" i="38" s="1"/>
  <c r="K23" i="38"/>
  <c r="I23" i="38"/>
  <c r="G23" i="38"/>
  <c r="H23" i="38" s="1"/>
  <c r="D23" i="38"/>
  <c r="BH22" i="38"/>
  <c r="BD22" i="38"/>
  <c r="BB22" i="38"/>
  <c r="AZ22" i="38"/>
  <c r="AU22" i="38"/>
  <c r="AS22" i="38"/>
  <c r="AQ22" i="38"/>
  <c r="AL22" i="38"/>
  <c r="AJ22" i="38"/>
  <c r="AH22" i="38"/>
  <c r="AI22" i="38" s="1"/>
  <c r="AC22" i="38"/>
  <c r="AA22" i="38"/>
  <c r="Y22" i="38"/>
  <c r="Z22" i="38" s="1"/>
  <c r="T22" i="38"/>
  <c r="R22" i="38"/>
  <c r="P22" i="38"/>
  <c r="Q22" i="38" s="1"/>
  <c r="K22" i="38"/>
  <c r="I22" i="38"/>
  <c r="G22" i="38"/>
  <c r="H22" i="38" s="1"/>
  <c r="D22" i="38"/>
  <c r="BH21" i="38"/>
  <c r="BD21" i="38"/>
  <c r="BB21" i="38"/>
  <c r="AZ21" i="38"/>
  <c r="AU21" i="38"/>
  <c r="AS21" i="38"/>
  <c r="AQ21" i="38"/>
  <c r="AR21" i="38" s="1"/>
  <c r="AL21" i="38"/>
  <c r="AJ21" i="38"/>
  <c r="AH21" i="38"/>
  <c r="AI21" i="38" s="1"/>
  <c r="AC21" i="38"/>
  <c r="AA21" i="38"/>
  <c r="Y21" i="38"/>
  <c r="Z21" i="38" s="1"/>
  <c r="T21" i="38"/>
  <c r="R21" i="38"/>
  <c r="P21" i="38"/>
  <c r="K21" i="38"/>
  <c r="I21" i="38"/>
  <c r="G21" i="38"/>
  <c r="H21" i="38" s="1"/>
  <c r="D21" i="38"/>
  <c r="BH20" i="38"/>
  <c r="BD20" i="38"/>
  <c r="BB20" i="38"/>
  <c r="AZ20" i="38"/>
  <c r="BA20" i="38" s="1"/>
  <c r="AU20" i="38"/>
  <c r="AS20" i="38"/>
  <c r="AQ20" i="38"/>
  <c r="AR20" i="38" s="1"/>
  <c r="AL20" i="38"/>
  <c r="AJ20" i="38"/>
  <c r="AH20" i="38"/>
  <c r="AI20" i="38" s="1"/>
  <c r="AC20" i="38"/>
  <c r="AA20" i="38"/>
  <c r="Y20" i="38"/>
  <c r="T20" i="38"/>
  <c r="R20" i="38"/>
  <c r="P20" i="38"/>
  <c r="Q20" i="38" s="1"/>
  <c r="K20" i="38"/>
  <c r="I20" i="38"/>
  <c r="G20" i="38"/>
  <c r="H20" i="38" s="1"/>
  <c r="D20" i="38"/>
  <c r="BH19" i="38"/>
  <c r="BD19" i="38"/>
  <c r="BB19" i="38"/>
  <c r="AZ19" i="38"/>
  <c r="BA19" i="38" s="1"/>
  <c r="AU19" i="38"/>
  <c r="AS19" i="38"/>
  <c r="AQ19" i="38"/>
  <c r="AR19" i="38" s="1"/>
  <c r="AL19" i="38"/>
  <c r="AJ19" i="38"/>
  <c r="AH19" i="38"/>
  <c r="AC19" i="38"/>
  <c r="AA19" i="38"/>
  <c r="Y19" i="38"/>
  <c r="Z19" i="38" s="1"/>
  <c r="T19" i="38"/>
  <c r="R19" i="38"/>
  <c r="P19" i="38"/>
  <c r="Q19" i="38" s="1"/>
  <c r="K19" i="38"/>
  <c r="I19" i="38"/>
  <c r="G19" i="38"/>
  <c r="H19" i="38" s="1"/>
  <c r="D19" i="38"/>
  <c r="BH18" i="38"/>
  <c r="BD18" i="38"/>
  <c r="BB18" i="38"/>
  <c r="AZ18" i="38"/>
  <c r="AU18" i="38"/>
  <c r="AS18" i="38"/>
  <c r="AQ18" i="38"/>
  <c r="AL18" i="38"/>
  <c r="AJ18" i="38"/>
  <c r="AH18" i="38"/>
  <c r="AI18" i="38" s="1"/>
  <c r="AC18" i="38"/>
  <c r="AA18" i="38"/>
  <c r="Y18" i="38"/>
  <c r="Z18" i="38" s="1"/>
  <c r="T18" i="38"/>
  <c r="R18" i="38"/>
  <c r="P18" i="38"/>
  <c r="Q18" i="38" s="1"/>
  <c r="K18" i="38"/>
  <c r="I18" i="38"/>
  <c r="G18" i="38"/>
  <c r="H18" i="38" s="1"/>
  <c r="D18" i="38"/>
  <c r="BH17" i="38"/>
  <c r="BD17" i="38"/>
  <c r="BB17" i="38"/>
  <c r="AZ17" i="38"/>
  <c r="AU17" i="38"/>
  <c r="AS17" i="38"/>
  <c r="AQ17" i="38"/>
  <c r="AR17" i="38" s="1"/>
  <c r="AL17" i="38"/>
  <c r="AJ17" i="38"/>
  <c r="AH17" i="38"/>
  <c r="AI17" i="38" s="1"/>
  <c r="AC17" i="38"/>
  <c r="AA17" i="38"/>
  <c r="Y17" i="38"/>
  <c r="Z17" i="38" s="1"/>
  <c r="T17" i="38"/>
  <c r="R17" i="38"/>
  <c r="P17" i="38"/>
  <c r="K17" i="38"/>
  <c r="I17" i="38"/>
  <c r="G17" i="38"/>
  <c r="H17" i="38" s="1"/>
  <c r="D17" i="38"/>
  <c r="BH16" i="38"/>
  <c r="BD16" i="38"/>
  <c r="BB16" i="38"/>
  <c r="AZ16" i="38"/>
  <c r="BA16" i="38" s="1"/>
  <c r="AU16" i="38"/>
  <c r="AS16" i="38"/>
  <c r="AQ16" i="38"/>
  <c r="AR16" i="38" s="1"/>
  <c r="AL16" i="38"/>
  <c r="AJ16" i="38"/>
  <c r="AH16" i="38"/>
  <c r="AI16" i="38" s="1"/>
  <c r="AC16" i="38"/>
  <c r="AA16" i="38"/>
  <c r="Y16" i="38"/>
  <c r="T16" i="38"/>
  <c r="R16" i="38"/>
  <c r="P16" i="38"/>
  <c r="Q16" i="38" s="1"/>
  <c r="K16" i="38"/>
  <c r="I16" i="38"/>
  <c r="G16" i="38"/>
  <c r="H16" i="38" s="1"/>
  <c r="D16" i="38"/>
  <c r="BH15" i="38"/>
  <c r="BD15" i="38"/>
  <c r="BB15" i="38"/>
  <c r="AZ15" i="38"/>
  <c r="BA15" i="38" s="1"/>
  <c r="AU15" i="38"/>
  <c r="AS15" i="38"/>
  <c r="AQ15" i="38"/>
  <c r="AR15" i="38" s="1"/>
  <c r="AL15" i="38"/>
  <c r="AJ15" i="38"/>
  <c r="AH15" i="38"/>
  <c r="AC15" i="38"/>
  <c r="AA15" i="38"/>
  <c r="Y15" i="38"/>
  <c r="Z15" i="38" s="1"/>
  <c r="T15" i="38"/>
  <c r="R15" i="38"/>
  <c r="P15" i="38"/>
  <c r="Q15" i="38" s="1"/>
  <c r="K15" i="38"/>
  <c r="I15" i="38"/>
  <c r="G15" i="38"/>
  <c r="H15" i="38" s="1"/>
  <c r="D15" i="38"/>
  <c r="BH14" i="38"/>
  <c r="BD14" i="38"/>
  <c r="BB14" i="38"/>
  <c r="AZ14" i="38"/>
  <c r="AU14" i="38"/>
  <c r="AS14" i="38"/>
  <c r="AQ14" i="38"/>
  <c r="AL14" i="38"/>
  <c r="AJ14" i="38"/>
  <c r="AH14" i="38"/>
  <c r="AI14" i="38" s="1"/>
  <c r="AC14" i="38"/>
  <c r="AA14" i="38"/>
  <c r="Y14" i="38"/>
  <c r="Z14" i="38" s="1"/>
  <c r="T14" i="38"/>
  <c r="R14" i="38"/>
  <c r="P14" i="38"/>
  <c r="Q14" i="38" s="1"/>
  <c r="K14" i="38"/>
  <c r="I14" i="38"/>
  <c r="G14" i="38"/>
  <c r="H14" i="38" s="1"/>
  <c r="D14" i="38"/>
  <c r="BH13" i="38"/>
  <c r="BD13" i="38"/>
  <c r="BB13" i="38"/>
  <c r="AZ13" i="38"/>
  <c r="AU13" i="38"/>
  <c r="AS13" i="38"/>
  <c r="AQ13" i="38"/>
  <c r="AR13" i="38" s="1"/>
  <c r="AL13" i="38"/>
  <c r="AJ13" i="38"/>
  <c r="AH13" i="38"/>
  <c r="AI13" i="38" s="1"/>
  <c r="AC13" i="38"/>
  <c r="AA13" i="38"/>
  <c r="Y13" i="38"/>
  <c r="T13" i="38"/>
  <c r="R13" i="38"/>
  <c r="P13" i="38"/>
  <c r="K13" i="38"/>
  <c r="I13" i="38"/>
  <c r="G13" i="38"/>
  <c r="H13" i="38" s="1"/>
  <c r="D13" i="38"/>
  <c r="BH12" i="38"/>
  <c r="BD12" i="38"/>
  <c r="BB12" i="38"/>
  <c r="AZ12" i="38"/>
  <c r="BA12" i="38" s="1"/>
  <c r="AU12" i="38"/>
  <c r="AS12" i="38"/>
  <c r="AQ12" i="38"/>
  <c r="AL12" i="38"/>
  <c r="AJ12" i="38"/>
  <c r="AH12" i="38"/>
  <c r="AC12" i="38"/>
  <c r="AA12" i="38"/>
  <c r="Y12" i="38"/>
  <c r="T12" i="38"/>
  <c r="R12" i="38"/>
  <c r="P12" i="38"/>
  <c r="Q12" i="38" s="1"/>
  <c r="K12" i="38"/>
  <c r="I12" i="38"/>
  <c r="G12" i="38"/>
  <c r="H12" i="38" s="1"/>
  <c r="D12" i="38"/>
  <c r="BH11" i="38"/>
  <c r="BD11" i="38"/>
  <c r="BB11" i="38"/>
  <c r="AZ11" i="38"/>
  <c r="BA11" i="38" s="1"/>
  <c r="AU11" i="38"/>
  <c r="AS11" i="38"/>
  <c r="AQ11" i="38"/>
  <c r="AL11" i="38"/>
  <c r="AJ11" i="38"/>
  <c r="AH11" i="38"/>
  <c r="AC11" i="38"/>
  <c r="AA11" i="38"/>
  <c r="Y11" i="38"/>
  <c r="Z11" i="38" s="1"/>
  <c r="T11" i="38"/>
  <c r="R11" i="38"/>
  <c r="P11" i="38"/>
  <c r="K11" i="38"/>
  <c r="I11" i="38"/>
  <c r="G11" i="38"/>
  <c r="H11" i="38" s="1"/>
  <c r="D11" i="38"/>
  <c r="BH10" i="38"/>
  <c r="BD10" i="38"/>
  <c r="BB10" i="38"/>
  <c r="AZ10" i="38"/>
  <c r="AU10" i="38"/>
  <c r="AS10" i="38"/>
  <c r="AQ10" i="38"/>
  <c r="AL10" i="38"/>
  <c r="AJ10" i="38"/>
  <c r="AH10" i="38"/>
  <c r="AI10" i="38" s="1"/>
  <c r="AC10" i="38"/>
  <c r="AA10" i="38"/>
  <c r="Y10" i="38"/>
  <c r="Z10" i="38" s="1"/>
  <c r="T10" i="38"/>
  <c r="R10" i="38"/>
  <c r="P10" i="38"/>
  <c r="Q10" i="38" s="1"/>
  <c r="K10" i="38"/>
  <c r="I10" i="38"/>
  <c r="G10" i="38"/>
  <c r="H10" i="38" s="1"/>
  <c r="D10" i="38"/>
  <c r="BH9" i="38"/>
  <c r="BD9" i="38"/>
  <c r="BB9" i="38"/>
  <c r="AZ9" i="38"/>
  <c r="AU9" i="38"/>
  <c r="AS9" i="38"/>
  <c r="AQ9" i="38"/>
  <c r="AR9" i="38" s="1"/>
  <c r="AL9" i="38"/>
  <c r="AJ9" i="38"/>
  <c r="AH9" i="38"/>
  <c r="AI9" i="38" s="1"/>
  <c r="AC9" i="38"/>
  <c r="AA9" i="38"/>
  <c r="Y9" i="38"/>
  <c r="T9" i="38"/>
  <c r="R9" i="38"/>
  <c r="P9" i="38"/>
  <c r="K9" i="38"/>
  <c r="I9" i="38"/>
  <c r="G9" i="38"/>
  <c r="H9" i="38" s="1"/>
  <c r="D9" i="38"/>
  <c r="P47" i="1"/>
  <c r="G47" i="1"/>
  <c r="H47" i="1" s="1"/>
  <c r="D47" i="1"/>
  <c r="P46" i="1"/>
  <c r="G46" i="1"/>
  <c r="H46" i="1" s="1"/>
  <c r="D46" i="1"/>
  <c r="P45" i="1"/>
  <c r="G45" i="1"/>
  <c r="H45" i="1" s="1"/>
  <c r="D45" i="1"/>
  <c r="P44" i="1"/>
  <c r="G44" i="1"/>
  <c r="H44" i="1" s="1"/>
  <c r="D44" i="1"/>
  <c r="P43" i="1"/>
  <c r="G43" i="1"/>
  <c r="H43" i="1" s="1"/>
  <c r="D43" i="1"/>
  <c r="P42" i="1"/>
  <c r="G42" i="1"/>
  <c r="H42" i="1" s="1"/>
  <c r="D42" i="1"/>
  <c r="P41" i="1"/>
  <c r="G41" i="1"/>
  <c r="H41" i="1" s="1"/>
  <c r="D41" i="1"/>
  <c r="P40" i="1"/>
  <c r="G40" i="1"/>
  <c r="H40" i="1" s="1"/>
  <c r="D40" i="1"/>
  <c r="P39" i="1"/>
  <c r="G39" i="1"/>
  <c r="H39" i="1" s="1"/>
  <c r="D39" i="1"/>
  <c r="P38" i="1"/>
  <c r="G38" i="1"/>
  <c r="H38" i="1" s="1"/>
  <c r="D38" i="1"/>
  <c r="P37" i="1"/>
  <c r="G37" i="1"/>
  <c r="H37" i="1" s="1"/>
  <c r="D37" i="1"/>
  <c r="P36" i="1"/>
  <c r="G36" i="1"/>
  <c r="H36" i="1" s="1"/>
  <c r="D36" i="1"/>
  <c r="P35" i="1"/>
  <c r="G35" i="1"/>
  <c r="H35" i="1" s="1"/>
  <c r="D35" i="1"/>
  <c r="P34" i="1"/>
  <c r="G34" i="1"/>
  <c r="H34" i="1" s="1"/>
  <c r="D34" i="1"/>
  <c r="P33" i="1"/>
  <c r="G33" i="1"/>
  <c r="H33" i="1" s="1"/>
  <c r="D33" i="1"/>
  <c r="P32" i="1"/>
  <c r="G32" i="1"/>
  <c r="H32" i="1" s="1"/>
  <c r="D32" i="1"/>
  <c r="P31" i="1"/>
  <c r="G31" i="1"/>
  <c r="H31" i="1" s="1"/>
  <c r="D31" i="1"/>
  <c r="P30" i="1"/>
  <c r="G30" i="1"/>
  <c r="H30" i="1" s="1"/>
  <c r="D30" i="1"/>
  <c r="P29" i="1"/>
  <c r="G29" i="1"/>
  <c r="H29" i="1" s="1"/>
  <c r="D29" i="1"/>
  <c r="P28" i="1"/>
  <c r="G28" i="1"/>
  <c r="H28" i="1" s="1"/>
  <c r="D28" i="1"/>
  <c r="P27" i="1"/>
  <c r="G27" i="1"/>
  <c r="H27" i="1" s="1"/>
  <c r="D27" i="1"/>
  <c r="P26" i="1"/>
  <c r="G26" i="1"/>
  <c r="H26" i="1" s="1"/>
  <c r="D26" i="1"/>
  <c r="P25" i="1"/>
  <c r="G25" i="1"/>
  <c r="H25" i="1" s="1"/>
  <c r="D25" i="1"/>
  <c r="T24" i="1"/>
  <c r="R24" i="1"/>
  <c r="P24" i="1"/>
  <c r="Q24" i="1" s="1"/>
  <c r="G24" i="1"/>
  <c r="H24" i="1" s="1"/>
  <c r="D24" i="1"/>
  <c r="BH23" i="1"/>
  <c r="T23" i="1"/>
  <c r="R23" i="1"/>
  <c r="P23" i="1"/>
  <c r="Q23" i="1" s="1"/>
  <c r="K23" i="1"/>
  <c r="I23" i="1"/>
  <c r="G23" i="1"/>
  <c r="H23" i="1" s="1"/>
  <c r="D23" i="1"/>
  <c r="BH22" i="1"/>
  <c r="BD22" i="1"/>
  <c r="BB22" i="1"/>
  <c r="AZ22" i="1"/>
  <c r="AU22" i="1"/>
  <c r="AS22" i="1"/>
  <c r="AQ22" i="1"/>
  <c r="AL22" i="1"/>
  <c r="AJ22" i="1"/>
  <c r="AH22" i="1"/>
  <c r="AI22" i="1" s="1"/>
  <c r="AC22" i="1"/>
  <c r="AA22" i="1"/>
  <c r="Y22" i="1"/>
  <c r="Z22" i="1" s="1"/>
  <c r="T22" i="1"/>
  <c r="R22" i="1"/>
  <c r="P22" i="1"/>
  <c r="K22" i="1"/>
  <c r="I22" i="1"/>
  <c r="G22" i="1"/>
  <c r="H22" i="1" s="1"/>
  <c r="D22" i="1"/>
  <c r="BH21" i="1"/>
  <c r="BD21" i="1"/>
  <c r="BB21" i="1"/>
  <c r="AZ21" i="1"/>
  <c r="AU21" i="1"/>
  <c r="AS21" i="1"/>
  <c r="AQ21" i="1"/>
  <c r="AR21" i="1" s="1"/>
  <c r="AL21" i="1"/>
  <c r="AJ21" i="1"/>
  <c r="AH21" i="1"/>
  <c r="AI21" i="1" s="1"/>
  <c r="AC21" i="1"/>
  <c r="AA21" i="1"/>
  <c r="Y21" i="1"/>
  <c r="T21" i="1"/>
  <c r="R21" i="1"/>
  <c r="P21" i="1"/>
  <c r="K21" i="1"/>
  <c r="I21" i="1"/>
  <c r="G21" i="1"/>
  <c r="H21" i="1" s="1"/>
  <c r="D21" i="1"/>
  <c r="BH20" i="1"/>
  <c r="BD20" i="1"/>
  <c r="BB20" i="1"/>
  <c r="AZ20" i="1"/>
  <c r="BA20" i="1" s="1"/>
  <c r="AU20" i="1"/>
  <c r="AS20" i="1"/>
  <c r="AQ20" i="1"/>
  <c r="AR20" i="1" s="1"/>
  <c r="AL20" i="1"/>
  <c r="AJ20" i="1"/>
  <c r="AH20" i="1"/>
  <c r="AC20" i="1"/>
  <c r="AA20" i="1"/>
  <c r="Y20" i="1"/>
  <c r="T20" i="1"/>
  <c r="R20" i="1"/>
  <c r="P20" i="1"/>
  <c r="Q20" i="1" s="1"/>
  <c r="K20" i="1"/>
  <c r="I20" i="1"/>
  <c r="G20" i="1"/>
  <c r="H20" i="1" s="1"/>
  <c r="D20" i="1"/>
  <c r="BH19" i="1"/>
  <c r="BD19" i="1"/>
  <c r="BB19" i="1"/>
  <c r="AZ19" i="1"/>
  <c r="BA19" i="1" s="1"/>
  <c r="AU19" i="1"/>
  <c r="AS19" i="1"/>
  <c r="AQ19" i="1"/>
  <c r="AL19" i="1"/>
  <c r="AJ19" i="1"/>
  <c r="AH19" i="1"/>
  <c r="AC19" i="1"/>
  <c r="AA19" i="1"/>
  <c r="Y19" i="1"/>
  <c r="Z19" i="1" s="1"/>
  <c r="T19" i="1"/>
  <c r="R19" i="1"/>
  <c r="P19" i="1"/>
  <c r="Q19" i="1" s="1"/>
  <c r="K19" i="1"/>
  <c r="I19" i="1"/>
  <c r="G19" i="1"/>
  <c r="H19" i="1" s="1"/>
  <c r="D19" i="1"/>
  <c r="BH18" i="1"/>
  <c r="BD18" i="1"/>
  <c r="BB18" i="1"/>
  <c r="AZ18" i="1"/>
  <c r="AU18" i="1"/>
  <c r="AS18" i="1"/>
  <c r="AQ18" i="1"/>
  <c r="AL18" i="1"/>
  <c r="AJ18" i="1"/>
  <c r="AH18" i="1"/>
  <c r="AI18" i="1" s="1"/>
  <c r="AC18" i="1"/>
  <c r="AA18" i="1"/>
  <c r="Y18" i="1"/>
  <c r="Z18" i="1" s="1"/>
  <c r="T18" i="1"/>
  <c r="R18" i="1"/>
  <c r="P18" i="1"/>
  <c r="K18" i="1"/>
  <c r="I18" i="1"/>
  <c r="G18" i="1"/>
  <c r="H18" i="1" s="1"/>
  <c r="D18" i="1"/>
  <c r="BH17" i="1"/>
  <c r="BD17" i="1"/>
  <c r="BB17" i="1"/>
  <c r="AZ17" i="1"/>
  <c r="AU17" i="1"/>
  <c r="AS17" i="1"/>
  <c r="AQ17" i="1"/>
  <c r="AR17" i="1" s="1"/>
  <c r="AL17" i="1"/>
  <c r="AJ17" i="1"/>
  <c r="AH17" i="1"/>
  <c r="AI17" i="1" s="1"/>
  <c r="AC17" i="1"/>
  <c r="AA17" i="1"/>
  <c r="Y17" i="1"/>
  <c r="T17" i="1"/>
  <c r="R17" i="1"/>
  <c r="P17" i="1"/>
  <c r="K17" i="1"/>
  <c r="I17" i="1"/>
  <c r="G17" i="1"/>
  <c r="H17" i="1" s="1"/>
  <c r="D17" i="1"/>
  <c r="BH16" i="1"/>
  <c r="BD16" i="1"/>
  <c r="BB16" i="1"/>
  <c r="AZ16" i="1"/>
  <c r="BA16" i="1" s="1"/>
  <c r="AU16" i="1"/>
  <c r="AS16" i="1"/>
  <c r="AQ16" i="1"/>
  <c r="AR16" i="1" s="1"/>
  <c r="AL16" i="1"/>
  <c r="AJ16" i="1"/>
  <c r="AH16" i="1"/>
  <c r="AC16" i="1"/>
  <c r="AA16" i="1"/>
  <c r="Y16" i="1"/>
  <c r="T16" i="1"/>
  <c r="R16" i="1"/>
  <c r="P16" i="1"/>
  <c r="Q16" i="1" s="1"/>
  <c r="K16" i="1"/>
  <c r="I16" i="1"/>
  <c r="G16" i="1"/>
  <c r="H16" i="1" s="1"/>
  <c r="D16" i="1"/>
  <c r="BH15" i="1"/>
  <c r="BD15" i="1"/>
  <c r="BB15" i="1"/>
  <c r="AZ15" i="1"/>
  <c r="BA15" i="1" s="1"/>
  <c r="AU15" i="1"/>
  <c r="AS15" i="1"/>
  <c r="AQ15" i="1"/>
  <c r="AL15" i="1"/>
  <c r="AJ15" i="1"/>
  <c r="AH15" i="1"/>
  <c r="AC15" i="1"/>
  <c r="AA15" i="1"/>
  <c r="Y15" i="1"/>
  <c r="Z15" i="1" s="1"/>
  <c r="T15" i="1"/>
  <c r="R15" i="1"/>
  <c r="P15" i="1"/>
  <c r="Q15" i="1" s="1"/>
  <c r="K15" i="1"/>
  <c r="I15" i="1"/>
  <c r="G15" i="1"/>
  <c r="H15" i="1" s="1"/>
  <c r="D15" i="1"/>
  <c r="BH14" i="1"/>
  <c r="BD14" i="1"/>
  <c r="BB14" i="1"/>
  <c r="AZ14" i="1"/>
  <c r="AU14" i="1"/>
  <c r="AS14" i="1"/>
  <c r="AQ14" i="1"/>
  <c r="AL14" i="1"/>
  <c r="AJ14" i="1"/>
  <c r="AH14" i="1"/>
  <c r="AI14" i="1" s="1"/>
  <c r="AC14" i="1"/>
  <c r="AA14" i="1"/>
  <c r="Y14" i="1"/>
  <c r="Z14" i="1" s="1"/>
  <c r="T14" i="1"/>
  <c r="R14" i="1"/>
  <c r="P14" i="1"/>
  <c r="K14" i="1"/>
  <c r="I14" i="1"/>
  <c r="G14" i="1"/>
  <c r="H14" i="1" s="1"/>
  <c r="D14" i="1"/>
  <c r="BH13" i="1"/>
  <c r="BD13" i="1"/>
  <c r="BB13" i="1"/>
  <c r="AZ13" i="1"/>
  <c r="AU13" i="1"/>
  <c r="AS13" i="1"/>
  <c r="AQ13" i="1"/>
  <c r="AR13" i="1" s="1"/>
  <c r="AL13" i="1"/>
  <c r="AJ13" i="1"/>
  <c r="AH13" i="1"/>
  <c r="AI13" i="1" s="1"/>
  <c r="AC13" i="1"/>
  <c r="AA13" i="1"/>
  <c r="Y13" i="1"/>
  <c r="T13" i="1"/>
  <c r="R13" i="1"/>
  <c r="P13" i="1"/>
  <c r="K13" i="1"/>
  <c r="I13" i="1"/>
  <c r="G13" i="1"/>
  <c r="H13" i="1" s="1"/>
  <c r="D13" i="1"/>
  <c r="BH12" i="1"/>
  <c r="BD12" i="1"/>
  <c r="BB12" i="1"/>
  <c r="AZ12" i="1"/>
  <c r="BA12" i="1" s="1"/>
  <c r="AU12" i="1"/>
  <c r="AS12" i="1"/>
  <c r="AQ12" i="1"/>
  <c r="AR12" i="1" s="1"/>
  <c r="AL12" i="1"/>
  <c r="AJ12" i="1"/>
  <c r="AH12" i="1"/>
  <c r="AC12" i="1"/>
  <c r="AA12" i="1"/>
  <c r="Y12" i="1"/>
  <c r="T12" i="1"/>
  <c r="R12" i="1"/>
  <c r="P12" i="1"/>
  <c r="Q12" i="1" s="1"/>
  <c r="K12" i="1"/>
  <c r="I12" i="1"/>
  <c r="G12" i="1"/>
  <c r="H12" i="1" s="1"/>
  <c r="D12" i="1"/>
  <c r="BH11" i="1"/>
  <c r="BD11" i="1"/>
  <c r="BB11" i="1"/>
  <c r="AZ11" i="1"/>
  <c r="BA11" i="1" s="1"/>
  <c r="AU11" i="1"/>
  <c r="AS11" i="1"/>
  <c r="AQ11" i="1"/>
  <c r="AL11" i="1"/>
  <c r="AJ11" i="1"/>
  <c r="AH11" i="1"/>
  <c r="AC11" i="1"/>
  <c r="AA11" i="1"/>
  <c r="Y11" i="1"/>
  <c r="Z11" i="1" s="1"/>
  <c r="T11" i="1"/>
  <c r="R11" i="1"/>
  <c r="P11" i="1"/>
  <c r="Q11" i="1" s="1"/>
  <c r="K11" i="1"/>
  <c r="I11" i="1"/>
  <c r="G11" i="1"/>
  <c r="H11" i="1" s="1"/>
  <c r="D11" i="1"/>
  <c r="BH10" i="1"/>
  <c r="BD10" i="1"/>
  <c r="BB10" i="1"/>
  <c r="AZ10" i="1"/>
  <c r="AU10" i="1"/>
  <c r="AS10" i="1"/>
  <c r="AQ10" i="1"/>
  <c r="AL10" i="1"/>
  <c r="AJ10" i="1"/>
  <c r="AH10" i="1"/>
  <c r="AI10" i="1" s="1"/>
  <c r="AC10" i="1"/>
  <c r="AA10" i="1"/>
  <c r="Y10" i="1"/>
  <c r="Z10" i="1" s="1"/>
  <c r="T10" i="1"/>
  <c r="R10" i="1"/>
  <c r="P10" i="1"/>
  <c r="K10" i="1"/>
  <c r="I10" i="1"/>
  <c r="G10" i="1"/>
  <c r="H10" i="1" s="1"/>
  <c r="D10" i="1"/>
  <c r="BD9" i="1"/>
  <c r="BB9" i="1"/>
  <c r="AZ9" i="1"/>
  <c r="AU9" i="1"/>
  <c r="AS9" i="1"/>
  <c r="AQ9" i="1"/>
  <c r="AR9" i="1" s="1"/>
  <c r="AL9" i="1"/>
  <c r="AJ9" i="1"/>
  <c r="AH9" i="1"/>
  <c r="AI9" i="1" s="1"/>
  <c r="AC9" i="1"/>
  <c r="AA9" i="1"/>
  <c r="Y9" i="1"/>
  <c r="T9" i="1"/>
  <c r="R9" i="1"/>
  <c r="P9" i="1"/>
  <c r="K9" i="1"/>
  <c r="I9" i="1"/>
  <c r="G9" i="1"/>
  <c r="H9" i="1" s="1"/>
  <c r="D9" i="1"/>
  <c r="C9" i="33"/>
  <c r="C9" i="23" s="1"/>
  <c r="C10" i="33"/>
  <c r="C10" i="1" s="1"/>
  <c r="C11" i="33"/>
  <c r="C11" i="1" s="1"/>
  <c r="C12" i="33"/>
  <c r="C13" i="33"/>
  <c r="C13" i="1" s="1"/>
  <c r="C14" i="33"/>
  <c r="C14" i="1" s="1"/>
  <c r="C15" i="33"/>
  <c r="C15" i="1" s="1"/>
  <c r="C16" i="33"/>
  <c r="C17" i="33"/>
  <c r="C17" i="1" s="1"/>
  <c r="C18" i="33"/>
  <c r="C18" i="1" s="1"/>
  <c r="C19" i="33"/>
  <c r="C20" i="33"/>
  <c r="C20" i="1" s="1"/>
  <c r="C21" i="33"/>
  <c r="C22" i="33"/>
  <c r="C22" i="1" s="1"/>
  <c r="C23" i="33"/>
  <c r="C24" i="33"/>
  <c r="C25" i="33"/>
  <c r="C26" i="33"/>
  <c r="C26" i="1" s="1"/>
  <c r="C27" i="33"/>
  <c r="C28" i="33"/>
  <c r="C28" i="1" s="1"/>
  <c r="C29" i="33"/>
  <c r="C30" i="33"/>
  <c r="C30" i="1" s="1"/>
  <c r="C31" i="33"/>
  <c r="C31" i="1" s="1"/>
  <c r="C32" i="33"/>
  <c r="C33" i="33"/>
  <c r="C34" i="33"/>
  <c r="C35" i="33"/>
  <c r="C36" i="33"/>
  <c r="C36" i="23" s="1"/>
  <c r="C37" i="33"/>
  <c r="C38" i="33"/>
  <c r="C39" i="33"/>
  <c r="C40" i="33"/>
  <c r="C41" i="33"/>
  <c r="C42" i="33"/>
  <c r="C43" i="33"/>
  <c r="C44" i="33"/>
  <c r="C45" i="33"/>
  <c r="C46" i="33"/>
  <c r="C47" i="33"/>
  <c r="C8" i="33"/>
  <c r="C8" i="1" s="1"/>
  <c r="K9" i="33"/>
  <c r="N9" i="33"/>
  <c r="R9" i="33"/>
  <c r="U9" i="33"/>
  <c r="Y9" i="33"/>
  <c r="AB9" i="33"/>
  <c r="AF9" i="33"/>
  <c r="AI9" i="33"/>
  <c r="AM9" i="33"/>
  <c r="AP9" i="33"/>
  <c r="AT9" i="33"/>
  <c r="K10" i="33"/>
  <c r="N10" i="33"/>
  <c r="R10" i="33"/>
  <c r="U10" i="33"/>
  <c r="Y10" i="33"/>
  <c r="AB10" i="33"/>
  <c r="AF10" i="33"/>
  <c r="AI10" i="33"/>
  <c r="AM10" i="33"/>
  <c r="AP10" i="33"/>
  <c r="AT10" i="33"/>
  <c r="K11" i="33"/>
  <c r="N11" i="33"/>
  <c r="R11" i="33"/>
  <c r="U11" i="33"/>
  <c r="Y11" i="33"/>
  <c r="AB11" i="33"/>
  <c r="AF11" i="33"/>
  <c r="AI11" i="33"/>
  <c r="AM11" i="33"/>
  <c r="AP11" i="33"/>
  <c r="AT11" i="33"/>
  <c r="K12" i="33"/>
  <c r="N12" i="33"/>
  <c r="R12" i="33"/>
  <c r="U12" i="33"/>
  <c r="Y12" i="33"/>
  <c r="AB12" i="33"/>
  <c r="AF12" i="33"/>
  <c r="AI12" i="33"/>
  <c r="AM12" i="33"/>
  <c r="AP12" i="33"/>
  <c r="AT12" i="33"/>
  <c r="K13" i="33"/>
  <c r="N13" i="33"/>
  <c r="R13" i="33"/>
  <c r="U13" i="33"/>
  <c r="Y13" i="33"/>
  <c r="AB13" i="33"/>
  <c r="AF13" i="33"/>
  <c r="AI13" i="33"/>
  <c r="AM13" i="33"/>
  <c r="AP13" i="33"/>
  <c r="AT13" i="33"/>
  <c r="K14" i="33"/>
  <c r="N14" i="33"/>
  <c r="R14" i="33"/>
  <c r="U14" i="33"/>
  <c r="Y14" i="33"/>
  <c r="AB14" i="33"/>
  <c r="AF14" i="33"/>
  <c r="AI14" i="33"/>
  <c r="AM14" i="33"/>
  <c r="AP14" i="33"/>
  <c r="AT14" i="33"/>
  <c r="K15" i="33"/>
  <c r="N15" i="33"/>
  <c r="R15" i="33"/>
  <c r="U15" i="33"/>
  <c r="Y15" i="33"/>
  <c r="AB15" i="33"/>
  <c r="AF15" i="33"/>
  <c r="AI15" i="33"/>
  <c r="AM15" i="33"/>
  <c r="AP15" i="33"/>
  <c r="AT15" i="33"/>
  <c r="K16" i="33"/>
  <c r="N16" i="33"/>
  <c r="R16" i="33"/>
  <c r="U16" i="33"/>
  <c r="Y16" i="33"/>
  <c r="AB16" i="33"/>
  <c r="AF16" i="33"/>
  <c r="AI16" i="33"/>
  <c r="AM16" i="33"/>
  <c r="AP16" i="33"/>
  <c r="AT16" i="33"/>
  <c r="K17" i="33"/>
  <c r="N17" i="33"/>
  <c r="R17" i="33"/>
  <c r="U17" i="33"/>
  <c r="Y17" i="33"/>
  <c r="AB17" i="33"/>
  <c r="AF17" i="33"/>
  <c r="AI17" i="33"/>
  <c r="AM17" i="33"/>
  <c r="AP17" i="33"/>
  <c r="AT17" i="33"/>
  <c r="K18" i="33"/>
  <c r="N18" i="33"/>
  <c r="R18" i="33"/>
  <c r="U18" i="33"/>
  <c r="Y18" i="33"/>
  <c r="AB18" i="33"/>
  <c r="AF18" i="33"/>
  <c r="AI18" i="33"/>
  <c r="AM18" i="33"/>
  <c r="AP18" i="33"/>
  <c r="AT18" i="33"/>
  <c r="K19" i="33"/>
  <c r="N19" i="33"/>
  <c r="R19" i="33"/>
  <c r="U19" i="33"/>
  <c r="Y19" i="33"/>
  <c r="AB19" i="33"/>
  <c r="AF19" i="33"/>
  <c r="AI19" i="33"/>
  <c r="AM19" i="33"/>
  <c r="AP19" i="33"/>
  <c r="AT19" i="33"/>
  <c r="K20" i="33"/>
  <c r="N20" i="33"/>
  <c r="R20" i="33"/>
  <c r="U20" i="33"/>
  <c r="Y20" i="33"/>
  <c r="AB20" i="33"/>
  <c r="AF20" i="33"/>
  <c r="AI20" i="33"/>
  <c r="AM20" i="33"/>
  <c r="AP20" i="33"/>
  <c r="AT20" i="33"/>
  <c r="K21" i="33"/>
  <c r="N21" i="33"/>
  <c r="R21" i="33"/>
  <c r="U21" i="33"/>
  <c r="Y21" i="33"/>
  <c r="AB21" i="33"/>
  <c r="AF21" i="33"/>
  <c r="AI21" i="33"/>
  <c r="AM21" i="33"/>
  <c r="AP21" i="33"/>
  <c r="AT21" i="33"/>
  <c r="K22" i="33"/>
  <c r="N22" i="33"/>
  <c r="R22" i="33"/>
  <c r="U22" i="33"/>
  <c r="Y22" i="33"/>
  <c r="AB22" i="33"/>
  <c r="AF22" i="33"/>
  <c r="AI22" i="33"/>
  <c r="AM22" i="33"/>
  <c r="AP22" i="33"/>
  <c r="AT22" i="33"/>
  <c r="K23" i="33"/>
  <c r="N23" i="33"/>
  <c r="R23" i="33"/>
  <c r="U23" i="33"/>
  <c r="Y23" i="33"/>
  <c r="AB23" i="33"/>
  <c r="AF23" i="33"/>
  <c r="AI23" i="33"/>
  <c r="AM23" i="33"/>
  <c r="AP23" i="33"/>
  <c r="AT23" i="33"/>
  <c r="K24" i="33"/>
  <c r="N24" i="33"/>
  <c r="R24" i="33"/>
  <c r="U24" i="33"/>
  <c r="Y24" i="33"/>
  <c r="AB24" i="33"/>
  <c r="AF24" i="33"/>
  <c r="AI24" i="33"/>
  <c r="AM24" i="33"/>
  <c r="AP24" i="33"/>
  <c r="AT24" i="33"/>
  <c r="K25" i="33"/>
  <c r="N25" i="33"/>
  <c r="R25" i="33"/>
  <c r="U25" i="33"/>
  <c r="Y25" i="33"/>
  <c r="AB25" i="33"/>
  <c r="AF25" i="33"/>
  <c r="AI25" i="33"/>
  <c r="AM25" i="33"/>
  <c r="AP25" i="33"/>
  <c r="AT25" i="33"/>
  <c r="K26" i="33"/>
  <c r="N26" i="33"/>
  <c r="R26" i="33"/>
  <c r="U26" i="33"/>
  <c r="Y26" i="33"/>
  <c r="AB26" i="33"/>
  <c r="AF26" i="33"/>
  <c r="AI26" i="33"/>
  <c r="AM26" i="33"/>
  <c r="AP26" i="33"/>
  <c r="AT26" i="33"/>
  <c r="K27" i="33"/>
  <c r="N27" i="33"/>
  <c r="R27" i="33"/>
  <c r="U27" i="33"/>
  <c r="Y27" i="33"/>
  <c r="AB27" i="33"/>
  <c r="AF27" i="33"/>
  <c r="AI27" i="33"/>
  <c r="AM27" i="33"/>
  <c r="AP27" i="33"/>
  <c r="AT27" i="33"/>
  <c r="K28" i="33"/>
  <c r="N28" i="33"/>
  <c r="R28" i="33"/>
  <c r="U28" i="33"/>
  <c r="Y28" i="33"/>
  <c r="AB28" i="33"/>
  <c r="AF28" i="33"/>
  <c r="AI28" i="33"/>
  <c r="AM28" i="33"/>
  <c r="AP28" i="33"/>
  <c r="AT28" i="33"/>
  <c r="K29" i="33"/>
  <c r="N29" i="33"/>
  <c r="R29" i="33"/>
  <c r="U29" i="33"/>
  <c r="Y29" i="33"/>
  <c r="AB29" i="33"/>
  <c r="AF29" i="33"/>
  <c r="AI29" i="33"/>
  <c r="AM29" i="33"/>
  <c r="AP29" i="33"/>
  <c r="AT29" i="33"/>
  <c r="K30" i="33"/>
  <c r="N30" i="33"/>
  <c r="R30" i="33"/>
  <c r="U30" i="33"/>
  <c r="Y30" i="33"/>
  <c r="AB30" i="33"/>
  <c r="AF30" i="33"/>
  <c r="AI30" i="33"/>
  <c r="AM30" i="33"/>
  <c r="AP30" i="33"/>
  <c r="AT30" i="33"/>
  <c r="K31" i="33"/>
  <c r="N31" i="33"/>
  <c r="R31" i="33"/>
  <c r="U31" i="33"/>
  <c r="Y31" i="33"/>
  <c r="AB31" i="33"/>
  <c r="AF31" i="33"/>
  <c r="AI31" i="33"/>
  <c r="AM31" i="33"/>
  <c r="AP31" i="33"/>
  <c r="AT31" i="33"/>
  <c r="K32" i="33"/>
  <c r="N32" i="33"/>
  <c r="R32" i="33"/>
  <c r="U32" i="33"/>
  <c r="Y32" i="33"/>
  <c r="AB32" i="33"/>
  <c r="AF32" i="33"/>
  <c r="AI32" i="33"/>
  <c r="AM32" i="33"/>
  <c r="AP32" i="33"/>
  <c r="AT32" i="33"/>
  <c r="K33" i="33"/>
  <c r="N33" i="33"/>
  <c r="R33" i="33"/>
  <c r="U33" i="33"/>
  <c r="Y33" i="33"/>
  <c r="AB33" i="33"/>
  <c r="AF33" i="33"/>
  <c r="AI33" i="33"/>
  <c r="AM33" i="33"/>
  <c r="AP33" i="33"/>
  <c r="AT33" i="33"/>
  <c r="K34" i="33"/>
  <c r="N34" i="33"/>
  <c r="R34" i="33"/>
  <c r="U34" i="33"/>
  <c r="Y34" i="33"/>
  <c r="AB34" i="33"/>
  <c r="AF34" i="33"/>
  <c r="AI34" i="33"/>
  <c r="AM34" i="33"/>
  <c r="AP34" i="33"/>
  <c r="AT34" i="33"/>
  <c r="K35" i="33"/>
  <c r="N35" i="33"/>
  <c r="R35" i="33"/>
  <c r="U35" i="33"/>
  <c r="Y35" i="33"/>
  <c r="AB35" i="33"/>
  <c r="AF35" i="33"/>
  <c r="AI35" i="33"/>
  <c r="AM35" i="33"/>
  <c r="AP35" i="33"/>
  <c r="AT35" i="33"/>
  <c r="K36" i="33"/>
  <c r="N36" i="33"/>
  <c r="R36" i="33"/>
  <c r="U36" i="33"/>
  <c r="Y36" i="33"/>
  <c r="AB36" i="33"/>
  <c r="AF36" i="33"/>
  <c r="AI36" i="33"/>
  <c r="AM36" i="33"/>
  <c r="AP36" i="33"/>
  <c r="AT36" i="33"/>
  <c r="K37" i="33"/>
  <c r="N37" i="33"/>
  <c r="R37" i="33"/>
  <c r="U37" i="33"/>
  <c r="Y37" i="33"/>
  <c r="AB37" i="33"/>
  <c r="AF37" i="33"/>
  <c r="AI37" i="33"/>
  <c r="AM37" i="33"/>
  <c r="AP37" i="33"/>
  <c r="AT37" i="33"/>
  <c r="K38" i="33"/>
  <c r="N38" i="33"/>
  <c r="R38" i="33"/>
  <c r="U38" i="33"/>
  <c r="Y38" i="33"/>
  <c r="AB38" i="33"/>
  <c r="AF38" i="33"/>
  <c r="AI38" i="33"/>
  <c r="AM38" i="33"/>
  <c r="AP38" i="33"/>
  <c r="AT38" i="33"/>
  <c r="K39" i="33"/>
  <c r="N39" i="33"/>
  <c r="R39" i="33"/>
  <c r="U39" i="33"/>
  <c r="Y39" i="33"/>
  <c r="AB39" i="33"/>
  <c r="AF39" i="33"/>
  <c r="AI39" i="33"/>
  <c r="AM39" i="33"/>
  <c r="AP39" i="33"/>
  <c r="AT39" i="33"/>
  <c r="K40" i="33"/>
  <c r="N40" i="33"/>
  <c r="R40" i="33"/>
  <c r="U40" i="33"/>
  <c r="Y40" i="33"/>
  <c r="AB40" i="33"/>
  <c r="AF40" i="33"/>
  <c r="AI40" i="33"/>
  <c r="AM40" i="33"/>
  <c r="AP40" i="33"/>
  <c r="AT40" i="33"/>
  <c r="K41" i="33"/>
  <c r="N41" i="33"/>
  <c r="R41" i="33"/>
  <c r="U41" i="33"/>
  <c r="Y41" i="33"/>
  <c r="AB41" i="33"/>
  <c r="AF41" i="33"/>
  <c r="AI41" i="33"/>
  <c r="AM41" i="33"/>
  <c r="AP41" i="33"/>
  <c r="AT41" i="33"/>
  <c r="K42" i="33"/>
  <c r="N42" i="33"/>
  <c r="R42" i="33"/>
  <c r="U42" i="33"/>
  <c r="Y42" i="33"/>
  <c r="AB42" i="33"/>
  <c r="AF42" i="33"/>
  <c r="AI42" i="33"/>
  <c r="AM42" i="33"/>
  <c r="AP42" i="33"/>
  <c r="AT42" i="33"/>
  <c r="K43" i="33"/>
  <c r="N43" i="33"/>
  <c r="R43" i="33"/>
  <c r="U43" i="33"/>
  <c r="Y43" i="33"/>
  <c r="AB43" i="33"/>
  <c r="AF43" i="33"/>
  <c r="AI43" i="33"/>
  <c r="AM43" i="33"/>
  <c r="AP43" i="33"/>
  <c r="AT43" i="33"/>
  <c r="K44" i="33"/>
  <c r="N44" i="33"/>
  <c r="R44" i="33"/>
  <c r="U44" i="33"/>
  <c r="Y44" i="33"/>
  <c r="AB44" i="33"/>
  <c r="AF44" i="33"/>
  <c r="AI44" i="33"/>
  <c r="AM44" i="33"/>
  <c r="AP44" i="33"/>
  <c r="AT44" i="33"/>
  <c r="K45" i="33"/>
  <c r="N45" i="33"/>
  <c r="R45" i="33"/>
  <c r="U45" i="33"/>
  <c r="Y45" i="33"/>
  <c r="AB45" i="33"/>
  <c r="AF45" i="33"/>
  <c r="AI45" i="33"/>
  <c r="AM45" i="33"/>
  <c r="AP45" i="33"/>
  <c r="AT45" i="33"/>
  <c r="K46" i="33"/>
  <c r="N46" i="33"/>
  <c r="R46" i="33"/>
  <c r="U46" i="33"/>
  <c r="Y46" i="33"/>
  <c r="AB46" i="33"/>
  <c r="AF46" i="33"/>
  <c r="AI46" i="33"/>
  <c r="AM46" i="33"/>
  <c r="AP46" i="33"/>
  <c r="AT46" i="33"/>
  <c r="K47" i="33"/>
  <c r="N47" i="33"/>
  <c r="R47" i="33"/>
  <c r="U47" i="33"/>
  <c r="Y47" i="33"/>
  <c r="AB47" i="33"/>
  <c r="AF47" i="33"/>
  <c r="AI47" i="33"/>
  <c r="AM47" i="33"/>
  <c r="AP47" i="33"/>
  <c r="AT47" i="33"/>
  <c r="R8" i="33"/>
  <c r="D8" i="1"/>
  <c r="G8" i="1"/>
  <c r="AO5" i="33"/>
  <c r="AH5" i="33"/>
  <c r="AA5" i="33"/>
  <c r="T5" i="33"/>
  <c r="M5" i="33"/>
  <c r="F5" i="33"/>
  <c r="K8" i="33"/>
  <c r="C33" i="18"/>
  <c r="J28" i="1" l="1"/>
  <c r="J40" i="1"/>
  <c r="J30" i="38"/>
  <c r="L30" i="38" s="1"/>
  <c r="Q39" i="38"/>
  <c r="S39" i="38" s="1"/>
  <c r="U39" i="38" s="1"/>
  <c r="V39" i="38"/>
  <c r="V47" i="38"/>
  <c r="Q47" i="38"/>
  <c r="S47" i="38" s="1"/>
  <c r="U47" i="38" s="1"/>
  <c r="Q25" i="23"/>
  <c r="S25" i="23" s="1"/>
  <c r="U25" i="23" s="1"/>
  <c r="V25" i="23"/>
  <c r="J40" i="23"/>
  <c r="Q41" i="23"/>
  <c r="S41" i="23" s="1"/>
  <c r="U41" i="23" s="1"/>
  <c r="V41" i="23"/>
  <c r="Q45" i="23"/>
  <c r="S45" i="23" s="1"/>
  <c r="U45" i="23" s="1"/>
  <c r="V45" i="23"/>
  <c r="J30" i="29"/>
  <c r="L30" i="29" s="1"/>
  <c r="M30" i="29"/>
  <c r="Q35" i="29"/>
  <c r="V35" i="29"/>
  <c r="J42" i="29"/>
  <c r="L42" i="29" s="1"/>
  <c r="Q25" i="28"/>
  <c r="S25" i="28" s="1"/>
  <c r="U25" i="28" s="1"/>
  <c r="V25" i="28"/>
  <c r="J32" i="28"/>
  <c r="L32" i="28"/>
  <c r="M32" i="28" s="1"/>
  <c r="J40" i="28"/>
  <c r="L40" i="28" s="1"/>
  <c r="M40" i="28" s="1"/>
  <c r="Q41" i="28"/>
  <c r="S41" i="28" s="1"/>
  <c r="U41" i="28" s="1"/>
  <c r="V41" i="28"/>
  <c r="J24" i="27"/>
  <c r="L24" i="27" s="1"/>
  <c r="J30" i="27"/>
  <c r="L30" i="27" s="1"/>
  <c r="M30" i="27" s="1"/>
  <c r="J38" i="27"/>
  <c r="L38" i="27" s="1"/>
  <c r="M38" i="27" s="1"/>
  <c r="J28" i="26"/>
  <c r="L28" i="26"/>
  <c r="J36" i="26"/>
  <c r="L36" i="26" s="1"/>
  <c r="M36" i="26" s="1"/>
  <c r="Q45" i="26"/>
  <c r="V45" i="26"/>
  <c r="J26" i="22"/>
  <c r="L26" i="22" s="1"/>
  <c r="Q31" i="22"/>
  <c r="S31" i="22" s="1"/>
  <c r="U31" i="22" s="1"/>
  <c r="V31" i="22"/>
  <c r="J34" i="22"/>
  <c r="L34" i="22" s="1"/>
  <c r="Q35" i="22"/>
  <c r="S35" i="22" s="1"/>
  <c r="U35" i="22" s="1"/>
  <c r="V35" i="22"/>
  <c r="Q39" i="22"/>
  <c r="S39" i="22" s="1"/>
  <c r="U39" i="22" s="1"/>
  <c r="V39" i="22"/>
  <c r="J42" i="22"/>
  <c r="L42" i="22" s="1"/>
  <c r="Q43" i="22"/>
  <c r="S43" i="22" s="1"/>
  <c r="U43" i="22" s="1"/>
  <c r="V43" i="22"/>
  <c r="Q47" i="22"/>
  <c r="S47" i="22" s="1"/>
  <c r="U47" i="22" s="1"/>
  <c r="V47" i="22"/>
  <c r="J27" i="1"/>
  <c r="L27" i="1"/>
  <c r="V28" i="1"/>
  <c r="Q28" i="1"/>
  <c r="S28" i="1" s="1"/>
  <c r="U28" i="1" s="1"/>
  <c r="J31" i="1"/>
  <c r="L31" i="1" s="1"/>
  <c r="V32" i="1"/>
  <c r="Q32" i="1"/>
  <c r="S32" i="1" s="1"/>
  <c r="U32" i="1" s="1"/>
  <c r="J35" i="1"/>
  <c r="L35" i="1" s="1"/>
  <c r="M35" i="1" s="1"/>
  <c r="V36" i="1"/>
  <c r="Q36" i="1"/>
  <c r="S36" i="1" s="1"/>
  <c r="U36" i="1" s="1"/>
  <c r="J39" i="1"/>
  <c r="L39" i="1" s="1"/>
  <c r="M39" i="1" s="1"/>
  <c r="Q40" i="1"/>
  <c r="S40" i="1" s="1"/>
  <c r="U40" i="1" s="1"/>
  <c r="V40" i="1"/>
  <c r="J43" i="1"/>
  <c r="Q44" i="1"/>
  <c r="S44" i="1" s="1"/>
  <c r="U44" i="1" s="1"/>
  <c r="V44" i="1"/>
  <c r="J47" i="1"/>
  <c r="L47" i="1" s="1"/>
  <c r="J25" i="38"/>
  <c r="L25" i="38"/>
  <c r="M25" i="38" s="1"/>
  <c r="Q26" i="38"/>
  <c r="S26" i="38" s="1"/>
  <c r="U26" i="38" s="1"/>
  <c r="V26" i="38"/>
  <c r="J29" i="38"/>
  <c r="L29" i="38" s="1"/>
  <c r="Q30" i="38"/>
  <c r="S30" i="38" s="1"/>
  <c r="U30" i="38" s="1"/>
  <c r="V30" i="38"/>
  <c r="J33" i="38"/>
  <c r="L33" i="38" s="1"/>
  <c r="M33" i="38" s="1"/>
  <c r="Q34" i="38"/>
  <c r="S34" i="38" s="1"/>
  <c r="U34" i="38" s="1"/>
  <c r="V34" i="38"/>
  <c r="J37" i="38"/>
  <c r="L37" i="38" s="1"/>
  <c r="M37" i="38" s="1"/>
  <c r="Q38" i="38"/>
  <c r="S38" i="38" s="1"/>
  <c r="U38" i="38" s="1"/>
  <c r="V38" i="38"/>
  <c r="J41" i="38"/>
  <c r="L41" i="38" s="1"/>
  <c r="Q42" i="38"/>
  <c r="S42" i="38" s="1"/>
  <c r="U42" i="38" s="1"/>
  <c r="V42" i="38"/>
  <c r="J45" i="38"/>
  <c r="L45" i="38" s="1"/>
  <c r="Q46" i="38"/>
  <c r="S46" i="38" s="1"/>
  <c r="U46" i="38" s="1"/>
  <c r="V46" i="38"/>
  <c r="J27" i="23"/>
  <c r="L27" i="23" s="1"/>
  <c r="Q28" i="23"/>
  <c r="V28" i="23"/>
  <c r="J31" i="23"/>
  <c r="L31" i="23" s="1"/>
  <c r="Q32" i="23"/>
  <c r="V32" i="23"/>
  <c r="J35" i="23"/>
  <c r="L35" i="23" s="1"/>
  <c r="Q36" i="23"/>
  <c r="V36" i="23"/>
  <c r="J39" i="23"/>
  <c r="L39" i="23" s="1"/>
  <c r="Q40" i="23"/>
  <c r="S40" i="23" s="1"/>
  <c r="U40" i="23" s="1"/>
  <c r="V40" i="23"/>
  <c r="J43" i="23"/>
  <c r="L43" i="23" s="1"/>
  <c r="Q44" i="23"/>
  <c r="S44" i="23" s="1"/>
  <c r="U44" i="23" s="1"/>
  <c r="V44" i="23"/>
  <c r="J47" i="23"/>
  <c r="L47" i="23"/>
  <c r="M47" i="23" s="1"/>
  <c r="J25" i="29"/>
  <c r="L25" i="29" s="1"/>
  <c r="Q26" i="29"/>
  <c r="S26" i="29" s="1"/>
  <c r="U26" i="29" s="1"/>
  <c r="V26" i="29"/>
  <c r="J29" i="29"/>
  <c r="L29" i="29" s="1"/>
  <c r="Q30" i="29"/>
  <c r="S30" i="29" s="1"/>
  <c r="U30" i="29" s="1"/>
  <c r="V30" i="29"/>
  <c r="J33" i="29"/>
  <c r="L33" i="29" s="1"/>
  <c r="M33" i="29" s="1"/>
  <c r="Q34" i="29"/>
  <c r="S34" i="29" s="1"/>
  <c r="U34" i="29" s="1"/>
  <c r="V34" i="29"/>
  <c r="J37" i="29"/>
  <c r="L37" i="29" s="1"/>
  <c r="M37" i="29" s="1"/>
  <c r="Q38" i="29"/>
  <c r="S38" i="29" s="1"/>
  <c r="U38" i="29" s="1"/>
  <c r="V38" i="29"/>
  <c r="J41" i="29"/>
  <c r="L41" i="29" s="1"/>
  <c r="M41" i="29" s="1"/>
  <c r="V42" i="29"/>
  <c r="Q42" i="29"/>
  <c r="S42" i="29" s="1"/>
  <c r="U42" i="29" s="1"/>
  <c r="J45" i="29"/>
  <c r="L45" i="29" s="1"/>
  <c r="M45" i="29" s="1"/>
  <c r="Q46" i="29"/>
  <c r="S46" i="29" s="1"/>
  <c r="U46" i="29" s="1"/>
  <c r="V46" i="29"/>
  <c r="J27" i="28"/>
  <c r="L27" i="28" s="1"/>
  <c r="M27" i="28" s="1"/>
  <c r="Q28" i="28"/>
  <c r="V28" i="28"/>
  <c r="J31" i="28"/>
  <c r="L31" i="28" s="1"/>
  <c r="M31" i="28" s="1"/>
  <c r="Q32" i="28"/>
  <c r="S32" i="28" s="1"/>
  <c r="U32" i="28" s="1"/>
  <c r="V32" i="28"/>
  <c r="J35" i="28"/>
  <c r="L35" i="28" s="1"/>
  <c r="Q36" i="28"/>
  <c r="BI36" i="28" s="1"/>
  <c r="X36" i="21" s="1"/>
  <c r="V36" i="28"/>
  <c r="J39" i="28"/>
  <c r="Q40" i="28"/>
  <c r="S40" i="28" s="1"/>
  <c r="U40" i="28" s="1"/>
  <c r="V40" i="28"/>
  <c r="J43" i="28"/>
  <c r="L43" i="28" s="1"/>
  <c r="Q44" i="28"/>
  <c r="V44" i="28"/>
  <c r="J47" i="28"/>
  <c r="L47" i="28" s="1"/>
  <c r="J25" i="27"/>
  <c r="L25" i="27" s="1"/>
  <c r="M25" i="27" s="1"/>
  <c r="V26" i="27"/>
  <c r="Q26" i="27"/>
  <c r="J29" i="27"/>
  <c r="L29" i="27" s="1"/>
  <c r="Q30" i="27"/>
  <c r="V30" i="27"/>
  <c r="J33" i="27"/>
  <c r="L33" i="27" s="1"/>
  <c r="M33" i="27" s="1"/>
  <c r="V34" i="27"/>
  <c r="Q34" i="27"/>
  <c r="J37" i="27"/>
  <c r="L37" i="27"/>
  <c r="V38" i="27"/>
  <c r="Q38" i="27"/>
  <c r="J27" i="26"/>
  <c r="L27" i="26" s="1"/>
  <c r="Q28" i="26"/>
  <c r="S28" i="26" s="1"/>
  <c r="U28" i="26" s="1"/>
  <c r="V28" i="26"/>
  <c r="J31" i="26"/>
  <c r="L31" i="26" s="1"/>
  <c r="Q32" i="26"/>
  <c r="S32" i="26" s="1"/>
  <c r="U32" i="26" s="1"/>
  <c r="V32" i="26"/>
  <c r="J35" i="26"/>
  <c r="L35" i="26" s="1"/>
  <c r="Q36" i="26"/>
  <c r="S36" i="26" s="1"/>
  <c r="U36" i="26" s="1"/>
  <c r="V36" i="26"/>
  <c r="J39" i="26"/>
  <c r="L39" i="26" s="1"/>
  <c r="Q40" i="26"/>
  <c r="S40" i="26" s="1"/>
  <c r="U40" i="26" s="1"/>
  <c r="V40" i="26"/>
  <c r="J43" i="26"/>
  <c r="L43" i="26" s="1"/>
  <c r="Q44" i="26"/>
  <c r="S44" i="26" s="1"/>
  <c r="U44" i="26" s="1"/>
  <c r="V44" i="26"/>
  <c r="J47" i="26"/>
  <c r="L47" i="26" s="1"/>
  <c r="M47" i="26" s="1"/>
  <c r="J25" i="22"/>
  <c r="L25" i="22" s="1"/>
  <c r="V26" i="22"/>
  <c r="Q26" i="22"/>
  <c r="BI26" i="22" s="1"/>
  <c r="L26" i="21" s="1"/>
  <c r="J29" i="22"/>
  <c r="L29" i="22" s="1"/>
  <c r="M29" i="22" s="1"/>
  <c r="Q30" i="22"/>
  <c r="S30" i="22" s="1"/>
  <c r="U30" i="22" s="1"/>
  <c r="V30" i="22"/>
  <c r="J33" i="22"/>
  <c r="L33" i="22" s="1"/>
  <c r="M33" i="22" s="1"/>
  <c r="Q34" i="22"/>
  <c r="V34" i="22"/>
  <c r="J37" i="22"/>
  <c r="L37" i="22" s="1"/>
  <c r="Q38" i="22"/>
  <c r="S38" i="22" s="1"/>
  <c r="U38" i="22" s="1"/>
  <c r="V38" i="22"/>
  <c r="J41" i="22"/>
  <c r="L41" i="22" s="1"/>
  <c r="Q42" i="22"/>
  <c r="V42" i="22"/>
  <c r="J45" i="22"/>
  <c r="L45" i="22" s="1"/>
  <c r="M45" i="22" s="1"/>
  <c r="Q46" i="22"/>
  <c r="S46" i="22" s="1"/>
  <c r="U46" i="22" s="1"/>
  <c r="V46" i="22"/>
  <c r="Q29" i="1"/>
  <c r="S29" i="1" s="1"/>
  <c r="U29" i="1" s="1"/>
  <c r="V29" i="1"/>
  <c r="Q33" i="1"/>
  <c r="S33" i="1" s="1"/>
  <c r="U33" i="1" s="1"/>
  <c r="V33" i="1"/>
  <c r="Q37" i="1"/>
  <c r="V37" i="1"/>
  <c r="Q41" i="1"/>
  <c r="V41" i="1"/>
  <c r="Q45" i="1"/>
  <c r="V45" i="1"/>
  <c r="J24" i="38"/>
  <c r="L24" i="38" s="1"/>
  <c r="Q27" i="38"/>
  <c r="S27" i="38" s="1"/>
  <c r="U27" i="38" s="1"/>
  <c r="V27" i="38"/>
  <c r="Q31" i="38"/>
  <c r="S31" i="38" s="1"/>
  <c r="U31" i="38" s="1"/>
  <c r="V31" i="38"/>
  <c r="J38" i="38"/>
  <c r="L38" i="38" s="1"/>
  <c r="M38" i="38" s="1"/>
  <c r="J42" i="38"/>
  <c r="L42" i="38" s="1"/>
  <c r="M42" i="38" s="1"/>
  <c r="Q43" i="38"/>
  <c r="S43" i="38" s="1"/>
  <c r="U43" i="38" s="1"/>
  <c r="V43" i="38"/>
  <c r="J28" i="23"/>
  <c r="L28" i="23" s="1"/>
  <c r="M28" i="23" s="1"/>
  <c r="J32" i="23"/>
  <c r="L32" i="23" s="1"/>
  <c r="Q33" i="23"/>
  <c r="S33" i="23" s="1"/>
  <c r="U33" i="23" s="1"/>
  <c r="V33" i="23"/>
  <c r="Q37" i="23"/>
  <c r="S37" i="23" s="1"/>
  <c r="U37" i="23" s="1"/>
  <c r="V37" i="23"/>
  <c r="J44" i="23"/>
  <c r="L44" i="23" s="1"/>
  <c r="M44" i="23" s="1"/>
  <c r="J26" i="29"/>
  <c r="L26" i="29" s="1"/>
  <c r="Q31" i="29"/>
  <c r="V31" i="29"/>
  <c r="J38" i="29"/>
  <c r="L38" i="29" s="1"/>
  <c r="J46" i="29"/>
  <c r="L46" i="29" s="1"/>
  <c r="V29" i="28"/>
  <c r="Q29" i="28"/>
  <c r="J36" i="28"/>
  <c r="L36" i="28" s="1"/>
  <c r="M36" i="28" s="1"/>
  <c r="Q45" i="28"/>
  <c r="S45" i="28" s="1"/>
  <c r="U45" i="28" s="1"/>
  <c r="V45" i="28"/>
  <c r="Q27" i="27"/>
  <c r="V27" i="27"/>
  <c r="Q31" i="27"/>
  <c r="S31" i="27" s="1"/>
  <c r="U31" i="27" s="1"/>
  <c r="V31" i="27"/>
  <c r="Q35" i="27"/>
  <c r="V35" i="27"/>
  <c r="J32" i="26"/>
  <c r="Q37" i="26"/>
  <c r="V37" i="26"/>
  <c r="Q41" i="26"/>
  <c r="V41" i="26"/>
  <c r="Q27" i="22"/>
  <c r="S27" i="22" s="1"/>
  <c r="U27" i="22" s="1"/>
  <c r="V27" i="22"/>
  <c r="J46" i="22"/>
  <c r="L46" i="22" s="1"/>
  <c r="J24" i="1"/>
  <c r="L24" i="1" s="1"/>
  <c r="J26" i="1"/>
  <c r="Q27" i="1"/>
  <c r="V27" i="1"/>
  <c r="J30" i="1"/>
  <c r="L30" i="1" s="1"/>
  <c r="Q31" i="1"/>
  <c r="V31" i="1"/>
  <c r="J34" i="1"/>
  <c r="L34" i="1" s="1"/>
  <c r="M34" i="1" s="1"/>
  <c r="Q35" i="1"/>
  <c r="V35" i="1"/>
  <c r="J38" i="1"/>
  <c r="L38" i="1" s="1"/>
  <c r="Q39" i="1"/>
  <c r="V39" i="1"/>
  <c r="J42" i="1"/>
  <c r="Q43" i="1"/>
  <c r="V43" i="1"/>
  <c r="J46" i="1"/>
  <c r="L46" i="1" s="1"/>
  <c r="Q47" i="1"/>
  <c r="V47" i="1"/>
  <c r="Q25" i="38"/>
  <c r="S25" i="38" s="1"/>
  <c r="U25" i="38" s="1"/>
  <c r="V25" i="38"/>
  <c r="J28" i="38"/>
  <c r="Q29" i="38"/>
  <c r="S29" i="38" s="1"/>
  <c r="U29" i="38" s="1"/>
  <c r="V29" i="38"/>
  <c r="J32" i="38"/>
  <c r="L32" i="38" s="1"/>
  <c r="Q33" i="38"/>
  <c r="S33" i="38" s="1"/>
  <c r="U33" i="38" s="1"/>
  <c r="V33" i="38"/>
  <c r="J36" i="38"/>
  <c r="L36" i="38" s="1"/>
  <c r="M36" i="38" s="1"/>
  <c r="Q37" i="38"/>
  <c r="S37" i="38" s="1"/>
  <c r="U37" i="38" s="1"/>
  <c r="V37" i="38"/>
  <c r="J40" i="38"/>
  <c r="L40" i="38" s="1"/>
  <c r="M40" i="38" s="1"/>
  <c r="Q41" i="38"/>
  <c r="S41" i="38" s="1"/>
  <c r="U41" i="38" s="1"/>
  <c r="V41" i="38"/>
  <c r="J44" i="38"/>
  <c r="L44" i="38"/>
  <c r="V45" i="38"/>
  <c r="Q45" i="38"/>
  <c r="S45" i="38" s="1"/>
  <c r="U45" i="38" s="1"/>
  <c r="J24" i="23"/>
  <c r="L24" i="23" s="1"/>
  <c r="J26" i="23"/>
  <c r="L26" i="23" s="1"/>
  <c r="M26" i="23" s="1"/>
  <c r="Q27" i="23"/>
  <c r="S27" i="23" s="1"/>
  <c r="U27" i="23" s="1"/>
  <c r="V27" i="23"/>
  <c r="J30" i="23"/>
  <c r="L30" i="23" s="1"/>
  <c r="M30" i="23" s="1"/>
  <c r="V31" i="23"/>
  <c r="Q31" i="23"/>
  <c r="S31" i="23" s="1"/>
  <c r="U31" i="23" s="1"/>
  <c r="J34" i="23"/>
  <c r="L34" i="23" s="1"/>
  <c r="V35" i="23"/>
  <c r="Q35" i="23"/>
  <c r="S35" i="23" s="1"/>
  <c r="U35" i="23" s="1"/>
  <c r="J38" i="23"/>
  <c r="L38" i="23" s="1"/>
  <c r="M38" i="23" s="1"/>
  <c r="Q39" i="23"/>
  <c r="V39" i="23"/>
  <c r="J42" i="23"/>
  <c r="L42" i="23" s="1"/>
  <c r="M42" i="23" s="1"/>
  <c r="Q43" i="23"/>
  <c r="S43" i="23" s="1"/>
  <c r="U43" i="23" s="1"/>
  <c r="V43" i="23"/>
  <c r="J46" i="23"/>
  <c r="L46" i="23" s="1"/>
  <c r="M46" i="23" s="1"/>
  <c r="Q47" i="23"/>
  <c r="V47" i="23"/>
  <c r="Q25" i="29"/>
  <c r="BI25" i="29" s="1"/>
  <c r="AB25" i="21" s="1"/>
  <c r="V25" i="29"/>
  <c r="J28" i="29"/>
  <c r="L28" i="29" s="1"/>
  <c r="Q29" i="29"/>
  <c r="V29" i="29"/>
  <c r="J32" i="29"/>
  <c r="L32" i="29" s="1"/>
  <c r="Q33" i="29"/>
  <c r="V33" i="29"/>
  <c r="J36" i="29"/>
  <c r="L36" i="29" s="1"/>
  <c r="Q37" i="29"/>
  <c r="V37" i="29"/>
  <c r="J40" i="29"/>
  <c r="L40" i="29" s="1"/>
  <c r="Q41" i="29"/>
  <c r="V41" i="29"/>
  <c r="J44" i="29"/>
  <c r="L44" i="29" s="1"/>
  <c r="Q45" i="29"/>
  <c r="V45" i="29"/>
  <c r="J24" i="28"/>
  <c r="L24" i="28" s="1"/>
  <c r="J26" i="28"/>
  <c r="L26" i="28" s="1"/>
  <c r="M26" i="28" s="1"/>
  <c r="Q27" i="28"/>
  <c r="S27" i="28" s="1"/>
  <c r="U27" i="28" s="1"/>
  <c r="V27" i="28"/>
  <c r="J30" i="28"/>
  <c r="Q31" i="28"/>
  <c r="V31" i="28"/>
  <c r="J34" i="28"/>
  <c r="Q35" i="28"/>
  <c r="V35" i="28"/>
  <c r="J38" i="28"/>
  <c r="L38" i="28" s="1"/>
  <c r="M38" i="28" s="1"/>
  <c r="Q39" i="28"/>
  <c r="V39" i="28"/>
  <c r="J42" i="28"/>
  <c r="L42" i="28" s="1"/>
  <c r="M42" i="28" s="1"/>
  <c r="Q43" i="28"/>
  <c r="S43" i="28" s="1"/>
  <c r="U43" i="28" s="1"/>
  <c r="V43" i="28"/>
  <c r="J46" i="28"/>
  <c r="L46" i="28" s="1"/>
  <c r="M46" i="28" s="1"/>
  <c r="V47" i="28"/>
  <c r="Q47" i="28"/>
  <c r="S47" i="28" s="1"/>
  <c r="U47" i="28" s="1"/>
  <c r="Q25" i="27"/>
  <c r="S25" i="27" s="1"/>
  <c r="U25" i="27" s="1"/>
  <c r="V25" i="27"/>
  <c r="J28" i="27"/>
  <c r="L28" i="27" s="1"/>
  <c r="M28" i="27" s="1"/>
  <c r="Q29" i="27"/>
  <c r="S29" i="27" s="1"/>
  <c r="U29" i="27" s="1"/>
  <c r="V29" i="27"/>
  <c r="J32" i="27"/>
  <c r="L32" i="27" s="1"/>
  <c r="M32" i="27" s="1"/>
  <c r="Q33" i="27"/>
  <c r="S33" i="27" s="1"/>
  <c r="U33" i="27" s="1"/>
  <c r="V33" i="27"/>
  <c r="J36" i="27"/>
  <c r="L36" i="27" s="1"/>
  <c r="M36" i="27" s="1"/>
  <c r="Q37" i="27"/>
  <c r="S37" i="27" s="1"/>
  <c r="U37" i="27" s="1"/>
  <c r="V37" i="27"/>
  <c r="J40" i="27"/>
  <c r="L40" i="27" s="1"/>
  <c r="M40" i="27" s="1"/>
  <c r="J41" i="27"/>
  <c r="L41" i="27" s="1"/>
  <c r="M41" i="27" s="1"/>
  <c r="J42" i="27"/>
  <c r="L42" i="27" s="1"/>
  <c r="M42" i="27" s="1"/>
  <c r="J43" i="27"/>
  <c r="L43" i="27"/>
  <c r="M43" i="27" s="1"/>
  <c r="J44" i="27"/>
  <c r="L44" i="27" s="1"/>
  <c r="M44" i="27" s="1"/>
  <c r="J45" i="27"/>
  <c r="J46" i="27"/>
  <c r="L46" i="27" s="1"/>
  <c r="M46" i="27" s="1"/>
  <c r="J47" i="27"/>
  <c r="L47" i="27" s="1"/>
  <c r="J24" i="26"/>
  <c r="J26" i="26"/>
  <c r="L26" i="26" s="1"/>
  <c r="M26" i="26" s="1"/>
  <c r="Q27" i="26"/>
  <c r="V27" i="26"/>
  <c r="J30" i="26"/>
  <c r="L30" i="26" s="1"/>
  <c r="M30" i="26" s="1"/>
  <c r="Q31" i="26"/>
  <c r="S31" i="26" s="1"/>
  <c r="U31" i="26" s="1"/>
  <c r="V31" i="26"/>
  <c r="J34" i="26"/>
  <c r="L34" i="26" s="1"/>
  <c r="V35" i="26"/>
  <c r="Q35" i="26"/>
  <c r="BI35" i="26" s="1"/>
  <c r="P35" i="21" s="1"/>
  <c r="J38" i="26"/>
  <c r="L38" i="26" s="1"/>
  <c r="Q39" i="26"/>
  <c r="S39" i="26" s="1"/>
  <c r="U39" i="26" s="1"/>
  <c r="V39" i="26"/>
  <c r="J42" i="26"/>
  <c r="L42" i="26" s="1"/>
  <c r="M42" i="26" s="1"/>
  <c r="Q43" i="26"/>
  <c r="V43" i="26"/>
  <c r="J46" i="26"/>
  <c r="L46" i="26"/>
  <c r="Q47" i="26"/>
  <c r="S47" i="26" s="1"/>
  <c r="U47" i="26" s="1"/>
  <c r="V47" i="26"/>
  <c r="Q25" i="22"/>
  <c r="V25" i="22"/>
  <c r="J28" i="22"/>
  <c r="L28" i="22" s="1"/>
  <c r="M28" i="22" s="1"/>
  <c r="Q29" i="22"/>
  <c r="S29" i="22" s="1"/>
  <c r="U29" i="22" s="1"/>
  <c r="V29" i="22"/>
  <c r="J32" i="22"/>
  <c r="L32" i="22" s="1"/>
  <c r="Q33" i="22"/>
  <c r="V33" i="22"/>
  <c r="J36" i="22"/>
  <c r="L36" i="22"/>
  <c r="M36" i="22" s="1"/>
  <c r="Q37" i="22"/>
  <c r="S37" i="22" s="1"/>
  <c r="U37" i="22" s="1"/>
  <c r="V37" i="22"/>
  <c r="J40" i="22"/>
  <c r="L40" i="22" s="1"/>
  <c r="Q41" i="22"/>
  <c r="V41" i="22"/>
  <c r="J44" i="22"/>
  <c r="L44" i="22" s="1"/>
  <c r="M44" i="22" s="1"/>
  <c r="Q45" i="22"/>
  <c r="S45" i="22" s="1"/>
  <c r="U45" i="22" s="1"/>
  <c r="V45" i="22"/>
  <c r="Q25" i="1"/>
  <c r="S25" i="1" s="1"/>
  <c r="U25" i="1" s="1"/>
  <c r="V25" i="1"/>
  <c r="J32" i="1"/>
  <c r="L32" i="1" s="1"/>
  <c r="J36" i="1"/>
  <c r="L36" i="1" s="1"/>
  <c r="J44" i="1"/>
  <c r="L44" i="1" s="1"/>
  <c r="M44" i="1" s="1"/>
  <c r="J26" i="38"/>
  <c r="L26" i="38" s="1"/>
  <c r="J34" i="38"/>
  <c r="L34" i="38" s="1"/>
  <c r="M34" i="38" s="1"/>
  <c r="Q35" i="38"/>
  <c r="S35" i="38" s="1"/>
  <c r="U35" i="38" s="1"/>
  <c r="V35" i="38"/>
  <c r="J46" i="38"/>
  <c r="L46" i="38" s="1"/>
  <c r="Q29" i="23"/>
  <c r="S29" i="23" s="1"/>
  <c r="U29" i="23" s="1"/>
  <c r="V29" i="23"/>
  <c r="J36" i="23"/>
  <c r="L36" i="23" s="1"/>
  <c r="J24" i="29"/>
  <c r="L24" i="29" s="1"/>
  <c r="Q27" i="29"/>
  <c r="V27" i="29"/>
  <c r="J34" i="29"/>
  <c r="L34" i="29" s="1"/>
  <c r="Q39" i="29"/>
  <c r="V39" i="29"/>
  <c r="Q43" i="29"/>
  <c r="V43" i="29"/>
  <c r="Q47" i="29"/>
  <c r="V47" i="29"/>
  <c r="J28" i="28"/>
  <c r="L28" i="28"/>
  <c r="M28" i="28" s="1"/>
  <c r="Q33" i="28"/>
  <c r="S33" i="28" s="1"/>
  <c r="U33" i="28" s="1"/>
  <c r="V33" i="28"/>
  <c r="V37" i="28"/>
  <c r="Q37" i="28"/>
  <c r="J44" i="28"/>
  <c r="L44" i="28" s="1"/>
  <c r="M44" i="28" s="1"/>
  <c r="J26" i="27"/>
  <c r="L26" i="27" s="1"/>
  <c r="M26" i="27" s="1"/>
  <c r="J34" i="27"/>
  <c r="L34" i="27" s="1"/>
  <c r="M34" i="27" s="1"/>
  <c r="Q39" i="27"/>
  <c r="S39" i="27" s="1"/>
  <c r="U39" i="27" s="1"/>
  <c r="V39" i="27"/>
  <c r="V25" i="26"/>
  <c r="Q25" i="26"/>
  <c r="S25" i="26" s="1"/>
  <c r="U25" i="26" s="1"/>
  <c r="V29" i="26"/>
  <c r="Q29" i="26"/>
  <c r="V33" i="26"/>
  <c r="Q33" i="26"/>
  <c r="J40" i="26"/>
  <c r="L40" i="26" s="1"/>
  <c r="J44" i="26"/>
  <c r="L44" i="26" s="1"/>
  <c r="J24" i="22"/>
  <c r="L24" i="22" s="1"/>
  <c r="J30" i="22"/>
  <c r="L30" i="22" s="1"/>
  <c r="J38" i="22"/>
  <c r="L38" i="22" s="1"/>
  <c r="J25" i="1"/>
  <c r="L25" i="1" s="1"/>
  <c r="V26" i="1"/>
  <c r="Q26" i="1"/>
  <c r="S26" i="1" s="1"/>
  <c r="U26" i="1" s="1"/>
  <c r="J29" i="1"/>
  <c r="L29" i="1" s="1"/>
  <c r="M29" i="1" s="1"/>
  <c r="V30" i="1"/>
  <c r="Q30" i="1"/>
  <c r="S30" i="1" s="1"/>
  <c r="U30" i="1" s="1"/>
  <c r="J33" i="1"/>
  <c r="L33" i="1" s="1"/>
  <c r="M33" i="1" s="1"/>
  <c r="V34" i="1"/>
  <c r="Q34" i="1"/>
  <c r="S34" i="1" s="1"/>
  <c r="U34" i="1" s="1"/>
  <c r="J37" i="1"/>
  <c r="L37" i="1"/>
  <c r="Q38" i="1"/>
  <c r="S38" i="1" s="1"/>
  <c r="U38" i="1" s="1"/>
  <c r="V38" i="1"/>
  <c r="J41" i="1"/>
  <c r="L41" i="1" s="1"/>
  <c r="Q42" i="1"/>
  <c r="S42" i="1" s="1"/>
  <c r="U42" i="1" s="1"/>
  <c r="V42" i="1"/>
  <c r="J45" i="1"/>
  <c r="L45" i="1" s="1"/>
  <c r="M45" i="1" s="1"/>
  <c r="Q46" i="1"/>
  <c r="S46" i="1" s="1"/>
  <c r="U46" i="1" s="1"/>
  <c r="V46" i="1"/>
  <c r="J27" i="38"/>
  <c r="L27" i="38" s="1"/>
  <c r="Q28" i="38"/>
  <c r="S28" i="38" s="1"/>
  <c r="U28" i="38" s="1"/>
  <c r="V28" i="38"/>
  <c r="J31" i="38"/>
  <c r="L31" i="38" s="1"/>
  <c r="Q32" i="38"/>
  <c r="S32" i="38" s="1"/>
  <c r="U32" i="38" s="1"/>
  <c r="V32" i="38"/>
  <c r="J35" i="38"/>
  <c r="L35" i="38" s="1"/>
  <c r="Q36" i="38"/>
  <c r="S36" i="38" s="1"/>
  <c r="U36" i="38" s="1"/>
  <c r="V36" i="38"/>
  <c r="J39" i="38"/>
  <c r="Q40" i="38"/>
  <c r="S40" i="38" s="1"/>
  <c r="U40" i="38" s="1"/>
  <c r="V40" i="38"/>
  <c r="J43" i="38"/>
  <c r="Q44" i="38"/>
  <c r="S44" i="38" s="1"/>
  <c r="U44" i="38" s="1"/>
  <c r="V44" i="38"/>
  <c r="J47" i="38"/>
  <c r="L47" i="38" s="1"/>
  <c r="J25" i="23"/>
  <c r="L25" i="23" s="1"/>
  <c r="Q26" i="23"/>
  <c r="V26" i="23"/>
  <c r="J29" i="23"/>
  <c r="L29" i="23" s="1"/>
  <c r="Q30" i="23"/>
  <c r="S30" i="23" s="1"/>
  <c r="U30" i="23" s="1"/>
  <c r="V30" i="23"/>
  <c r="J33" i="23"/>
  <c r="L33" i="23" s="1"/>
  <c r="Q34" i="23"/>
  <c r="V34" i="23"/>
  <c r="J37" i="23"/>
  <c r="L37" i="23" s="1"/>
  <c r="Q38" i="23"/>
  <c r="V38" i="23"/>
  <c r="J41" i="23"/>
  <c r="L41" i="23" s="1"/>
  <c r="Q42" i="23"/>
  <c r="S42" i="23" s="1"/>
  <c r="U42" i="23" s="1"/>
  <c r="V42" i="23"/>
  <c r="J45" i="23"/>
  <c r="Q46" i="23"/>
  <c r="S46" i="23" s="1"/>
  <c r="U46" i="23" s="1"/>
  <c r="V46" i="23"/>
  <c r="J27" i="29"/>
  <c r="L27" i="29" s="1"/>
  <c r="Q28" i="29"/>
  <c r="S28" i="29" s="1"/>
  <c r="U28" i="29" s="1"/>
  <c r="V28" i="29"/>
  <c r="J31" i="29"/>
  <c r="L31" i="29" s="1"/>
  <c r="M31" i="29" s="1"/>
  <c r="V32" i="29"/>
  <c r="Q32" i="29"/>
  <c r="S32" i="29" s="1"/>
  <c r="U32" i="29" s="1"/>
  <c r="J35" i="29"/>
  <c r="L35" i="29" s="1"/>
  <c r="M35" i="29" s="1"/>
  <c r="Q36" i="29"/>
  <c r="S36" i="29" s="1"/>
  <c r="U36" i="29" s="1"/>
  <c r="V36" i="29"/>
  <c r="J39" i="29"/>
  <c r="L39" i="29" s="1"/>
  <c r="M39" i="29" s="1"/>
  <c r="V40" i="29"/>
  <c r="Q40" i="29"/>
  <c r="S40" i="29" s="1"/>
  <c r="U40" i="29" s="1"/>
  <c r="J43" i="29"/>
  <c r="L43" i="29"/>
  <c r="Q44" i="29"/>
  <c r="S44" i="29" s="1"/>
  <c r="U44" i="29" s="1"/>
  <c r="V44" i="29"/>
  <c r="J47" i="29"/>
  <c r="J25" i="28"/>
  <c r="L25" i="28" s="1"/>
  <c r="M25" i="28" s="1"/>
  <c r="Q26" i="28"/>
  <c r="S26" i="28" s="1"/>
  <c r="U26" i="28" s="1"/>
  <c r="V26" i="28"/>
  <c r="J29" i="28"/>
  <c r="L29" i="28" s="1"/>
  <c r="Q30" i="28"/>
  <c r="S30" i="28" s="1"/>
  <c r="U30" i="28" s="1"/>
  <c r="V30" i="28"/>
  <c r="J33" i="28"/>
  <c r="L33" i="28" s="1"/>
  <c r="Q34" i="28"/>
  <c r="S34" i="28" s="1"/>
  <c r="U34" i="28" s="1"/>
  <c r="V34" i="28"/>
  <c r="J37" i="28"/>
  <c r="L37" i="28" s="1"/>
  <c r="M37" i="28" s="1"/>
  <c r="Q38" i="28"/>
  <c r="V38" i="28"/>
  <c r="J41" i="28"/>
  <c r="L41" i="28" s="1"/>
  <c r="Q42" i="28"/>
  <c r="V42" i="28"/>
  <c r="J45" i="28"/>
  <c r="L45" i="28" s="1"/>
  <c r="Q46" i="28"/>
  <c r="V46" i="28"/>
  <c r="J27" i="27"/>
  <c r="L27" i="27" s="1"/>
  <c r="M27" i="27" s="1"/>
  <c r="Q28" i="27"/>
  <c r="V28" i="27"/>
  <c r="J31" i="27"/>
  <c r="L31" i="27" s="1"/>
  <c r="M31" i="27" s="1"/>
  <c r="Q32" i="27"/>
  <c r="S32" i="27" s="1"/>
  <c r="U32" i="27" s="1"/>
  <c r="V32" i="27"/>
  <c r="J35" i="27"/>
  <c r="L35" i="27" s="1"/>
  <c r="M35" i="27" s="1"/>
  <c r="Q36" i="27"/>
  <c r="V36" i="27"/>
  <c r="J39" i="27"/>
  <c r="L39" i="27" s="1"/>
  <c r="M39" i="27" s="1"/>
  <c r="Q40" i="27"/>
  <c r="S40" i="27" s="1"/>
  <c r="U40" i="27" s="1"/>
  <c r="V40" i="27"/>
  <c r="Q41" i="27"/>
  <c r="S41" i="27" s="1"/>
  <c r="U41" i="27" s="1"/>
  <c r="V41" i="27"/>
  <c r="V42" i="27"/>
  <c r="Q42" i="27"/>
  <c r="Q43" i="27"/>
  <c r="V43" i="27"/>
  <c r="Q44" i="27"/>
  <c r="V44" i="27"/>
  <c r="Q45" i="27"/>
  <c r="S45" i="27" s="1"/>
  <c r="U45" i="27" s="1"/>
  <c r="V45" i="27"/>
  <c r="Q46" i="27"/>
  <c r="V46" i="27"/>
  <c r="Q47" i="27"/>
  <c r="S47" i="27" s="1"/>
  <c r="U47" i="27" s="1"/>
  <c r="V47" i="27"/>
  <c r="J25" i="26"/>
  <c r="L25" i="26" s="1"/>
  <c r="Q26" i="26"/>
  <c r="V26" i="26"/>
  <c r="J29" i="26"/>
  <c r="L29" i="26" s="1"/>
  <c r="M29" i="26" s="1"/>
  <c r="Q30" i="26"/>
  <c r="S30" i="26" s="1"/>
  <c r="U30" i="26" s="1"/>
  <c r="V30" i="26"/>
  <c r="J33" i="26"/>
  <c r="L33" i="26" s="1"/>
  <c r="Q34" i="26"/>
  <c r="V34" i="26"/>
  <c r="J37" i="26"/>
  <c r="L37" i="26" s="1"/>
  <c r="M37" i="26" s="1"/>
  <c r="Q38" i="26"/>
  <c r="S38" i="26" s="1"/>
  <c r="U38" i="26" s="1"/>
  <c r="V38" i="26"/>
  <c r="J41" i="26"/>
  <c r="L41" i="26" s="1"/>
  <c r="Q42" i="26"/>
  <c r="V42" i="26"/>
  <c r="J45" i="26"/>
  <c r="L45" i="26" s="1"/>
  <c r="M45" i="26" s="1"/>
  <c r="Q46" i="26"/>
  <c r="S46" i="26" s="1"/>
  <c r="U46" i="26" s="1"/>
  <c r="V46" i="26"/>
  <c r="J27" i="22"/>
  <c r="L27" i="22" s="1"/>
  <c r="M27" i="22" s="1"/>
  <c r="Q28" i="22"/>
  <c r="V28" i="22"/>
  <c r="J31" i="22"/>
  <c r="L31" i="22" s="1"/>
  <c r="Q32" i="22"/>
  <c r="S32" i="22" s="1"/>
  <c r="U32" i="22" s="1"/>
  <c r="V32" i="22"/>
  <c r="J35" i="22"/>
  <c r="Q36" i="22"/>
  <c r="V36" i="22"/>
  <c r="J39" i="22"/>
  <c r="L39" i="22" s="1"/>
  <c r="M39" i="22" s="1"/>
  <c r="V40" i="22"/>
  <c r="Q40" i="22"/>
  <c r="J43" i="22"/>
  <c r="L43" i="22" s="1"/>
  <c r="M43" i="22" s="1"/>
  <c r="Q44" i="22"/>
  <c r="V44" i="22"/>
  <c r="J47" i="22"/>
  <c r="L47" i="22"/>
  <c r="F10" i="21"/>
  <c r="G10" i="50"/>
  <c r="F11" i="21"/>
  <c r="G11" i="50"/>
  <c r="F12" i="21"/>
  <c r="G12" i="50"/>
  <c r="F13" i="21"/>
  <c r="G13" i="50"/>
  <c r="F14" i="21"/>
  <c r="G14" i="50"/>
  <c r="F15" i="21"/>
  <c r="G15" i="50"/>
  <c r="F16" i="21"/>
  <c r="G16" i="50"/>
  <c r="F17" i="21"/>
  <c r="G17" i="50"/>
  <c r="F18" i="21"/>
  <c r="G18" i="50"/>
  <c r="F19" i="21"/>
  <c r="G19" i="50"/>
  <c r="F20" i="21"/>
  <c r="G20" i="50"/>
  <c r="F21" i="21"/>
  <c r="G21" i="50"/>
  <c r="F22" i="21"/>
  <c r="G22" i="50"/>
  <c r="F23" i="21"/>
  <c r="G23" i="50"/>
  <c r="F24" i="21"/>
  <c r="G24" i="50"/>
  <c r="F25" i="21"/>
  <c r="G25" i="50"/>
  <c r="F26" i="21"/>
  <c r="G26" i="50"/>
  <c r="F27" i="21"/>
  <c r="G27" i="50"/>
  <c r="F28" i="21"/>
  <c r="G28" i="50"/>
  <c r="F29" i="21"/>
  <c r="G29" i="50"/>
  <c r="F30" i="21"/>
  <c r="G30" i="50"/>
  <c r="F31" i="21"/>
  <c r="G31" i="50"/>
  <c r="F32" i="21"/>
  <c r="G32" i="50"/>
  <c r="F33" i="21"/>
  <c r="G33" i="50"/>
  <c r="F34" i="21"/>
  <c r="G34" i="50"/>
  <c r="F35" i="21"/>
  <c r="G35" i="50"/>
  <c r="F36" i="21"/>
  <c r="G36" i="50"/>
  <c r="F37" i="21"/>
  <c r="G37" i="50"/>
  <c r="F38" i="21"/>
  <c r="G38" i="50"/>
  <c r="F39" i="21"/>
  <c r="G39" i="50"/>
  <c r="F40" i="21"/>
  <c r="G40" i="50"/>
  <c r="F41" i="21"/>
  <c r="G41" i="50"/>
  <c r="F42" i="21"/>
  <c r="G42" i="50"/>
  <c r="F43" i="21"/>
  <c r="G43" i="50"/>
  <c r="F44" i="21"/>
  <c r="G44" i="50"/>
  <c r="F45" i="21"/>
  <c r="G45" i="50"/>
  <c r="F46" i="21"/>
  <c r="G46" i="50"/>
  <c r="F47" i="21"/>
  <c r="G47" i="50"/>
  <c r="Z10" i="21"/>
  <c r="Q10" i="50"/>
  <c r="Z11" i="21"/>
  <c r="Q11" i="50"/>
  <c r="Z12" i="21"/>
  <c r="Q12" i="50"/>
  <c r="Z13" i="21"/>
  <c r="Q13" i="50"/>
  <c r="Z14" i="21"/>
  <c r="Q14" i="50"/>
  <c r="Z15" i="21"/>
  <c r="Q15" i="50"/>
  <c r="Z16" i="21"/>
  <c r="Q16" i="50"/>
  <c r="Z17" i="21"/>
  <c r="Q17" i="50"/>
  <c r="Z18" i="21"/>
  <c r="Q18" i="50"/>
  <c r="Z19" i="21"/>
  <c r="Q19" i="50"/>
  <c r="Z20" i="21"/>
  <c r="Q20" i="50"/>
  <c r="Z21" i="21"/>
  <c r="Q21" i="50"/>
  <c r="Z22" i="21"/>
  <c r="Q22" i="50"/>
  <c r="Z23" i="21"/>
  <c r="Q23" i="50"/>
  <c r="Z24" i="21"/>
  <c r="Q24" i="50"/>
  <c r="Z25" i="21"/>
  <c r="Q25" i="50"/>
  <c r="Z26" i="21"/>
  <c r="Q26" i="50"/>
  <c r="Z27" i="21"/>
  <c r="Q27" i="50"/>
  <c r="Z28" i="21"/>
  <c r="Q28" i="50"/>
  <c r="Z29" i="21"/>
  <c r="Q29" i="50"/>
  <c r="Z30" i="21"/>
  <c r="Q30" i="50"/>
  <c r="Z31" i="21"/>
  <c r="Q31" i="50"/>
  <c r="Z32" i="21"/>
  <c r="Q32" i="50"/>
  <c r="Z33" i="21"/>
  <c r="Q33" i="50"/>
  <c r="Z34" i="21"/>
  <c r="Q34" i="50"/>
  <c r="Z35" i="21"/>
  <c r="Q35" i="50"/>
  <c r="Z36" i="21"/>
  <c r="Q36" i="50"/>
  <c r="Z37" i="21"/>
  <c r="Q37" i="50"/>
  <c r="Z38" i="21"/>
  <c r="Q38" i="50"/>
  <c r="Z39" i="21"/>
  <c r="Q39" i="50"/>
  <c r="Z40" i="21"/>
  <c r="Q40" i="50"/>
  <c r="Z41" i="21"/>
  <c r="Q41" i="50"/>
  <c r="Z42" i="21"/>
  <c r="Q42" i="50"/>
  <c r="Z43" i="21"/>
  <c r="Q43" i="50"/>
  <c r="Z44" i="21"/>
  <c r="Q44" i="50"/>
  <c r="Z45" i="21"/>
  <c r="Q45" i="50"/>
  <c r="Z46" i="21"/>
  <c r="Q46" i="50"/>
  <c r="Z47" i="21"/>
  <c r="Q47" i="50"/>
  <c r="V10" i="21"/>
  <c r="O10" i="50"/>
  <c r="V11" i="21"/>
  <c r="O11" i="50"/>
  <c r="V12" i="21"/>
  <c r="O12" i="50"/>
  <c r="V13" i="21"/>
  <c r="O13" i="50"/>
  <c r="V14" i="21"/>
  <c r="O14" i="50"/>
  <c r="V15" i="21"/>
  <c r="O15" i="50"/>
  <c r="V16" i="21"/>
  <c r="O16" i="50"/>
  <c r="V17" i="21"/>
  <c r="O17" i="50"/>
  <c r="V18" i="21"/>
  <c r="O18" i="50"/>
  <c r="V19" i="21"/>
  <c r="O19" i="50"/>
  <c r="V20" i="21"/>
  <c r="O20" i="50"/>
  <c r="V21" i="21"/>
  <c r="O21" i="50"/>
  <c r="V22" i="21"/>
  <c r="O22" i="50"/>
  <c r="V23" i="21"/>
  <c r="O23" i="50"/>
  <c r="V24" i="21"/>
  <c r="O24" i="50"/>
  <c r="V25" i="21"/>
  <c r="O25" i="50"/>
  <c r="V26" i="21"/>
  <c r="O26" i="50"/>
  <c r="V27" i="21"/>
  <c r="O27" i="50"/>
  <c r="V28" i="21"/>
  <c r="O28" i="50"/>
  <c r="V29" i="21"/>
  <c r="O29" i="50"/>
  <c r="V30" i="21"/>
  <c r="O30" i="50"/>
  <c r="V31" i="21"/>
  <c r="O31" i="50"/>
  <c r="V32" i="21"/>
  <c r="O32" i="50"/>
  <c r="V33" i="21"/>
  <c r="O33" i="50"/>
  <c r="V34" i="21"/>
  <c r="O34" i="50"/>
  <c r="V35" i="21"/>
  <c r="O35" i="50"/>
  <c r="V36" i="21"/>
  <c r="O36" i="50"/>
  <c r="V37" i="21"/>
  <c r="O37" i="50"/>
  <c r="V38" i="21"/>
  <c r="O38" i="50"/>
  <c r="V39" i="21"/>
  <c r="O39" i="50"/>
  <c r="V40" i="21"/>
  <c r="O40" i="50"/>
  <c r="V41" i="21"/>
  <c r="O41" i="50"/>
  <c r="V42" i="21"/>
  <c r="O42" i="50"/>
  <c r="V43" i="21"/>
  <c r="O43" i="50"/>
  <c r="V44" i="21"/>
  <c r="O44" i="50"/>
  <c r="V45" i="21"/>
  <c r="O45" i="50"/>
  <c r="V46" i="21"/>
  <c r="O46" i="50"/>
  <c r="V47" i="21"/>
  <c r="O47" i="50"/>
  <c r="R10" i="21"/>
  <c r="M10" i="50"/>
  <c r="R11" i="21"/>
  <c r="M11" i="50"/>
  <c r="R12" i="21"/>
  <c r="M12" i="50"/>
  <c r="R13" i="21"/>
  <c r="M13" i="50"/>
  <c r="R14" i="21"/>
  <c r="M14" i="50"/>
  <c r="R15" i="21"/>
  <c r="M15" i="50"/>
  <c r="R16" i="21"/>
  <c r="M16" i="50"/>
  <c r="R17" i="21"/>
  <c r="M17" i="50"/>
  <c r="R18" i="21"/>
  <c r="M18" i="50"/>
  <c r="R19" i="21"/>
  <c r="M19" i="50"/>
  <c r="R20" i="21"/>
  <c r="M20" i="50"/>
  <c r="R21" i="21"/>
  <c r="M21" i="50"/>
  <c r="R22" i="21"/>
  <c r="M22" i="50"/>
  <c r="R23" i="21"/>
  <c r="M23" i="50"/>
  <c r="R24" i="21"/>
  <c r="M24" i="50"/>
  <c r="R25" i="21"/>
  <c r="M25" i="50"/>
  <c r="R26" i="21"/>
  <c r="M26" i="50"/>
  <c r="R27" i="21"/>
  <c r="M27" i="50"/>
  <c r="R28" i="21"/>
  <c r="M28" i="50"/>
  <c r="R29" i="21"/>
  <c r="M29" i="50"/>
  <c r="R30" i="21"/>
  <c r="M30" i="50"/>
  <c r="R31" i="21"/>
  <c r="M31" i="50"/>
  <c r="R32" i="21"/>
  <c r="M32" i="50"/>
  <c r="R33" i="21"/>
  <c r="M33" i="50"/>
  <c r="R34" i="21"/>
  <c r="M34" i="50"/>
  <c r="R35" i="21"/>
  <c r="M35" i="50"/>
  <c r="R36" i="21"/>
  <c r="M36" i="50"/>
  <c r="R37" i="21"/>
  <c r="M37" i="50"/>
  <c r="R38" i="21"/>
  <c r="M38" i="50"/>
  <c r="R39" i="21"/>
  <c r="M39" i="50"/>
  <c r="T17" i="53"/>
  <c r="BC11" i="22"/>
  <c r="S13" i="22"/>
  <c r="J12" i="22"/>
  <c r="L12" i="22" s="1"/>
  <c r="M12" i="22" s="1"/>
  <c r="AK11" i="22"/>
  <c r="AM11" i="22" s="1"/>
  <c r="AT12" i="28"/>
  <c r="AV12" i="28" s="1"/>
  <c r="AT20" i="28"/>
  <c r="AV20" i="28" s="1"/>
  <c r="AK20" i="22"/>
  <c r="AM20" i="22" s="1"/>
  <c r="J16" i="29"/>
  <c r="L16" i="29" s="1"/>
  <c r="M16" i="29" s="1"/>
  <c r="J9" i="27"/>
  <c r="L9" i="27" s="1"/>
  <c r="M9" i="27" s="1"/>
  <c r="J13" i="27"/>
  <c r="L13" i="27" s="1"/>
  <c r="M13" i="27" s="1"/>
  <c r="V11" i="22"/>
  <c r="BC17" i="22"/>
  <c r="BE17" i="22" s="1"/>
  <c r="J13" i="38"/>
  <c r="L13" i="38" s="1"/>
  <c r="M13" i="38" s="1"/>
  <c r="AT13" i="38"/>
  <c r="AV13" i="38" s="1"/>
  <c r="N35" i="21"/>
  <c r="K35" i="50"/>
  <c r="N43" i="21"/>
  <c r="K43" i="50"/>
  <c r="N46" i="21"/>
  <c r="K46" i="50"/>
  <c r="N47" i="21"/>
  <c r="K47" i="50"/>
  <c r="N44" i="21"/>
  <c r="K44" i="50"/>
  <c r="N45" i="21"/>
  <c r="K45" i="50"/>
  <c r="BC12" i="38"/>
  <c r="BE12" i="38" s="1"/>
  <c r="S9" i="23"/>
  <c r="U9" i="23" s="1"/>
  <c r="S11" i="23"/>
  <c r="U11" i="23" s="1"/>
  <c r="BC11" i="23"/>
  <c r="BE11" i="23" s="1"/>
  <c r="S15" i="23"/>
  <c r="U15" i="23" s="1"/>
  <c r="BC17" i="23"/>
  <c r="BE17" i="23" s="1"/>
  <c r="N25" i="21"/>
  <c r="K25" i="50"/>
  <c r="N26" i="21"/>
  <c r="K26" i="50"/>
  <c r="N27" i="21"/>
  <c r="K27" i="50"/>
  <c r="N28" i="21"/>
  <c r="K28" i="50"/>
  <c r="N36" i="21"/>
  <c r="K36" i="50"/>
  <c r="J12" i="21"/>
  <c r="I12" i="50"/>
  <c r="J13" i="21"/>
  <c r="I13" i="50"/>
  <c r="J14" i="21"/>
  <c r="I14" i="50"/>
  <c r="J15" i="21"/>
  <c r="I15" i="50"/>
  <c r="J16" i="21"/>
  <c r="I16" i="50"/>
  <c r="J17" i="21"/>
  <c r="I17" i="50"/>
  <c r="J18" i="21"/>
  <c r="I18" i="50"/>
  <c r="J19" i="21"/>
  <c r="I19" i="50"/>
  <c r="J20" i="21"/>
  <c r="I20" i="50"/>
  <c r="J21" i="21"/>
  <c r="I21" i="50"/>
  <c r="J22" i="21"/>
  <c r="I22" i="50"/>
  <c r="J23" i="21"/>
  <c r="I23" i="50"/>
  <c r="J24" i="21"/>
  <c r="I24" i="50"/>
  <c r="J25" i="21"/>
  <c r="I25" i="50"/>
  <c r="J26" i="21"/>
  <c r="I26" i="50"/>
  <c r="J27" i="21"/>
  <c r="I27" i="50"/>
  <c r="J28" i="21"/>
  <c r="I28" i="50"/>
  <c r="J29" i="21"/>
  <c r="I29" i="50"/>
  <c r="J30" i="21"/>
  <c r="I30" i="50"/>
  <c r="J31" i="21"/>
  <c r="I31" i="50"/>
  <c r="J32" i="21"/>
  <c r="I32" i="50"/>
  <c r="J33" i="21"/>
  <c r="I33" i="50"/>
  <c r="J34" i="21"/>
  <c r="I34" i="50"/>
  <c r="J35" i="21"/>
  <c r="I35" i="50"/>
  <c r="J36" i="21"/>
  <c r="I36" i="50"/>
  <c r="J37" i="21"/>
  <c r="I37" i="50"/>
  <c r="J38" i="21"/>
  <c r="I38" i="50"/>
  <c r="J39" i="21"/>
  <c r="I39" i="50"/>
  <c r="J40" i="21"/>
  <c r="I40" i="50"/>
  <c r="J41" i="21"/>
  <c r="I41" i="50"/>
  <c r="J42" i="21"/>
  <c r="I42" i="50"/>
  <c r="J43" i="21"/>
  <c r="I43" i="50"/>
  <c r="J44" i="21"/>
  <c r="I44" i="50"/>
  <c r="J45" i="21"/>
  <c r="I45" i="50"/>
  <c r="N29" i="21"/>
  <c r="K29" i="50"/>
  <c r="S18" i="29"/>
  <c r="U18" i="29" s="1"/>
  <c r="BC18" i="29"/>
  <c r="BE18" i="29" s="1"/>
  <c r="BC22" i="29"/>
  <c r="S11" i="28"/>
  <c r="U11" i="28" s="1"/>
  <c r="N10" i="21"/>
  <c r="K10" i="50"/>
  <c r="N11" i="21"/>
  <c r="AD11" i="21" s="1"/>
  <c r="K11" i="50"/>
  <c r="N12" i="21"/>
  <c r="K12" i="50"/>
  <c r="N13" i="21"/>
  <c r="AD13" i="21" s="1"/>
  <c r="K13" i="50"/>
  <c r="N14" i="21"/>
  <c r="K14" i="50"/>
  <c r="N15" i="21"/>
  <c r="AD15" i="21" s="1"/>
  <c r="K15" i="50"/>
  <c r="N16" i="21"/>
  <c r="K16" i="50"/>
  <c r="N17" i="21"/>
  <c r="AD17" i="21" s="1"/>
  <c r="K17" i="50"/>
  <c r="N18" i="21"/>
  <c r="K18" i="50"/>
  <c r="N19" i="21"/>
  <c r="AD19" i="21" s="1"/>
  <c r="K19" i="50"/>
  <c r="N20" i="21"/>
  <c r="K20" i="50"/>
  <c r="N21" i="21"/>
  <c r="K21" i="50"/>
  <c r="N22" i="21"/>
  <c r="K22" i="50"/>
  <c r="N23" i="21"/>
  <c r="K23" i="50"/>
  <c r="N24" i="21"/>
  <c r="K24" i="50"/>
  <c r="N30" i="21"/>
  <c r="K30" i="50"/>
  <c r="N31" i="21"/>
  <c r="K31" i="50"/>
  <c r="N32" i="21"/>
  <c r="K32" i="50"/>
  <c r="N33" i="21"/>
  <c r="K33" i="50"/>
  <c r="N34" i="21"/>
  <c r="K34" i="50"/>
  <c r="N37" i="21"/>
  <c r="K37" i="50"/>
  <c r="N38" i="21"/>
  <c r="K38" i="50"/>
  <c r="N39" i="21"/>
  <c r="K39" i="50"/>
  <c r="N40" i="21"/>
  <c r="K40" i="50"/>
  <c r="N41" i="21"/>
  <c r="K41" i="50"/>
  <c r="N42" i="21"/>
  <c r="K42" i="50"/>
  <c r="J46" i="21"/>
  <c r="I46" i="50"/>
  <c r="J47" i="21"/>
  <c r="I47" i="50"/>
  <c r="C9" i="1"/>
  <c r="BF14" i="29"/>
  <c r="AN21" i="28"/>
  <c r="AB22" i="28"/>
  <c r="AD22" i="28" s="1"/>
  <c r="AN22" i="29"/>
  <c r="V24" i="29"/>
  <c r="AW19" i="28"/>
  <c r="J21" i="22"/>
  <c r="L21" i="22" s="1"/>
  <c r="M21" i="22" s="1"/>
  <c r="AB21" i="29"/>
  <c r="AD21" i="29" s="1"/>
  <c r="V10" i="28"/>
  <c r="BF15" i="27"/>
  <c r="AT22" i="27"/>
  <c r="AV22" i="27" s="1"/>
  <c r="AB15" i="26"/>
  <c r="AD15" i="26" s="1"/>
  <c r="V19" i="26"/>
  <c r="AW19" i="26"/>
  <c r="J21" i="26"/>
  <c r="L21" i="26" s="1"/>
  <c r="M21" i="26" s="1"/>
  <c r="J16" i="22"/>
  <c r="L16" i="22" s="1"/>
  <c r="M16" i="22" s="1"/>
  <c r="BF15" i="1"/>
  <c r="AK20" i="38"/>
  <c r="AM20" i="38" s="1"/>
  <c r="AN15" i="1"/>
  <c r="J9" i="38"/>
  <c r="L9" i="38" s="1"/>
  <c r="M9" i="38" s="1"/>
  <c r="AB17" i="38"/>
  <c r="AD17" i="38" s="1"/>
  <c r="AB21" i="38"/>
  <c r="AE14" i="29"/>
  <c r="S19" i="29"/>
  <c r="U19" i="29" s="1"/>
  <c r="J20" i="29"/>
  <c r="L20" i="29" s="1"/>
  <c r="M20" i="29" s="1"/>
  <c r="S19" i="28"/>
  <c r="U19" i="28" s="1"/>
  <c r="V11" i="26"/>
  <c r="BF15" i="26"/>
  <c r="S16" i="26"/>
  <c r="U16" i="26" s="1"/>
  <c r="J17" i="26"/>
  <c r="L17" i="26" s="1"/>
  <c r="AT17" i="26"/>
  <c r="AV17" i="26" s="1"/>
  <c r="AN18" i="26"/>
  <c r="BC9" i="22"/>
  <c r="BE9" i="22" s="1"/>
  <c r="AB16" i="22"/>
  <c r="AD16" i="22" s="1"/>
  <c r="AB20" i="22"/>
  <c r="AD20" i="22" s="1"/>
  <c r="BF21" i="22"/>
  <c r="BA14" i="22"/>
  <c r="BC14" i="22" s="1"/>
  <c r="BE14" i="22" s="1"/>
  <c r="BF14" i="22"/>
  <c r="AE14" i="38"/>
  <c r="AE22" i="38"/>
  <c r="V9" i="23"/>
  <c r="AW17" i="38"/>
  <c r="J9" i="1"/>
  <c r="L9" i="1" s="1"/>
  <c r="M9" i="1" s="1"/>
  <c r="AW10" i="1"/>
  <c r="BF21" i="1"/>
  <c r="V11" i="29"/>
  <c r="AW19" i="29"/>
  <c r="AW18" i="1"/>
  <c r="AK16" i="38"/>
  <c r="AM16" i="38" s="1"/>
  <c r="AW16" i="38"/>
  <c r="V21" i="38"/>
  <c r="AW21" i="38"/>
  <c r="AE10" i="23"/>
  <c r="J14" i="23"/>
  <c r="L14" i="23" s="1"/>
  <c r="M14" i="23" s="1"/>
  <c r="AN18" i="23"/>
  <c r="S11" i="22"/>
  <c r="U11" i="22" s="1"/>
  <c r="BF13" i="23"/>
  <c r="V16" i="23"/>
  <c r="AT16" i="23"/>
  <c r="AV16" i="23" s="1"/>
  <c r="V20" i="23"/>
  <c r="BF20" i="23"/>
  <c r="AT22" i="23"/>
  <c r="AV22" i="23" s="1"/>
  <c r="AK20" i="29"/>
  <c r="AM20" i="29" s="1"/>
  <c r="AW11" i="28"/>
  <c r="V18" i="28"/>
  <c r="AK12" i="26"/>
  <c r="AM12" i="26" s="1"/>
  <c r="AK14" i="26"/>
  <c r="AM14" i="26" s="1"/>
  <c r="V24" i="26"/>
  <c r="AB10" i="22"/>
  <c r="AD10" i="22" s="1"/>
  <c r="BF13" i="22"/>
  <c r="AT22" i="22"/>
  <c r="AV22" i="22" s="1"/>
  <c r="J23" i="22"/>
  <c r="L23" i="22" s="1"/>
  <c r="M23" i="22" s="1"/>
  <c r="AE22" i="28"/>
  <c r="AE17" i="27"/>
  <c r="AE20" i="27"/>
  <c r="AW20" i="27"/>
  <c r="BF20" i="27"/>
  <c r="J10" i="23"/>
  <c r="L10" i="23" s="1"/>
  <c r="M10" i="23" s="1"/>
  <c r="AE15" i="23"/>
  <c r="BC15" i="23"/>
  <c r="BE15" i="23" s="1"/>
  <c r="AE16" i="23"/>
  <c r="AK17" i="23"/>
  <c r="AT16" i="29"/>
  <c r="AV16" i="29" s="1"/>
  <c r="BF22" i="29"/>
  <c r="J23" i="29"/>
  <c r="L23" i="29" s="1"/>
  <c r="M23" i="29" s="1"/>
  <c r="AN13" i="28"/>
  <c r="V15" i="28"/>
  <c r="J16" i="28"/>
  <c r="L16" i="28" s="1"/>
  <c r="M16" i="28" s="1"/>
  <c r="AT16" i="28"/>
  <c r="AV16" i="28" s="1"/>
  <c r="BC11" i="26"/>
  <c r="BE11" i="26" s="1"/>
  <c r="BC14" i="26"/>
  <c r="BE14" i="26" s="1"/>
  <c r="BC16" i="26"/>
  <c r="BE16" i="26" s="1"/>
  <c r="S20" i="26"/>
  <c r="U20" i="26" s="1"/>
  <c r="AN21" i="26"/>
  <c r="AK22" i="26"/>
  <c r="AM22" i="26" s="1"/>
  <c r="BF10" i="22"/>
  <c r="AE14" i="22"/>
  <c r="AK15" i="22"/>
  <c r="AM15" i="22" s="1"/>
  <c r="BF13" i="1"/>
  <c r="AN16" i="1"/>
  <c r="J17" i="1"/>
  <c r="L17" i="1" s="1"/>
  <c r="AN10" i="38"/>
  <c r="AB11" i="38"/>
  <c r="AD11" i="38" s="1"/>
  <c r="AW12" i="38"/>
  <c r="AE20" i="38"/>
  <c r="BF20" i="38"/>
  <c r="AN21" i="38"/>
  <c r="Z10" i="23"/>
  <c r="BF15" i="23"/>
  <c r="AW17" i="23"/>
  <c r="J18" i="23"/>
  <c r="L18" i="23" s="1"/>
  <c r="M18" i="23" s="1"/>
  <c r="AW21" i="23"/>
  <c r="Q23" i="27"/>
  <c r="S23" i="27" s="1"/>
  <c r="U23" i="27" s="1"/>
  <c r="V23" i="27"/>
  <c r="BF9" i="1"/>
  <c r="AN11" i="1"/>
  <c r="BF11" i="1"/>
  <c r="AN19" i="1"/>
  <c r="BF19" i="1"/>
  <c r="J21" i="1"/>
  <c r="L21" i="1" s="1"/>
  <c r="M21" i="1" s="1"/>
  <c r="AW22" i="1"/>
  <c r="AE9" i="38"/>
  <c r="AE10" i="38"/>
  <c r="V11" i="38"/>
  <c r="AN12" i="38"/>
  <c r="V17" i="38"/>
  <c r="AE18" i="38"/>
  <c r="AW20" i="38"/>
  <c r="AN15" i="23"/>
  <c r="V19" i="23"/>
  <c r="AE20" i="23"/>
  <c r="AE22" i="23"/>
  <c r="Z22" i="23"/>
  <c r="AB22" i="23" s="1"/>
  <c r="AD22" i="23" s="1"/>
  <c r="AN12" i="1"/>
  <c r="J13" i="1"/>
  <c r="L13" i="1" s="1"/>
  <c r="AW14" i="1"/>
  <c r="BF17" i="1"/>
  <c r="AN20" i="1"/>
  <c r="Z9" i="38"/>
  <c r="AB9" i="38" s="1"/>
  <c r="AW11" i="38"/>
  <c r="AE16" i="38"/>
  <c r="BF16" i="38"/>
  <c r="AN17" i="38"/>
  <c r="AW9" i="23"/>
  <c r="AW10" i="23"/>
  <c r="S13" i="23"/>
  <c r="U13" i="23" s="1"/>
  <c r="AW14" i="23"/>
  <c r="BF17" i="23"/>
  <c r="V21" i="23"/>
  <c r="J10" i="29"/>
  <c r="L10" i="29" s="1"/>
  <c r="M10" i="29" s="1"/>
  <c r="AE13" i="29"/>
  <c r="AW13" i="29"/>
  <c r="BF13" i="29"/>
  <c r="V18" i="29"/>
  <c r="AW18" i="29"/>
  <c r="AW12" i="28"/>
  <c r="AE13" i="28"/>
  <c r="BF16" i="28"/>
  <c r="AW20" i="28"/>
  <c r="AE21" i="28"/>
  <c r="V22" i="28"/>
  <c r="AN17" i="26"/>
  <c r="AI17" i="26"/>
  <c r="AK17" i="26" s="1"/>
  <c r="AM17" i="26" s="1"/>
  <c r="V20" i="22"/>
  <c r="Q20" i="22"/>
  <c r="S20" i="22" s="1"/>
  <c r="U20" i="22" s="1"/>
  <c r="AE10" i="29"/>
  <c r="J15" i="29"/>
  <c r="L15" i="29" s="1"/>
  <c r="M15" i="29" s="1"/>
  <c r="J17" i="29"/>
  <c r="L17" i="29" s="1"/>
  <c r="M17" i="29" s="1"/>
  <c r="AW17" i="29"/>
  <c r="BF17" i="29"/>
  <c r="AE20" i="29"/>
  <c r="V21" i="29"/>
  <c r="AE9" i="28"/>
  <c r="AE15" i="28"/>
  <c r="AW15" i="28"/>
  <c r="AE17" i="28"/>
  <c r="AE17" i="26"/>
  <c r="Z17" i="26"/>
  <c r="AB17" i="26" s="1"/>
  <c r="AI22" i="22"/>
  <c r="AK22" i="22" s="1"/>
  <c r="AN22" i="22"/>
  <c r="V24" i="23"/>
  <c r="AE9" i="29"/>
  <c r="AW9" i="29"/>
  <c r="BF9" i="29"/>
  <c r="J14" i="29"/>
  <c r="L14" i="29" s="1"/>
  <c r="M14" i="29" s="1"/>
  <c r="AE15" i="29"/>
  <c r="AR17" i="29"/>
  <c r="AT17" i="29" s="1"/>
  <c r="BF18" i="29"/>
  <c r="S20" i="29"/>
  <c r="U20" i="29" s="1"/>
  <c r="AN20" i="29"/>
  <c r="AE21" i="29"/>
  <c r="AW22" i="29"/>
  <c r="AE10" i="28"/>
  <c r="V14" i="28"/>
  <c r="S15" i="28"/>
  <c r="U15" i="28" s="1"/>
  <c r="AE18" i="28"/>
  <c r="J22" i="28"/>
  <c r="L22" i="28" s="1"/>
  <c r="M22" i="28" s="1"/>
  <c r="S22" i="28"/>
  <c r="U22" i="28" s="1"/>
  <c r="BF22" i="28"/>
  <c r="AN17" i="22"/>
  <c r="AI17" i="22"/>
  <c r="AK17" i="22" s="1"/>
  <c r="AM17" i="22" s="1"/>
  <c r="AE9" i="27"/>
  <c r="BF11" i="27"/>
  <c r="AE13" i="27"/>
  <c r="AN15" i="27"/>
  <c r="AN16" i="27"/>
  <c r="BF17" i="27"/>
  <c r="V18" i="27"/>
  <c r="BF12" i="26"/>
  <c r="AE15" i="26"/>
  <c r="AW21" i="26"/>
  <c r="V9" i="22"/>
  <c r="AE13" i="22"/>
  <c r="AN16" i="22"/>
  <c r="V24" i="22"/>
  <c r="BF9" i="27"/>
  <c r="V10" i="27"/>
  <c r="BF13" i="27"/>
  <c r="V14" i="27"/>
  <c r="AE16" i="27"/>
  <c r="AW16" i="27"/>
  <c r="BF16" i="27"/>
  <c r="AW18" i="27"/>
  <c r="BF19" i="27"/>
  <c r="J13" i="26"/>
  <c r="L13" i="26" s="1"/>
  <c r="M13" i="26" s="1"/>
  <c r="AW13" i="26"/>
  <c r="AN16" i="26"/>
  <c r="BC20" i="26"/>
  <c r="BE20" i="26" s="1"/>
  <c r="AN21" i="22"/>
  <c r="AW10" i="27"/>
  <c r="AE12" i="27"/>
  <c r="AW12" i="27"/>
  <c r="BF12" i="27"/>
  <c r="AW14" i="27"/>
  <c r="AN19" i="27"/>
  <c r="AN20" i="27"/>
  <c r="V22" i="27"/>
  <c r="AE9" i="26"/>
  <c r="S10" i="26"/>
  <c r="U10" i="26" s="1"/>
  <c r="BC10" i="26"/>
  <c r="BE10" i="26" s="1"/>
  <c r="AB11" i="26"/>
  <c r="AD11" i="26" s="1"/>
  <c r="AN13" i="26"/>
  <c r="AE18" i="26"/>
  <c r="AK18" i="26"/>
  <c r="AM18" i="26" s="1"/>
  <c r="V22" i="26"/>
  <c r="AN9" i="22"/>
  <c r="AE10" i="22"/>
  <c r="BF11" i="22"/>
  <c r="BF15" i="22"/>
  <c r="AW16" i="22"/>
  <c r="V17" i="22"/>
  <c r="AE19" i="22"/>
  <c r="BF20" i="22"/>
  <c r="AI21" i="22"/>
  <c r="AK21" i="22" s="1"/>
  <c r="AM21" i="22" s="1"/>
  <c r="J22" i="22"/>
  <c r="L22" i="22" s="1"/>
  <c r="M22" i="22" s="1"/>
  <c r="C40" i="21"/>
  <c r="C40" i="22"/>
  <c r="C40" i="26"/>
  <c r="C40" i="28"/>
  <c r="C40" i="29"/>
  <c r="C40" i="27"/>
  <c r="C40" i="23"/>
  <c r="C40" i="1"/>
  <c r="C40" i="38"/>
  <c r="C24" i="21"/>
  <c r="C24" i="22"/>
  <c r="C24" i="26"/>
  <c r="C24" i="27"/>
  <c r="C24" i="29"/>
  <c r="C24" i="28"/>
  <c r="C24" i="23"/>
  <c r="C24" i="38"/>
  <c r="C12" i="21"/>
  <c r="C12" i="22"/>
  <c r="C12" i="26"/>
  <c r="C12" i="27"/>
  <c r="C12" i="28"/>
  <c r="C12" i="29"/>
  <c r="C12" i="23"/>
  <c r="C12" i="38"/>
  <c r="C43" i="21"/>
  <c r="C43" i="22"/>
  <c r="C43" i="26"/>
  <c r="C43" i="28"/>
  <c r="C43" i="27"/>
  <c r="C43" i="29"/>
  <c r="C43" i="23"/>
  <c r="C43" i="38"/>
  <c r="C43" i="1"/>
  <c r="C39" i="21"/>
  <c r="C39" i="22"/>
  <c r="C39" i="26"/>
  <c r="C39" i="28"/>
  <c r="C39" i="27"/>
  <c r="C39" i="29"/>
  <c r="C39" i="23"/>
  <c r="C39" i="38"/>
  <c r="C39" i="1"/>
  <c r="C35" i="21"/>
  <c r="C35" i="22"/>
  <c r="C35" i="26"/>
  <c r="C35" i="27"/>
  <c r="C35" i="28"/>
  <c r="C35" i="29"/>
  <c r="C35" i="38"/>
  <c r="C35" i="1"/>
  <c r="C27" i="21"/>
  <c r="C27" i="22"/>
  <c r="C27" i="26"/>
  <c r="C27" i="27"/>
  <c r="C27" i="28"/>
  <c r="C27" i="29"/>
  <c r="C27" i="38"/>
  <c r="C23" i="21"/>
  <c r="C23" i="22"/>
  <c r="C23" i="26"/>
  <c r="C23" i="27"/>
  <c r="C23" i="28"/>
  <c r="C23" i="29"/>
  <c r="C23" i="23"/>
  <c r="C23" i="38"/>
  <c r="C19" i="21"/>
  <c r="C19" i="22"/>
  <c r="C19" i="26"/>
  <c r="C19" i="27"/>
  <c r="C19" i="29"/>
  <c r="C19" i="28"/>
  <c r="C19" i="23"/>
  <c r="C19" i="38"/>
  <c r="C11" i="21"/>
  <c r="C11" i="22"/>
  <c r="C11" i="26"/>
  <c r="C11" i="27"/>
  <c r="C11" i="28"/>
  <c r="C11" i="29"/>
  <c r="C11" i="38"/>
  <c r="C11" i="23"/>
  <c r="AE12" i="1"/>
  <c r="AW12" i="1"/>
  <c r="BF12" i="1"/>
  <c r="AE13" i="1"/>
  <c r="AE16" i="1"/>
  <c r="AW16" i="1"/>
  <c r="BF16" i="1"/>
  <c r="AE17" i="1"/>
  <c r="V18" i="1"/>
  <c r="C46" i="21"/>
  <c r="C46" i="22"/>
  <c r="C46" i="26"/>
  <c r="C46" i="27"/>
  <c r="C46" i="28"/>
  <c r="C46" i="23"/>
  <c r="C46" i="29"/>
  <c r="C46" i="38"/>
  <c r="C46" i="1"/>
  <c r="C42" i="21"/>
  <c r="C42" i="22"/>
  <c r="C42" i="26"/>
  <c r="C42" i="27"/>
  <c r="C42" i="28"/>
  <c r="C42" i="29"/>
  <c r="C42" i="38"/>
  <c r="C42" i="23"/>
  <c r="C42" i="1"/>
  <c r="C38" i="21"/>
  <c r="C38" i="26"/>
  <c r="C38" i="22"/>
  <c r="C38" i="27"/>
  <c r="C38" i="28"/>
  <c r="C38" i="29"/>
  <c r="C38" i="38"/>
  <c r="C38" i="23"/>
  <c r="C38" i="1"/>
  <c r="C34" i="21"/>
  <c r="C34" i="22"/>
  <c r="C34" i="26"/>
  <c r="C34" i="27"/>
  <c r="C34" i="28"/>
  <c r="C34" i="29"/>
  <c r="C34" i="23"/>
  <c r="C34" i="38"/>
  <c r="C34" i="1"/>
  <c r="C30" i="21"/>
  <c r="C30" i="26"/>
  <c r="C30" i="22"/>
  <c r="C30" i="27"/>
  <c r="C30" i="29"/>
  <c r="C30" i="28"/>
  <c r="C30" i="38"/>
  <c r="C30" i="23"/>
  <c r="C26" i="21"/>
  <c r="C26" i="22"/>
  <c r="C26" i="26"/>
  <c r="C26" i="27"/>
  <c r="C26" i="28"/>
  <c r="C26" i="29"/>
  <c r="C26" i="23"/>
  <c r="C26" i="38"/>
  <c r="C22" i="21"/>
  <c r="C22" i="22"/>
  <c r="C22" i="26"/>
  <c r="C22" i="27"/>
  <c r="C22" i="28"/>
  <c r="C22" i="29"/>
  <c r="C22" i="38"/>
  <c r="C22" i="23"/>
  <c r="C18" i="21"/>
  <c r="C18" i="22"/>
  <c r="C18" i="26"/>
  <c r="C18" i="27"/>
  <c r="C18" i="28"/>
  <c r="C18" i="29"/>
  <c r="C18" i="23"/>
  <c r="C18" i="38"/>
  <c r="C14" i="21"/>
  <c r="C14" i="22"/>
  <c r="C14" i="26"/>
  <c r="C14" i="28"/>
  <c r="C14" i="27"/>
  <c r="C14" i="29"/>
  <c r="C14" i="38"/>
  <c r="C14" i="23"/>
  <c r="C10" i="21"/>
  <c r="C10" i="22"/>
  <c r="C10" i="26"/>
  <c r="C10" i="27"/>
  <c r="C10" i="28"/>
  <c r="C10" i="29"/>
  <c r="C10" i="23"/>
  <c r="V9" i="1"/>
  <c r="AN9" i="1"/>
  <c r="AW9" i="1"/>
  <c r="AE10" i="1"/>
  <c r="AN10" i="1"/>
  <c r="V11" i="1"/>
  <c r="AE11" i="1"/>
  <c r="V13" i="1"/>
  <c r="AN13" i="1"/>
  <c r="AW13" i="1"/>
  <c r="AE14" i="1"/>
  <c r="AN14" i="1"/>
  <c r="V15" i="1"/>
  <c r="AE15" i="1"/>
  <c r="V17" i="1"/>
  <c r="AN17" i="1"/>
  <c r="AW17" i="1"/>
  <c r="AE18" i="1"/>
  <c r="AN18" i="1"/>
  <c r="V19" i="1"/>
  <c r="AE19" i="1"/>
  <c r="V21" i="1"/>
  <c r="AN21" i="1"/>
  <c r="AW21" i="1"/>
  <c r="AE22" i="1"/>
  <c r="AN22" i="1"/>
  <c r="V23" i="1"/>
  <c r="C10" i="38"/>
  <c r="Q11" i="38"/>
  <c r="S11" i="38" s="1"/>
  <c r="U11" i="38" s="1"/>
  <c r="AI12" i="38"/>
  <c r="AK12" i="38" s="1"/>
  <c r="AR12" i="38"/>
  <c r="AT12" i="38" s="1"/>
  <c r="AV12" i="38" s="1"/>
  <c r="S14" i="38"/>
  <c r="U14" i="38" s="1"/>
  <c r="AN14" i="38"/>
  <c r="AT15" i="38"/>
  <c r="AV15" i="38" s="1"/>
  <c r="BF15" i="38"/>
  <c r="S18" i="38"/>
  <c r="U18" i="38" s="1"/>
  <c r="AN18" i="38"/>
  <c r="AT19" i="38"/>
  <c r="AV19" i="38" s="1"/>
  <c r="BF19" i="38"/>
  <c r="S22" i="38"/>
  <c r="U22" i="38" s="1"/>
  <c r="AN22" i="38"/>
  <c r="AB10" i="23"/>
  <c r="AD10" i="23" s="1"/>
  <c r="AW12" i="23"/>
  <c r="AR12" i="23"/>
  <c r="AK21" i="23"/>
  <c r="AM21" i="23" s="1"/>
  <c r="AN22" i="23"/>
  <c r="C28" i="23"/>
  <c r="C35" i="23"/>
  <c r="C44" i="21"/>
  <c r="C44" i="22"/>
  <c r="C44" i="26"/>
  <c r="C44" i="27"/>
  <c r="C44" i="28"/>
  <c r="C44" i="29"/>
  <c r="C44" i="23"/>
  <c r="C44" i="38"/>
  <c r="C32" i="21"/>
  <c r="C32" i="22"/>
  <c r="C32" i="26"/>
  <c r="C32" i="27"/>
  <c r="C32" i="28"/>
  <c r="C32" i="29"/>
  <c r="C32" i="1"/>
  <c r="C32" i="23"/>
  <c r="C32" i="38"/>
  <c r="C16" i="21"/>
  <c r="C16" i="22"/>
  <c r="C16" i="26"/>
  <c r="C16" i="27"/>
  <c r="C16" i="29"/>
  <c r="C16" i="28"/>
  <c r="C16" i="23"/>
  <c r="C16" i="38"/>
  <c r="C45" i="21"/>
  <c r="C45" i="22"/>
  <c r="C45" i="26"/>
  <c r="C45" i="27"/>
  <c r="C45" i="29"/>
  <c r="C45" i="28"/>
  <c r="C45" i="23"/>
  <c r="C45" i="38"/>
  <c r="C45" i="1"/>
  <c r="C41" i="21"/>
  <c r="C41" i="22"/>
  <c r="C41" i="26"/>
  <c r="C41" i="27"/>
  <c r="C41" i="28"/>
  <c r="C41" i="29"/>
  <c r="C41" i="23"/>
  <c r="C41" i="38"/>
  <c r="C41" i="1"/>
  <c r="C37" i="21"/>
  <c r="C37" i="22"/>
  <c r="C37" i="26"/>
  <c r="C37" i="27"/>
  <c r="C37" i="28"/>
  <c r="C37" i="29"/>
  <c r="C37" i="23"/>
  <c r="C37" i="38"/>
  <c r="C37" i="1"/>
  <c r="C33" i="21"/>
  <c r="C33" i="22"/>
  <c r="C33" i="26"/>
  <c r="C33" i="27"/>
  <c r="C33" i="29"/>
  <c r="C33" i="28"/>
  <c r="C33" i="23"/>
  <c r="C33" i="38"/>
  <c r="C33" i="1"/>
  <c r="C29" i="21"/>
  <c r="C29" i="22"/>
  <c r="C29" i="26"/>
  <c r="C29" i="27"/>
  <c r="C29" i="28"/>
  <c r="C29" i="29"/>
  <c r="C29" i="23"/>
  <c r="C29" i="38"/>
  <c r="C25" i="21"/>
  <c r="C25" i="22"/>
  <c r="C25" i="26"/>
  <c r="C25" i="27"/>
  <c r="C25" i="28"/>
  <c r="C25" i="29"/>
  <c r="C25" i="23"/>
  <c r="C25" i="38"/>
  <c r="C21" i="21"/>
  <c r="C21" i="22"/>
  <c r="C21" i="26"/>
  <c r="C21" i="27"/>
  <c r="C21" i="28"/>
  <c r="C21" i="29"/>
  <c r="C21" i="23"/>
  <c r="C21" i="38"/>
  <c r="C17" i="21"/>
  <c r="C17" i="22"/>
  <c r="C17" i="26"/>
  <c r="C17" i="27"/>
  <c r="C17" i="28"/>
  <c r="C17" i="29"/>
  <c r="C17" i="23"/>
  <c r="C17" i="38"/>
  <c r="C13" i="21"/>
  <c r="C13" i="22"/>
  <c r="C13" i="26"/>
  <c r="C13" i="27"/>
  <c r="C13" i="28"/>
  <c r="C13" i="29"/>
  <c r="C13" i="23"/>
  <c r="C13" i="38"/>
  <c r="C9" i="22"/>
  <c r="C9" i="27"/>
  <c r="C9" i="26"/>
  <c r="C9" i="28"/>
  <c r="C9" i="29"/>
  <c r="C9" i="38"/>
  <c r="BF10" i="1"/>
  <c r="AW11" i="1"/>
  <c r="C12" i="1"/>
  <c r="V12" i="1"/>
  <c r="BF14" i="1"/>
  <c r="AW15" i="1"/>
  <c r="C16" i="1"/>
  <c r="V16" i="1"/>
  <c r="BF18" i="1"/>
  <c r="C19" i="1"/>
  <c r="AW19" i="1"/>
  <c r="V20" i="1"/>
  <c r="BF22" i="1"/>
  <c r="C23" i="1"/>
  <c r="C24" i="1"/>
  <c r="V24" i="1"/>
  <c r="C27" i="1"/>
  <c r="AT9" i="38"/>
  <c r="AV9" i="38" s="1"/>
  <c r="S10" i="38"/>
  <c r="U10" i="38" s="1"/>
  <c r="S12" i="38"/>
  <c r="U12" i="38" s="1"/>
  <c r="AE13" i="38"/>
  <c r="Z13" i="38"/>
  <c r="AB13" i="38" s="1"/>
  <c r="BF14" i="38"/>
  <c r="BA14" i="38"/>
  <c r="BC14" i="38" s="1"/>
  <c r="BF18" i="38"/>
  <c r="BA18" i="38"/>
  <c r="BC18" i="38" s="1"/>
  <c r="BF22" i="38"/>
  <c r="BA22" i="38"/>
  <c r="BC22" i="38" s="1"/>
  <c r="AK9" i="23"/>
  <c r="AM9" i="23" s="1"/>
  <c r="AB18" i="23"/>
  <c r="AD18" i="23" s="1"/>
  <c r="S23" i="23"/>
  <c r="U23" i="23" s="1"/>
  <c r="C28" i="21"/>
  <c r="C28" i="22"/>
  <c r="C28" i="26"/>
  <c r="C28" i="27"/>
  <c r="C28" i="28"/>
  <c r="C28" i="29"/>
  <c r="C28" i="38"/>
  <c r="C21" i="1"/>
  <c r="C25" i="1"/>
  <c r="C29" i="1"/>
  <c r="C44" i="1"/>
  <c r="BF10" i="38"/>
  <c r="BA10" i="38"/>
  <c r="BC10" i="38" s="1"/>
  <c r="AE14" i="23"/>
  <c r="Z14" i="23"/>
  <c r="AB14" i="23" s="1"/>
  <c r="C27" i="23"/>
  <c r="C36" i="21"/>
  <c r="C36" i="26"/>
  <c r="C36" i="22"/>
  <c r="C36" i="27"/>
  <c r="C36" i="28"/>
  <c r="C36" i="29"/>
  <c r="C36" i="1"/>
  <c r="C36" i="38"/>
  <c r="C20" i="21"/>
  <c r="C20" i="22"/>
  <c r="C20" i="26"/>
  <c r="C20" i="27"/>
  <c r="C20" i="28"/>
  <c r="C20" i="29"/>
  <c r="C20" i="23"/>
  <c r="C20" i="38"/>
  <c r="C47" i="21"/>
  <c r="C47" i="22"/>
  <c r="C47" i="26"/>
  <c r="C47" i="27"/>
  <c r="C47" i="28"/>
  <c r="C47" i="23"/>
  <c r="C47" i="29"/>
  <c r="C47" i="38"/>
  <c r="C47" i="1"/>
  <c r="C31" i="21"/>
  <c r="C31" i="22"/>
  <c r="C31" i="26"/>
  <c r="C31" i="27"/>
  <c r="C31" i="28"/>
  <c r="C31" i="29"/>
  <c r="C31" i="38"/>
  <c r="C31" i="23"/>
  <c r="C15" i="21"/>
  <c r="C15" i="22"/>
  <c r="C15" i="27"/>
  <c r="C15" i="26"/>
  <c r="C15" i="29"/>
  <c r="C15" i="28"/>
  <c r="C15" i="38"/>
  <c r="C15" i="23"/>
  <c r="AE9" i="1"/>
  <c r="V10" i="1"/>
  <c r="V14" i="1"/>
  <c r="AE20" i="1"/>
  <c r="AW20" i="1"/>
  <c r="BF20" i="1"/>
  <c r="AE21" i="1"/>
  <c r="V22" i="1"/>
  <c r="AR11" i="38"/>
  <c r="AE15" i="38"/>
  <c r="AE19" i="38"/>
  <c r="V12" i="23"/>
  <c r="AK13" i="23"/>
  <c r="AM13" i="23" s="1"/>
  <c r="AT20" i="23"/>
  <c r="AV20" i="23" s="1"/>
  <c r="J22" i="23"/>
  <c r="L22" i="23" s="1"/>
  <c r="M22" i="23" s="1"/>
  <c r="AK10" i="38"/>
  <c r="AM10" i="38" s="1"/>
  <c r="BF11" i="38"/>
  <c r="BF12" i="38"/>
  <c r="AN13" i="38"/>
  <c r="AW13" i="38"/>
  <c r="V14" i="38"/>
  <c r="AN15" i="38"/>
  <c r="AN16" i="38"/>
  <c r="AE17" i="38"/>
  <c r="V18" i="38"/>
  <c r="AN19" i="38"/>
  <c r="AN20" i="38"/>
  <c r="AE21" i="38"/>
  <c r="V22" i="38"/>
  <c r="BC9" i="23"/>
  <c r="BE9" i="23" s="1"/>
  <c r="AK10" i="23"/>
  <c r="AM10" i="23" s="1"/>
  <c r="V11" i="23"/>
  <c r="Q12" i="23"/>
  <c r="S12" i="23" s="1"/>
  <c r="AE12" i="23"/>
  <c r="V15" i="23"/>
  <c r="BF16" i="23"/>
  <c r="AN17" i="23"/>
  <c r="AW18" i="23"/>
  <c r="AR18" i="23"/>
  <c r="AT18" i="23" s="1"/>
  <c r="AE19" i="23"/>
  <c r="BC19" i="23"/>
  <c r="BE19" i="23" s="1"/>
  <c r="BC21" i="23"/>
  <c r="BE21" i="23" s="1"/>
  <c r="AW22" i="23"/>
  <c r="Q24" i="23"/>
  <c r="BF9" i="23"/>
  <c r="AB11" i="23"/>
  <c r="AD11" i="23" s="1"/>
  <c r="BC13" i="23"/>
  <c r="BE13" i="23" s="1"/>
  <c r="S19" i="23"/>
  <c r="U19" i="23" s="1"/>
  <c r="AN19" i="23"/>
  <c r="BF19" i="23"/>
  <c r="BF21" i="23"/>
  <c r="S24" i="23"/>
  <c r="AN9" i="38"/>
  <c r="AW9" i="38"/>
  <c r="V10" i="38"/>
  <c r="AE11" i="38"/>
  <c r="V12" i="38"/>
  <c r="V13" i="38"/>
  <c r="BF13" i="38"/>
  <c r="AW14" i="38"/>
  <c r="V15" i="38"/>
  <c r="AW15" i="38"/>
  <c r="V16" i="38"/>
  <c r="BF17" i="38"/>
  <c r="AW18" i="38"/>
  <c r="V19" i="38"/>
  <c r="AW19" i="38"/>
  <c r="V20" i="38"/>
  <c r="BF21" i="38"/>
  <c r="AW22" i="38"/>
  <c r="V23" i="38"/>
  <c r="V24" i="38"/>
  <c r="AN9" i="23"/>
  <c r="AN11" i="23"/>
  <c r="BF11" i="23"/>
  <c r="V13" i="23"/>
  <c r="AW13" i="23"/>
  <c r="AT14" i="23"/>
  <c r="AV14" i="23" s="1"/>
  <c r="AW16" i="23"/>
  <c r="S17" i="23"/>
  <c r="U17" i="23" s="1"/>
  <c r="AE18" i="23"/>
  <c r="AW20" i="23"/>
  <c r="AN21" i="23"/>
  <c r="V23" i="23"/>
  <c r="S22" i="29"/>
  <c r="U22" i="29" s="1"/>
  <c r="BC12" i="23"/>
  <c r="BE12" i="23" s="1"/>
  <c r="AN13" i="23"/>
  <c r="AN14" i="23"/>
  <c r="V17" i="23"/>
  <c r="V10" i="29"/>
  <c r="AN10" i="29"/>
  <c r="AW10" i="29"/>
  <c r="AE11" i="29"/>
  <c r="AN11" i="29"/>
  <c r="V12" i="29"/>
  <c r="AE12" i="29"/>
  <c r="V14" i="29"/>
  <c r="Z15" i="29"/>
  <c r="AN15" i="29"/>
  <c r="BF16" i="29"/>
  <c r="V17" i="29"/>
  <c r="AE19" i="29"/>
  <c r="AR19" i="29"/>
  <c r="Z20" i="29"/>
  <c r="AB20" i="29" s="1"/>
  <c r="BF20" i="29"/>
  <c r="Q21" i="29"/>
  <c r="S21" i="29" s="1"/>
  <c r="U21" i="29" s="1"/>
  <c r="AW21" i="29"/>
  <c r="AI22" i="29"/>
  <c r="Q24" i="29"/>
  <c r="S24" i="29" s="1"/>
  <c r="AN9" i="28"/>
  <c r="AE11" i="28"/>
  <c r="J12" i="28"/>
  <c r="L12" i="28" s="1"/>
  <c r="M12" i="28" s="1"/>
  <c r="AE14" i="28"/>
  <c r="BC15" i="28"/>
  <c r="BE15" i="28" s="1"/>
  <c r="AE16" i="28"/>
  <c r="Z16" i="28"/>
  <c r="AB16" i="28" s="1"/>
  <c r="AD16" i="28" s="1"/>
  <c r="AN17" i="28"/>
  <c r="AE19" i="28"/>
  <c r="J20" i="28"/>
  <c r="L20" i="28" s="1"/>
  <c r="M20" i="28" s="1"/>
  <c r="V9" i="29"/>
  <c r="BF11" i="29"/>
  <c r="AW12" i="29"/>
  <c r="V13" i="29"/>
  <c r="AW15" i="29"/>
  <c r="V16" i="29"/>
  <c r="AE16" i="29"/>
  <c r="AE17" i="29"/>
  <c r="AN18" i="29"/>
  <c r="AT18" i="29"/>
  <c r="AV18" i="29" s="1"/>
  <c r="AN19" i="29"/>
  <c r="BC20" i="29"/>
  <c r="BE20" i="29" s="1"/>
  <c r="AT21" i="29"/>
  <c r="AV21" i="29" s="1"/>
  <c r="V22" i="29"/>
  <c r="BF9" i="28"/>
  <c r="BA9" i="28"/>
  <c r="BC9" i="28" s="1"/>
  <c r="BE9" i="28" s="1"/>
  <c r="AB10" i="28"/>
  <c r="AD10" i="28" s="1"/>
  <c r="BF12" i="28"/>
  <c r="AK13" i="28"/>
  <c r="AM13" i="28" s="1"/>
  <c r="AW14" i="28"/>
  <c r="AR14" i="28"/>
  <c r="AT14" i="28" s="1"/>
  <c r="AV14" i="28" s="1"/>
  <c r="BF15" i="28"/>
  <c r="BF17" i="28"/>
  <c r="BA17" i="28"/>
  <c r="BC17" i="28" s="1"/>
  <c r="BE17" i="28" s="1"/>
  <c r="AB18" i="28"/>
  <c r="AD18" i="28" s="1"/>
  <c r="BF20" i="28"/>
  <c r="AK21" i="28"/>
  <c r="AM21" i="28" s="1"/>
  <c r="AT22" i="28"/>
  <c r="AV22" i="28" s="1"/>
  <c r="V24" i="28"/>
  <c r="AN9" i="29"/>
  <c r="BF10" i="29"/>
  <c r="AW11" i="29"/>
  <c r="AN12" i="29"/>
  <c r="BF12" i="29"/>
  <c r="AN13" i="29"/>
  <c r="AW14" i="29"/>
  <c r="AN16" i="29"/>
  <c r="AB18" i="29"/>
  <c r="AD18" i="29" s="1"/>
  <c r="BF21" i="29"/>
  <c r="BC11" i="28"/>
  <c r="BE11" i="28" s="1"/>
  <c r="AE12" i="28"/>
  <c r="Z12" i="28"/>
  <c r="AB12" i="28" s="1"/>
  <c r="AD12" i="28" s="1"/>
  <c r="BC19" i="28"/>
  <c r="BE19" i="28" s="1"/>
  <c r="AE20" i="28"/>
  <c r="Z20" i="28"/>
  <c r="AB20" i="28" s="1"/>
  <c r="AD20" i="28" s="1"/>
  <c r="AK9" i="28"/>
  <c r="AM9" i="28" s="1"/>
  <c r="AW10" i="28"/>
  <c r="AR10" i="28"/>
  <c r="AT10" i="28" s="1"/>
  <c r="AV10" i="28" s="1"/>
  <c r="BF11" i="28"/>
  <c r="BF13" i="28"/>
  <c r="BA13" i="28"/>
  <c r="BC13" i="28" s="1"/>
  <c r="BE13" i="28" s="1"/>
  <c r="AB14" i="28"/>
  <c r="AD14" i="28" s="1"/>
  <c r="AK17" i="28"/>
  <c r="AM17" i="28" s="1"/>
  <c r="AW18" i="28"/>
  <c r="AR18" i="28"/>
  <c r="AT18" i="28" s="1"/>
  <c r="AV18" i="28" s="1"/>
  <c r="BF19" i="28"/>
  <c r="BF21" i="28"/>
  <c r="BA21" i="28"/>
  <c r="BC21" i="28" s="1"/>
  <c r="BE21" i="28" s="1"/>
  <c r="V9" i="28"/>
  <c r="AW9" i="28"/>
  <c r="V11" i="28"/>
  <c r="AN14" i="28"/>
  <c r="BF14" i="28"/>
  <c r="AN15" i="28"/>
  <c r="V16" i="28"/>
  <c r="AN16" i="28"/>
  <c r="AW16" i="28"/>
  <c r="V17" i="28"/>
  <c r="AW17" i="28"/>
  <c r="V19" i="28"/>
  <c r="AN11" i="27"/>
  <c r="AN12" i="27"/>
  <c r="J17" i="27"/>
  <c r="L17" i="27" s="1"/>
  <c r="M17" i="27" s="1"/>
  <c r="AI21" i="27"/>
  <c r="AK21" i="27" s="1"/>
  <c r="AN21" i="27"/>
  <c r="V9" i="26"/>
  <c r="AN11" i="26"/>
  <c r="AI11" i="26"/>
  <c r="V12" i="26"/>
  <c r="Q12" i="26"/>
  <c r="S12" i="26" s="1"/>
  <c r="BC12" i="26"/>
  <c r="BE12" i="26" s="1"/>
  <c r="V15" i="26"/>
  <c r="V14" i="26"/>
  <c r="Q14" i="26"/>
  <c r="AN10" i="28"/>
  <c r="BF10" i="28"/>
  <c r="AN11" i="28"/>
  <c r="V12" i="28"/>
  <c r="AN12" i="28"/>
  <c r="V13" i="28"/>
  <c r="AW13" i="28"/>
  <c r="AN18" i="28"/>
  <c r="BF18" i="28"/>
  <c r="AN19" i="28"/>
  <c r="V20" i="28"/>
  <c r="AN20" i="28"/>
  <c r="V21" i="28"/>
  <c r="AW21" i="28"/>
  <c r="S23" i="28"/>
  <c r="U23" i="28" s="1"/>
  <c r="AE22" i="27"/>
  <c r="AB22" i="27"/>
  <c r="AD22" i="27" s="1"/>
  <c r="BF22" i="27"/>
  <c r="AN10" i="26"/>
  <c r="AI10" i="26"/>
  <c r="S11" i="26"/>
  <c r="U11" i="26" s="1"/>
  <c r="AT13" i="26"/>
  <c r="AV13" i="26" s="1"/>
  <c r="AT15" i="26"/>
  <c r="AV15" i="26" s="1"/>
  <c r="BF10" i="27"/>
  <c r="AW11" i="27"/>
  <c r="V12" i="27"/>
  <c r="BF14" i="27"/>
  <c r="AW15" i="27"/>
  <c r="V16" i="27"/>
  <c r="BF18" i="27"/>
  <c r="AW19" i="27"/>
  <c r="V20" i="27"/>
  <c r="BA22" i="27"/>
  <c r="Q9" i="26"/>
  <c r="S9" i="26" s="1"/>
  <c r="U9" i="26" s="1"/>
  <c r="AB9" i="26"/>
  <c r="AD9" i="26" s="1"/>
  <c r="AW10" i="26"/>
  <c r="AE14" i="26"/>
  <c r="BF14" i="26"/>
  <c r="Q15" i="26"/>
  <c r="S15" i="26" s="1"/>
  <c r="U15" i="26" s="1"/>
  <c r="V16" i="26"/>
  <c r="BF16" i="26"/>
  <c r="AW17" i="26"/>
  <c r="V18" i="26"/>
  <c r="BF18" i="26"/>
  <c r="AB19" i="26"/>
  <c r="AD19" i="26" s="1"/>
  <c r="V20" i="26"/>
  <c r="AW20" i="26"/>
  <c r="AE21" i="26"/>
  <c r="Z21" i="26"/>
  <c r="AN22" i="26"/>
  <c r="AW16" i="26"/>
  <c r="BC18" i="26"/>
  <c r="BE18" i="26" s="1"/>
  <c r="AE19" i="26"/>
  <c r="V23" i="26"/>
  <c r="S24" i="26"/>
  <c r="U24" i="26" s="1"/>
  <c r="AW9" i="26"/>
  <c r="BF9" i="26"/>
  <c r="AW12" i="26"/>
  <c r="AE13" i="26"/>
  <c r="BF19" i="26"/>
  <c r="AN20" i="26"/>
  <c r="AI20" i="26"/>
  <c r="AE22" i="26"/>
  <c r="BF22" i="26"/>
  <c r="BA22" i="26"/>
  <c r="AT14" i="22"/>
  <c r="AV14" i="22" s="1"/>
  <c r="AT21" i="22"/>
  <c r="AV21" i="22" s="1"/>
  <c r="V9" i="27"/>
  <c r="AN9" i="27"/>
  <c r="AW9" i="27"/>
  <c r="AE10" i="27"/>
  <c r="AN10" i="27"/>
  <c r="V11" i="27"/>
  <c r="AE11" i="27"/>
  <c r="V13" i="27"/>
  <c r="AN13" i="27"/>
  <c r="AW13" i="27"/>
  <c r="AE14" i="27"/>
  <c r="AN14" i="27"/>
  <c r="V15" i="27"/>
  <c r="AE15" i="27"/>
  <c r="V17" i="27"/>
  <c r="AN17" i="27"/>
  <c r="AW17" i="27"/>
  <c r="AE18" i="27"/>
  <c r="AN18" i="27"/>
  <c r="V19" i="27"/>
  <c r="AE19" i="27"/>
  <c r="AE21" i="27"/>
  <c r="Q22" i="27"/>
  <c r="AW22" i="27"/>
  <c r="AR9" i="26"/>
  <c r="AT9" i="26" s="1"/>
  <c r="V10" i="26"/>
  <c r="BF10" i="26"/>
  <c r="BF11" i="26"/>
  <c r="Z13" i="26"/>
  <c r="AN14" i="26"/>
  <c r="AW15" i="26"/>
  <c r="AI16" i="26"/>
  <c r="AR19" i="26"/>
  <c r="AT19" i="26" s="1"/>
  <c r="BF20" i="26"/>
  <c r="AT21" i="26"/>
  <c r="AV21" i="26" s="1"/>
  <c r="Q22" i="26"/>
  <c r="S22" i="26" s="1"/>
  <c r="AN13" i="22"/>
  <c r="AI13" i="22"/>
  <c r="AW21" i="22"/>
  <c r="BI33" i="22"/>
  <c r="L33" i="21" s="1"/>
  <c r="Q9" i="22"/>
  <c r="S9" i="22" s="1"/>
  <c r="AE9" i="22"/>
  <c r="V10" i="22"/>
  <c r="AN11" i="22"/>
  <c r="AW11" i="22"/>
  <c r="AE12" i="22"/>
  <c r="Z12" i="22"/>
  <c r="AB12" i="22" s="1"/>
  <c r="Z14" i="22"/>
  <c r="AB14" i="22" s="1"/>
  <c r="AN15" i="22"/>
  <c r="AW15" i="22"/>
  <c r="AR16" i="22"/>
  <c r="S17" i="22"/>
  <c r="U17" i="22" s="1"/>
  <c r="AB19" i="22"/>
  <c r="AD19" i="22" s="1"/>
  <c r="AK19" i="22"/>
  <c r="AM19" i="22" s="1"/>
  <c r="AE21" i="22"/>
  <c r="BI34" i="22"/>
  <c r="L34" i="21" s="1"/>
  <c r="AK9" i="22"/>
  <c r="AM9" i="22" s="1"/>
  <c r="AW10" i="22"/>
  <c r="AT12" i="22"/>
  <c r="AV12" i="22" s="1"/>
  <c r="V15" i="22"/>
  <c r="Q21" i="22"/>
  <c r="S21" i="22" s="1"/>
  <c r="U21" i="22" s="1"/>
  <c r="V21" i="22"/>
  <c r="V22" i="22"/>
  <c r="Q22" i="22"/>
  <c r="S24" i="22"/>
  <c r="U24" i="22" s="1"/>
  <c r="BF9" i="22"/>
  <c r="AR10" i="22"/>
  <c r="V13" i="22"/>
  <c r="BC13" i="22"/>
  <c r="BE13" i="22" s="1"/>
  <c r="V14" i="22"/>
  <c r="Q15" i="22"/>
  <c r="S15" i="22" s="1"/>
  <c r="BA15" i="22"/>
  <c r="BC15" i="22" s="1"/>
  <c r="AN20" i="22"/>
  <c r="AN12" i="22"/>
  <c r="AW12" i="22"/>
  <c r="AW14" i="22"/>
  <c r="AE16" i="22"/>
  <c r="AE17" i="22"/>
  <c r="BF17" i="22"/>
  <c r="BF19" i="22"/>
  <c r="BF22" i="22"/>
  <c r="J11" i="1"/>
  <c r="L11" i="1" s="1"/>
  <c r="M11" i="1" s="1"/>
  <c r="J15" i="1"/>
  <c r="J19" i="1"/>
  <c r="L19" i="1" s="1"/>
  <c r="M19" i="1" s="1"/>
  <c r="J23" i="1"/>
  <c r="J10" i="1"/>
  <c r="J14" i="1"/>
  <c r="L14" i="1" s="1"/>
  <c r="J18" i="1"/>
  <c r="J22" i="1"/>
  <c r="L22" i="1" s="1"/>
  <c r="Z9" i="1"/>
  <c r="AT9" i="1"/>
  <c r="AV9" i="1" s="1"/>
  <c r="Q10" i="1"/>
  <c r="AK10" i="1"/>
  <c r="AM10" i="1" s="1"/>
  <c r="BA10" i="1"/>
  <c r="AB11" i="1"/>
  <c r="AD11" i="1" s="1"/>
  <c r="AR11" i="1"/>
  <c r="S12" i="1"/>
  <c r="U12" i="1" s="1"/>
  <c r="AI12" i="1"/>
  <c r="BC12" i="1"/>
  <c r="BE12" i="1" s="1"/>
  <c r="Z13" i="1"/>
  <c r="AT13" i="1"/>
  <c r="AV13" i="1" s="1"/>
  <c r="Q14" i="1"/>
  <c r="AK14" i="1"/>
  <c r="AM14" i="1" s="1"/>
  <c r="BA14" i="1"/>
  <c r="AB15" i="1"/>
  <c r="AD15" i="1" s="1"/>
  <c r="AR15" i="1"/>
  <c r="S16" i="1"/>
  <c r="U16" i="1" s="1"/>
  <c r="AI16" i="1"/>
  <c r="BC16" i="1"/>
  <c r="BE16" i="1" s="1"/>
  <c r="Z17" i="1"/>
  <c r="AT17" i="1"/>
  <c r="AV17" i="1" s="1"/>
  <c r="Q18" i="1"/>
  <c r="AK18" i="1"/>
  <c r="AM18" i="1" s="1"/>
  <c r="BA18" i="1"/>
  <c r="AB19" i="1"/>
  <c r="AD19" i="1" s="1"/>
  <c r="AR19" i="1"/>
  <c r="S20" i="1"/>
  <c r="U20" i="1" s="1"/>
  <c r="AI20" i="1"/>
  <c r="BC20" i="1"/>
  <c r="BE20" i="1" s="1"/>
  <c r="Z21" i="1"/>
  <c r="AT21" i="1"/>
  <c r="AV21" i="1" s="1"/>
  <c r="Q22" i="1"/>
  <c r="AK22" i="1"/>
  <c r="AM22" i="1" s="1"/>
  <c r="BA22" i="1"/>
  <c r="S24" i="1"/>
  <c r="U24" i="1" s="1"/>
  <c r="BI33" i="1"/>
  <c r="H33" i="21" s="1"/>
  <c r="BI36" i="1"/>
  <c r="H36" i="21" s="1"/>
  <c r="BI37" i="1"/>
  <c r="H37" i="21" s="1"/>
  <c r="BI41" i="1"/>
  <c r="H41" i="21" s="1"/>
  <c r="AN11" i="38"/>
  <c r="AI11" i="38"/>
  <c r="Q9" i="1"/>
  <c r="AK9" i="1"/>
  <c r="AM9" i="1" s="1"/>
  <c r="BA9" i="1"/>
  <c r="AB10" i="1"/>
  <c r="AD10" i="1" s="1"/>
  <c r="AR10" i="1"/>
  <c r="S11" i="1"/>
  <c r="U11" i="1" s="1"/>
  <c r="AI11" i="1"/>
  <c r="BC11" i="1"/>
  <c r="BE11" i="1" s="1"/>
  <c r="J12" i="1"/>
  <c r="L12" i="1" s="1"/>
  <c r="Z12" i="1"/>
  <c r="AT12" i="1"/>
  <c r="AV12" i="1" s="1"/>
  <c r="Q13" i="1"/>
  <c r="AK13" i="1"/>
  <c r="AM13" i="1" s="1"/>
  <c r="BA13" i="1"/>
  <c r="AB14" i="1"/>
  <c r="AD14" i="1" s="1"/>
  <c r="AR14" i="1"/>
  <c r="S15" i="1"/>
  <c r="U15" i="1" s="1"/>
  <c r="AI15" i="1"/>
  <c r="BC15" i="1"/>
  <c r="BE15" i="1" s="1"/>
  <c r="J16" i="1"/>
  <c r="Z16" i="1"/>
  <c r="AT16" i="1"/>
  <c r="AV16" i="1" s="1"/>
  <c r="Q17" i="1"/>
  <c r="AK17" i="1"/>
  <c r="AM17" i="1" s="1"/>
  <c r="BA17" i="1"/>
  <c r="AB18" i="1"/>
  <c r="AD18" i="1" s="1"/>
  <c r="AR18" i="1"/>
  <c r="S19" i="1"/>
  <c r="U19" i="1" s="1"/>
  <c r="AI19" i="1"/>
  <c r="BC19" i="1"/>
  <c r="BE19" i="1" s="1"/>
  <c r="J20" i="1"/>
  <c r="L20" i="1" s="1"/>
  <c r="Z20" i="1"/>
  <c r="AT20" i="1"/>
  <c r="AV20" i="1" s="1"/>
  <c r="Q21" i="1"/>
  <c r="AK21" i="1"/>
  <c r="AM21" i="1" s="1"/>
  <c r="BA21" i="1"/>
  <c r="AB22" i="1"/>
  <c r="AD22" i="1" s="1"/>
  <c r="AR22" i="1"/>
  <c r="S23" i="1"/>
  <c r="U23" i="1" s="1"/>
  <c r="V9" i="38"/>
  <c r="Q9" i="38"/>
  <c r="AK9" i="38"/>
  <c r="AM9" i="38" s="1"/>
  <c r="J10" i="38"/>
  <c r="L10" i="38" s="1"/>
  <c r="M10" i="38" s="1"/>
  <c r="AK14" i="38"/>
  <c r="AM14" i="38" s="1"/>
  <c r="BC16" i="38"/>
  <c r="BE16" i="38" s="1"/>
  <c r="AT17" i="38"/>
  <c r="AV17" i="38" s="1"/>
  <c r="AK18" i="38"/>
  <c r="AM18" i="38" s="1"/>
  <c r="BC20" i="38"/>
  <c r="BE20" i="38" s="1"/>
  <c r="AT21" i="38"/>
  <c r="AV21" i="38" s="1"/>
  <c r="AK22" i="38"/>
  <c r="AM22" i="38" s="1"/>
  <c r="BF9" i="38"/>
  <c r="BA9" i="38"/>
  <c r="AW10" i="38"/>
  <c r="AR10" i="38"/>
  <c r="AE12" i="38"/>
  <c r="Z12" i="38"/>
  <c r="J14" i="38"/>
  <c r="AB15" i="38"/>
  <c r="AD15" i="38" s="1"/>
  <c r="J18" i="38"/>
  <c r="AB19" i="38"/>
  <c r="AD19" i="38" s="1"/>
  <c r="J22" i="38"/>
  <c r="J11" i="38"/>
  <c r="L11" i="38" s="1"/>
  <c r="M11" i="38" s="1"/>
  <c r="S16" i="38"/>
  <c r="U16" i="38" s="1"/>
  <c r="J17" i="38"/>
  <c r="S20" i="38"/>
  <c r="U20" i="38" s="1"/>
  <c r="J21" i="38"/>
  <c r="S24" i="38"/>
  <c r="U24" i="38" s="1"/>
  <c r="AD21" i="38"/>
  <c r="J12" i="23"/>
  <c r="L12" i="23" s="1"/>
  <c r="BF14" i="23"/>
  <c r="BA14" i="23"/>
  <c r="J16" i="23"/>
  <c r="L16" i="23" s="1"/>
  <c r="M16" i="23" s="1"/>
  <c r="S16" i="23"/>
  <c r="U16" i="23" s="1"/>
  <c r="AN16" i="23"/>
  <c r="AI16" i="23"/>
  <c r="BC16" i="23"/>
  <c r="BE16" i="23" s="1"/>
  <c r="AE17" i="23"/>
  <c r="Z17" i="23"/>
  <c r="BI17" i="23" s="1"/>
  <c r="AT17" i="23"/>
  <c r="AV17" i="23" s="1"/>
  <c r="BI23" i="23"/>
  <c r="AB10" i="38"/>
  <c r="AD10" i="38" s="1"/>
  <c r="BC11" i="38"/>
  <c r="BE11" i="38" s="1"/>
  <c r="J12" i="38"/>
  <c r="Q13" i="38"/>
  <c r="AK13" i="38"/>
  <c r="AM13" i="38" s="1"/>
  <c r="BA13" i="38"/>
  <c r="AB14" i="38"/>
  <c r="AD14" i="38" s="1"/>
  <c r="AR14" i="38"/>
  <c r="S15" i="38"/>
  <c r="U15" i="38" s="1"/>
  <c r="AI15" i="38"/>
  <c r="BI15" i="38" s="1"/>
  <c r="BC15" i="38"/>
  <c r="BE15" i="38" s="1"/>
  <c r="J16" i="38"/>
  <c r="L16" i="38" s="1"/>
  <c r="Z16" i="38"/>
  <c r="BI16" i="38" s="1"/>
  <c r="AT16" i="38"/>
  <c r="AV16" i="38" s="1"/>
  <c r="Q17" i="38"/>
  <c r="AK17" i="38"/>
  <c r="AM17" i="38" s="1"/>
  <c r="BA17" i="38"/>
  <c r="AB18" i="38"/>
  <c r="AD18" i="38" s="1"/>
  <c r="AR18" i="38"/>
  <c r="S19" i="38"/>
  <c r="U19" i="38" s="1"/>
  <c r="AI19" i="38"/>
  <c r="BC19" i="38"/>
  <c r="BE19" i="38" s="1"/>
  <c r="J20" i="38"/>
  <c r="L20" i="38" s="1"/>
  <c r="Z20" i="38"/>
  <c r="BI20" i="38" s="1"/>
  <c r="AT20" i="38"/>
  <c r="AV20" i="38" s="1"/>
  <c r="Q21" i="38"/>
  <c r="AK21" i="38"/>
  <c r="AM21" i="38" s="1"/>
  <c r="BA21" i="38"/>
  <c r="AB22" i="38"/>
  <c r="AD22" i="38" s="1"/>
  <c r="AR22" i="38"/>
  <c r="S23" i="38"/>
  <c r="U23" i="38" s="1"/>
  <c r="BI24" i="38"/>
  <c r="BI31" i="38"/>
  <c r="BI32" i="38"/>
  <c r="BI36" i="38"/>
  <c r="BI43" i="38"/>
  <c r="AN12" i="23"/>
  <c r="AI12" i="23"/>
  <c r="BF12" i="23"/>
  <c r="V18" i="23"/>
  <c r="Q18" i="23"/>
  <c r="AK18" i="23"/>
  <c r="AM18" i="23" s="1"/>
  <c r="J19" i="23"/>
  <c r="L19" i="23" s="1"/>
  <c r="AB19" i="23"/>
  <c r="AD19" i="23" s="1"/>
  <c r="AW19" i="23"/>
  <c r="AR19" i="23"/>
  <c r="J21" i="23"/>
  <c r="L21" i="23" s="1"/>
  <c r="AE21" i="23"/>
  <c r="Z21" i="23"/>
  <c r="AT21" i="23"/>
  <c r="AV21" i="23" s="1"/>
  <c r="V22" i="23"/>
  <c r="Q22" i="23"/>
  <c r="J15" i="38"/>
  <c r="L15" i="38" s="1"/>
  <c r="J19" i="38"/>
  <c r="L19" i="38" s="1"/>
  <c r="M19" i="38" s="1"/>
  <c r="J23" i="38"/>
  <c r="AE9" i="23"/>
  <c r="Z9" i="23"/>
  <c r="BI9" i="23" s="1"/>
  <c r="V10" i="23"/>
  <c r="Q10" i="23"/>
  <c r="AN10" i="23"/>
  <c r="J11" i="23"/>
  <c r="L11" i="23" s="1"/>
  <c r="AE11" i="23"/>
  <c r="AE13" i="23"/>
  <c r="Z13" i="23"/>
  <c r="BI13" i="23" s="1"/>
  <c r="BF18" i="23"/>
  <c r="BA18" i="23"/>
  <c r="J20" i="23"/>
  <c r="L20" i="23" s="1"/>
  <c r="S20" i="23"/>
  <c r="U20" i="23" s="1"/>
  <c r="AN20" i="23"/>
  <c r="AI20" i="23"/>
  <c r="BC20" i="23"/>
  <c r="BE20" i="23" s="1"/>
  <c r="J23" i="23"/>
  <c r="J12" i="29"/>
  <c r="L12" i="29" s="1"/>
  <c r="M12" i="29" s="1"/>
  <c r="BF10" i="23"/>
  <c r="BA10" i="23"/>
  <c r="AW11" i="23"/>
  <c r="AR11" i="23"/>
  <c r="V14" i="23"/>
  <c r="Q14" i="23"/>
  <c r="AK14" i="23"/>
  <c r="AM14" i="23" s="1"/>
  <c r="J15" i="23"/>
  <c r="L15" i="23" s="1"/>
  <c r="M15" i="23" s="1"/>
  <c r="AB15" i="23"/>
  <c r="AD15" i="23" s="1"/>
  <c r="AW15" i="23"/>
  <c r="AR15" i="23"/>
  <c r="J17" i="23"/>
  <c r="L17" i="23" s="1"/>
  <c r="AM17" i="23"/>
  <c r="BF22" i="23"/>
  <c r="BA22" i="23"/>
  <c r="J11" i="29"/>
  <c r="L11" i="29" s="1"/>
  <c r="M11" i="29" s="1"/>
  <c r="J9" i="23"/>
  <c r="AT9" i="23"/>
  <c r="AV9" i="23" s="1"/>
  <c r="J13" i="23"/>
  <c r="L13" i="23" s="1"/>
  <c r="AT13" i="23"/>
  <c r="AV13" i="23" s="1"/>
  <c r="AK22" i="23"/>
  <c r="AM22" i="23" s="1"/>
  <c r="S9" i="29"/>
  <c r="U9" i="29" s="1"/>
  <c r="AI9" i="29"/>
  <c r="BC9" i="29"/>
  <c r="BE9" i="29" s="1"/>
  <c r="Z10" i="29"/>
  <c r="AT10" i="29"/>
  <c r="AV10" i="29" s="1"/>
  <c r="Q11" i="29"/>
  <c r="AK11" i="29"/>
  <c r="AM11" i="29" s="1"/>
  <c r="BA11" i="29"/>
  <c r="AB12" i="29"/>
  <c r="AD12" i="29" s="1"/>
  <c r="AR12" i="29"/>
  <c r="S13" i="29"/>
  <c r="U13" i="29" s="1"/>
  <c r="AI13" i="29"/>
  <c r="BC13" i="29"/>
  <c r="BE13" i="29" s="1"/>
  <c r="Z14" i="29"/>
  <c r="V15" i="29"/>
  <c r="AI15" i="29"/>
  <c r="AT15" i="29"/>
  <c r="AV15" i="29" s="1"/>
  <c r="BF15" i="29"/>
  <c r="Q17" i="29"/>
  <c r="AB17" i="29"/>
  <c r="AD17" i="29" s="1"/>
  <c r="AN17" i="29"/>
  <c r="BA17" i="29"/>
  <c r="Z19" i="29"/>
  <c r="J21" i="29"/>
  <c r="L21" i="29" s="1"/>
  <c r="AE22" i="29"/>
  <c r="Z22" i="29"/>
  <c r="J11" i="28"/>
  <c r="J13" i="28"/>
  <c r="L13" i="28" s="1"/>
  <c r="M13" i="28" s="1"/>
  <c r="BC14" i="28"/>
  <c r="BE14" i="28" s="1"/>
  <c r="AK16" i="28"/>
  <c r="AM16" i="28" s="1"/>
  <c r="J19" i="28"/>
  <c r="L19" i="28" s="1"/>
  <c r="M19" i="28" s="1"/>
  <c r="J21" i="28"/>
  <c r="L21" i="28" s="1"/>
  <c r="M21" i="28" s="1"/>
  <c r="AR10" i="23"/>
  <c r="AI11" i="23"/>
  <c r="Z12" i="23"/>
  <c r="AI15" i="23"/>
  <c r="Z16" i="23"/>
  <c r="AI19" i="23"/>
  <c r="Z20" i="23"/>
  <c r="Q21" i="23"/>
  <c r="J9" i="29"/>
  <c r="Z9" i="29"/>
  <c r="AT9" i="29"/>
  <c r="AV9" i="29" s="1"/>
  <c r="Q10" i="29"/>
  <c r="AK10" i="29"/>
  <c r="AM10" i="29" s="1"/>
  <c r="BA10" i="29"/>
  <c r="AB11" i="29"/>
  <c r="AD11" i="29" s="1"/>
  <c r="AR11" i="29"/>
  <c r="S12" i="29"/>
  <c r="U12" i="29" s="1"/>
  <c r="AI12" i="29"/>
  <c r="BC12" i="29"/>
  <c r="BE12" i="29" s="1"/>
  <c r="J13" i="29"/>
  <c r="L13" i="29" s="1"/>
  <c r="Z13" i="29"/>
  <c r="AT13" i="29"/>
  <c r="AV13" i="29" s="1"/>
  <c r="Q14" i="29"/>
  <c r="AK14" i="29"/>
  <c r="AM14" i="29" s="1"/>
  <c r="AR14" i="29"/>
  <c r="BC14" i="29"/>
  <c r="BE14" i="29" s="1"/>
  <c r="S16" i="29"/>
  <c r="U16" i="29" s="1"/>
  <c r="Z16" i="29"/>
  <c r="BI16" i="29" s="1"/>
  <c r="AB16" i="21" s="1"/>
  <c r="AK16" i="29"/>
  <c r="AM16" i="29" s="1"/>
  <c r="AW16" i="29"/>
  <c r="BC16" i="29"/>
  <c r="BE16" i="29" s="1"/>
  <c r="AI18" i="29"/>
  <c r="BI18" i="29" s="1"/>
  <c r="AB18" i="21" s="1"/>
  <c r="BF19" i="29"/>
  <c r="BA19" i="29"/>
  <c r="V20" i="29"/>
  <c r="AB9" i="28"/>
  <c r="AD9" i="28" s="1"/>
  <c r="S14" i="28"/>
  <c r="U14" i="28" s="1"/>
  <c r="AT15" i="28"/>
  <c r="AV15" i="28" s="1"/>
  <c r="AB17" i="28"/>
  <c r="AD17" i="28" s="1"/>
  <c r="AN14" i="29"/>
  <c r="S15" i="29"/>
  <c r="U15" i="29" s="1"/>
  <c r="BC15" i="29"/>
  <c r="BE15" i="29" s="1"/>
  <c r="AK17" i="29"/>
  <c r="AM17" i="29" s="1"/>
  <c r="J19" i="29"/>
  <c r="L19" i="29" s="1"/>
  <c r="M19" i="29" s="1"/>
  <c r="V19" i="29"/>
  <c r="AK19" i="29"/>
  <c r="AM19" i="29" s="1"/>
  <c r="AW20" i="29"/>
  <c r="AR20" i="29"/>
  <c r="AN21" i="29"/>
  <c r="AI21" i="29"/>
  <c r="BE22" i="29"/>
  <c r="V23" i="29"/>
  <c r="Q23" i="29"/>
  <c r="J9" i="28"/>
  <c r="L9" i="28" s="1"/>
  <c r="M9" i="28" s="1"/>
  <c r="BC10" i="28"/>
  <c r="BE10" i="28" s="1"/>
  <c r="AK12" i="28"/>
  <c r="AM12" i="28" s="1"/>
  <c r="J15" i="28"/>
  <c r="L15" i="28" s="1"/>
  <c r="M15" i="28" s="1"/>
  <c r="J17" i="28"/>
  <c r="L17" i="28" s="1"/>
  <c r="BC18" i="28"/>
  <c r="BE18" i="28" s="1"/>
  <c r="AK20" i="28"/>
  <c r="AM20" i="28" s="1"/>
  <c r="J18" i="29"/>
  <c r="L18" i="29" s="1"/>
  <c r="M18" i="29" s="1"/>
  <c r="AE18" i="29"/>
  <c r="S10" i="28"/>
  <c r="U10" i="28" s="1"/>
  <c r="AT11" i="28"/>
  <c r="AV11" i="28" s="1"/>
  <c r="AB13" i="28"/>
  <c r="AD13" i="28" s="1"/>
  <c r="S18" i="28"/>
  <c r="U18" i="28" s="1"/>
  <c r="AT19" i="28"/>
  <c r="AV19" i="28" s="1"/>
  <c r="AB21" i="28"/>
  <c r="AD21" i="28" s="1"/>
  <c r="BC21" i="29"/>
  <c r="BE21" i="29" s="1"/>
  <c r="J22" i="29"/>
  <c r="L22" i="29" s="1"/>
  <c r="AT22" i="29"/>
  <c r="AV22" i="29" s="1"/>
  <c r="BI37" i="29"/>
  <c r="AB37" i="21" s="1"/>
  <c r="BI41" i="29"/>
  <c r="AB41" i="21" s="1"/>
  <c r="AR9" i="28"/>
  <c r="AI10" i="28"/>
  <c r="Z11" i="28"/>
  <c r="BI11" i="28" s="1"/>
  <c r="X11" i="21" s="1"/>
  <c r="Q12" i="28"/>
  <c r="BA12" i="28"/>
  <c r="AR13" i="28"/>
  <c r="AI14" i="28"/>
  <c r="Z15" i="28"/>
  <c r="BI15" i="28" s="1"/>
  <c r="X15" i="21" s="1"/>
  <c r="Q16" i="28"/>
  <c r="BA16" i="28"/>
  <c r="AR17" i="28"/>
  <c r="AI18" i="28"/>
  <c r="Z19" i="28"/>
  <c r="BI19" i="28" s="1"/>
  <c r="X19" i="21" s="1"/>
  <c r="Q20" i="28"/>
  <c r="BA20" i="28"/>
  <c r="AR21" i="28"/>
  <c r="AN22" i="28"/>
  <c r="AI22" i="28"/>
  <c r="BI22" i="28" s="1"/>
  <c r="X22" i="21" s="1"/>
  <c r="AW22" i="28"/>
  <c r="J23" i="28"/>
  <c r="L23" i="28" s="1"/>
  <c r="V23" i="28"/>
  <c r="S9" i="28"/>
  <c r="U9" i="28" s="1"/>
  <c r="J10" i="28"/>
  <c r="L10" i="28" s="1"/>
  <c r="AK11" i="28"/>
  <c r="AM11" i="28" s="1"/>
  <c r="S13" i="28"/>
  <c r="U13" i="28" s="1"/>
  <c r="J14" i="28"/>
  <c r="L14" i="28" s="1"/>
  <c r="M14" i="28" s="1"/>
  <c r="AK15" i="28"/>
  <c r="AM15" i="28" s="1"/>
  <c r="S17" i="28"/>
  <c r="U17" i="28" s="1"/>
  <c r="J18" i="28"/>
  <c r="AK19" i="28"/>
  <c r="AM19" i="28" s="1"/>
  <c r="S21" i="28"/>
  <c r="U21" i="28" s="1"/>
  <c r="J11" i="27"/>
  <c r="J15" i="27"/>
  <c r="L15" i="27" s="1"/>
  <c r="M15" i="27" s="1"/>
  <c r="J19" i="27"/>
  <c r="BC22" i="28"/>
  <c r="BE22" i="28" s="1"/>
  <c r="J10" i="27"/>
  <c r="L10" i="27" s="1"/>
  <c r="M10" i="27" s="1"/>
  <c r="J14" i="27"/>
  <c r="L14" i="27" s="1"/>
  <c r="J18" i="27"/>
  <c r="L18" i="27" s="1"/>
  <c r="M18" i="27" s="1"/>
  <c r="Z9" i="27"/>
  <c r="AT9" i="27"/>
  <c r="AV9" i="27" s="1"/>
  <c r="Q10" i="27"/>
  <c r="AK10" i="27"/>
  <c r="AM10" i="27" s="1"/>
  <c r="BA10" i="27"/>
  <c r="AB11" i="27"/>
  <c r="AD11" i="27" s="1"/>
  <c r="AR11" i="27"/>
  <c r="S12" i="27"/>
  <c r="U12" i="27" s="1"/>
  <c r="AI12" i="27"/>
  <c r="BC12" i="27"/>
  <c r="BE12" i="27" s="1"/>
  <c r="Z13" i="27"/>
  <c r="AT13" i="27"/>
  <c r="AV13" i="27" s="1"/>
  <c r="Q14" i="27"/>
  <c r="AK14" i="27"/>
  <c r="AM14" i="27" s="1"/>
  <c r="BA14" i="27"/>
  <c r="AB15" i="27"/>
  <c r="AD15" i="27" s="1"/>
  <c r="AR15" i="27"/>
  <c r="S16" i="27"/>
  <c r="U16" i="27" s="1"/>
  <c r="AI16" i="27"/>
  <c r="BC16" i="27"/>
  <c r="BE16" i="27" s="1"/>
  <c r="Z17" i="27"/>
  <c r="AT17" i="27"/>
  <c r="AV17" i="27" s="1"/>
  <c r="Q18" i="27"/>
  <c r="AK18" i="27"/>
  <c r="AM18" i="27" s="1"/>
  <c r="BA18" i="27"/>
  <c r="AB19" i="27"/>
  <c r="AD19" i="27" s="1"/>
  <c r="AR19" i="27"/>
  <c r="S20" i="27"/>
  <c r="U20" i="27" s="1"/>
  <c r="AI20" i="27"/>
  <c r="BC20" i="27"/>
  <c r="BE20" i="27" s="1"/>
  <c r="V21" i="27"/>
  <c r="AW21" i="27"/>
  <c r="AR21" i="27"/>
  <c r="BF21" i="27"/>
  <c r="Q24" i="28"/>
  <c r="Q9" i="27"/>
  <c r="AK9" i="27"/>
  <c r="AM9" i="27" s="1"/>
  <c r="BA9" i="27"/>
  <c r="AB10" i="27"/>
  <c r="AD10" i="27" s="1"/>
  <c r="AR10" i="27"/>
  <c r="S11" i="27"/>
  <c r="U11" i="27" s="1"/>
  <c r="AI11" i="27"/>
  <c r="BC11" i="27"/>
  <c r="BE11" i="27" s="1"/>
  <c r="J12" i="27"/>
  <c r="L12" i="27" s="1"/>
  <c r="Z12" i="27"/>
  <c r="AT12" i="27"/>
  <c r="AV12" i="27" s="1"/>
  <c r="Q13" i="27"/>
  <c r="AK13" i="27"/>
  <c r="AM13" i="27" s="1"/>
  <c r="BA13" i="27"/>
  <c r="AB14" i="27"/>
  <c r="AD14" i="27" s="1"/>
  <c r="AR14" i="27"/>
  <c r="S15" i="27"/>
  <c r="U15" i="27" s="1"/>
  <c r="AI15" i="27"/>
  <c r="BC15" i="27"/>
  <c r="BE15" i="27" s="1"/>
  <c r="J16" i="27"/>
  <c r="Z16" i="27"/>
  <c r="AT16" i="27"/>
  <c r="AV16" i="27" s="1"/>
  <c r="Q17" i="27"/>
  <c r="AK17" i="27"/>
  <c r="AM17" i="27" s="1"/>
  <c r="BA17" i="27"/>
  <c r="AB18" i="27"/>
  <c r="AD18" i="27" s="1"/>
  <c r="AR18" i="27"/>
  <c r="S19" i="27"/>
  <c r="U19" i="27" s="1"/>
  <c r="AI19" i="27"/>
  <c r="BC19" i="27"/>
  <c r="BE19" i="27" s="1"/>
  <c r="J20" i="27"/>
  <c r="L20" i="27" s="1"/>
  <c r="Z20" i="27"/>
  <c r="AT20" i="27"/>
  <c r="AV20" i="27" s="1"/>
  <c r="Q21" i="27"/>
  <c r="BA21" i="27"/>
  <c r="J21" i="27"/>
  <c r="L21" i="27" s="1"/>
  <c r="M21" i="27" s="1"/>
  <c r="AB21" i="27"/>
  <c r="AD21" i="27" s="1"/>
  <c r="AN22" i="27"/>
  <c r="AI22" i="27"/>
  <c r="J23" i="27"/>
  <c r="V24" i="27"/>
  <c r="Q24" i="27"/>
  <c r="BI31" i="27"/>
  <c r="T31" i="21" s="1"/>
  <c r="BI35" i="27"/>
  <c r="T35" i="21" s="1"/>
  <c r="J22" i="27"/>
  <c r="L22" i="27" s="1"/>
  <c r="BI38" i="27"/>
  <c r="T38" i="21" s="1"/>
  <c r="BI42" i="27"/>
  <c r="T42" i="21" s="1"/>
  <c r="AE10" i="26"/>
  <c r="Z10" i="26"/>
  <c r="J11" i="26"/>
  <c r="L11" i="26" s="1"/>
  <c r="M11" i="26" s="1"/>
  <c r="AW11" i="26"/>
  <c r="J15" i="26"/>
  <c r="L15" i="26" s="1"/>
  <c r="BF21" i="26"/>
  <c r="BA21" i="26"/>
  <c r="J9" i="26"/>
  <c r="L9" i="26" s="1"/>
  <c r="J18" i="26"/>
  <c r="S18" i="26"/>
  <c r="U18" i="26" s="1"/>
  <c r="AN9" i="26"/>
  <c r="AI9" i="26"/>
  <c r="AT12" i="26"/>
  <c r="AV12" i="26" s="1"/>
  <c r="V13" i="26"/>
  <c r="Q13" i="26"/>
  <c r="BC9" i="26"/>
  <c r="BE9" i="26" s="1"/>
  <c r="J10" i="26"/>
  <c r="AT10" i="26"/>
  <c r="AV10" i="26" s="1"/>
  <c r="AN15" i="26"/>
  <c r="AI15" i="26"/>
  <c r="BF17" i="26"/>
  <c r="BA17" i="26"/>
  <c r="AW18" i="26"/>
  <c r="AR18" i="26"/>
  <c r="AE20" i="26"/>
  <c r="Z20" i="26"/>
  <c r="AW22" i="26"/>
  <c r="AR22" i="26"/>
  <c r="S10" i="22"/>
  <c r="U10" i="22" s="1"/>
  <c r="J11" i="22"/>
  <c r="L11" i="22" s="1"/>
  <c r="M11" i="22" s="1"/>
  <c r="S14" i="22"/>
  <c r="U14" i="22" s="1"/>
  <c r="J15" i="22"/>
  <c r="L15" i="22" s="1"/>
  <c r="AE11" i="26"/>
  <c r="AR11" i="26"/>
  <c r="AE12" i="26"/>
  <c r="Z12" i="26"/>
  <c r="AN12" i="26"/>
  <c r="J14" i="26"/>
  <c r="AE16" i="26"/>
  <c r="Z16" i="26"/>
  <c r="J19" i="26"/>
  <c r="L19" i="26" s="1"/>
  <c r="V21" i="26"/>
  <c r="Q21" i="26"/>
  <c r="J23" i="26"/>
  <c r="L23" i="26" s="1"/>
  <c r="J10" i="22"/>
  <c r="L10" i="22" s="1"/>
  <c r="M10" i="22" s="1"/>
  <c r="J14" i="22"/>
  <c r="L14" i="22" s="1"/>
  <c r="M14" i="22" s="1"/>
  <c r="J18" i="22"/>
  <c r="L18" i="22" s="1"/>
  <c r="M18" i="22" s="1"/>
  <c r="J12" i="26"/>
  <c r="L12" i="26" s="1"/>
  <c r="M12" i="26" s="1"/>
  <c r="BF13" i="26"/>
  <c r="BA13" i="26"/>
  <c r="AW14" i="26"/>
  <c r="AR14" i="26"/>
  <c r="V17" i="26"/>
  <c r="Q17" i="26"/>
  <c r="AN19" i="26"/>
  <c r="AI19" i="26"/>
  <c r="J22" i="26"/>
  <c r="L22" i="26" s="1"/>
  <c r="M22" i="26" s="1"/>
  <c r="BI23" i="26"/>
  <c r="P23" i="21" s="1"/>
  <c r="AK13" i="26"/>
  <c r="AM13" i="26" s="1"/>
  <c r="AB14" i="26"/>
  <c r="AD14" i="26" s="1"/>
  <c r="BC15" i="26"/>
  <c r="BE15" i="26" s="1"/>
  <c r="J16" i="26"/>
  <c r="AT16" i="26"/>
  <c r="AV16" i="26" s="1"/>
  <c r="AB18" i="26"/>
  <c r="AD18" i="26" s="1"/>
  <c r="S19" i="26"/>
  <c r="U19" i="26" s="1"/>
  <c r="BC19" i="26"/>
  <c r="BE19" i="26" s="1"/>
  <c r="J20" i="26"/>
  <c r="AT20" i="26"/>
  <c r="AV20" i="26" s="1"/>
  <c r="AK21" i="26"/>
  <c r="AM21" i="26" s="1"/>
  <c r="AB22" i="26"/>
  <c r="AD22" i="26" s="1"/>
  <c r="S23" i="26"/>
  <c r="U23" i="26" s="1"/>
  <c r="AN10" i="22"/>
  <c r="AI10" i="22"/>
  <c r="BC10" i="22"/>
  <c r="BE10" i="22" s="1"/>
  <c r="AE11" i="22"/>
  <c r="Z11" i="22"/>
  <c r="BI11" i="22" s="1"/>
  <c r="L11" i="21" s="1"/>
  <c r="AT11" i="22"/>
  <c r="AV11" i="22" s="1"/>
  <c r="U13" i="22"/>
  <c r="AN14" i="22"/>
  <c r="AI14" i="22"/>
  <c r="AE15" i="22"/>
  <c r="Z15" i="22"/>
  <c r="AT15" i="22"/>
  <c r="AV15" i="22" s="1"/>
  <c r="AN18" i="22"/>
  <c r="AK18" i="22"/>
  <c r="AM18" i="22" s="1"/>
  <c r="AT19" i="22"/>
  <c r="AV19" i="22" s="1"/>
  <c r="J9" i="22"/>
  <c r="L9" i="22" s="1"/>
  <c r="M9" i="22" s="1"/>
  <c r="AB9" i="22"/>
  <c r="AD9" i="22" s="1"/>
  <c r="BE11" i="22"/>
  <c r="V12" i="22"/>
  <c r="Q12" i="22"/>
  <c r="AK12" i="22"/>
  <c r="AM12" i="22" s="1"/>
  <c r="J13" i="22"/>
  <c r="L13" i="22" s="1"/>
  <c r="M13" i="22" s="1"/>
  <c r="AB13" i="22"/>
  <c r="AD13" i="22" s="1"/>
  <c r="V16" i="22"/>
  <c r="Q16" i="22"/>
  <c r="AK16" i="22"/>
  <c r="AM16" i="22" s="1"/>
  <c r="J17" i="22"/>
  <c r="AB17" i="22"/>
  <c r="AD17" i="22" s="1"/>
  <c r="BF18" i="22"/>
  <c r="BA18" i="22"/>
  <c r="V23" i="22"/>
  <c r="Q23" i="22"/>
  <c r="BI25" i="22"/>
  <c r="L25" i="21" s="1"/>
  <c r="AW9" i="22"/>
  <c r="AR9" i="22"/>
  <c r="BF12" i="22"/>
  <c r="BA12" i="22"/>
  <c r="AW13" i="22"/>
  <c r="AR13" i="22"/>
  <c r="BF16" i="22"/>
  <c r="BA16" i="22"/>
  <c r="AW17" i="22"/>
  <c r="AR17" i="22"/>
  <c r="AE18" i="22"/>
  <c r="Z18" i="22"/>
  <c r="AR18" i="22"/>
  <c r="AW18" i="22"/>
  <c r="BC22" i="22"/>
  <c r="BE22" i="22" s="1"/>
  <c r="BC21" i="22"/>
  <c r="BE21" i="22" s="1"/>
  <c r="AE22" i="22"/>
  <c r="Z22" i="22"/>
  <c r="V18" i="22"/>
  <c r="J19" i="22"/>
  <c r="V19" i="22"/>
  <c r="AW20" i="22"/>
  <c r="AR20" i="22"/>
  <c r="Q18" i="22"/>
  <c r="AW19" i="22"/>
  <c r="J20" i="22"/>
  <c r="L20" i="22" s="1"/>
  <c r="BC20" i="22"/>
  <c r="BE20" i="22" s="1"/>
  <c r="AE20" i="22"/>
  <c r="AW22" i="22"/>
  <c r="S19" i="22"/>
  <c r="U19" i="22" s="1"/>
  <c r="AN19" i="22"/>
  <c r="BA19" i="22"/>
  <c r="Z21" i="22"/>
  <c r="AD40" i="21" l="1"/>
  <c r="AD34" i="21"/>
  <c r="AD44" i="21"/>
  <c r="BI34" i="29"/>
  <c r="AB34" i="21" s="1"/>
  <c r="AD38" i="21"/>
  <c r="AD32" i="21"/>
  <c r="AD36" i="21"/>
  <c r="AD10" i="21"/>
  <c r="AD22" i="21"/>
  <c r="AD14" i="21"/>
  <c r="AD12" i="21"/>
  <c r="M39" i="26"/>
  <c r="BJ39" i="26" s="1"/>
  <c r="M41" i="26"/>
  <c r="M33" i="26"/>
  <c r="M46" i="22"/>
  <c r="BJ46" i="22" s="1"/>
  <c r="M37" i="27"/>
  <c r="BJ37" i="27" s="1"/>
  <c r="M29" i="29"/>
  <c r="BI27" i="38"/>
  <c r="BI40" i="1"/>
  <c r="H40" i="21" s="1"/>
  <c r="BI28" i="1"/>
  <c r="H28" i="21" s="1"/>
  <c r="M35" i="38"/>
  <c r="M30" i="22"/>
  <c r="M26" i="38"/>
  <c r="M46" i="26"/>
  <c r="M43" i="26"/>
  <c r="M34" i="22"/>
  <c r="M26" i="22"/>
  <c r="M24" i="27"/>
  <c r="L40" i="1"/>
  <c r="M40" i="1" s="1"/>
  <c r="BJ40" i="1" s="1"/>
  <c r="M31" i="22"/>
  <c r="BJ31" i="22" s="1"/>
  <c r="M41" i="28"/>
  <c r="M24" i="29"/>
  <c r="BJ24" i="29" s="1"/>
  <c r="M44" i="29"/>
  <c r="M40" i="29"/>
  <c r="M36" i="29"/>
  <c r="M32" i="29"/>
  <c r="BJ32" i="29" s="1"/>
  <c r="M37" i="22"/>
  <c r="L39" i="28"/>
  <c r="M39" i="28" s="1"/>
  <c r="BJ39" i="28" s="1"/>
  <c r="M47" i="22"/>
  <c r="M37" i="1"/>
  <c r="M38" i="22"/>
  <c r="M44" i="38"/>
  <c r="BJ44" i="38" s="1"/>
  <c r="L32" i="26"/>
  <c r="M32" i="26" s="1"/>
  <c r="BJ32" i="26" s="1"/>
  <c r="M39" i="23"/>
  <c r="BJ39" i="23" s="1"/>
  <c r="M35" i="23"/>
  <c r="M31" i="23"/>
  <c r="M27" i="23"/>
  <c r="M45" i="38"/>
  <c r="BJ45" i="38" s="1"/>
  <c r="M29" i="38"/>
  <c r="M27" i="1"/>
  <c r="M25" i="26"/>
  <c r="BJ25" i="26" s="1"/>
  <c r="M43" i="29"/>
  <c r="BJ43" i="29" s="1"/>
  <c r="L45" i="23"/>
  <c r="M45" i="23" s="1"/>
  <c r="BJ45" i="23" s="1"/>
  <c r="M37" i="23"/>
  <c r="M33" i="23"/>
  <c r="M29" i="23"/>
  <c r="BJ29" i="23" s="1"/>
  <c r="M25" i="23"/>
  <c r="L43" i="38"/>
  <c r="M43" i="38" s="1"/>
  <c r="BJ43" i="38" s="1"/>
  <c r="M27" i="38"/>
  <c r="BJ27" i="38" s="1"/>
  <c r="M44" i="26"/>
  <c r="BJ44" i="26" s="1"/>
  <c r="M46" i="38"/>
  <c r="M36" i="1"/>
  <c r="M34" i="26"/>
  <c r="BJ34" i="26" s="1"/>
  <c r="L24" i="26"/>
  <c r="M24" i="26" s="1"/>
  <c r="BJ24" i="26" s="1"/>
  <c r="L45" i="27"/>
  <c r="M45" i="27" s="1"/>
  <c r="BJ45" i="27" s="1"/>
  <c r="L30" i="28"/>
  <c r="M30" i="28" s="1"/>
  <c r="BJ30" i="28" s="1"/>
  <c r="L28" i="38"/>
  <c r="M28" i="38" s="1"/>
  <c r="BJ28" i="38" s="1"/>
  <c r="M31" i="26"/>
  <c r="M47" i="28"/>
  <c r="L43" i="1"/>
  <c r="M43" i="1" s="1"/>
  <c r="BJ43" i="1" s="1"/>
  <c r="M28" i="26"/>
  <c r="BJ28" i="26" s="1"/>
  <c r="M30" i="38"/>
  <c r="BJ30" i="38" s="1"/>
  <c r="S43" i="27"/>
  <c r="U43" i="27" s="1"/>
  <c r="S46" i="28"/>
  <c r="U46" i="28" s="1"/>
  <c r="S38" i="28"/>
  <c r="U38" i="28" s="1"/>
  <c r="S37" i="26"/>
  <c r="U37" i="26" s="1"/>
  <c r="S41" i="1"/>
  <c r="U41" i="1" s="1"/>
  <c r="BI30" i="22"/>
  <c r="L30" i="21" s="1"/>
  <c r="BI38" i="29"/>
  <c r="AB38" i="21" s="1"/>
  <c r="BI40" i="38"/>
  <c r="BI32" i="1"/>
  <c r="H32" i="21" s="1"/>
  <c r="S36" i="22"/>
  <c r="U36" i="22" s="1"/>
  <c r="S42" i="27"/>
  <c r="U42" i="27" s="1"/>
  <c r="M45" i="28"/>
  <c r="BJ45" i="28" s="1"/>
  <c r="M29" i="28"/>
  <c r="M41" i="23"/>
  <c r="BJ41" i="23" s="1"/>
  <c r="M47" i="38"/>
  <c r="L39" i="38"/>
  <c r="M39" i="38" s="1"/>
  <c r="BJ39" i="38" s="1"/>
  <c r="M31" i="38"/>
  <c r="M24" i="22"/>
  <c r="BJ24" i="22" s="1"/>
  <c r="S33" i="26"/>
  <c r="U33" i="26" s="1"/>
  <c r="S43" i="29"/>
  <c r="U43" i="29" s="1"/>
  <c r="M34" i="29"/>
  <c r="M32" i="1"/>
  <c r="S41" i="22"/>
  <c r="U41" i="22" s="1"/>
  <c r="S33" i="22"/>
  <c r="U33" i="22" s="1"/>
  <c r="S25" i="22"/>
  <c r="U25" i="22"/>
  <c r="S35" i="26"/>
  <c r="U35" i="26" s="1"/>
  <c r="S39" i="28"/>
  <c r="U39" i="28" s="1"/>
  <c r="S47" i="1"/>
  <c r="U47" i="1" s="1"/>
  <c r="L42" i="1"/>
  <c r="M42" i="1" s="1"/>
  <c r="BJ42" i="1" s="1"/>
  <c r="M38" i="1"/>
  <c r="BJ38" i="1" s="1"/>
  <c r="S31" i="1"/>
  <c r="U31" i="1" s="1"/>
  <c r="L26" i="1"/>
  <c r="M26" i="1" s="1"/>
  <c r="BJ26" i="1" s="1"/>
  <c r="S35" i="27"/>
  <c r="U35" i="27" s="1"/>
  <c r="S27" i="27"/>
  <c r="U27" i="27" s="1"/>
  <c r="M46" i="29"/>
  <c r="BJ46" i="29" s="1"/>
  <c r="S31" i="29"/>
  <c r="U31" i="29" s="1"/>
  <c r="S42" i="22"/>
  <c r="U42" i="22"/>
  <c r="M35" i="26"/>
  <c r="BJ35" i="26" s="1"/>
  <c r="M27" i="26"/>
  <c r="S30" i="27"/>
  <c r="U30" i="27"/>
  <c r="S26" i="27"/>
  <c r="U26" i="27" s="1"/>
  <c r="M43" i="28"/>
  <c r="S36" i="28"/>
  <c r="U36" i="28" s="1"/>
  <c r="M41" i="38"/>
  <c r="BJ41" i="38" s="1"/>
  <c r="M42" i="29"/>
  <c r="BJ42" i="29" s="1"/>
  <c r="L28" i="1"/>
  <c r="M28" i="1" s="1"/>
  <c r="BJ28" i="1" s="1"/>
  <c r="S34" i="26"/>
  <c r="U34" i="26" s="1"/>
  <c r="S26" i="26"/>
  <c r="U26" i="26" s="1"/>
  <c r="S38" i="23"/>
  <c r="U38" i="23" s="1"/>
  <c r="S37" i="28"/>
  <c r="U37" i="28" s="1"/>
  <c r="S43" i="26"/>
  <c r="U43" i="26" s="1"/>
  <c r="BI34" i="26"/>
  <c r="P34" i="21" s="1"/>
  <c r="L35" i="22"/>
  <c r="M35" i="22" s="1"/>
  <c r="BJ35" i="22" s="1"/>
  <c r="S46" i="27"/>
  <c r="U46" i="27" s="1"/>
  <c r="S44" i="27"/>
  <c r="U44" i="27" s="1"/>
  <c r="M33" i="28"/>
  <c r="L47" i="29"/>
  <c r="M47" i="29" s="1"/>
  <c r="BJ47" i="29" s="1"/>
  <c r="M27" i="29"/>
  <c r="BJ27" i="29" s="1"/>
  <c r="M41" i="1"/>
  <c r="M25" i="1"/>
  <c r="M40" i="26"/>
  <c r="BJ40" i="26" s="1"/>
  <c r="M36" i="23"/>
  <c r="BJ36" i="23" s="1"/>
  <c r="M38" i="26"/>
  <c r="M47" i="27"/>
  <c r="S35" i="28"/>
  <c r="U35" i="28" s="1"/>
  <c r="S31" i="28"/>
  <c r="U31" i="28" s="1"/>
  <c r="M24" i="28"/>
  <c r="S45" i="29"/>
  <c r="U45" i="29" s="1"/>
  <c r="S41" i="29"/>
  <c r="U41" i="29" s="1"/>
  <c r="S37" i="29"/>
  <c r="U37" i="29" s="1"/>
  <c r="S33" i="29"/>
  <c r="U33" i="29" s="1"/>
  <c r="S29" i="29"/>
  <c r="U29" i="29" s="1"/>
  <c r="S25" i="29"/>
  <c r="U25" i="29" s="1"/>
  <c r="M34" i="23"/>
  <c r="BJ34" i="23" s="1"/>
  <c r="M24" i="23"/>
  <c r="M32" i="38"/>
  <c r="BJ32" i="38" s="1"/>
  <c r="M46" i="1"/>
  <c r="S43" i="1"/>
  <c r="U43" i="1" s="1"/>
  <c r="M30" i="1"/>
  <c r="S27" i="1"/>
  <c r="U27" i="1" s="1"/>
  <c r="M24" i="1"/>
  <c r="S41" i="26"/>
  <c r="U41" i="26" s="1"/>
  <c r="S29" i="28"/>
  <c r="U29" i="28" s="1"/>
  <c r="M32" i="23"/>
  <c r="BJ32" i="23" s="1"/>
  <c r="S45" i="1"/>
  <c r="U45" i="1" s="1"/>
  <c r="S37" i="1"/>
  <c r="U37" i="1" s="1"/>
  <c r="M41" i="22"/>
  <c r="M25" i="22"/>
  <c r="BJ25" i="22" s="1"/>
  <c r="M29" i="27"/>
  <c r="BJ29" i="27" s="1"/>
  <c r="M35" i="28"/>
  <c r="S28" i="28"/>
  <c r="U28" i="28" s="1"/>
  <c r="M25" i="29"/>
  <c r="BJ25" i="29" s="1"/>
  <c r="M43" i="23"/>
  <c r="BJ43" i="23" s="1"/>
  <c r="S36" i="23"/>
  <c r="U36" i="23"/>
  <c r="S32" i="23"/>
  <c r="U32" i="23"/>
  <c r="S28" i="23"/>
  <c r="U28" i="23" s="1"/>
  <c r="M47" i="1"/>
  <c r="M31" i="1"/>
  <c r="L40" i="23"/>
  <c r="M40" i="23" s="1"/>
  <c r="BJ40" i="23" s="1"/>
  <c r="S42" i="26"/>
  <c r="U42" i="26" s="1"/>
  <c r="S28" i="27"/>
  <c r="U28" i="27" s="1"/>
  <c r="S42" i="28"/>
  <c r="U42" i="28" s="1"/>
  <c r="S34" i="23"/>
  <c r="U34" i="23" s="1"/>
  <c r="S26" i="23"/>
  <c r="U26" i="23" s="1"/>
  <c r="S47" i="23"/>
  <c r="U47" i="23" s="1"/>
  <c r="S39" i="23"/>
  <c r="U39" i="23" s="1"/>
  <c r="S35" i="1"/>
  <c r="U35" i="1" s="1"/>
  <c r="S26" i="22"/>
  <c r="U26" i="22" s="1"/>
  <c r="S34" i="27"/>
  <c r="U34" i="27" s="1"/>
  <c r="S44" i="28"/>
  <c r="U44" i="28" s="1"/>
  <c r="BI44" i="26"/>
  <c r="P44" i="21" s="1"/>
  <c r="BI36" i="29"/>
  <c r="AB36" i="21" s="1"/>
  <c r="S44" i="22"/>
  <c r="U44" i="22" s="1"/>
  <c r="S40" i="22"/>
  <c r="U40" i="22" s="1"/>
  <c r="S28" i="22"/>
  <c r="U28" i="22" s="1"/>
  <c r="S36" i="27"/>
  <c r="U36" i="27" s="1"/>
  <c r="S29" i="26"/>
  <c r="U29" i="26" s="1"/>
  <c r="S47" i="29"/>
  <c r="U47" i="29" s="1"/>
  <c r="S39" i="29"/>
  <c r="U39" i="29" s="1"/>
  <c r="S27" i="29"/>
  <c r="U27" i="29" s="1"/>
  <c r="M40" i="22"/>
  <c r="BJ40" i="22" s="1"/>
  <c r="M32" i="22"/>
  <c r="S27" i="26"/>
  <c r="U27" i="26" s="1"/>
  <c r="L34" i="28"/>
  <c r="M34" i="28" s="1"/>
  <c r="BJ34" i="28" s="1"/>
  <c r="M28" i="29"/>
  <c r="BJ28" i="29" s="1"/>
  <c r="S39" i="1"/>
  <c r="U39" i="1" s="1"/>
  <c r="M38" i="29"/>
  <c r="BJ38" i="29" s="1"/>
  <c r="M26" i="29"/>
  <c r="M24" i="38"/>
  <c r="S34" i="22"/>
  <c r="U34" i="22" s="1"/>
  <c r="S38" i="27"/>
  <c r="U38" i="27" s="1"/>
  <c r="M42" i="22"/>
  <c r="S45" i="26"/>
  <c r="U45" i="26" s="1"/>
  <c r="S35" i="29"/>
  <c r="U35" i="29" s="1"/>
  <c r="AD31" i="21"/>
  <c r="AD45" i="21"/>
  <c r="AD43" i="21"/>
  <c r="BI47" i="27"/>
  <c r="T47" i="21" s="1"/>
  <c r="BI45" i="27"/>
  <c r="T45" i="21" s="1"/>
  <c r="AD24" i="21"/>
  <c r="BE14" i="38"/>
  <c r="AD14" i="22"/>
  <c r="BI24" i="26"/>
  <c r="P24" i="21" s="1"/>
  <c r="BI27" i="27"/>
  <c r="T27" i="21" s="1"/>
  <c r="U9" i="22"/>
  <c r="BI30" i="26"/>
  <c r="P30" i="21" s="1"/>
  <c r="BI14" i="22"/>
  <c r="L14" i="21" s="1"/>
  <c r="AM12" i="38"/>
  <c r="BI47" i="1"/>
  <c r="H47" i="21" s="1"/>
  <c r="T18" i="53"/>
  <c r="M23" i="26"/>
  <c r="BJ23" i="26" s="1"/>
  <c r="BI14" i="26"/>
  <c r="P14" i="21" s="1"/>
  <c r="BI37" i="26"/>
  <c r="P37" i="21" s="1"/>
  <c r="BI45" i="29"/>
  <c r="AB45" i="21" s="1"/>
  <c r="BI47" i="38"/>
  <c r="AD39" i="21"/>
  <c r="AD20" i="21"/>
  <c r="AD18" i="21"/>
  <c r="AD47" i="21"/>
  <c r="AD23" i="21"/>
  <c r="AD21" i="21"/>
  <c r="AD35" i="21"/>
  <c r="AD46" i="21"/>
  <c r="BI15" i="1"/>
  <c r="H15" i="21" s="1"/>
  <c r="BI12" i="1"/>
  <c r="H12" i="21" s="1"/>
  <c r="AD20" i="29"/>
  <c r="BI31" i="26"/>
  <c r="P31" i="21" s="1"/>
  <c r="BI29" i="29"/>
  <c r="AB29" i="21" s="1"/>
  <c r="BI38" i="26"/>
  <c r="P38" i="21" s="1"/>
  <c r="AD37" i="21"/>
  <c r="AD33" i="21"/>
  <c r="AD27" i="21"/>
  <c r="AD25" i="21"/>
  <c r="AD28" i="21"/>
  <c r="AD26" i="21"/>
  <c r="AM21" i="27"/>
  <c r="BI30" i="29"/>
  <c r="AB30" i="21" s="1"/>
  <c r="BE18" i="38"/>
  <c r="AM22" i="22"/>
  <c r="BI16" i="26"/>
  <c r="P16" i="21" s="1"/>
  <c r="BI22" i="26"/>
  <c r="P22" i="21" s="1"/>
  <c r="BJ35" i="1"/>
  <c r="AD42" i="21"/>
  <c r="AD30" i="21"/>
  <c r="BJ47" i="26"/>
  <c r="BI42" i="26"/>
  <c r="P42" i="21" s="1"/>
  <c r="BE15" i="22"/>
  <c r="BI27" i="26"/>
  <c r="P27" i="21" s="1"/>
  <c r="BI20" i="27"/>
  <c r="T20" i="21" s="1"/>
  <c r="BI9" i="29"/>
  <c r="BI32" i="23"/>
  <c r="BI32" i="22"/>
  <c r="L32" i="21" s="1"/>
  <c r="BI13" i="22"/>
  <c r="L13" i="21" s="1"/>
  <c r="BI18" i="28"/>
  <c r="X18" i="21" s="1"/>
  <c r="AD41" i="21"/>
  <c r="AD29" i="21"/>
  <c r="AD16" i="21"/>
  <c r="BI31" i="28"/>
  <c r="X31" i="21" s="1"/>
  <c r="BI28" i="22"/>
  <c r="L28" i="21" s="1"/>
  <c r="BI21" i="27"/>
  <c r="T21" i="21" s="1"/>
  <c r="BI20" i="26"/>
  <c r="P20" i="21" s="1"/>
  <c r="BJ15" i="28"/>
  <c r="BI44" i="23"/>
  <c r="BI31" i="23"/>
  <c r="BI28" i="23"/>
  <c r="BI19" i="23"/>
  <c r="BI22" i="29"/>
  <c r="AB22" i="21" s="1"/>
  <c r="BJ35" i="29"/>
  <c r="BI41" i="27"/>
  <c r="T41" i="21" s="1"/>
  <c r="BI20" i="29"/>
  <c r="AB20" i="21" s="1"/>
  <c r="BI24" i="29"/>
  <c r="AB24" i="21" s="1"/>
  <c r="BJ37" i="26"/>
  <c r="BI28" i="26"/>
  <c r="P28" i="21" s="1"/>
  <c r="BJ46" i="38"/>
  <c r="BI29" i="1"/>
  <c r="H29" i="21" s="1"/>
  <c r="BI41" i="26"/>
  <c r="P41" i="21" s="1"/>
  <c r="BI27" i="22"/>
  <c r="L27" i="21" s="1"/>
  <c r="M17" i="26"/>
  <c r="BJ17" i="26" s="1"/>
  <c r="BI10" i="26"/>
  <c r="P10" i="21" s="1"/>
  <c r="BI29" i="27"/>
  <c r="T29" i="21" s="1"/>
  <c r="BI42" i="29"/>
  <c r="AB42" i="21" s="1"/>
  <c r="BJ15" i="23"/>
  <c r="AD13" i="38"/>
  <c r="BI24" i="1"/>
  <c r="H24" i="21" s="1"/>
  <c r="BI38" i="1"/>
  <c r="H38" i="21" s="1"/>
  <c r="U24" i="23"/>
  <c r="BI11" i="38"/>
  <c r="AV9" i="26"/>
  <c r="BI35" i="28"/>
  <c r="X35" i="21" s="1"/>
  <c r="BJ9" i="27"/>
  <c r="BI10" i="28"/>
  <c r="X10" i="21" s="1"/>
  <c r="BJ21" i="1"/>
  <c r="BI17" i="22"/>
  <c r="L17" i="21" s="1"/>
  <c r="BI27" i="28"/>
  <c r="X27" i="21" s="1"/>
  <c r="BJ20" i="28"/>
  <c r="BJ9" i="28"/>
  <c r="BJ14" i="29"/>
  <c r="BI17" i="29"/>
  <c r="AB17" i="21" s="1"/>
  <c r="BJ26" i="23"/>
  <c r="BI12" i="38"/>
  <c r="BI16" i="1"/>
  <c r="H16" i="21" s="1"/>
  <c r="BJ27" i="1"/>
  <c r="BJ11" i="1"/>
  <c r="AD9" i="38"/>
  <c r="BJ33" i="26"/>
  <c r="BI32" i="26"/>
  <c r="P32" i="21" s="1"/>
  <c r="BI16" i="27"/>
  <c r="T16" i="21" s="1"/>
  <c r="BI24" i="23"/>
  <c r="BJ38" i="22"/>
  <c r="BI31" i="22"/>
  <c r="L31" i="21" s="1"/>
  <c r="BJ11" i="26"/>
  <c r="BI39" i="27"/>
  <c r="T39" i="21" s="1"/>
  <c r="BI22" i="27"/>
  <c r="T22" i="21" s="1"/>
  <c r="BI43" i="28"/>
  <c r="X43" i="21" s="1"/>
  <c r="BJ30" i="27"/>
  <c r="BJ18" i="27"/>
  <c r="BJ41" i="28"/>
  <c r="BI17" i="28"/>
  <c r="X17" i="21" s="1"/>
  <c r="BI14" i="28"/>
  <c r="X14" i="21" s="1"/>
  <c r="U24" i="29"/>
  <c r="BI14" i="29"/>
  <c r="AB14" i="21" s="1"/>
  <c r="BI13" i="29"/>
  <c r="AB13" i="21" s="1"/>
  <c r="BI39" i="23"/>
  <c r="BI36" i="23"/>
  <c r="BI21" i="23"/>
  <c r="BJ12" i="29"/>
  <c r="AD14" i="23"/>
  <c r="BI45" i="1"/>
  <c r="H45" i="21" s="1"/>
  <c r="BJ42" i="38"/>
  <c r="BJ45" i="1"/>
  <c r="BI23" i="1"/>
  <c r="H23" i="21" s="1"/>
  <c r="BI20" i="1"/>
  <c r="H20" i="21" s="1"/>
  <c r="BJ19" i="1"/>
  <c r="M17" i="1"/>
  <c r="BJ17" i="1" s="1"/>
  <c r="BJ28" i="28"/>
  <c r="AV17" i="29"/>
  <c r="BJ44" i="22"/>
  <c r="BI28" i="28"/>
  <c r="X28" i="21" s="1"/>
  <c r="BI44" i="22"/>
  <c r="L44" i="21" s="1"/>
  <c r="BJ21" i="22"/>
  <c r="BJ12" i="22"/>
  <c r="BJ13" i="22"/>
  <c r="BJ30" i="26"/>
  <c r="BI43" i="27"/>
  <c r="T43" i="21" s="1"/>
  <c r="BI25" i="27"/>
  <c r="T25" i="21" s="1"/>
  <c r="BI38" i="28"/>
  <c r="X38" i="21" s="1"/>
  <c r="BI40" i="28"/>
  <c r="X40" i="21" s="1"/>
  <c r="M23" i="28"/>
  <c r="BJ23" i="28" s="1"/>
  <c r="BI40" i="23"/>
  <c r="BJ11" i="29"/>
  <c r="AV18" i="23"/>
  <c r="BJ19" i="38"/>
  <c r="BI33" i="38"/>
  <c r="BI17" i="38"/>
  <c r="BE22" i="38"/>
  <c r="BI29" i="22"/>
  <c r="L29" i="21" s="1"/>
  <c r="BI22" i="22"/>
  <c r="L22" i="21" s="1"/>
  <c r="BI23" i="27"/>
  <c r="T23" i="21" s="1"/>
  <c r="BI36" i="22"/>
  <c r="L36" i="21" s="1"/>
  <c r="BI23" i="22"/>
  <c r="L23" i="21" s="1"/>
  <c r="AD12" i="22"/>
  <c r="BI46" i="26"/>
  <c r="P46" i="21" s="1"/>
  <c r="BJ10" i="22"/>
  <c r="AD17" i="26"/>
  <c r="BI15" i="22"/>
  <c r="L15" i="21" s="1"/>
  <c r="BI9" i="26"/>
  <c r="BJ29" i="26"/>
  <c r="BI24" i="28"/>
  <c r="X24" i="21" s="1"/>
  <c r="BJ21" i="28"/>
  <c r="BJ16" i="23"/>
  <c r="BJ46" i="1"/>
  <c r="BE10" i="38"/>
  <c r="BJ31" i="1"/>
  <c r="M13" i="1"/>
  <c r="BJ13" i="1" s="1"/>
  <c r="BI33" i="29"/>
  <c r="AB33" i="21" s="1"/>
  <c r="BJ33" i="23"/>
  <c r="BJ44" i="27"/>
  <c r="BI35" i="22"/>
  <c r="L35" i="21" s="1"/>
  <c r="BJ18" i="22"/>
  <c r="BI26" i="26"/>
  <c r="P26" i="21" s="1"/>
  <c r="BJ38" i="27"/>
  <c r="BI47" i="28"/>
  <c r="X47" i="21" s="1"/>
  <c r="BJ10" i="27"/>
  <c r="BJ37" i="28"/>
  <c r="BJ38" i="28"/>
  <c r="BJ39" i="29"/>
  <c r="BJ37" i="29"/>
  <c r="BJ31" i="29"/>
  <c r="BJ16" i="29"/>
  <c r="BI10" i="29"/>
  <c r="AB10" i="21" s="1"/>
  <c r="BI45" i="23"/>
  <c r="BJ18" i="23"/>
  <c r="BJ27" i="23"/>
  <c r="BJ9" i="38"/>
  <c r="BJ35" i="38"/>
  <c r="BI46" i="1"/>
  <c r="H46" i="21" s="1"/>
  <c r="BJ26" i="38"/>
  <c r="BJ39" i="1"/>
  <c r="BJ25" i="1"/>
  <c r="BJ9" i="1"/>
  <c r="BJ22" i="23"/>
  <c r="BJ11" i="22"/>
  <c r="BJ37" i="22"/>
  <c r="BJ43" i="26"/>
  <c r="BI39" i="22"/>
  <c r="L39" i="21" s="1"/>
  <c r="BJ47" i="22"/>
  <c r="BI40" i="26"/>
  <c r="P40" i="21" s="1"/>
  <c r="U15" i="22"/>
  <c r="BI10" i="22"/>
  <c r="L10" i="21" s="1"/>
  <c r="BJ36" i="26"/>
  <c r="BJ22" i="26"/>
  <c r="AV19" i="26"/>
  <c r="U12" i="26"/>
  <c r="BJ40" i="27"/>
  <c r="BI37" i="27"/>
  <c r="T37" i="21" s="1"/>
  <c r="BI12" i="27"/>
  <c r="T12" i="21" s="1"/>
  <c r="BI34" i="28"/>
  <c r="X34" i="21" s="1"/>
  <c r="BI32" i="28"/>
  <c r="X32" i="21" s="1"/>
  <c r="BJ15" i="27"/>
  <c r="BJ46" i="28"/>
  <c r="BJ45" i="29"/>
  <c r="BJ13" i="27"/>
  <c r="BJ36" i="29"/>
  <c r="BI16" i="23"/>
  <c r="BJ13" i="28"/>
  <c r="BI15" i="29"/>
  <c r="AB15" i="21" s="1"/>
  <c r="BI47" i="23"/>
  <c r="BI46" i="23"/>
  <c r="BJ35" i="23"/>
  <c r="M20" i="23"/>
  <c r="BJ20" i="23" s="1"/>
  <c r="BI41" i="38"/>
  <c r="BI25" i="38"/>
  <c r="BJ11" i="38"/>
  <c r="BI30" i="1"/>
  <c r="H30" i="21" s="1"/>
  <c r="BJ17" i="27"/>
  <c r="BJ13" i="38"/>
  <c r="BJ22" i="22"/>
  <c r="M20" i="22"/>
  <c r="BJ20" i="22" s="1"/>
  <c r="BJ36" i="22"/>
  <c r="BJ33" i="22"/>
  <c r="BJ27" i="22"/>
  <c r="BJ13" i="26"/>
  <c r="U22" i="26"/>
  <c r="M15" i="22"/>
  <c r="BJ15" i="22" s="1"/>
  <c r="BJ38" i="26"/>
  <c r="M9" i="26"/>
  <c r="BJ9" i="26" s="1"/>
  <c r="BI40" i="27"/>
  <c r="T40" i="21" s="1"/>
  <c r="BI33" i="27"/>
  <c r="T33" i="21" s="1"/>
  <c r="M22" i="27"/>
  <c r="BJ22" i="27" s="1"/>
  <c r="BJ42" i="27"/>
  <c r="BJ32" i="27"/>
  <c r="BI41" i="28"/>
  <c r="X41" i="21" s="1"/>
  <c r="BI37" i="28"/>
  <c r="X37" i="21" s="1"/>
  <c r="BJ25" i="28"/>
  <c r="BJ18" i="29"/>
  <c r="BJ14" i="23"/>
  <c r="BJ24" i="23"/>
  <c r="M19" i="23"/>
  <c r="BJ19" i="23" s="1"/>
  <c r="M12" i="23"/>
  <c r="BJ12" i="23" s="1"/>
  <c r="L14" i="38"/>
  <c r="M14" i="38" s="1"/>
  <c r="BJ14" i="38" s="1"/>
  <c r="M22" i="1"/>
  <c r="BJ22" i="1" s="1"/>
  <c r="M14" i="1"/>
  <c r="BJ14" i="1" s="1"/>
  <c r="AT16" i="22"/>
  <c r="AV16" i="22" s="1"/>
  <c r="AK20" i="26"/>
  <c r="AM20" i="26" s="1"/>
  <c r="AB21" i="26"/>
  <c r="AD21" i="26" s="1"/>
  <c r="BC22" i="27"/>
  <c r="BE22" i="27" s="1"/>
  <c r="BJ41" i="22"/>
  <c r="BJ45" i="22"/>
  <c r="BJ39" i="22"/>
  <c r="BI18" i="22"/>
  <c r="L18" i="21" s="1"/>
  <c r="BJ16" i="22"/>
  <c r="BJ45" i="26"/>
  <c r="BJ12" i="26"/>
  <c r="BJ14" i="22"/>
  <c r="L14" i="26"/>
  <c r="M14" i="26" s="1"/>
  <c r="BJ14" i="26" s="1"/>
  <c r="L18" i="26"/>
  <c r="M18" i="26" s="1"/>
  <c r="BJ18" i="26" s="1"/>
  <c r="M15" i="26"/>
  <c r="BJ15" i="26" s="1"/>
  <c r="BJ26" i="27"/>
  <c r="M14" i="27"/>
  <c r="BJ14" i="27" s="1"/>
  <c r="BJ33" i="28"/>
  <c r="BJ33" i="29"/>
  <c r="BI42" i="23"/>
  <c r="BJ46" i="23"/>
  <c r="BJ47" i="23"/>
  <c r="BJ31" i="23"/>
  <c r="M11" i="23"/>
  <c r="BJ11" i="23" s="1"/>
  <c r="BJ10" i="23"/>
  <c r="BJ32" i="1"/>
  <c r="S22" i="22"/>
  <c r="U22" i="22" s="1"/>
  <c r="AB13" i="26"/>
  <c r="AD13" i="26" s="1"/>
  <c r="BC22" i="26"/>
  <c r="BE22" i="26" s="1"/>
  <c r="AK22" i="29"/>
  <c r="AM22" i="29" s="1"/>
  <c r="AT12" i="23"/>
  <c r="AV12" i="23" s="1"/>
  <c r="BJ38" i="23"/>
  <c r="BJ30" i="23"/>
  <c r="M17" i="23"/>
  <c r="BJ17" i="23" s="1"/>
  <c r="BJ36" i="1"/>
  <c r="AK13" i="22"/>
  <c r="AM13" i="22" s="1"/>
  <c r="AK16" i="26"/>
  <c r="AM16" i="26" s="1"/>
  <c r="AK10" i="26"/>
  <c r="AM10" i="26" s="1"/>
  <c r="S14" i="26"/>
  <c r="U14" i="26" s="1"/>
  <c r="AT19" i="29"/>
  <c r="AV19" i="29" s="1"/>
  <c r="AT11" i="38"/>
  <c r="AV11" i="38" s="1"/>
  <c r="BJ27" i="28"/>
  <c r="M17" i="28"/>
  <c r="BJ17" i="28" s="1"/>
  <c r="BJ28" i="22"/>
  <c r="BJ9" i="22"/>
  <c r="BJ21" i="26"/>
  <c r="BJ47" i="27"/>
  <c r="BJ24" i="27"/>
  <c r="BJ41" i="27"/>
  <c r="BJ21" i="27"/>
  <c r="BJ22" i="28"/>
  <c r="L16" i="27"/>
  <c r="M16" i="27" s="1"/>
  <c r="BJ16" i="27" s="1"/>
  <c r="BJ47" i="28"/>
  <c r="BJ24" i="28"/>
  <c r="BJ16" i="28"/>
  <c r="BJ14" i="28"/>
  <c r="BJ12" i="28"/>
  <c r="M10" i="28"/>
  <c r="BJ10" i="28" s="1"/>
  <c r="BJ41" i="29"/>
  <c r="BJ23" i="29"/>
  <c r="BJ19" i="29"/>
  <c r="BJ15" i="29"/>
  <c r="BJ40" i="29"/>
  <c r="BJ20" i="29"/>
  <c r="BJ19" i="28"/>
  <c r="BI11" i="29"/>
  <c r="AB11" i="21" s="1"/>
  <c r="L9" i="29"/>
  <c r="M9" i="29" s="1"/>
  <c r="BJ9" i="29" s="1"/>
  <c r="BJ42" i="23"/>
  <c r="BJ10" i="29"/>
  <c r="BJ37" i="23"/>
  <c r="BJ10" i="38"/>
  <c r="BI22" i="1"/>
  <c r="H22" i="21" s="1"/>
  <c r="AT10" i="22"/>
  <c r="AV10" i="22" s="1"/>
  <c r="S22" i="27"/>
  <c r="U22" i="27" s="1"/>
  <c r="AK11" i="26"/>
  <c r="AM11" i="26" s="1"/>
  <c r="AB15" i="29"/>
  <c r="AD15" i="29" s="1"/>
  <c r="U12" i="23"/>
  <c r="AB21" i="22"/>
  <c r="AD21" i="22" s="1"/>
  <c r="L19" i="22"/>
  <c r="M19" i="22" s="1"/>
  <c r="BJ19" i="22" s="1"/>
  <c r="BI42" i="22"/>
  <c r="L42" i="21" s="1"/>
  <c r="AB18" i="22"/>
  <c r="AD18" i="22" s="1"/>
  <c r="BC16" i="22"/>
  <c r="BE16" i="22" s="1"/>
  <c r="BC12" i="22"/>
  <c r="BE12" i="22" s="1"/>
  <c r="BC18" i="22"/>
  <c r="BE18" i="22" s="1"/>
  <c r="S12" i="22"/>
  <c r="U12" i="22" s="1"/>
  <c r="BI12" i="22"/>
  <c r="L12" i="21" s="1"/>
  <c r="AK19" i="26"/>
  <c r="AM19" i="26" s="1"/>
  <c r="S17" i="26"/>
  <c r="U17" i="26" s="1"/>
  <c r="BI17" i="26"/>
  <c r="P17" i="21" s="1"/>
  <c r="AT14" i="26"/>
  <c r="AV14" i="26" s="1"/>
  <c r="BC13" i="26"/>
  <c r="BE13" i="26" s="1"/>
  <c r="S21" i="26"/>
  <c r="U21" i="26" s="1"/>
  <c r="BI21" i="26"/>
  <c r="P21" i="21" s="1"/>
  <c r="BI19" i="26"/>
  <c r="P19" i="21" s="1"/>
  <c r="AB12" i="26"/>
  <c r="AD12" i="26" s="1"/>
  <c r="AB20" i="26"/>
  <c r="AD20" i="26" s="1"/>
  <c r="BI13" i="26"/>
  <c r="P13" i="21" s="1"/>
  <c r="S13" i="26"/>
  <c r="U13" i="26" s="1"/>
  <c r="AK9" i="26"/>
  <c r="AM9" i="26" s="1"/>
  <c r="AK19" i="27"/>
  <c r="AM19" i="27" s="1"/>
  <c r="BC17" i="27"/>
  <c r="BE17" i="27" s="1"/>
  <c r="AK15" i="27"/>
  <c r="AM15" i="27" s="1"/>
  <c r="BC13" i="27"/>
  <c r="BE13" i="27" s="1"/>
  <c r="AK11" i="27"/>
  <c r="AM11" i="27" s="1"/>
  <c r="BC9" i="27"/>
  <c r="BE9" i="27" s="1"/>
  <c r="AT21" i="27"/>
  <c r="AV21" i="27" s="1"/>
  <c r="M20" i="27"/>
  <c r="BJ20" i="27" s="1"/>
  <c r="AB17" i="27"/>
  <c r="AD17" i="27" s="1"/>
  <c r="AB13" i="27"/>
  <c r="AD13" i="27" s="1"/>
  <c r="M12" i="27"/>
  <c r="BJ12" i="27" s="1"/>
  <c r="AB9" i="27"/>
  <c r="AD9" i="27" s="1"/>
  <c r="BI29" i="28"/>
  <c r="X29" i="21" s="1"/>
  <c r="BI26" i="28"/>
  <c r="X26" i="21" s="1"/>
  <c r="BI19" i="27"/>
  <c r="T19" i="21" s="1"/>
  <c r="BI11" i="27"/>
  <c r="T11" i="21" s="1"/>
  <c r="BI42" i="28"/>
  <c r="X42" i="21" s="1"/>
  <c r="L23" i="27"/>
  <c r="M23" i="27" s="1"/>
  <c r="BJ23" i="27" s="1"/>
  <c r="AT21" i="28"/>
  <c r="AV21" i="28" s="1"/>
  <c r="AK18" i="28"/>
  <c r="AM18" i="28" s="1"/>
  <c r="BI16" i="28"/>
  <c r="X16" i="21" s="1"/>
  <c r="S16" i="28"/>
  <c r="U16" i="28" s="1"/>
  <c r="AT13" i="28"/>
  <c r="AV13" i="28" s="1"/>
  <c r="AK10" i="28"/>
  <c r="AM10" i="28" s="1"/>
  <c r="BI47" i="29"/>
  <c r="AB47" i="21" s="1"/>
  <c r="BI31" i="29"/>
  <c r="AB31" i="21" s="1"/>
  <c r="BJ30" i="29"/>
  <c r="BJ29" i="29"/>
  <c r="M22" i="29"/>
  <c r="BJ22" i="29" s="1"/>
  <c r="AT14" i="29"/>
  <c r="AV14" i="29" s="1"/>
  <c r="AK12" i="29"/>
  <c r="AM12" i="29" s="1"/>
  <c r="BC10" i="29"/>
  <c r="BE10" i="29" s="1"/>
  <c r="AB20" i="23"/>
  <c r="AD20" i="23" s="1"/>
  <c r="AK15" i="23"/>
  <c r="AM15" i="23" s="1"/>
  <c r="AT10" i="23"/>
  <c r="AV10" i="23" s="1"/>
  <c r="L18" i="28"/>
  <c r="M18" i="28" s="1"/>
  <c r="BJ18" i="28" s="1"/>
  <c r="BI44" i="29"/>
  <c r="AB44" i="21" s="1"/>
  <c r="AB19" i="29"/>
  <c r="AD19" i="29" s="1"/>
  <c r="BC11" i="29"/>
  <c r="BE11" i="29" s="1"/>
  <c r="BJ28" i="23"/>
  <c r="BJ25" i="23"/>
  <c r="BC22" i="23"/>
  <c r="BE22" i="23" s="1"/>
  <c r="S14" i="23"/>
  <c r="U14" i="23" s="1"/>
  <c r="BI14" i="23"/>
  <c r="AK20" i="23"/>
  <c r="AM20" i="23" s="1"/>
  <c r="L9" i="23"/>
  <c r="M9" i="23" s="1"/>
  <c r="BJ9" i="23" s="1"/>
  <c r="AT19" i="23"/>
  <c r="AV19" i="23" s="1"/>
  <c r="BJ47" i="38"/>
  <c r="BJ31" i="38"/>
  <c r="AT18" i="38"/>
  <c r="AV18" i="38" s="1"/>
  <c r="S17" i="38"/>
  <c r="U17" i="38" s="1"/>
  <c r="M16" i="38"/>
  <c r="BJ16" i="38" s="1"/>
  <c r="M15" i="38"/>
  <c r="BJ15" i="38" s="1"/>
  <c r="AB17" i="23"/>
  <c r="AD17" i="23" s="1"/>
  <c r="AK16" i="23"/>
  <c r="AM16" i="23" s="1"/>
  <c r="BJ37" i="38"/>
  <c r="BJ33" i="38"/>
  <c r="BJ29" i="38"/>
  <c r="BJ25" i="38"/>
  <c r="L21" i="38"/>
  <c r="M21" i="38" s="1"/>
  <c r="BJ21" i="38" s="1"/>
  <c r="L17" i="38"/>
  <c r="M17" i="38" s="1"/>
  <c r="BJ17" i="38" s="1"/>
  <c r="BJ47" i="1"/>
  <c r="BJ38" i="38"/>
  <c r="BI34" i="38"/>
  <c r="L22" i="38"/>
  <c r="M22" i="38" s="1"/>
  <c r="BJ22" i="38" s="1"/>
  <c r="BI18" i="38"/>
  <c r="L12" i="38"/>
  <c r="M12" i="38" s="1"/>
  <c r="BJ12" i="38" s="1"/>
  <c r="BC22" i="1"/>
  <c r="BE22" i="1" s="1"/>
  <c r="AB21" i="1"/>
  <c r="AD21" i="1" s="1"/>
  <c r="M20" i="1"/>
  <c r="BJ20" i="1" s="1"/>
  <c r="AT15" i="1"/>
  <c r="AV15" i="1" s="1"/>
  <c r="S14" i="1"/>
  <c r="U14" i="1" s="1"/>
  <c r="AK12" i="1"/>
  <c r="AM12" i="1" s="1"/>
  <c r="BJ34" i="1"/>
  <c r="BJ30" i="1"/>
  <c r="L18" i="1"/>
  <c r="M18" i="1" s="1"/>
  <c r="BJ18" i="1" s="1"/>
  <c r="L10" i="1"/>
  <c r="M10" i="1" s="1"/>
  <c r="BJ10" i="1" s="1"/>
  <c r="BI43" i="22"/>
  <c r="L43" i="21" s="1"/>
  <c r="AT18" i="22"/>
  <c r="AV18" i="22" s="1"/>
  <c r="BI21" i="22"/>
  <c r="L21" i="21" s="1"/>
  <c r="S16" i="22"/>
  <c r="U16" i="22" s="1"/>
  <c r="BI16" i="22"/>
  <c r="L16" i="21" s="1"/>
  <c r="BI45" i="22"/>
  <c r="L45" i="21" s="1"/>
  <c r="BJ32" i="22"/>
  <c r="AT20" i="22"/>
  <c r="AV20" i="22" s="1"/>
  <c r="BJ43" i="22"/>
  <c r="BI47" i="22"/>
  <c r="L47" i="21" s="1"/>
  <c r="BJ42" i="22"/>
  <c r="BC19" i="22"/>
  <c r="BE19" i="22" s="1"/>
  <c r="BI19" i="22"/>
  <c r="L19" i="21" s="1"/>
  <c r="BI41" i="22"/>
  <c r="L41" i="21" s="1"/>
  <c r="BI38" i="22"/>
  <c r="L38" i="21" s="1"/>
  <c r="BJ29" i="22"/>
  <c r="BI20" i="22"/>
  <c r="L20" i="21" s="1"/>
  <c r="S18" i="22"/>
  <c r="U18" i="22" s="1"/>
  <c r="BI46" i="22"/>
  <c r="L46" i="21" s="1"/>
  <c r="AB22" i="22"/>
  <c r="AD22" i="22" s="1"/>
  <c r="BJ42" i="26"/>
  <c r="S23" i="22"/>
  <c r="U23" i="22" s="1"/>
  <c r="L17" i="22"/>
  <c r="M17" i="22" s="1"/>
  <c r="BJ17" i="22" s="1"/>
  <c r="BI47" i="26"/>
  <c r="P47" i="21" s="1"/>
  <c r="BI36" i="26"/>
  <c r="P36" i="21" s="1"/>
  <c r="BI43" i="26"/>
  <c r="P43" i="21" s="1"/>
  <c r="BI25" i="26"/>
  <c r="P25" i="21" s="1"/>
  <c r="BI12" i="26"/>
  <c r="P12" i="21" s="1"/>
  <c r="BJ41" i="26"/>
  <c r="L16" i="26"/>
  <c r="M16" i="26" s="1"/>
  <c r="BJ16" i="26" s="1"/>
  <c r="AT22" i="26"/>
  <c r="AV22" i="26" s="1"/>
  <c r="BJ26" i="26"/>
  <c r="BJ31" i="26"/>
  <c r="BI46" i="27"/>
  <c r="T46" i="21" s="1"/>
  <c r="L20" i="26"/>
  <c r="M20" i="26" s="1"/>
  <c r="BJ20" i="26" s="1"/>
  <c r="BJ33" i="27"/>
  <c r="BI32" i="27"/>
  <c r="T32" i="21" s="1"/>
  <c r="BJ25" i="27"/>
  <c r="S24" i="27"/>
  <c r="U24" i="27" s="1"/>
  <c r="BI24" i="27"/>
  <c r="T24" i="21" s="1"/>
  <c r="AK22" i="27"/>
  <c r="AM22" i="27" s="1"/>
  <c r="BC21" i="27"/>
  <c r="BE21" i="27" s="1"/>
  <c r="AB20" i="27"/>
  <c r="AD20" i="27" s="1"/>
  <c r="AB16" i="27"/>
  <c r="AD16" i="27" s="1"/>
  <c r="AB12" i="27"/>
  <c r="AD12" i="27" s="1"/>
  <c r="BJ34" i="27"/>
  <c r="BI26" i="27"/>
  <c r="T26" i="21" s="1"/>
  <c r="AT19" i="27"/>
  <c r="AV19" i="27" s="1"/>
  <c r="S18" i="27"/>
  <c r="U18" i="27" s="1"/>
  <c r="AT15" i="27"/>
  <c r="AV15" i="27" s="1"/>
  <c r="S14" i="27"/>
  <c r="U14" i="27" s="1"/>
  <c r="AT11" i="27"/>
  <c r="AV11" i="27" s="1"/>
  <c r="S10" i="27"/>
  <c r="U10" i="27" s="1"/>
  <c r="BJ44" i="28"/>
  <c r="BJ43" i="28"/>
  <c r="BI18" i="27"/>
  <c r="T18" i="21" s="1"/>
  <c r="BI10" i="27"/>
  <c r="T10" i="21" s="1"/>
  <c r="BJ35" i="28"/>
  <c r="BJ32" i="28"/>
  <c r="BJ26" i="28"/>
  <c r="BI25" i="28"/>
  <c r="X25" i="21" s="1"/>
  <c r="L19" i="27"/>
  <c r="M19" i="27" s="1"/>
  <c r="BJ19" i="27" s="1"/>
  <c r="L11" i="27"/>
  <c r="M11" i="27" s="1"/>
  <c r="BJ11" i="27" s="1"/>
  <c r="BJ42" i="28"/>
  <c r="AK22" i="28"/>
  <c r="AM22" i="28" s="1"/>
  <c r="BC20" i="28"/>
  <c r="BE20" i="28" s="1"/>
  <c r="AB15" i="28"/>
  <c r="AD15" i="28" s="1"/>
  <c r="BC12" i="28"/>
  <c r="BE12" i="28" s="1"/>
  <c r="BI27" i="29"/>
  <c r="AB27" i="21" s="1"/>
  <c r="BJ26" i="29"/>
  <c r="BI46" i="29"/>
  <c r="AB46" i="21" s="1"/>
  <c r="BI32" i="29"/>
  <c r="AB32" i="21" s="1"/>
  <c r="BI28" i="29"/>
  <c r="AB28" i="21" s="1"/>
  <c r="AK18" i="29"/>
  <c r="AM18" i="29" s="1"/>
  <c r="AB13" i="29"/>
  <c r="AD13" i="29" s="1"/>
  <c r="AB9" i="29"/>
  <c r="AD9" i="29" s="1"/>
  <c r="AK19" i="23"/>
  <c r="AM19" i="23" s="1"/>
  <c r="BI13" i="28"/>
  <c r="X13" i="21" s="1"/>
  <c r="L11" i="28"/>
  <c r="M11" i="28" s="1"/>
  <c r="BJ11" i="28" s="1"/>
  <c r="BJ44" i="29"/>
  <c r="M21" i="29"/>
  <c r="BJ21" i="29" s="1"/>
  <c r="AB14" i="29"/>
  <c r="AD14" i="29" s="1"/>
  <c r="M13" i="29"/>
  <c r="BJ13" i="29" s="1"/>
  <c r="AB10" i="29"/>
  <c r="AD10" i="29" s="1"/>
  <c r="BJ44" i="23"/>
  <c r="M13" i="23"/>
  <c r="BJ13" i="23" s="1"/>
  <c r="BI34" i="23"/>
  <c r="BI26" i="23"/>
  <c r="BI15" i="23"/>
  <c r="BC10" i="23"/>
  <c r="BE10" i="23" s="1"/>
  <c r="BI12" i="29"/>
  <c r="AB12" i="21" s="1"/>
  <c r="BI43" i="23"/>
  <c r="BI35" i="23"/>
  <c r="BI27" i="23"/>
  <c r="L23" i="23"/>
  <c r="M23" i="23" s="1"/>
  <c r="BJ23" i="23" s="1"/>
  <c r="AB13" i="23"/>
  <c r="AD13" i="23" s="1"/>
  <c r="S10" i="23"/>
  <c r="U10" i="23" s="1"/>
  <c r="BI10" i="23"/>
  <c r="AB9" i="23"/>
  <c r="AD9" i="23" s="1"/>
  <c r="BI19" i="29"/>
  <c r="AB19" i="21" s="1"/>
  <c r="M21" i="23"/>
  <c r="BJ21" i="23" s="1"/>
  <c r="BC21" i="38"/>
  <c r="BE21" i="38" s="1"/>
  <c r="AK19" i="38"/>
  <c r="AM19" i="38" s="1"/>
  <c r="AT14" i="38"/>
  <c r="AV14" i="38" s="1"/>
  <c r="S13" i="38"/>
  <c r="U13" i="38" s="1"/>
  <c r="BI13" i="38"/>
  <c r="L23" i="38"/>
  <c r="M23" i="38" s="1"/>
  <c r="BJ23" i="38" s="1"/>
  <c r="BI39" i="38"/>
  <c r="BI35" i="38"/>
  <c r="BI23" i="38"/>
  <c r="BI19" i="38"/>
  <c r="BI46" i="38"/>
  <c r="BJ34" i="38"/>
  <c r="BI30" i="38"/>
  <c r="L18" i="38"/>
  <c r="M18" i="38" s="1"/>
  <c r="BJ18" i="38" s="1"/>
  <c r="BI14" i="38"/>
  <c r="AT10" i="38"/>
  <c r="AV10" i="38" s="1"/>
  <c r="BC9" i="38"/>
  <c r="BE9" i="38" s="1"/>
  <c r="BI44" i="1"/>
  <c r="H44" i="21" s="1"/>
  <c r="S9" i="38"/>
  <c r="U9" i="38" s="1"/>
  <c r="BI9" i="38"/>
  <c r="BC21" i="1"/>
  <c r="BE21" i="1" s="1"/>
  <c r="AK19" i="1"/>
  <c r="AM19" i="1" s="1"/>
  <c r="BC17" i="1"/>
  <c r="BE17" i="1" s="1"/>
  <c r="AK15" i="1"/>
  <c r="AM15" i="1" s="1"/>
  <c r="BC13" i="1"/>
  <c r="BE13" i="1" s="1"/>
  <c r="AK11" i="1"/>
  <c r="AM11" i="1" s="1"/>
  <c r="BC9" i="1"/>
  <c r="BE9" i="1" s="1"/>
  <c r="BJ33" i="1"/>
  <c r="BJ24" i="1"/>
  <c r="AT19" i="1"/>
  <c r="AV19" i="1" s="1"/>
  <c r="S18" i="1"/>
  <c r="U18" i="1" s="1"/>
  <c r="AK16" i="1"/>
  <c r="AM16" i="1" s="1"/>
  <c r="BC10" i="1"/>
  <c r="BE10" i="1" s="1"/>
  <c r="AB9" i="1"/>
  <c r="AD9" i="1" s="1"/>
  <c r="L16" i="1"/>
  <c r="M16" i="1" s="1"/>
  <c r="BJ16" i="1" s="1"/>
  <c r="BI14" i="1"/>
  <c r="H14" i="21" s="1"/>
  <c r="L23" i="1"/>
  <c r="M23" i="1" s="1"/>
  <c r="BJ23" i="1" s="1"/>
  <c r="L15" i="1"/>
  <c r="M15" i="1" s="1"/>
  <c r="BJ15" i="1" s="1"/>
  <c r="BI40" i="22"/>
  <c r="L40" i="21" s="1"/>
  <c r="BI39" i="26"/>
  <c r="P39" i="21" s="1"/>
  <c r="BJ23" i="22"/>
  <c r="BJ30" i="22"/>
  <c r="BI37" i="22"/>
  <c r="L37" i="21" s="1"/>
  <c r="BJ34" i="22"/>
  <c r="BJ26" i="22"/>
  <c r="BJ46" i="26"/>
  <c r="AT17" i="22"/>
  <c r="AV17" i="22" s="1"/>
  <c r="AT13" i="22"/>
  <c r="AV13" i="22" s="1"/>
  <c r="AT9" i="22"/>
  <c r="AV9" i="22" s="1"/>
  <c r="BI24" i="22"/>
  <c r="L24" i="21" s="1"/>
  <c r="BI9" i="22"/>
  <c r="BI45" i="26"/>
  <c r="P45" i="21" s="1"/>
  <c r="AB15" i="22"/>
  <c r="AD15" i="22" s="1"/>
  <c r="AB11" i="22"/>
  <c r="AD11" i="22" s="1"/>
  <c r="BI33" i="26"/>
  <c r="P33" i="21" s="1"/>
  <c r="BJ27" i="26"/>
  <c r="M19" i="26"/>
  <c r="BJ19" i="26" s="1"/>
  <c r="AB16" i="26"/>
  <c r="AD16" i="26" s="1"/>
  <c r="AT11" i="26"/>
  <c r="AV11" i="26" s="1"/>
  <c r="BI29" i="26"/>
  <c r="P29" i="21" s="1"/>
  <c r="BC21" i="26"/>
  <c r="BE21" i="26" s="1"/>
  <c r="BI11" i="26"/>
  <c r="P11" i="21" s="1"/>
  <c r="L10" i="26"/>
  <c r="M10" i="26" s="1"/>
  <c r="BJ10" i="26" s="1"/>
  <c r="BJ43" i="27"/>
  <c r="BI44" i="27"/>
  <c r="T44" i="21" s="1"/>
  <c r="BJ36" i="27"/>
  <c r="BJ35" i="27"/>
  <c r="BJ28" i="27"/>
  <c r="BJ27" i="27"/>
  <c r="S21" i="27"/>
  <c r="U21" i="27" s="1"/>
  <c r="AT18" i="27"/>
  <c r="AV18" i="27" s="1"/>
  <c r="S17" i="27"/>
  <c r="U17" i="27" s="1"/>
  <c r="AT14" i="27"/>
  <c r="AV14" i="27" s="1"/>
  <c r="S13" i="27"/>
  <c r="U13" i="27" s="1"/>
  <c r="AT10" i="27"/>
  <c r="AV10" i="27" s="1"/>
  <c r="S9" i="27"/>
  <c r="U9" i="27" s="1"/>
  <c r="BI39" i="28"/>
  <c r="X39" i="21" s="1"/>
  <c r="BI30" i="27"/>
  <c r="T30" i="21" s="1"/>
  <c r="AK20" i="27"/>
  <c r="AM20" i="27" s="1"/>
  <c r="BI17" i="27"/>
  <c r="T17" i="21" s="1"/>
  <c r="AK16" i="27"/>
  <c r="AM16" i="27" s="1"/>
  <c r="BI13" i="27"/>
  <c r="T13" i="21" s="1"/>
  <c r="AK12" i="27"/>
  <c r="AM12" i="27" s="1"/>
  <c r="BI9" i="27"/>
  <c r="BI44" i="28"/>
  <c r="X44" i="21" s="1"/>
  <c r="BJ40" i="28"/>
  <c r="BI33" i="28"/>
  <c r="X33" i="21" s="1"/>
  <c r="BI15" i="27"/>
  <c r="T15" i="21" s="1"/>
  <c r="BI46" i="28"/>
  <c r="X46" i="21" s="1"/>
  <c r="BJ31" i="28"/>
  <c r="BI23" i="28"/>
  <c r="X23" i="21" s="1"/>
  <c r="BI20" i="28"/>
  <c r="X20" i="21" s="1"/>
  <c r="S20" i="28"/>
  <c r="U20" i="28" s="1"/>
  <c r="AT17" i="28"/>
  <c r="AV17" i="28" s="1"/>
  <c r="AK14" i="28"/>
  <c r="AM14" i="28" s="1"/>
  <c r="BI12" i="28"/>
  <c r="X12" i="21" s="1"/>
  <c r="S12" i="28"/>
  <c r="U12" i="28" s="1"/>
  <c r="AT9" i="28"/>
  <c r="AV9" i="28" s="1"/>
  <c r="BI43" i="29"/>
  <c r="AB43" i="21" s="1"/>
  <c r="BI39" i="29"/>
  <c r="AB39" i="21" s="1"/>
  <c r="BI26" i="29"/>
  <c r="AB26" i="21" s="1"/>
  <c r="BI9" i="28"/>
  <c r="BJ17" i="29"/>
  <c r="BC19" i="29"/>
  <c r="BE19" i="29" s="1"/>
  <c r="S14" i="29"/>
  <c r="U14" i="29" s="1"/>
  <c r="AT11" i="29"/>
  <c r="AV11" i="29" s="1"/>
  <c r="S10" i="29"/>
  <c r="U10" i="29" s="1"/>
  <c r="BI41" i="23"/>
  <c r="AB12" i="23"/>
  <c r="AD12" i="23" s="1"/>
  <c r="BI21" i="28"/>
  <c r="X21" i="21" s="1"/>
  <c r="BC17" i="29"/>
  <c r="BE17" i="29" s="1"/>
  <c r="S17" i="29"/>
  <c r="U17" i="29" s="1"/>
  <c r="AK15" i="29"/>
  <c r="AM15" i="29" s="1"/>
  <c r="AT12" i="29"/>
  <c r="AV12" i="29" s="1"/>
  <c r="S11" i="29"/>
  <c r="U11" i="29" s="1"/>
  <c r="BI37" i="23"/>
  <c r="BI33" i="23"/>
  <c r="BI29" i="23"/>
  <c r="BI25" i="23"/>
  <c r="AT15" i="23"/>
  <c r="AV15" i="23" s="1"/>
  <c r="AT11" i="23"/>
  <c r="AV11" i="23" s="1"/>
  <c r="BI20" i="23"/>
  <c r="S22" i="23"/>
  <c r="U22" i="23" s="1"/>
  <c r="BI22" i="23"/>
  <c r="S18" i="23"/>
  <c r="U18" i="23" s="1"/>
  <c r="BI18" i="23"/>
  <c r="BI44" i="38"/>
  <c r="BJ40" i="38"/>
  <c r="BI28" i="38"/>
  <c r="BJ24" i="38"/>
  <c r="AB20" i="38"/>
  <c r="AD20" i="38" s="1"/>
  <c r="BC17" i="38"/>
  <c r="BE17" i="38" s="1"/>
  <c r="AK15" i="38"/>
  <c r="AM15" i="38" s="1"/>
  <c r="BI42" i="38"/>
  <c r="BI26" i="38"/>
  <c r="BI10" i="38"/>
  <c r="AB20" i="1"/>
  <c r="AD20" i="1" s="1"/>
  <c r="AB16" i="1"/>
  <c r="AD16" i="1" s="1"/>
  <c r="AB12" i="1"/>
  <c r="AD12" i="1" s="1"/>
  <c r="AK11" i="38"/>
  <c r="AM11" i="38" s="1"/>
  <c r="S22" i="1"/>
  <c r="U22" i="1" s="1"/>
  <c r="AK20" i="1"/>
  <c r="AM20" i="1" s="1"/>
  <c r="BC14" i="1"/>
  <c r="BE14" i="1" s="1"/>
  <c r="AB13" i="1"/>
  <c r="AD13" i="1" s="1"/>
  <c r="M12" i="1"/>
  <c r="BJ12" i="1" s="1"/>
  <c r="BI43" i="1"/>
  <c r="H43" i="21" s="1"/>
  <c r="BI39" i="1"/>
  <c r="H39" i="21" s="1"/>
  <c r="BI35" i="1"/>
  <c r="H35" i="21" s="1"/>
  <c r="BI31" i="1"/>
  <c r="H31" i="21" s="1"/>
  <c r="BI27" i="1"/>
  <c r="H27" i="21" s="1"/>
  <c r="BI19" i="1"/>
  <c r="H19" i="21" s="1"/>
  <c r="BI11" i="1"/>
  <c r="H11" i="21" s="1"/>
  <c r="BJ37" i="1"/>
  <c r="BJ29" i="1"/>
  <c r="AK14" i="22"/>
  <c r="AM14" i="22" s="1"/>
  <c r="AK10" i="22"/>
  <c r="AM10" i="22" s="1"/>
  <c r="AT18" i="26"/>
  <c r="AV18" i="26" s="1"/>
  <c r="BC17" i="26"/>
  <c r="BE17" i="26" s="1"/>
  <c r="AK15" i="26"/>
  <c r="AM15" i="26" s="1"/>
  <c r="BI18" i="26"/>
  <c r="P18" i="21" s="1"/>
  <c r="BI15" i="26"/>
  <c r="P15" i="21" s="1"/>
  <c r="AB10" i="26"/>
  <c r="AD10" i="26" s="1"/>
  <c r="BJ46" i="27"/>
  <c r="BJ39" i="27"/>
  <c r="BJ31" i="27"/>
  <c r="BI36" i="27"/>
  <c r="T36" i="21" s="1"/>
  <c r="BI28" i="27"/>
  <c r="T28" i="21" s="1"/>
  <c r="S24" i="28"/>
  <c r="U24" i="28" s="1"/>
  <c r="BI34" i="27"/>
  <c r="T34" i="21" s="1"/>
  <c r="BC18" i="27"/>
  <c r="BE18" i="27" s="1"/>
  <c r="BC14" i="27"/>
  <c r="BE14" i="27" s="1"/>
  <c r="BC10" i="27"/>
  <c r="BE10" i="27" s="1"/>
  <c r="BJ36" i="28"/>
  <c r="BI14" i="27"/>
  <c r="T14" i="21" s="1"/>
  <c r="BI45" i="28"/>
  <c r="X45" i="21" s="1"/>
  <c r="BI30" i="28"/>
  <c r="X30" i="21" s="1"/>
  <c r="BJ29" i="28"/>
  <c r="AB19" i="28"/>
  <c r="AD19" i="28" s="1"/>
  <c r="BC16" i="28"/>
  <c r="BE16" i="28" s="1"/>
  <c r="AB11" i="28"/>
  <c r="AD11" i="28" s="1"/>
  <c r="BI35" i="29"/>
  <c r="AB35" i="21" s="1"/>
  <c r="BJ34" i="29"/>
  <c r="S23" i="29"/>
  <c r="U23" i="29" s="1"/>
  <c r="BI23" i="29"/>
  <c r="AB23" i="21" s="1"/>
  <c r="AK21" i="29"/>
  <c r="AM21" i="29" s="1"/>
  <c r="AT20" i="29"/>
  <c r="AV20" i="29" s="1"/>
  <c r="BI40" i="29"/>
  <c r="AB40" i="21" s="1"/>
  <c r="AB16" i="29"/>
  <c r="AD16" i="29" s="1"/>
  <c r="S21" i="23"/>
  <c r="U21" i="23" s="1"/>
  <c r="AB16" i="23"/>
  <c r="AD16" i="23" s="1"/>
  <c r="AK11" i="23"/>
  <c r="AM11" i="23" s="1"/>
  <c r="AB22" i="29"/>
  <c r="AD22" i="29" s="1"/>
  <c r="BI21" i="29"/>
  <c r="AB21" i="21" s="1"/>
  <c r="AK13" i="29"/>
  <c r="AM13" i="29" s="1"/>
  <c r="AK9" i="29"/>
  <c r="AM9" i="29" s="1"/>
  <c r="BI38" i="23"/>
  <c r="BI30" i="23"/>
  <c r="BC18" i="23"/>
  <c r="BE18" i="23" s="1"/>
  <c r="BI11" i="23"/>
  <c r="AB21" i="23"/>
  <c r="AD21" i="23" s="1"/>
  <c r="AK12" i="23"/>
  <c r="AM12" i="23" s="1"/>
  <c r="BJ36" i="38"/>
  <c r="AT22" i="38"/>
  <c r="AV22" i="38" s="1"/>
  <c r="S21" i="38"/>
  <c r="U21" i="38" s="1"/>
  <c r="M20" i="38"/>
  <c r="BJ20" i="38" s="1"/>
  <c r="AB16" i="38"/>
  <c r="AD16" i="38" s="1"/>
  <c r="BC13" i="38"/>
  <c r="BE13" i="38" s="1"/>
  <c r="BC14" i="23"/>
  <c r="BE14" i="23" s="1"/>
  <c r="BI12" i="23"/>
  <c r="BI45" i="38"/>
  <c r="BI37" i="38"/>
  <c r="BI29" i="38"/>
  <c r="BI21" i="38"/>
  <c r="BI38" i="38"/>
  <c r="BI22" i="38"/>
  <c r="AB12" i="38"/>
  <c r="AD12" i="38" s="1"/>
  <c r="BJ44" i="1"/>
  <c r="BI25" i="1"/>
  <c r="H25" i="21" s="1"/>
  <c r="AT22" i="1"/>
  <c r="AV22" i="1" s="1"/>
  <c r="S21" i="1"/>
  <c r="U21" i="1" s="1"/>
  <c r="BI21" i="1"/>
  <c r="H21" i="21" s="1"/>
  <c r="AT18" i="1"/>
  <c r="AV18" i="1" s="1"/>
  <c r="S17" i="1"/>
  <c r="U17" i="1" s="1"/>
  <c r="BI17" i="1"/>
  <c r="H17" i="21" s="1"/>
  <c r="AT14" i="1"/>
  <c r="AV14" i="1" s="1"/>
  <c r="S13" i="1"/>
  <c r="U13" i="1" s="1"/>
  <c r="BI13" i="1"/>
  <c r="H13" i="21" s="1"/>
  <c r="AT10" i="1"/>
  <c r="AV10" i="1" s="1"/>
  <c r="S9" i="1"/>
  <c r="U9" i="1" s="1"/>
  <c r="BI9" i="1"/>
  <c r="BJ41" i="1"/>
  <c r="BC18" i="1"/>
  <c r="BE18" i="1" s="1"/>
  <c r="AB17" i="1"/>
  <c r="AD17" i="1" s="1"/>
  <c r="AT11" i="1"/>
  <c r="AV11" i="1" s="1"/>
  <c r="S10" i="1"/>
  <c r="U10" i="1" s="1"/>
  <c r="BI42" i="1"/>
  <c r="H42" i="21" s="1"/>
  <c r="BI34" i="1"/>
  <c r="H34" i="21" s="1"/>
  <c r="BI26" i="1"/>
  <c r="H26" i="21" s="1"/>
  <c r="BI18" i="1"/>
  <c r="H18" i="21" s="1"/>
  <c r="BI10" i="1"/>
  <c r="H10" i="21" s="1"/>
  <c r="T19" i="53" l="1"/>
  <c r="AE16" i="21"/>
  <c r="AE41" i="21"/>
  <c r="AE27" i="21"/>
  <c r="AE17" i="21"/>
  <c r="AE47" i="21"/>
  <c r="AE26" i="21"/>
  <c r="AE21" i="21"/>
  <c r="AE24" i="21"/>
  <c r="AE10" i="21"/>
  <c r="AE42" i="21"/>
  <c r="AE13" i="21"/>
  <c r="AE28" i="21"/>
  <c r="AE19" i="21"/>
  <c r="AE22" i="21"/>
  <c r="AE15" i="21"/>
  <c r="AE43" i="21"/>
  <c r="AE29" i="21"/>
  <c r="AE37" i="21"/>
  <c r="AE25" i="21"/>
  <c r="AE38" i="21"/>
  <c r="AE31" i="21"/>
  <c r="AE20" i="21"/>
  <c r="AE36" i="21"/>
  <c r="AE11" i="21"/>
  <c r="AE30" i="21"/>
  <c r="AE40" i="21"/>
  <c r="AE14" i="21"/>
  <c r="AE32" i="21"/>
  <c r="AE12" i="21"/>
  <c r="AE46" i="21"/>
  <c r="AE34" i="21"/>
  <c r="AE39" i="21"/>
  <c r="AE23" i="21"/>
  <c r="AE33" i="21"/>
  <c r="AE45" i="21"/>
  <c r="AE44" i="21"/>
  <c r="AE35" i="21"/>
  <c r="AE18" i="21"/>
  <c r="T20" i="53" l="1"/>
  <c r="T21" i="53" l="1"/>
  <c r="T22" i="53" l="1"/>
  <c r="AP8" i="33"/>
  <c r="AI8" i="33"/>
  <c r="AB8" i="33"/>
  <c r="U8" i="33"/>
  <c r="N8" i="33"/>
  <c r="T23" i="53" l="1"/>
  <c r="H3" i="37"/>
  <c r="G3" i="37"/>
  <c r="F3" i="37"/>
  <c r="E3" i="37"/>
  <c r="D3" i="37"/>
  <c r="C3" i="37"/>
  <c r="T24" i="53" l="1"/>
  <c r="D12" i="35"/>
  <c r="Q28" i="7" s="1"/>
  <c r="T25" i="53" l="1"/>
  <c r="E12" i="35"/>
  <c r="F94" i="45"/>
  <c r="F12" i="35"/>
  <c r="S28" i="7" s="1"/>
  <c r="D13" i="35"/>
  <c r="Q29" i="7" s="1"/>
  <c r="G94" i="45" l="1"/>
  <c r="R28" i="7"/>
  <c r="T26" i="53"/>
  <c r="E13" i="35"/>
  <c r="R29" i="7" s="1"/>
  <c r="F95" i="45"/>
  <c r="G12" i="35"/>
  <c r="T28" i="7" s="1"/>
  <c r="H94" i="45"/>
  <c r="AA6" i="1"/>
  <c r="BH63" i="26"/>
  <c r="BH64" i="26"/>
  <c r="BH65" i="26"/>
  <c r="BH63" i="27"/>
  <c r="BH64" i="27"/>
  <c r="BH65" i="27"/>
  <c r="BH63" i="28"/>
  <c r="BH64" i="28"/>
  <c r="BH65" i="28"/>
  <c r="BH63" i="29"/>
  <c r="BH64" i="29"/>
  <c r="BH65" i="29"/>
  <c r="BH63" i="22"/>
  <c r="BH64" i="22"/>
  <c r="BH65" i="22"/>
  <c r="BH62" i="26"/>
  <c r="BH62" i="27"/>
  <c r="BH62" i="28"/>
  <c r="BH62" i="29"/>
  <c r="BH62" i="22"/>
  <c r="BH63" i="1"/>
  <c r="BH64" i="1"/>
  <c r="BH65" i="1"/>
  <c r="BH62" i="1"/>
  <c r="T27" i="53" l="1"/>
  <c r="H12" i="35"/>
  <c r="I94" i="45"/>
  <c r="F13" i="35"/>
  <c r="S29" i="7" s="1"/>
  <c r="G95" i="45"/>
  <c r="BH66" i="1"/>
  <c r="BH66" i="22"/>
  <c r="BH66" i="26"/>
  <c r="BH66" i="27"/>
  <c r="BH66" i="28"/>
  <c r="BH66" i="29"/>
  <c r="T8" i="38"/>
  <c r="T8" i="23"/>
  <c r="T8" i="29"/>
  <c r="T8" i="28"/>
  <c r="T8" i="27"/>
  <c r="T8" i="26"/>
  <c r="T8" i="22"/>
  <c r="T8" i="1"/>
  <c r="J94" i="45" l="1"/>
  <c r="U28" i="7"/>
  <c r="T28" i="53"/>
  <c r="G13" i="35"/>
  <c r="T29" i="7" s="1"/>
  <c r="H95" i="45"/>
  <c r="BF85" i="38"/>
  <c r="AW85" i="38"/>
  <c r="AN85" i="38"/>
  <c r="AE85" i="38"/>
  <c r="V85" i="38"/>
  <c r="M85" i="38"/>
  <c r="C85" i="38"/>
  <c r="BF84" i="38"/>
  <c r="AW84" i="38"/>
  <c r="AN84" i="38"/>
  <c r="AE84" i="38"/>
  <c r="V84" i="38"/>
  <c r="M84" i="38"/>
  <c r="C84" i="38"/>
  <c r="BF80" i="38"/>
  <c r="AW80" i="38"/>
  <c r="AN80" i="38"/>
  <c r="AE80" i="38"/>
  <c r="V80" i="38"/>
  <c r="M80" i="38"/>
  <c r="C80" i="38"/>
  <c r="BF75" i="38"/>
  <c r="AW75" i="38"/>
  <c r="AN75" i="38"/>
  <c r="AE75" i="38"/>
  <c r="V75" i="38"/>
  <c r="M75" i="38"/>
  <c r="C75" i="38"/>
  <c r="BF74" i="38"/>
  <c r="AW74" i="38"/>
  <c r="AN74" i="38"/>
  <c r="AE74" i="38"/>
  <c r="V74" i="38"/>
  <c r="M74" i="38"/>
  <c r="C74" i="38"/>
  <c r="BF72" i="38"/>
  <c r="AW72" i="38"/>
  <c r="AN72" i="38"/>
  <c r="AE72" i="38"/>
  <c r="V72" i="38"/>
  <c r="M72" i="38"/>
  <c r="BI71" i="38"/>
  <c r="C71" i="38"/>
  <c r="BI70" i="38"/>
  <c r="C70" i="38"/>
  <c r="BI69" i="38"/>
  <c r="C69" i="38"/>
  <c r="BI68" i="38"/>
  <c r="C68" i="38"/>
  <c r="C65" i="38"/>
  <c r="C64" i="38"/>
  <c r="C63" i="38"/>
  <c r="C62" i="38"/>
  <c r="BF60" i="38"/>
  <c r="AW60" i="38"/>
  <c r="AN60" i="38"/>
  <c r="AE60" i="38"/>
  <c r="V60" i="38"/>
  <c r="M60" i="38"/>
  <c r="BI59" i="38"/>
  <c r="C59" i="38"/>
  <c r="BI58" i="38"/>
  <c r="C58" i="38"/>
  <c r="BI57" i="38"/>
  <c r="C57" i="38"/>
  <c r="BI56" i="38"/>
  <c r="C53" i="38"/>
  <c r="C50" i="38"/>
  <c r="AY48" i="38"/>
  <c r="AP48" i="38"/>
  <c r="AG48" i="38"/>
  <c r="X48" i="38"/>
  <c r="O48" i="38"/>
  <c r="F48" i="38"/>
  <c r="BH8" i="38"/>
  <c r="BD8" i="38"/>
  <c r="BB8" i="38"/>
  <c r="AZ8" i="38"/>
  <c r="AU8" i="38"/>
  <c r="AS8" i="38"/>
  <c r="AQ8" i="38"/>
  <c r="AR8" i="38" s="1"/>
  <c r="AL8" i="38"/>
  <c r="AJ8" i="38"/>
  <c r="AH8" i="38"/>
  <c r="AI8" i="38" s="1"/>
  <c r="AC8" i="38"/>
  <c r="AA8" i="38"/>
  <c r="Y8" i="38"/>
  <c r="Z8" i="38" s="1"/>
  <c r="R8" i="38"/>
  <c r="P8" i="38"/>
  <c r="K8" i="38"/>
  <c r="I8" i="38"/>
  <c r="G8" i="38"/>
  <c r="H8" i="38" s="1"/>
  <c r="D8" i="38"/>
  <c r="C8" i="38"/>
  <c r="AS6" i="38"/>
  <c r="AJ6" i="38"/>
  <c r="AA6" i="38"/>
  <c r="R6" i="38"/>
  <c r="I6" i="38"/>
  <c r="BC5" i="38"/>
  <c r="AS5" i="38"/>
  <c r="AJ5" i="38"/>
  <c r="AA5" i="38"/>
  <c r="R5" i="38"/>
  <c r="I5" i="38"/>
  <c r="D3" i="38"/>
  <c r="D2" i="38"/>
  <c r="BF85" i="23"/>
  <c r="AW85" i="23"/>
  <c r="AN85" i="23"/>
  <c r="AE85" i="23"/>
  <c r="V85" i="23"/>
  <c r="M85" i="23"/>
  <c r="C85" i="23"/>
  <c r="BF84" i="23"/>
  <c r="AW84" i="23"/>
  <c r="AN84" i="23"/>
  <c r="AE84" i="23"/>
  <c r="V84" i="23"/>
  <c r="M84" i="23"/>
  <c r="C84" i="23"/>
  <c r="BF80" i="23"/>
  <c r="AW80" i="23"/>
  <c r="AN80" i="23"/>
  <c r="AE80" i="23"/>
  <c r="V80" i="23"/>
  <c r="M80" i="23"/>
  <c r="C80" i="23"/>
  <c r="BF75" i="23"/>
  <c r="AW75" i="23"/>
  <c r="AN75" i="23"/>
  <c r="AE75" i="23"/>
  <c r="V75" i="23"/>
  <c r="M75" i="23"/>
  <c r="C75" i="23"/>
  <c r="BF74" i="23"/>
  <c r="AW74" i="23"/>
  <c r="AN74" i="23"/>
  <c r="AE74" i="23"/>
  <c r="V74" i="23"/>
  <c r="M74" i="23"/>
  <c r="C74" i="23"/>
  <c r="BF72" i="23"/>
  <c r="AW72" i="23"/>
  <c r="AN72" i="23"/>
  <c r="AE72" i="23"/>
  <c r="V72" i="23"/>
  <c r="M72" i="23"/>
  <c r="BI71" i="23"/>
  <c r="C71" i="23"/>
  <c r="BI70" i="23"/>
  <c r="C70" i="23"/>
  <c r="BI69" i="23"/>
  <c r="C69" i="23"/>
  <c r="BI68" i="23"/>
  <c r="C68" i="23"/>
  <c r="C65" i="23"/>
  <c r="C64" i="23"/>
  <c r="C63" i="23"/>
  <c r="C62" i="23"/>
  <c r="BF60" i="23"/>
  <c r="AW60" i="23"/>
  <c r="AN60" i="23"/>
  <c r="AE60" i="23"/>
  <c r="V60" i="23"/>
  <c r="M60" i="23"/>
  <c r="BI59" i="23"/>
  <c r="C59" i="23"/>
  <c r="BI58" i="23"/>
  <c r="C58" i="23"/>
  <c r="BI57" i="23"/>
  <c r="C57" i="23"/>
  <c r="BI56" i="23"/>
  <c r="C53" i="23"/>
  <c r="C50" i="23"/>
  <c r="AY48" i="23"/>
  <c r="AP48" i="23"/>
  <c r="AG48" i="23"/>
  <c r="X48" i="23"/>
  <c r="O48" i="23"/>
  <c r="F48" i="23"/>
  <c r="BH8" i="23"/>
  <c r="BD8" i="23"/>
  <c r="BB8" i="23"/>
  <c r="AZ8" i="23"/>
  <c r="AU8" i="23"/>
  <c r="AS8" i="23"/>
  <c r="AQ8" i="23"/>
  <c r="AL8" i="23"/>
  <c r="AJ8" i="23"/>
  <c r="AH8" i="23"/>
  <c r="AI8" i="23" s="1"/>
  <c r="AC8" i="23"/>
  <c r="AA8" i="23"/>
  <c r="Y8" i="23"/>
  <c r="Z8" i="23" s="1"/>
  <c r="R8" i="23"/>
  <c r="P8" i="23"/>
  <c r="K8" i="23"/>
  <c r="I8" i="23"/>
  <c r="G8" i="23"/>
  <c r="H8" i="23" s="1"/>
  <c r="D8" i="23"/>
  <c r="C8" i="23"/>
  <c r="AS6" i="23"/>
  <c r="AJ6" i="23"/>
  <c r="AA6" i="23"/>
  <c r="R6" i="23"/>
  <c r="I6" i="23"/>
  <c r="BC5" i="23"/>
  <c r="AS5" i="23"/>
  <c r="AJ5" i="23"/>
  <c r="AA5" i="23"/>
  <c r="R5" i="23"/>
  <c r="I5" i="23"/>
  <c r="D3" i="23"/>
  <c r="D2" i="23"/>
  <c r="C85" i="29"/>
  <c r="C84" i="29"/>
  <c r="C80" i="29"/>
  <c r="C75" i="29"/>
  <c r="C74" i="29"/>
  <c r="C71" i="29"/>
  <c r="C70" i="29"/>
  <c r="C69" i="29"/>
  <c r="C68" i="29"/>
  <c r="C65" i="29"/>
  <c r="C64" i="29"/>
  <c r="C63" i="29"/>
  <c r="C62" i="29"/>
  <c r="C59" i="29"/>
  <c r="C58" i="29"/>
  <c r="C57" i="29"/>
  <c r="C85" i="28"/>
  <c r="C84" i="28"/>
  <c r="C80" i="28"/>
  <c r="C75" i="28"/>
  <c r="C74" i="28"/>
  <c r="C71" i="28"/>
  <c r="C70" i="28"/>
  <c r="C69" i="28"/>
  <c r="C68" i="28"/>
  <c r="C65" i="28"/>
  <c r="C64" i="28"/>
  <c r="C63" i="28"/>
  <c r="C62" i="28"/>
  <c r="C59" i="28"/>
  <c r="C58" i="28"/>
  <c r="C57" i="28"/>
  <c r="C85" i="27"/>
  <c r="C84" i="27"/>
  <c r="C80" i="27"/>
  <c r="C75" i="27"/>
  <c r="C74" i="27"/>
  <c r="C71" i="27"/>
  <c r="C70" i="27"/>
  <c r="C69" i="27"/>
  <c r="C68" i="27"/>
  <c r="C65" i="27"/>
  <c r="C64" i="27"/>
  <c r="C63" i="27"/>
  <c r="C62" i="27"/>
  <c r="C57" i="27"/>
  <c r="C58" i="27"/>
  <c r="C59" i="27"/>
  <c r="BF86" i="38" l="1"/>
  <c r="T29" i="53"/>
  <c r="H13" i="35"/>
  <c r="U29" i="7" s="1"/>
  <c r="I95" i="45"/>
  <c r="AE76" i="38"/>
  <c r="V86" i="23"/>
  <c r="AW86" i="38"/>
  <c r="BF76" i="23"/>
  <c r="AN86" i="23"/>
  <c r="AN76" i="38"/>
  <c r="V76" i="23"/>
  <c r="M86" i="23"/>
  <c r="M76" i="38"/>
  <c r="AW76" i="38"/>
  <c r="AE86" i="38"/>
  <c r="AE86" i="23"/>
  <c r="AN86" i="38"/>
  <c r="BF76" i="38"/>
  <c r="BI63" i="23"/>
  <c r="AE76" i="23"/>
  <c r="BI80" i="23"/>
  <c r="BI80" i="38"/>
  <c r="BI65" i="23"/>
  <c r="AW76" i="23"/>
  <c r="BF86" i="23"/>
  <c r="AW86" i="23"/>
  <c r="BI64" i="23"/>
  <c r="BI85" i="23"/>
  <c r="BF66" i="23"/>
  <c r="BI60" i="23"/>
  <c r="BI63" i="38"/>
  <c r="M86" i="38"/>
  <c r="BI74" i="23"/>
  <c r="BH48" i="38"/>
  <c r="V76" i="38"/>
  <c r="V86" i="38"/>
  <c r="AW8" i="23"/>
  <c r="J8" i="38"/>
  <c r="L8" i="38" s="1"/>
  <c r="AN8" i="38"/>
  <c r="AW8" i="38"/>
  <c r="AT8" i="38"/>
  <c r="AV8" i="38" s="1"/>
  <c r="AB8" i="23"/>
  <c r="AD8" i="23" s="1"/>
  <c r="V8" i="38"/>
  <c r="BF8" i="38"/>
  <c r="AE8" i="38"/>
  <c r="Q8" i="38"/>
  <c r="AK8" i="38"/>
  <c r="AM8" i="38" s="1"/>
  <c r="BA8" i="38"/>
  <c r="H48" i="38"/>
  <c r="AB8" i="38"/>
  <c r="BI75" i="38"/>
  <c r="BI74" i="38"/>
  <c r="BI60" i="38"/>
  <c r="BF66" i="38"/>
  <c r="BI65" i="38"/>
  <c r="BI72" i="38"/>
  <c r="BI85" i="38"/>
  <c r="BI64" i="38"/>
  <c r="BI62" i="38"/>
  <c r="BI84" i="38"/>
  <c r="BF8" i="23"/>
  <c r="BA8" i="23"/>
  <c r="BH48" i="23"/>
  <c r="AE8" i="23"/>
  <c r="V8" i="23"/>
  <c r="Q8" i="23"/>
  <c r="H48" i="23"/>
  <c r="J8" i="23"/>
  <c r="AN8" i="23"/>
  <c r="BI62" i="23"/>
  <c r="BI72" i="23"/>
  <c r="M76" i="23"/>
  <c r="AK8" i="23"/>
  <c r="AM8" i="23" s="1"/>
  <c r="AR8" i="23"/>
  <c r="AN76" i="23"/>
  <c r="BI75" i="23"/>
  <c r="BI84" i="23"/>
  <c r="AA6" i="21"/>
  <c r="BF85" i="29"/>
  <c r="AW85" i="29"/>
  <c r="AN85" i="29"/>
  <c r="AE85" i="29"/>
  <c r="V85" i="29"/>
  <c r="M85" i="29"/>
  <c r="BF84" i="29"/>
  <c r="AW84" i="29"/>
  <c r="AN84" i="29"/>
  <c r="AE84" i="29"/>
  <c r="V84" i="29"/>
  <c r="M84" i="29"/>
  <c r="BF80" i="29"/>
  <c r="AW80" i="29"/>
  <c r="AN80" i="29"/>
  <c r="AE80" i="29"/>
  <c r="V80" i="29"/>
  <c r="M80" i="29"/>
  <c r="BF75" i="29"/>
  <c r="AW75" i="29"/>
  <c r="AN75" i="29"/>
  <c r="AE75" i="29"/>
  <c r="V75" i="29"/>
  <c r="M75" i="29"/>
  <c r="BF74" i="29"/>
  <c r="AW74" i="29"/>
  <c r="AN74" i="29"/>
  <c r="AE74" i="29"/>
  <c r="V74" i="29"/>
  <c r="M74" i="29"/>
  <c r="BF72" i="29"/>
  <c r="AW72" i="29"/>
  <c r="AN72" i="29"/>
  <c r="AE72" i="29"/>
  <c r="V72" i="29"/>
  <c r="M72" i="29"/>
  <c r="BI71" i="29"/>
  <c r="AB71" i="21" s="1"/>
  <c r="BI70" i="29"/>
  <c r="AB70" i="21" s="1"/>
  <c r="BI69" i="29"/>
  <c r="AB69" i="21" s="1"/>
  <c r="BI68" i="29"/>
  <c r="AB68" i="21" s="1"/>
  <c r="BF60" i="29"/>
  <c r="U78" i="7" s="1"/>
  <c r="AW60" i="29"/>
  <c r="T78" i="7" s="1"/>
  <c r="AN60" i="29"/>
  <c r="S78" i="7" s="1"/>
  <c r="AE60" i="29"/>
  <c r="R78" i="7" s="1"/>
  <c r="V60" i="29"/>
  <c r="Q78" i="7" s="1"/>
  <c r="M60" i="29"/>
  <c r="P78" i="7" s="1"/>
  <c r="BI59" i="29"/>
  <c r="AB59" i="21" s="1"/>
  <c r="BI58" i="29"/>
  <c r="AB58" i="21" s="1"/>
  <c r="BI57" i="29"/>
  <c r="AB57" i="21" s="1"/>
  <c r="BI56" i="29"/>
  <c r="AB56" i="21" s="1"/>
  <c r="AY48" i="29"/>
  <c r="AP48" i="29"/>
  <c r="AG48" i="29"/>
  <c r="X48" i="29"/>
  <c r="O48" i="29"/>
  <c r="F48" i="29"/>
  <c r="Z9" i="21"/>
  <c r="BH8" i="29"/>
  <c r="BD8" i="29"/>
  <c r="BB8" i="29"/>
  <c r="AZ8" i="29"/>
  <c r="AU8" i="29"/>
  <c r="AS8" i="29"/>
  <c r="AQ8" i="29"/>
  <c r="AL8" i="29"/>
  <c r="AJ8" i="29"/>
  <c r="AH8" i="29"/>
  <c r="AI8" i="29" s="1"/>
  <c r="AC8" i="29"/>
  <c r="AA8" i="29"/>
  <c r="Y8" i="29"/>
  <c r="Z8" i="29" s="1"/>
  <c r="R8" i="29"/>
  <c r="P8" i="29"/>
  <c r="Q8" i="29" s="1"/>
  <c r="K8" i="29"/>
  <c r="I8" i="29"/>
  <c r="G8" i="29"/>
  <c r="H8" i="29" s="1"/>
  <c r="D8" i="29"/>
  <c r="C8" i="29"/>
  <c r="BC6" i="29"/>
  <c r="AS6" i="29"/>
  <c r="AJ6" i="29"/>
  <c r="AA6" i="29"/>
  <c r="R6" i="29"/>
  <c r="I6" i="29"/>
  <c r="BC5" i="29"/>
  <c r="AS5" i="29"/>
  <c r="AJ5" i="29"/>
  <c r="AA5" i="29"/>
  <c r="R5" i="29"/>
  <c r="I5" i="29"/>
  <c r="D3" i="29"/>
  <c r="D2" i="29"/>
  <c r="W6" i="21"/>
  <c r="BF85" i="28"/>
  <c r="AW85" i="28"/>
  <c r="AN85" i="28"/>
  <c r="AE85" i="28"/>
  <c r="V85" i="28"/>
  <c r="M85" i="28"/>
  <c r="BF84" i="28"/>
  <c r="AW84" i="28"/>
  <c r="AN84" i="28"/>
  <c r="AE84" i="28"/>
  <c r="V84" i="28"/>
  <c r="M84" i="28"/>
  <c r="BF80" i="28"/>
  <c r="AW80" i="28"/>
  <c r="AN80" i="28"/>
  <c r="AE80" i="28"/>
  <c r="V80" i="28"/>
  <c r="M80" i="28"/>
  <c r="BF75" i="28"/>
  <c r="AW75" i="28"/>
  <c r="AN75" i="28"/>
  <c r="AE75" i="28"/>
  <c r="V75" i="28"/>
  <c r="M75" i="28"/>
  <c r="BF74" i="28"/>
  <c r="AW74" i="28"/>
  <c r="AN74" i="28"/>
  <c r="AE74" i="28"/>
  <c r="V74" i="28"/>
  <c r="M74" i="28"/>
  <c r="BF72" i="28"/>
  <c r="AW72" i="28"/>
  <c r="AN72" i="28"/>
  <c r="AE72" i="28"/>
  <c r="V72" i="28"/>
  <c r="M72" i="28"/>
  <c r="BI71" i="28"/>
  <c r="X71" i="21" s="1"/>
  <c r="BI70" i="28"/>
  <c r="X70" i="21" s="1"/>
  <c r="BI69" i="28"/>
  <c r="X69" i="21" s="1"/>
  <c r="BI68" i="28"/>
  <c r="X68" i="21" s="1"/>
  <c r="BF60" i="28"/>
  <c r="U69" i="7" s="1"/>
  <c r="AW60" i="28"/>
  <c r="T69" i="7" s="1"/>
  <c r="AN60" i="28"/>
  <c r="S69" i="7" s="1"/>
  <c r="AE60" i="28"/>
  <c r="R69" i="7" s="1"/>
  <c r="V60" i="28"/>
  <c r="Q69" i="7" s="1"/>
  <c r="M60" i="28"/>
  <c r="P69" i="7" s="1"/>
  <c r="BI59" i="28"/>
  <c r="X59" i="21" s="1"/>
  <c r="BI58" i="28"/>
  <c r="X58" i="21" s="1"/>
  <c r="BI57" i="28"/>
  <c r="X57" i="21" s="1"/>
  <c r="BI56" i="28"/>
  <c r="X56" i="21" s="1"/>
  <c r="AY48" i="28"/>
  <c r="AP48" i="28"/>
  <c r="AG48" i="28"/>
  <c r="X48" i="28"/>
  <c r="O48" i="28"/>
  <c r="F48" i="28"/>
  <c r="V9" i="21"/>
  <c r="BH8" i="28"/>
  <c r="BD8" i="28"/>
  <c r="BB8" i="28"/>
  <c r="AZ8" i="28"/>
  <c r="BA8" i="28" s="1"/>
  <c r="AU8" i="28"/>
  <c r="AS8" i="28"/>
  <c r="AQ8" i="28"/>
  <c r="AL8" i="28"/>
  <c r="AJ8" i="28"/>
  <c r="AH8" i="28"/>
  <c r="AI8" i="28" s="1"/>
  <c r="AC8" i="28"/>
  <c r="AA8" i="28"/>
  <c r="Y8" i="28"/>
  <c r="Z8" i="28" s="1"/>
  <c r="R8" i="28"/>
  <c r="P8" i="28"/>
  <c r="Q8" i="28" s="1"/>
  <c r="K8" i="28"/>
  <c r="I8" i="28"/>
  <c r="G8" i="28"/>
  <c r="H8" i="28" s="1"/>
  <c r="D8" i="28"/>
  <c r="C8" i="28"/>
  <c r="BC6" i="28"/>
  <c r="AS6" i="28"/>
  <c r="AJ6" i="28"/>
  <c r="AA6" i="28"/>
  <c r="R6" i="28"/>
  <c r="I6" i="28"/>
  <c r="BC5" i="28"/>
  <c r="AS5" i="28"/>
  <c r="AJ5" i="28"/>
  <c r="AA5" i="28"/>
  <c r="R5" i="28"/>
  <c r="I5" i="28"/>
  <c r="D3" i="28"/>
  <c r="D2" i="28"/>
  <c r="S6" i="21"/>
  <c r="G6" i="21"/>
  <c r="K6" i="21"/>
  <c r="O6" i="21"/>
  <c r="BF85" i="27"/>
  <c r="AW85" i="27"/>
  <c r="AN85" i="27"/>
  <c r="AE85" i="27"/>
  <c r="V85" i="27"/>
  <c r="M85" i="27"/>
  <c r="BF84" i="27"/>
  <c r="AW84" i="27"/>
  <c r="AN84" i="27"/>
  <c r="AE84" i="27"/>
  <c r="V84" i="27"/>
  <c r="M84" i="27"/>
  <c r="BF80" i="27"/>
  <c r="AW80" i="27"/>
  <c r="AN80" i="27"/>
  <c r="AE80" i="27"/>
  <c r="V80" i="27"/>
  <c r="M80" i="27"/>
  <c r="BF75" i="27"/>
  <c r="AW75" i="27"/>
  <c r="AN75" i="27"/>
  <c r="AE75" i="27"/>
  <c r="V75" i="27"/>
  <c r="M75" i="27"/>
  <c r="BF74" i="27"/>
  <c r="AW74" i="27"/>
  <c r="AN74" i="27"/>
  <c r="AE74" i="27"/>
  <c r="V74" i="27"/>
  <c r="M74" i="27"/>
  <c r="BF72" i="27"/>
  <c r="AW72" i="27"/>
  <c r="AN72" i="27"/>
  <c r="AE72" i="27"/>
  <c r="V72" i="27"/>
  <c r="M72" i="27"/>
  <c r="BI71" i="27"/>
  <c r="T71" i="21" s="1"/>
  <c r="BI70" i="27"/>
  <c r="T70" i="21" s="1"/>
  <c r="BI69" i="27"/>
  <c r="T69" i="21" s="1"/>
  <c r="BI68" i="27"/>
  <c r="T68" i="21" s="1"/>
  <c r="BF60" i="27"/>
  <c r="U60" i="7" s="1"/>
  <c r="AW60" i="27"/>
  <c r="T60" i="7" s="1"/>
  <c r="AN60" i="27"/>
  <c r="S60" i="7" s="1"/>
  <c r="AE60" i="27"/>
  <c r="R60" i="7" s="1"/>
  <c r="V60" i="27"/>
  <c r="Q60" i="7" s="1"/>
  <c r="M60" i="27"/>
  <c r="P60" i="7" s="1"/>
  <c r="BI59" i="27"/>
  <c r="T59" i="21" s="1"/>
  <c r="BI58" i="27"/>
  <c r="T58" i="21" s="1"/>
  <c r="BI57" i="27"/>
  <c r="T57" i="21" s="1"/>
  <c r="BI56" i="27"/>
  <c r="T56" i="21" s="1"/>
  <c r="AY48" i="27"/>
  <c r="AP48" i="27"/>
  <c r="AG48" i="27"/>
  <c r="X48" i="27"/>
  <c r="F48" i="27"/>
  <c r="R9" i="21"/>
  <c r="BH8" i="27"/>
  <c r="BD8" i="27"/>
  <c r="BB8" i="27"/>
  <c r="AZ8" i="27"/>
  <c r="AU8" i="27"/>
  <c r="AS8" i="27"/>
  <c r="AQ8" i="27"/>
  <c r="AL8" i="27"/>
  <c r="AJ8" i="27"/>
  <c r="AH8" i="27"/>
  <c r="AI8" i="27" s="1"/>
  <c r="AC8" i="27"/>
  <c r="AA8" i="27"/>
  <c r="Y8" i="27"/>
  <c r="Z8" i="27" s="1"/>
  <c r="R8" i="27"/>
  <c r="P8" i="27"/>
  <c r="Q8" i="27" s="1"/>
  <c r="K8" i="27"/>
  <c r="I8" i="27"/>
  <c r="G8" i="27"/>
  <c r="H8" i="27" s="1"/>
  <c r="D8" i="27"/>
  <c r="C8" i="27"/>
  <c r="BC6" i="27"/>
  <c r="AS6" i="27"/>
  <c r="AJ6" i="27"/>
  <c r="AA6" i="27"/>
  <c r="R6" i="27"/>
  <c r="I6" i="27"/>
  <c r="BC5" i="27"/>
  <c r="AS5" i="27"/>
  <c r="AJ5" i="27"/>
  <c r="AA5" i="27"/>
  <c r="R5" i="27"/>
  <c r="I5" i="27"/>
  <c r="D3" i="27"/>
  <c r="D2" i="27"/>
  <c r="V8" i="21" l="1"/>
  <c r="O8" i="50"/>
  <c r="V69" i="7"/>
  <c r="W71" i="7" s="1"/>
  <c r="Z8" i="21"/>
  <c r="Q8" i="50"/>
  <c r="V78" i="7"/>
  <c r="W80" i="7" s="1"/>
  <c r="R8" i="21"/>
  <c r="M8" i="50"/>
  <c r="V60" i="7"/>
  <c r="W62" i="7" s="1"/>
  <c r="T30" i="53"/>
  <c r="J95" i="45"/>
  <c r="BC6" i="38"/>
  <c r="BC6" i="23"/>
  <c r="BI86" i="23"/>
  <c r="M76" i="27"/>
  <c r="BI76" i="38"/>
  <c r="BI66" i="23"/>
  <c r="BI66" i="38"/>
  <c r="V86" i="28"/>
  <c r="AE86" i="27"/>
  <c r="AN76" i="29"/>
  <c r="AW76" i="29"/>
  <c r="BI86" i="38"/>
  <c r="BI63" i="28"/>
  <c r="X63" i="21" s="1"/>
  <c r="AN86" i="29"/>
  <c r="AE86" i="28"/>
  <c r="AW76" i="27"/>
  <c r="BF76" i="28"/>
  <c r="BF86" i="28"/>
  <c r="BI64" i="29"/>
  <c r="AB64" i="21" s="1"/>
  <c r="BI8" i="23"/>
  <c r="AN86" i="27"/>
  <c r="AN86" i="28"/>
  <c r="AW86" i="29"/>
  <c r="AW86" i="27"/>
  <c r="AW76" i="28"/>
  <c r="M76" i="29"/>
  <c r="AE86" i="29"/>
  <c r="M76" i="28"/>
  <c r="V76" i="28"/>
  <c r="BI60" i="29"/>
  <c r="BI63" i="29"/>
  <c r="AB63" i="21" s="1"/>
  <c r="AK8" i="27"/>
  <c r="AM8" i="27" s="1"/>
  <c r="AE8" i="29"/>
  <c r="AE8" i="28"/>
  <c r="AN8" i="28"/>
  <c r="Z48" i="23"/>
  <c r="X50" i="23" s="1"/>
  <c r="AE50" i="23" s="1"/>
  <c r="V8" i="28"/>
  <c r="Z48" i="38"/>
  <c r="X50" i="38" s="1"/>
  <c r="AE50" i="38" s="1"/>
  <c r="BA48" i="38"/>
  <c r="BC8" i="38"/>
  <c r="J49" i="38"/>
  <c r="M49" i="38" s="1"/>
  <c r="AI48" i="38"/>
  <c r="M8" i="38"/>
  <c r="BJ8" i="38" s="1"/>
  <c r="F50" i="38"/>
  <c r="M50" i="38" s="1"/>
  <c r="Q48" i="38"/>
  <c r="BI8" i="38"/>
  <c r="S8" i="38"/>
  <c r="U8" i="38" s="1"/>
  <c r="AR48" i="38"/>
  <c r="AD8" i="38"/>
  <c r="BI76" i="23"/>
  <c r="AI48" i="23"/>
  <c r="J49" i="23"/>
  <c r="M49" i="23" s="1"/>
  <c r="Q48" i="23"/>
  <c r="S8" i="23"/>
  <c r="AR48" i="23"/>
  <c r="AT8" i="23"/>
  <c r="AV8" i="23" s="1"/>
  <c r="F50" i="23"/>
  <c r="M50" i="23" s="1"/>
  <c r="BA48" i="23"/>
  <c r="BC8" i="23"/>
  <c r="BE8" i="23" s="1"/>
  <c r="L8" i="23"/>
  <c r="BI62" i="27"/>
  <c r="T62" i="21" s="1"/>
  <c r="V76" i="27"/>
  <c r="BF76" i="27"/>
  <c r="V86" i="27"/>
  <c r="BF86" i="27"/>
  <c r="AE8" i="27"/>
  <c r="BF8" i="27"/>
  <c r="BI72" i="27"/>
  <c r="AE76" i="27"/>
  <c r="AB72" i="21"/>
  <c r="AW8" i="27"/>
  <c r="BI60" i="27"/>
  <c r="BI63" i="27"/>
  <c r="T63" i="21" s="1"/>
  <c r="BI64" i="27"/>
  <c r="T64" i="21" s="1"/>
  <c r="T72" i="21"/>
  <c r="BI62" i="28"/>
  <c r="X62" i="21" s="1"/>
  <c r="BI80" i="28"/>
  <c r="X80" i="21" s="1"/>
  <c r="BI85" i="28"/>
  <c r="X85" i="21" s="1"/>
  <c r="BF66" i="28"/>
  <c r="AE76" i="28"/>
  <c r="AW86" i="28"/>
  <c r="BI62" i="29"/>
  <c r="AB62" i="21" s="1"/>
  <c r="V76" i="29"/>
  <c r="BF76" i="29"/>
  <c r="BI64" i="28"/>
  <c r="X64" i="21" s="1"/>
  <c r="BI65" i="28"/>
  <c r="X65" i="21" s="1"/>
  <c r="BI72" i="28"/>
  <c r="AB8" i="29"/>
  <c r="AD8" i="29" s="1"/>
  <c r="AN8" i="29"/>
  <c r="AE76" i="29"/>
  <c r="BI75" i="29"/>
  <c r="AB75" i="21" s="1"/>
  <c r="BI85" i="29"/>
  <c r="AB85" i="21" s="1"/>
  <c r="V8" i="27"/>
  <c r="X60" i="21"/>
  <c r="BA8" i="27"/>
  <c r="BC8" i="27" s="1"/>
  <c r="AN8" i="27"/>
  <c r="T60" i="21"/>
  <c r="AK8" i="28"/>
  <c r="AM8" i="28" s="1"/>
  <c r="X72" i="21"/>
  <c r="BF8" i="29"/>
  <c r="BA8" i="29"/>
  <c r="BC8" i="29" s="1"/>
  <c r="AB60" i="21"/>
  <c r="BF8" i="28"/>
  <c r="AW8" i="29"/>
  <c r="V8" i="29"/>
  <c r="AK8" i="29"/>
  <c r="H48" i="29"/>
  <c r="J8" i="29"/>
  <c r="L8" i="29" s="1"/>
  <c r="M8" i="29" s="1"/>
  <c r="AR8" i="29"/>
  <c r="S8" i="29"/>
  <c r="BH48" i="29"/>
  <c r="M86" i="29"/>
  <c r="BI84" i="29"/>
  <c r="AB84" i="21" s="1"/>
  <c r="BI65" i="29"/>
  <c r="AB65" i="21" s="1"/>
  <c r="BI72" i="29"/>
  <c r="BI74" i="29"/>
  <c r="AB74" i="21" s="1"/>
  <c r="V86" i="29"/>
  <c r="BF86" i="29"/>
  <c r="BF66" i="29"/>
  <c r="BI80" i="29"/>
  <c r="AB80" i="21" s="1"/>
  <c r="H48" i="28"/>
  <c r="J8" i="28"/>
  <c r="S8" i="28"/>
  <c r="AB8" i="28"/>
  <c r="AW8" i="28"/>
  <c r="AR8" i="28"/>
  <c r="BI8" i="28" s="1"/>
  <c r="X8" i="21" s="1"/>
  <c r="BC8" i="28"/>
  <c r="BH48" i="28"/>
  <c r="BI60" i="28"/>
  <c r="BI74" i="28"/>
  <c r="X74" i="21" s="1"/>
  <c r="AN76" i="28"/>
  <c r="BI75" i="28"/>
  <c r="X75" i="21" s="1"/>
  <c r="M86" i="28"/>
  <c r="BI84" i="28"/>
  <c r="X84" i="21" s="1"/>
  <c r="AB8" i="27"/>
  <c r="AD8" i="27" s="1"/>
  <c r="H48" i="27"/>
  <c r="J8" i="27"/>
  <c r="L8" i="27" s="1"/>
  <c r="AR8" i="27"/>
  <c r="S8" i="27"/>
  <c r="BH48" i="27"/>
  <c r="M86" i="27"/>
  <c r="BI84" i="27"/>
  <c r="T84" i="21" s="1"/>
  <c r="BI65" i="27"/>
  <c r="T65" i="21" s="1"/>
  <c r="BI74" i="27"/>
  <c r="T74" i="21" s="1"/>
  <c r="AN76" i="27"/>
  <c r="BI75" i="27"/>
  <c r="T75" i="21" s="1"/>
  <c r="BI85" i="27"/>
  <c r="T85" i="21" s="1"/>
  <c r="BF66" i="27"/>
  <c r="BI80" i="27"/>
  <c r="T80" i="21" s="1"/>
  <c r="BF85" i="26"/>
  <c r="AW85" i="26"/>
  <c r="AN85" i="26"/>
  <c r="AE85" i="26"/>
  <c r="V85" i="26"/>
  <c r="M85" i="26"/>
  <c r="C85" i="26"/>
  <c r="BF84" i="26"/>
  <c r="AW84" i="26"/>
  <c r="AN84" i="26"/>
  <c r="AE84" i="26"/>
  <c r="V84" i="26"/>
  <c r="M84" i="26"/>
  <c r="C84" i="26"/>
  <c r="BF80" i="26"/>
  <c r="AW80" i="26"/>
  <c r="AN80" i="26"/>
  <c r="AE80" i="26"/>
  <c r="V80" i="26"/>
  <c r="M80" i="26"/>
  <c r="C80" i="26"/>
  <c r="BF75" i="26"/>
  <c r="AW75" i="26"/>
  <c r="AN75" i="26"/>
  <c r="AE75" i="26"/>
  <c r="V75" i="26"/>
  <c r="M75" i="26"/>
  <c r="C75" i="26"/>
  <c r="BF74" i="26"/>
  <c r="AW74" i="26"/>
  <c r="AN74" i="26"/>
  <c r="AE74" i="26"/>
  <c r="V74" i="26"/>
  <c r="M74" i="26"/>
  <c r="C74" i="26"/>
  <c r="BF72" i="26"/>
  <c r="AW72" i="26"/>
  <c r="AN72" i="26"/>
  <c r="AE72" i="26"/>
  <c r="V72" i="26"/>
  <c r="M72" i="26"/>
  <c r="BI71" i="26"/>
  <c r="P71" i="21" s="1"/>
  <c r="C71" i="26"/>
  <c r="BI70" i="26"/>
  <c r="P70" i="21" s="1"/>
  <c r="C70" i="26"/>
  <c r="BI69" i="26"/>
  <c r="P69" i="21" s="1"/>
  <c r="C69" i="26"/>
  <c r="BI68" i="26"/>
  <c r="P68" i="21" s="1"/>
  <c r="C68" i="26"/>
  <c r="C65" i="26"/>
  <c r="C64" i="26"/>
  <c r="C63" i="26"/>
  <c r="C62" i="26"/>
  <c r="BF60" i="26"/>
  <c r="U51" i="7" s="1"/>
  <c r="AW60" i="26"/>
  <c r="T51" i="7" s="1"/>
  <c r="AN60" i="26"/>
  <c r="S51" i="7" s="1"/>
  <c r="AE60" i="26"/>
  <c r="R51" i="7" s="1"/>
  <c r="V60" i="26"/>
  <c r="Q51" i="7" s="1"/>
  <c r="M60" i="26"/>
  <c r="P51" i="7" s="1"/>
  <c r="BI59" i="26"/>
  <c r="P59" i="21" s="1"/>
  <c r="C59" i="26"/>
  <c r="BI58" i="26"/>
  <c r="P58" i="21" s="1"/>
  <c r="C58" i="26"/>
  <c r="BI57" i="26"/>
  <c r="P57" i="21" s="1"/>
  <c r="C57" i="26"/>
  <c r="BI56" i="26"/>
  <c r="P56" i="21" s="1"/>
  <c r="C53" i="26"/>
  <c r="C50" i="26"/>
  <c r="AY48" i="26"/>
  <c r="AP48" i="26"/>
  <c r="AG48" i="26"/>
  <c r="X48" i="26"/>
  <c r="O48" i="26"/>
  <c r="F48" i="26"/>
  <c r="N9" i="21"/>
  <c r="BH8" i="26"/>
  <c r="BD8" i="26"/>
  <c r="BB8" i="26"/>
  <c r="AZ8" i="26"/>
  <c r="BA8" i="26" s="1"/>
  <c r="AU8" i="26"/>
  <c r="AS8" i="26"/>
  <c r="AQ8" i="26"/>
  <c r="AL8" i="26"/>
  <c r="AJ8" i="26"/>
  <c r="AH8" i="26"/>
  <c r="AC8" i="26"/>
  <c r="AA8" i="26"/>
  <c r="Y8" i="26"/>
  <c r="Z8" i="26" s="1"/>
  <c r="R8" i="26"/>
  <c r="P8" i="26"/>
  <c r="Q8" i="26" s="1"/>
  <c r="K8" i="26"/>
  <c r="I8" i="26"/>
  <c r="G8" i="26"/>
  <c r="H8" i="26" s="1"/>
  <c r="D8" i="26"/>
  <c r="C8" i="26"/>
  <c r="BC6" i="26"/>
  <c r="AS6" i="26"/>
  <c r="AJ6" i="26"/>
  <c r="AA6" i="26"/>
  <c r="R6" i="26"/>
  <c r="I6" i="26"/>
  <c r="BC5" i="26"/>
  <c r="AS5" i="26"/>
  <c r="AJ5" i="26"/>
  <c r="AA5" i="26"/>
  <c r="R5" i="26"/>
  <c r="I5" i="26"/>
  <c r="D3" i="26"/>
  <c r="D2" i="26"/>
  <c r="V51" i="7" l="1"/>
  <c r="W53" i="7" s="1"/>
  <c r="T31" i="53"/>
  <c r="N8" i="21"/>
  <c r="N48" i="21" s="1"/>
  <c r="K8" i="50"/>
  <c r="AW76" i="26"/>
  <c r="AB86" i="21"/>
  <c r="AB76" i="21"/>
  <c r="BI76" i="28"/>
  <c r="V86" i="26"/>
  <c r="BI76" i="27"/>
  <c r="X66" i="21"/>
  <c r="AE86" i="26"/>
  <c r="BI8" i="29"/>
  <c r="AB8" i="21" s="1"/>
  <c r="M76" i="26"/>
  <c r="X86" i="21"/>
  <c r="X9" i="21"/>
  <c r="AE76" i="26"/>
  <c r="BF86" i="26"/>
  <c r="AN76" i="26"/>
  <c r="AB66" i="21"/>
  <c r="BI76" i="29"/>
  <c r="P60" i="21"/>
  <c r="X76" i="21"/>
  <c r="BI75" i="26"/>
  <c r="P75" i="21" s="1"/>
  <c r="BI66" i="28"/>
  <c r="L52" i="23"/>
  <c r="M52" i="23" s="1"/>
  <c r="AT49" i="38"/>
  <c r="AW49" i="38" s="1"/>
  <c r="BJ8" i="29"/>
  <c r="AK49" i="23"/>
  <c r="AN49" i="23" s="1"/>
  <c r="AV52" i="38"/>
  <c r="AW52" i="38" s="1"/>
  <c r="AB49" i="23"/>
  <c r="AE49" i="23" s="1"/>
  <c r="AE51" i="23" s="1"/>
  <c r="X53" i="23" s="1"/>
  <c r="AE53" i="23" s="1"/>
  <c r="AB49" i="38"/>
  <c r="AE49" i="38" s="1"/>
  <c r="AE51" i="38" s="1"/>
  <c r="X53" i="38" s="1"/>
  <c r="AE53" i="38" s="1"/>
  <c r="U52" i="38"/>
  <c r="V52" i="38" s="1"/>
  <c r="AM52" i="38"/>
  <c r="AN52" i="38" s="1"/>
  <c r="AD52" i="38"/>
  <c r="AE52" i="38" s="1"/>
  <c r="AP50" i="38"/>
  <c r="AW50" i="38" s="1"/>
  <c r="AG50" i="38"/>
  <c r="AN50" i="38" s="1"/>
  <c r="AY50" i="38"/>
  <c r="BF50" i="38" s="1"/>
  <c r="O50" i="38"/>
  <c r="V50" i="38" s="1"/>
  <c r="BI48" i="38"/>
  <c r="BJ48" i="38"/>
  <c r="S49" i="38"/>
  <c r="V49" i="38" s="1"/>
  <c r="AK49" i="38"/>
  <c r="AN49" i="38" s="1"/>
  <c r="BC49" i="38"/>
  <c r="BF49" i="38" s="1"/>
  <c r="M51" i="38"/>
  <c r="L52" i="38"/>
  <c r="M52" i="38" s="1"/>
  <c r="BE8" i="38"/>
  <c r="BE52" i="38" s="1"/>
  <c r="BF52" i="38" s="1"/>
  <c r="AD52" i="23"/>
  <c r="AE52" i="23" s="1"/>
  <c r="AP50" i="23"/>
  <c r="AW50" i="23" s="1"/>
  <c r="S49" i="23"/>
  <c r="V49" i="23" s="1"/>
  <c r="BI48" i="23"/>
  <c r="AV52" i="23"/>
  <c r="AW52" i="23" s="1"/>
  <c r="O50" i="23"/>
  <c r="V50" i="23" s="1"/>
  <c r="AG50" i="23"/>
  <c r="AN50" i="23" s="1"/>
  <c r="AY50" i="23"/>
  <c r="BF50" i="23" s="1"/>
  <c r="BE52" i="23"/>
  <c r="BF52" i="23" s="1"/>
  <c r="AM52" i="23"/>
  <c r="AN52" i="23" s="1"/>
  <c r="M8" i="23"/>
  <c r="BJ8" i="23" s="1"/>
  <c r="BJ48" i="23" s="1"/>
  <c r="BC49" i="23"/>
  <c r="BF49" i="23" s="1"/>
  <c r="AT49" i="23"/>
  <c r="AW49" i="23" s="1"/>
  <c r="U8" i="23"/>
  <c r="U52" i="23" s="1"/>
  <c r="V52" i="23" s="1"/>
  <c r="M51" i="23"/>
  <c r="BI63" i="26"/>
  <c r="P63" i="21" s="1"/>
  <c r="AN86" i="26"/>
  <c r="BI86" i="27"/>
  <c r="V8" i="26"/>
  <c r="BI72" i="26"/>
  <c r="V76" i="26"/>
  <c r="BF76" i="26"/>
  <c r="M86" i="26"/>
  <c r="AW86" i="26"/>
  <c r="T76" i="21"/>
  <c r="T86" i="21"/>
  <c r="P72" i="21"/>
  <c r="BI80" i="26"/>
  <c r="P80" i="21" s="1"/>
  <c r="BI86" i="28"/>
  <c r="T66" i="21"/>
  <c r="AW8" i="26"/>
  <c r="AB8" i="26"/>
  <c r="AD8" i="26" s="1"/>
  <c r="AN8" i="26"/>
  <c r="BF8" i="26"/>
  <c r="Z48" i="29"/>
  <c r="X50" i="29" s="1"/>
  <c r="AE50" i="29" s="1"/>
  <c r="Q48" i="28"/>
  <c r="O50" i="28" s="1"/>
  <c r="V50" i="28" s="1"/>
  <c r="BI86" i="29"/>
  <c r="BA48" i="29"/>
  <c r="J49" i="29"/>
  <c r="M49" i="29" s="1"/>
  <c r="U8" i="29"/>
  <c r="AB9" i="21"/>
  <c r="BI66" i="29"/>
  <c r="Q48" i="29"/>
  <c r="F50" i="29"/>
  <c r="M50" i="29" s="1"/>
  <c r="AM8" i="29"/>
  <c r="AR48" i="29"/>
  <c r="AT8" i="29"/>
  <c r="AV8" i="29" s="1"/>
  <c r="BE8" i="29"/>
  <c r="AI48" i="29"/>
  <c r="U8" i="28"/>
  <c r="J49" i="28"/>
  <c r="M49" i="28" s="1"/>
  <c r="AI48" i="28"/>
  <c r="BA48" i="28"/>
  <c r="AD8" i="28"/>
  <c r="L8" i="28"/>
  <c r="F50" i="28"/>
  <c r="M50" i="28" s="1"/>
  <c r="AR48" i="28"/>
  <c r="AT8" i="28"/>
  <c r="Z48" i="28"/>
  <c r="BE8" i="28"/>
  <c r="AR48" i="27"/>
  <c r="AT8" i="27"/>
  <c r="AV8" i="27" s="1"/>
  <c r="AI48" i="27"/>
  <c r="BI8" i="27"/>
  <c r="T8" i="21" s="1"/>
  <c r="Z48" i="27"/>
  <c r="BA48" i="27"/>
  <c r="BI66" i="27"/>
  <c r="U8" i="27"/>
  <c r="F50" i="27"/>
  <c r="M50" i="27" s="1"/>
  <c r="J49" i="27"/>
  <c r="M49" i="27" s="1"/>
  <c r="BE8" i="27"/>
  <c r="Q48" i="27"/>
  <c r="O50" i="27" s="1"/>
  <c r="T9" i="21"/>
  <c r="M8" i="27"/>
  <c r="BJ8" i="27" s="1"/>
  <c r="H48" i="26"/>
  <c r="J8" i="26"/>
  <c r="AE8" i="26"/>
  <c r="AR8" i="26"/>
  <c r="S8" i="26"/>
  <c r="AI8" i="26"/>
  <c r="BC8" i="26"/>
  <c r="BE8" i="26" s="1"/>
  <c r="BH48" i="26"/>
  <c r="BI74" i="26"/>
  <c r="P74" i="21" s="1"/>
  <c r="BI60" i="26"/>
  <c r="BF66" i="26"/>
  <c r="BI65" i="26"/>
  <c r="P65" i="21" s="1"/>
  <c r="BI85" i="26"/>
  <c r="P85" i="21" s="1"/>
  <c r="BI64" i="26"/>
  <c r="P64" i="21" s="1"/>
  <c r="BI62" i="26"/>
  <c r="P62" i="21" s="1"/>
  <c r="BI84" i="26"/>
  <c r="P84" i="21" s="1"/>
  <c r="C85" i="22"/>
  <c r="C84" i="22"/>
  <c r="C80" i="22"/>
  <c r="C75" i="22"/>
  <c r="C74" i="22"/>
  <c r="C71" i="22"/>
  <c r="C70" i="22"/>
  <c r="C69" i="22"/>
  <c r="C68" i="22"/>
  <c r="C65" i="22"/>
  <c r="C64" i="22"/>
  <c r="C63" i="22"/>
  <c r="C62" i="22"/>
  <c r="C59" i="22"/>
  <c r="C58" i="22"/>
  <c r="C57" i="22"/>
  <c r="C53" i="22"/>
  <c r="C50" i="22"/>
  <c r="BF85" i="22"/>
  <c r="AW85" i="22"/>
  <c r="AN85" i="22"/>
  <c r="AE85" i="22"/>
  <c r="V85" i="22"/>
  <c r="M85" i="22"/>
  <c r="BF84" i="22"/>
  <c r="AW84" i="22"/>
  <c r="AN84" i="22"/>
  <c r="AE84" i="22"/>
  <c r="V84" i="22"/>
  <c r="M84" i="22"/>
  <c r="BF80" i="22"/>
  <c r="AW80" i="22"/>
  <c r="AN80" i="22"/>
  <c r="AE80" i="22"/>
  <c r="V80" i="22"/>
  <c r="M80" i="22"/>
  <c r="BF75" i="22"/>
  <c r="AW75" i="22"/>
  <c r="AN75" i="22"/>
  <c r="AE75" i="22"/>
  <c r="V75" i="22"/>
  <c r="M75" i="22"/>
  <c r="BF74" i="22"/>
  <c r="AW74" i="22"/>
  <c r="AN74" i="22"/>
  <c r="AE74" i="22"/>
  <c r="V74" i="22"/>
  <c r="M74" i="22"/>
  <c r="BF72" i="22"/>
  <c r="AW72" i="22"/>
  <c r="AN72" i="22"/>
  <c r="AE72" i="22"/>
  <c r="V72" i="22"/>
  <c r="M72" i="22"/>
  <c r="BI71" i="22"/>
  <c r="L71" i="21" s="1"/>
  <c r="BI70" i="22"/>
  <c r="L70" i="21" s="1"/>
  <c r="BI69" i="22"/>
  <c r="L69" i="21" s="1"/>
  <c r="BI68" i="22"/>
  <c r="L68" i="21" s="1"/>
  <c r="BF60" i="22"/>
  <c r="U42" i="7" s="1"/>
  <c r="AW60" i="22"/>
  <c r="T42" i="7" s="1"/>
  <c r="AN60" i="22"/>
  <c r="S42" i="7" s="1"/>
  <c r="AE60" i="22"/>
  <c r="R42" i="7" s="1"/>
  <c r="V60" i="22"/>
  <c r="Q42" i="7" s="1"/>
  <c r="M60" i="22"/>
  <c r="P42" i="7" s="1"/>
  <c r="BI59" i="22"/>
  <c r="L59" i="21" s="1"/>
  <c r="BI58" i="22"/>
  <c r="L58" i="21" s="1"/>
  <c r="BI57" i="22"/>
  <c r="L57" i="21" s="1"/>
  <c r="BI56" i="22"/>
  <c r="L56" i="21" s="1"/>
  <c r="AY48" i="22"/>
  <c r="AP48" i="22"/>
  <c r="AG48" i="22"/>
  <c r="X48" i="22"/>
  <c r="O48" i="22"/>
  <c r="F48" i="22"/>
  <c r="J9" i="21"/>
  <c r="BH8" i="22"/>
  <c r="BD8" i="22"/>
  <c r="BB8" i="22"/>
  <c r="AZ8" i="22"/>
  <c r="BA8" i="22" s="1"/>
  <c r="AU8" i="22"/>
  <c r="AS8" i="22"/>
  <c r="AQ8" i="22"/>
  <c r="AR8" i="22" s="1"/>
  <c r="AL8" i="22"/>
  <c r="AJ8" i="22"/>
  <c r="AH8" i="22"/>
  <c r="AC8" i="22"/>
  <c r="AA8" i="22"/>
  <c r="Y8" i="22"/>
  <c r="Z8" i="22" s="1"/>
  <c r="R8" i="22"/>
  <c r="P8" i="22"/>
  <c r="Q8" i="22" s="1"/>
  <c r="K8" i="22"/>
  <c r="I8" i="22"/>
  <c r="G8" i="22"/>
  <c r="H8" i="22" s="1"/>
  <c r="D8" i="22"/>
  <c r="C8" i="22"/>
  <c r="BC6" i="22"/>
  <c r="AS6" i="22"/>
  <c r="AJ6" i="22"/>
  <c r="AA6" i="22"/>
  <c r="R6" i="22"/>
  <c r="I6" i="22"/>
  <c r="BC5" i="22"/>
  <c r="AS5" i="22"/>
  <c r="AJ5" i="22"/>
  <c r="AA5" i="22"/>
  <c r="R5" i="22"/>
  <c r="I5" i="22"/>
  <c r="D3" i="22"/>
  <c r="D2" i="22"/>
  <c r="V42" i="7" l="1"/>
  <c r="W44" i="7" s="1"/>
  <c r="T32" i="53"/>
  <c r="J8" i="21"/>
  <c r="I8" i="50"/>
  <c r="AN86" i="22"/>
  <c r="BI86" i="26"/>
  <c r="P76" i="21"/>
  <c r="BI76" i="26"/>
  <c r="BF66" i="22"/>
  <c r="AW86" i="22"/>
  <c r="L72" i="21"/>
  <c r="AW51" i="38"/>
  <c r="AP53" i="38" s="1"/>
  <c r="AW53" i="38" s="1"/>
  <c r="AW54" i="38" s="1"/>
  <c r="AW77" i="38" s="1"/>
  <c r="AR79" i="38" s="1"/>
  <c r="AW79" i="38" s="1"/>
  <c r="AW81" i="38" s="1"/>
  <c r="AW82" i="38" s="1"/>
  <c r="P86" i="21"/>
  <c r="AN51" i="23"/>
  <c r="AG53" i="23" s="1"/>
  <c r="AN53" i="23" s="1"/>
  <c r="AN54" i="23" s="1"/>
  <c r="AN77" i="23" s="1"/>
  <c r="M76" i="22"/>
  <c r="AE86" i="22"/>
  <c r="AN76" i="22"/>
  <c r="L60" i="21"/>
  <c r="AW76" i="22"/>
  <c r="BI50" i="38"/>
  <c r="BF51" i="23"/>
  <c r="AY53" i="23" s="1"/>
  <c r="BF53" i="23" s="1"/>
  <c r="BF54" i="23" s="1"/>
  <c r="V51" i="23"/>
  <c r="O53" i="23" s="1"/>
  <c r="V53" i="23" s="1"/>
  <c r="V54" i="23" s="1"/>
  <c r="V77" i="23" s="1"/>
  <c r="AW51" i="23"/>
  <c r="AP53" i="23" s="1"/>
  <c r="AW53" i="23" s="1"/>
  <c r="AW54" i="23" s="1"/>
  <c r="AW77" i="23" s="1"/>
  <c r="BF51" i="38"/>
  <c r="AY53" i="38" s="1"/>
  <c r="BF53" i="38" s="1"/>
  <c r="BF54" i="38" s="1"/>
  <c r="BF77" i="38" s="1"/>
  <c r="P9" i="21"/>
  <c r="BC49" i="28"/>
  <c r="BF49" i="28" s="1"/>
  <c r="BI49" i="38"/>
  <c r="BF8" i="22"/>
  <c r="V51" i="38"/>
  <c r="O53" i="38" s="1"/>
  <c r="V53" i="38" s="1"/>
  <c r="V54" i="38" s="1"/>
  <c r="V77" i="38" s="1"/>
  <c r="AE54" i="38"/>
  <c r="AE77" i="38" s="1"/>
  <c r="Z79" i="38" s="1"/>
  <c r="AE79" i="38" s="1"/>
  <c r="AE81" i="38" s="1"/>
  <c r="AE82" i="38" s="1"/>
  <c r="BI50" i="23"/>
  <c r="AN8" i="22"/>
  <c r="BI52" i="38"/>
  <c r="AN51" i="38"/>
  <c r="F53" i="38"/>
  <c r="M53" i="38" s="1"/>
  <c r="F53" i="23"/>
  <c r="M53" i="23" s="1"/>
  <c r="BI49" i="23"/>
  <c r="BI52" i="23"/>
  <c r="AE54" i="23"/>
  <c r="AE77" i="23" s="1"/>
  <c r="BI64" i="22"/>
  <c r="L64" i="21" s="1"/>
  <c r="P66" i="21"/>
  <c r="BI63" i="22"/>
  <c r="L63" i="21" s="1"/>
  <c r="V76" i="22"/>
  <c r="BF76" i="22"/>
  <c r="AT49" i="28"/>
  <c r="AW49" i="28" s="1"/>
  <c r="AB48" i="21"/>
  <c r="BI62" i="22"/>
  <c r="L62" i="21" s="1"/>
  <c r="AE76" i="22"/>
  <c r="BI75" i="22"/>
  <c r="L75" i="21" s="1"/>
  <c r="BI80" i="22"/>
  <c r="L80" i="21" s="1"/>
  <c r="BI66" i="26"/>
  <c r="BE52" i="28"/>
  <c r="BF52" i="28" s="1"/>
  <c r="BC49" i="29"/>
  <c r="BF49" i="29" s="1"/>
  <c r="AE8" i="22"/>
  <c r="AK49" i="28"/>
  <c r="AN49" i="28" s="1"/>
  <c r="V8" i="22"/>
  <c r="AW8" i="22"/>
  <c r="AB49" i="27"/>
  <c r="AE49" i="27" s="1"/>
  <c r="S49" i="27"/>
  <c r="V49" i="27" s="1"/>
  <c r="T48" i="21"/>
  <c r="BI48" i="28"/>
  <c r="S49" i="28"/>
  <c r="V49" i="28" s="1"/>
  <c r="V51" i="28" s="1"/>
  <c r="O53" i="28" s="1"/>
  <c r="V53" i="28" s="1"/>
  <c r="X48" i="21"/>
  <c r="AK49" i="29"/>
  <c r="AN49" i="29" s="1"/>
  <c r="S49" i="29"/>
  <c r="V49" i="29" s="1"/>
  <c r="AB49" i="29"/>
  <c r="AE49" i="29" s="1"/>
  <c r="AE51" i="29" s="1"/>
  <c r="X53" i="29" s="1"/>
  <c r="AE53" i="29" s="1"/>
  <c r="BE52" i="29"/>
  <c r="BF52" i="29" s="1"/>
  <c r="BJ48" i="29"/>
  <c r="AG50" i="29"/>
  <c r="AN50" i="29" s="1"/>
  <c r="AM52" i="29"/>
  <c r="AN52" i="29" s="1"/>
  <c r="AD52" i="29"/>
  <c r="AE52" i="29" s="1"/>
  <c r="AV52" i="29"/>
  <c r="AW52" i="29" s="1"/>
  <c r="L52" i="29"/>
  <c r="M52" i="29" s="1"/>
  <c r="M51" i="29"/>
  <c r="AT49" i="29"/>
  <c r="AW49" i="29" s="1"/>
  <c r="BI48" i="29"/>
  <c r="O50" i="29"/>
  <c r="V50" i="29" s="1"/>
  <c r="AP50" i="29"/>
  <c r="AW50" i="29" s="1"/>
  <c r="U52" i="29"/>
  <c r="V52" i="29" s="1"/>
  <c r="AY50" i="29"/>
  <c r="BF50" i="29" s="1"/>
  <c r="AV8" i="28"/>
  <c r="AV52" i="28" s="1"/>
  <c r="AW52" i="28" s="1"/>
  <c r="AD52" i="28"/>
  <c r="AE52" i="28" s="1"/>
  <c r="AY50" i="28"/>
  <c r="BF50" i="28" s="1"/>
  <c r="M51" i="28"/>
  <c r="AP50" i="28"/>
  <c r="AW50" i="28" s="1"/>
  <c r="AG50" i="28"/>
  <c r="AN50" i="28" s="1"/>
  <c r="U52" i="28"/>
  <c r="V52" i="28" s="1"/>
  <c r="X50" i="28"/>
  <c r="AE50" i="28" s="1"/>
  <c r="AM52" i="28"/>
  <c r="AN52" i="28" s="1"/>
  <c r="L52" i="28"/>
  <c r="M52" i="28" s="1"/>
  <c r="M8" i="28"/>
  <c r="BJ8" i="28" s="1"/>
  <c r="BJ48" i="28" s="1"/>
  <c r="AB49" i="28"/>
  <c r="AE49" i="28" s="1"/>
  <c r="AM52" i="27"/>
  <c r="AN52" i="27" s="1"/>
  <c r="AD52" i="27"/>
  <c r="AE52" i="27" s="1"/>
  <c r="AV52" i="27"/>
  <c r="AW52" i="27" s="1"/>
  <c r="V50" i="27"/>
  <c r="U52" i="27"/>
  <c r="V52" i="27" s="1"/>
  <c r="AY50" i="27"/>
  <c r="BF50" i="27" s="1"/>
  <c r="X50" i="27"/>
  <c r="AE50" i="27" s="1"/>
  <c r="L52" i="27"/>
  <c r="M52" i="27" s="1"/>
  <c r="BE52" i="27"/>
  <c r="BF52" i="27" s="1"/>
  <c r="BC49" i="27"/>
  <c r="BF49" i="27" s="1"/>
  <c r="BI48" i="27"/>
  <c r="AG50" i="27"/>
  <c r="AN50" i="27" s="1"/>
  <c r="AK49" i="27"/>
  <c r="AN49" i="27" s="1"/>
  <c r="AT49" i="27"/>
  <c r="AW49" i="27" s="1"/>
  <c r="BJ48" i="27"/>
  <c r="M51" i="27"/>
  <c r="AP50" i="27"/>
  <c r="AW50" i="27" s="1"/>
  <c r="AR48" i="26"/>
  <c r="AT8" i="26"/>
  <c r="AV8" i="26" s="1"/>
  <c r="BA48" i="26"/>
  <c r="J49" i="26"/>
  <c r="M49" i="26" s="1"/>
  <c r="Q48" i="26"/>
  <c r="Z48" i="26"/>
  <c r="AI48" i="26"/>
  <c r="AK8" i="26"/>
  <c r="BI8" i="26"/>
  <c r="P8" i="21" s="1"/>
  <c r="U8" i="26"/>
  <c r="L8" i="26"/>
  <c r="F50" i="26"/>
  <c r="M50" i="26" s="1"/>
  <c r="BH48" i="22"/>
  <c r="AB8" i="22"/>
  <c r="AD8" i="22" s="1"/>
  <c r="H48" i="22"/>
  <c r="S8" i="22"/>
  <c r="U8" i="22" s="1"/>
  <c r="AI8" i="22"/>
  <c r="BI8" i="22" s="1"/>
  <c r="L8" i="21" s="1"/>
  <c r="BC8" i="22"/>
  <c r="BE8" i="22" s="1"/>
  <c r="J8" i="22"/>
  <c r="L8" i="22" s="1"/>
  <c r="AT8" i="22"/>
  <c r="BI60" i="22"/>
  <c r="M86" i="22"/>
  <c r="BI84" i="22"/>
  <c r="L84" i="21" s="1"/>
  <c r="BI65" i="22"/>
  <c r="L65" i="21" s="1"/>
  <c r="BI72" i="22"/>
  <c r="BI74" i="22"/>
  <c r="L74" i="21" s="1"/>
  <c r="V86" i="22"/>
  <c r="BF86" i="22"/>
  <c r="BI85" i="22"/>
  <c r="L85" i="21" s="1"/>
  <c r="C85" i="21"/>
  <c r="C84" i="21"/>
  <c r="C80" i="21"/>
  <c r="C75" i="21"/>
  <c r="C74" i="21"/>
  <c r="C71" i="21"/>
  <c r="C70" i="21"/>
  <c r="C43" i="18" s="1"/>
  <c r="C69" i="21"/>
  <c r="C68" i="21"/>
  <c r="C65" i="21"/>
  <c r="C64" i="21"/>
  <c r="C63" i="21"/>
  <c r="C62" i="21"/>
  <c r="C57" i="21"/>
  <c r="C58" i="21"/>
  <c r="C59" i="21"/>
  <c r="C56" i="21"/>
  <c r="C53" i="21"/>
  <c r="C50" i="21"/>
  <c r="T33" i="53" l="1"/>
  <c r="AE51" i="27"/>
  <c r="L76" i="21"/>
  <c r="BI76" i="22"/>
  <c r="BF51" i="28"/>
  <c r="AY53" i="28" s="1"/>
  <c r="BF53" i="28" s="1"/>
  <c r="BF54" i="28" s="1"/>
  <c r="BF77" i="28" s="1"/>
  <c r="BF77" i="23"/>
  <c r="BA79" i="23"/>
  <c r="BF79" i="23" s="1"/>
  <c r="BF81" i="23" s="1"/>
  <c r="AE51" i="28"/>
  <c r="X53" i="28" s="1"/>
  <c r="AE53" i="28" s="1"/>
  <c r="AE54" i="28" s="1"/>
  <c r="AE77" i="28" s="1"/>
  <c r="BI51" i="23"/>
  <c r="BF51" i="27"/>
  <c r="AY53" i="27" s="1"/>
  <c r="BF53" i="27" s="1"/>
  <c r="BF54" i="27" s="1"/>
  <c r="BA79" i="27" s="1"/>
  <c r="BF79" i="27" s="1"/>
  <c r="BF81" i="27" s="1"/>
  <c r="V51" i="27"/>
  <c r="O53" i="27" s="1"/>
  <c r="V53" i="27" s="1"/>
  <c r="V54" i="27" s="1"/>
  <c r="V77" i="27" s="1"/>
  <c r="V54" i="28"/>
  <c r="V77" i="28" s="1"/>
  <c r="Q79" i="28" s="1"/>
  <c r="V79" i="28" s="1"/>
  <c r="V81" i="28" s="1"/>
  <c r="V82" i="28" s="1"/>
  <c r="AW87" i="38"/>
  <c r="AE87" i="38"/>
  <c r="Q79" i="38"/>
  <c r="V79" i="38" s="1"/>
  <c r="V81" i="38" s="1"/>
  <c r="V82" i="38" s="1"/>
  <c r="AG53" i="38"/>
  <c r="AN53" i="38" s="1"/>
  <c r="AN54" i="38" s="1"/>
  <c r="AN77" i="38" s="1"/>
  <c r="BA79" i="38"/>
  <c r="BF79" i="38" s="1"/>
  <c r="BF81" i="38" s="1"/>
  <c r="BF82" i="38" s="1"/>
  <c r="M54" i="38"/>
  <c r="BI51" i="38"/>
  <c r="Q79" i="23"/>
  <c r="V79" i="23" s="1"/>
  <c r="V81" i="23" s="1"/>
  <c r="V82" i="23" s="1"/>
  <c r="AI79" i="23"/>
  <c r="AN79" i="23" s="1"/>
  <c r="AN81" i="23" s="1"/>
  <c r="AN82" i="23" s="1"/>
  <c r="AR79" i="23"/>
  <c r="AW79" i="23" s="1"/>
  <c r="AW81" i="23" s="1"/>
  <c r="AW82" i="23" s="1"/>
  <c r="Z79" i="23"/>
  <c r="AE79" i="23" s="1"/>
  <c r="AE81" i="23" s="1"/>
  <c r="AE82" i="23" s="1"/>
  <c r="BI53" i="23"/>
  <c r="M54" i="23"/>
  <c r="L66" i="21"/>
  <c r="AN51" i="28"/>
  <c r="AG53" i="28" s="1"/>
  <c r="AN53" i="28" s="1"/>
  <c r="AN54" i="28" s="1"/>
  <c r="AN77" i="28" s="1"/>
  <c r="BI66" i="22"/>
  <c r="L86" i="21"/>
  <c r="BI48" i="26"/>
  <c r="BI49" i="27"/>
  <c r="T49" i="21" s="1"/>
  <c r="AW51" i="28"/>
  <c r="AP53" i="28" s="1"/>
  <c r="AW53" i="28" s="1"/>
  <c r="AW54" i="28" s="1"/>
  <c r="AW77" i="28" s="1"/>
  <c r="AW51" i="29"/>
  <c r="AP53" i="29" s="1"/>
  <c r="AW53" i="29" s="1"/>
  <c r="AW54" i="29" s="1"/>
  <c r="AW77" i="29" s="1"/>
  <c r="AE54" i="29"/>
  <c r="AE77" i="29" s="1"/>
  <c r="Z79" i="29" s="1"/>
  <c r="AE79" i="29" s="1"/>
  <c r="AE81" i="29" s="1"/>
  <c r="AE82" i="29" s="1"/>
  <c r="BI50" i="28"/>
  <c r="X50" i="21" s="1"/>
  <c r="P48" i="21"/>
  <c r="BC49" i="26"/>
  <c r="BF49" i="26" s="1"/>
  <c r="V51" i="29"/>
  <c r="O53" i="29" s="1"/>
  <c r="V53" i="29" s="1"/>
  <c r="V54" i="29" s="1"/>
  <c r="V77" i="29" s="1"/>
  <c r="AD52" i="26"/>
  <c r="AE52" i="26" s="1"/>
  <c r="AR48" i="22"/>
  <c r="AP50" i="22" s="1"/>
  <c r="AW50" i="22" s="1"/>
  <c r="BF51" i="29"/>
  <c r="AY53" i="29" s="1"/>
  <c r="BF53" i="29" s="1"/>
  <c r="BF54" i="29" s="1"/>
  <c r="AN51" i="29"/>
  <c r="AG53" i="29" s="1"/>
  <c r="AN53" i="29" s="1"/>
  <c r="AN54" i="29" s="1"/>
  <c r="AN77" i="29" s="1"/>
  <c r="AI79" i="29" s="1"/>
  <c r="AN79" i="29" s="1"/>
  <c r="AN81" i="29" s="1"/>
  <c r="AN82" i="29" s="1"/>
  <c r="BI49" i="29"/>
  <c r="AB49" i="21" s="1"/>
  <c r="BI52" i="29"/>
  <c r="AB52" i="21" s="1"/>
  <c r="BI50" i="29"/>
  <c r="AB50" i="21" s="1"/>
  <c r="F53" i="29"/>
  <c r="M53" i="29" s="1"/>
  <c r="F53" i="28"/>
  <c r="M53" i="28" s="1"/>
  <c r="BI49" i="28"/>
  <c r="X49" i="21" s="1"/>
  <c r="BI52" i="28"/>
  <c r="X52" i="21" s="1"/>
  <c r="F53" i="27"/>
  <c r="M53" i="27" s="1"/>
  <c r="AN51" i="27"/>
  <c r="BI52" i="27"/>
  <c r="T52" i="21" s="1"/>
  <c r="BI50" i="27"/>
  <c r="T50" i="21" s="1"/>
  <c r="X53" i="27"/>
  <c r="AE53" i="27" s="1"/>
  <c r="AE54" i="27" s="1"/>
  <c r="AE77" i="27" s="1"/>
  <c r="AW51" i="27"/>
  <c r="AV52" i="26"/>
  <c r="AW52" i="26" s="1"/>
  <c r="BE52" i="26"/>
  <c r="BF52" i="26" s="1"/>
  <c r="S49" i="26"/>
  <c r="V49" i="26" s="1"/>
  <c r="AB49" i="26"/>
  <c r="AE49" i="26" s="1"/>
  <c r="X50" i="26"/>
  <c r="AE50" i="26" s="1"/>
  <c r="L52" i="26"/>
  <c r="M52" i="26" s="1"/>
  <c r="M8" i="26"/>
  <c r="BJ8" i="26" s="1"/>
  <c r="BJ48" i="26" s="1"/>
  <c r="AK49" i="26"/>
  <c r="AN49" i="26" s="1"/>
  <c r="O50" i="26"/>
  <c r="V50" i="26" s="1"/>
  <c r="AT49" i="26"/>
  <c r="AW49" i="26" s="1"/>
  <c r="U52" i="26"/>
  <c r="V52" i="26" s="1"/>
  <c r="AM8" i="26"/>
  <c r="AM52" i="26" s="1"/>
  <c r="AN52" i="26" s="1"/>
  <c r="M51" i="26"/>
  <c r="AP50" i="26"/>
  <c r="AW50" i="26" s="1"/>
  <c r="AG50" i="26"/>
  <c r="AN50" i="26" s="1"/>
  <c r="AY50" i="26"/>
  <c r="BF50" i="26" s="1"/>
  <c r="AI48" i="22"/>
  <c r="AK8" i="22"/>
  <c r="AM8" i="22" s="1"/>
  <c r="BI86" i="22"/>
  <c r="Q48" i="22"/>
  <c r="J49" i="22"/>
  <c r="M49" i="22" s="1"/>
  <c r="M8" i="22"/>
  <c r="BJ8" i="22" s="1"/>
  <c r="F50" i="22"/>
  <c r="M50" i="22" s="1"/>
  <c r="AV8" i="22"/>
  <c r="BA48" i="22"/>
  <c r="Z48" i="22"/>
  <c r="L9" i="21"/>
  <c r="BF72" i="1"/>
  <c r="AW72" i="1"/>
  <c r="AN72" i="1"/>
  <c r="AE72" i="1"/>
  <c r="V72" i="1"/>
  <c r="BF60" i="1"/>
  <c r="U33" i="7" s="1"/>
  <c r="AW60" i="1"/>
  <c r="T33" i="7" s="1"/>
  <c r="AN60" i="1"/>
  <c r="S33" i="7" s="1"/>
  <c r="AE60" i="1"/>
  <c r="R33" i="7" s="1"/>
  <c r="V60" i="1"/>
  <c r="Q33" i="7" s="1"/>
  <c r="M60" i="1"/>
  <c r="P33" i="7" s="1"/>
  <c r="BF75" i="1"/>
  <c r="BF74" i="1"/>
  <c r="V33" i="7" l="1"/>
  <c r="W35" i="7" s="1"/>
  <c r="T34" i="53"/>
  <c r="T51" i="21"/>
  <c r="BF51" i="26"/>
  <c r="AY53" i="26" s="1"/>
  <c r="BF53" i="26" s="1"/>
  <c r="BF54" i="26" s="1"/>
  <c r="BF82" i="23"/>
  <c r="BF87" i="23" s="1"/>
  <c r="BI49" i="26"/>
  <c r="P49" i="21" s="1"/>
  <c r="BI51" i="28"/>
  <c r="BI53" i="38"/>
  <c r="L48" i="21"/>
  <c r="BF87" i="38"/>
  <c r="BI54" i="38"/>
  <c r="M77" i="38"/>
  <c r="AI79" i="38"/>
  <c r="AN79" i="38" s="1"/>
  <c r="AN81" i="38" s="1"/>
  <c r="AN82" i="38" s="1"/>
  <c r="V87" i="38"/>
  <c r="AW87" i="23"/>
  <c r="AN87" i="23"/>
  <c r="AE87" i="23"/>
  <c r="BI54" i="23"/>
  <c r="M77" i="23"/>
  <c r="V87" i="23"/>
  <c r="X51" i="21"/>
  <c r="BF76" i="1"/>
  <c r="BI51" i="29"/>
  <c r="BE52" i="22"/>
  <c r="BF52" i="22" s="1"/>
  <c r="AT49" i="22"/>
  <c r="AW49" i="22" s="1"/>
  <c r="AW51" i="22" s="1"/>
  <c r="AP53" i="22" s="1"/>
  <c r="AW53" i="22" s="1"/>
  <c r="BI53" i="29"/>
  <c r="AB53" i="21" s="1"/>
  <c r="AB54" i="21" s="1"/>
  <c r="S49" i="22"/>
  <c r="V49" i="22" s="1"/>
  <c r="AV52" i="22"/>
  <c r="AW52" i="22" s="1"/>
  <c r="AB49" i="22"/>
  <c r="AE49" i="22" s="1"/>
  <c r="BC49" i="22"/>
  <c r="BF49" i="22" s="1"/>
  <c r="AB51" i="21"/>
  <c r="BI53" i="28"/>
  <c r="X53" i="21" s="1"/>
  <c r="X54" i="21" s="1"/>
  <c r="BI50" i="26"/>
  <c r="P50" i="21" s="1"/>
  <c r="BA79" i="29"/>
  <c r="BF79" i="29" s="1"/>
  <c r="BF81" i="29" s="1"/>
  <c r="BF77" i="29"/>
  <c r="AE87" i="29"/>
  <c r="AN87" i="29"/>
  <c r="Q79" i="29"/>
  <c r="V79" i="29" s="1"/>
  <c r="V81" i="29" s="1"/>
  <c r="V82" i="29" s="1"/>
  <c r="AR79" i="29"/>
  <c r="AW79" i="29" s="1"/>
  <c r="AW81" i="29" s="1"/>
  <c r="AW82" i="29" s="1"/>
  <c r="M54" i="29"/>
  <c r="Z79" i="28"/>
  <c r="AE79" i="28" s="1"/>
  <c r="AE81" i="28" s="1"/>
  <c r="AE82" i="28" s="1"/>
  <c r="AR79" i="28"/>
  <c r="AW79" i="28" s="1"/>
  <c r="AW81" i="28" s="1"/>
  <c r="AW82" i="28" s="1"/>
  <c r="AI79" i="28"/>
  <c r="AN79" i="28" s="1"/>
  <c r="AN81" i="28" s="1"/>
  <c r="AN82" i="28" s="1"/>
  <c r="V87" i="28"/>
  <c r="M54" i="28"/>
  <c r="BA79" i="28"/>
  <c r="BF79" i="28" s="1"/>
  <c r="BF81" i="28" s="1"/>
  <c r="BF82" i="28" s="1"/>
  <c r="Q79" i="27"/>
  <c r="V79" i="27" s="1"/>
  <c r="V81" i="27" s="1"/>
  <c r="V82" i="27" s="1"/>
  <c r="Z79" i="27"/>
  <c r="AE79" i="27" s="1"/>
  <c r="AE81" i="27" s="1"/>
  <c r="AE82" i="27" s="1"/>
  <c r="AG53" i="27"/>
  <c r="AN53" i="27" s="1"/>
  <c r="AN54" i="27" s="1"/>
  <c r="AN77" i="27" s="1"/>
  <c r="BF77" i="27"/>
  <c r="BF82" i="27" s="1"/>
  <c r="AP53" i="27"/>
  <c r="AW53" i="27" s="1"/>
  <c r="AW54" i="27" s="1"/>
  <c r="AW77" i="27" s="1"/>
  <c r="M54" i="27"/>
  <c r="BI51" i="27"/>
  <c r="BI52" i="26"/>
  <c r="P52" i="21" s="1"/>
  <c r="AE51" i="26"/>
  <c r="V51" i="26"/>
  <c r="F53" i="26"/>
  <c r="M53" i="26" s="1"/>
  <c r="AW51" i="26"/>
  <c r="AN51" i="26"/>
  <c r="U52" i="22"/>
  <c r="V52" i="22" s="1"/>
  <c r="AK49" i="22"/>
  <c r="AN49" i="22" s="1"/>
  <c r="X50" i="22"/>
  <c r="AE50" i="22" s="1"/>
  <c r="BI48" i="22"/>
  <c r="O50" i="22"/>
  <c r="V50" i="22" s="1"/>
  <c r="AM52" i="22"/>
  <c r="AN52" i="22" s="1"/>
  <c r="BJ48" i="22"/>
  <c r="M51" i="22"/>
  <c r="AG50" i="22"/>
  <c r="AN50" i="22" s="1"/>
  <c r="L52" i="22"/>
  <c r="M52" i="22" s="1"/>
  <c r="AY50" i="22"/>
  <c r="BF50" i="22" s="1"/>
  <c r="AD52" i="22"/>
  <c r="AE52" i="22" s="1"/>
  <c r="BF66" i="1"/>
  <c r="BF85" i="1"/>
  <c r="AW85" i="1"/>
  <c r="AW84" i="1"/>
  <c r="AN85" i="1"/>
  <c r="AN84" i="1"/>
  <c r="AE85" i="1"/>
  <c r="AE84" i="1"/>
  <c r="V85" i="1"/>
  <c r="V84" i="1"/>
  <c r="M85" i="1"/>
  <c r="M84" i="1"/>
  <c r="BF80" i="1"/>
  <c r="AW80" i="1"/>
  <c r="AN80" i="1"/>
  <c r="AE80" i="1"/>
  <c r="V80" i="1"/>
  <c r="M80" i="1"/>
  <c r="T35" i="53" l="1"/>
  <c r="P51" i="21"/>
  <c r="BF51" i="22"/>
  <c r="AY53" i="22" s="1"/>
  <c r="BF53" i="22" s="1"/>
  <c r="BF54" i="22" s="1"/>
  <c r="BA79" i="22" s="1"/>
  <c r="BF79" i="22" s="1"/>
  <c r="BF81" i="22" s="1"/>
  <c r="X77" i="21"/>
  <c r="AE51" i="22"/>
  <c r="X53" i="22" s="1"/>
  <c r="AE53" i="22" s="1"/>
  <c r="AE54" i="22" s="1"/>
  <c r="AE77" i="22" s="1"/>
  <c r="AB77" i="21"/>
  <c r="AN87" i="38"/>
  <c r="H79" i="38"/>
  <c r="M79" i="38" s="1"/>
  <c r="BI77" i="38"/>
  <c r="H79" i="23"/>
  <c r="M79" i="23" s="1"/>
  <c r="BI77" i="23"/>
  <c r="V51" i="22"/>
  <c r="O53" i="22" s="1"/>
  <c r="V53" i="22" s="1"/>
  <c r="V54" i="22" s="1"/>
  <c r="V77" i="22" s="1"/>
  <c r="BI51" i="26"/>
  <c r="G115" i="45"/>
  <c r="AW87" i="29"/>
  <c r="V87" i="29"/>
  <c r="BI54" i="29"/>
  <c r="M77" i="29"/>
  <c r="H115" i="45"/>
  <c r="BF82" i="29"/>
  <c r="BF87" i="28"/>
  <c r="AW87" i="28"/>
  <c r="AN87" i="28"/>
  <c r="AE87" i="28"/>
  <c r="F112" i="45"/>
  <c r="BI54" i="28"/>
  <c r="M77" i="28"/>
  <c r="AR79" i="27"/>
  <c r="AW79" i="27" s="1"/>
  <c r="AW81" i="27" s="1"/>
  <c r="AW82" i="27" s="1"/>
  <c r="AI79" i="27"/>
  <c r="AN79" i="27" s="1"/>
  <c r="AN81" i="27" s="1"/>
  <c r="AN82" i="27" s="1"/>
  <c r="AE87" i="27"/>
  <c r="V87" i="27"/>
  <c r="BF87" i="27"/>
  <c r="BI54" i="27"/>
  <c r="M77" i="27"/>
  <c r="BI53" i="27"/>
  <c r="T53" i="21" s="1"/>
  <c r="T54" i="21" s="1"/>
  <c r="BA79" i="26"/>
  <c r="BF79" i="26" s="1"/>
  <c r="BF81" i="26" s="1"/>
  <c r="BF77" i="26"/>
  <c r="X53" i="26"/>
  <c r="AE53" i="26" s="1"/>
  <c r="AE54" i="26" s="1"/>
  <c r="AE77" i="26" s="1"/>
  <c r="AP53" i="26"/>
  <c r="AW53" i="26" s="1"/>
  <c r="AW54" i="26" s="1"/>
  <c r="AW77" i="26" s="1"/>
  <c r="AG53" i="26"/>
  <c r="AN53" i="26" s="1"/>
  <c r="AN54" i="26" s="1"/>
  <c r="AN77" i="26" s="1"/>
  <c r="O53" i="26"/>
  <c r="V53" i="26" s="1"/>
  <c r="V54" i="26" s="1"/>
  <c r="V77" i="26" s="1"/>
  <c r="M54" i="26"/>
  <c r="AN51" i="22"/>
  <c r="AG53" i="22" s="1"/>
  <c r="AN53" i="22" s="1"/>
  <c r="AN54" i="22" s="1"/>
  <c r="AN77" i="22" s="1"/>
  <c r="AW54" i="22"/>
  <c r="AW77" i="22" s="1"/>
  <c r="BI52" i="22"/>
  <c r="L52" i="21" s="1"/>
  <c r="F53" i="22"/>
  <c r="M53" i="22" s="1"/>
  <c r="BI50" i="22"/>
  <c r="L50" i="21" s="1"/>
  <c r="BI49" i="22"/>
  <c r="L49" i="21" s="1"/>
  <c r="M86" i="1"/>
  <c r="AW86" i="1"/>
  <c r="AE86" i="1"/>
  <c r="V86" i="1"/>
  <c r="AN86" i="1"/>
  <c r="BD8" i="1"/>
  <c r="BB8" i="1"/>
  <c r="BC6" i="1"/>
  <c r="BC5" i="1"/>
  <c r="AZ8" i="1"/>
  <c r="T36" i="53" l="1"/>
  <c r="BI51" i="22"/>
  <c r="I115" i="45"/>
  <c r="BI79" i="38"/>
  <c r="M81" i="38"/>
  <c r="BI79" i="23"/>
  <c r="M81" i="23"/>
  <c r="J109" i="45"/>
  <c r="L51" i="21"/>
  <c r="G112" i="45"/>
  <c r="I112" i="45"/>
  <c r="BI53" i="22"/>
  <c r="L53" i="21" s="1"/>
  <c r="L54" i="21" s="1"/>
  <c r="T77" i="21"/>
  <c r="BF82" i="26"/>
  <c r="H112" i="45"/>
  <c r="J112" i="45"/>
  <c r="BF87" i="29"/>
  <c r="F115" i="45"/>
  <c r="H79" i="29"/>
  <c r="M79" i="29" s="1"/>
  <c r="BI77" i="29"/>
  <c r="H79" i="28"/>
  <c r="M79" i="28" s="1"/>
  <c r="BI77" i="28"/>
  <c r="H79" i="27"/>
  <c r="M79" i="27" s="1"/>
  <c r="BI77" i="27"/>
  <c r="F109" i="45"/>
  <c r="AN87" i="27"/>
  <c r="AW87" i="27"/>
  <c r="G109" i="45"/>
  <c r="Q79" i="26"/>
  <c r="V79" i="26" s="1"/>
  <c r="V81" i="26" s="1"/>
  <c r="V82" i="26" s="1"/>
  <c r="Z79" i="26"/>
  <c r="AE79" i="26" s="1"/>
  <c r="AE81" i="26" s="1"/>
  <c r="AE82" i="26" s="1"/>
  <c r="AI79" i="26"/>
  <c r="AN79" i="26" s="1"/>
  <c r="AN81" i="26" s="1"/>
  <c r="AN82" i="26" s="1"/>
  <c r="BI54" i="26"/>
  <c r="M77" i="26"/>
  <c r="BI53" i="26"/>
  <c r="P53" i="21" s="1"/>
  <c r="P54" i="21" s="1"/>
  <c r="AR79" i="26"/>
  <c r="AW79" i="26" s="1"/>
  <c r="AW81" i="26" s="1"/>
  <c r="AW82" i="26" s="1"/>
  <c r="Z79" i="22"/>
  <c r="AE79" i="22" s="1"/>
  <c r="AE81" i="22" s="1"/>
  <c r="AE82" i="22" s="1"/>
  <c r="AI79" i="22"/>
  <c r="AN79" i="22" s="1"/>
  <c r="AN81" i="22" s="1"/>
  <c r="AN82" i="22" s="1"/>
  <c r="Q79" i="22"/>
  <c r="V79" i="22" s="1"/>
  <c r="V81" i="22" s="1"/>
  <c r="V82" i="22" s="1"/>
  <c r="M54" i="22"/>
  <c r="AR79" i="22"/>
  <c r="AW79" i="22" s="1"/>
  <c r="AW81" i="22" s="1"/>
  <c r="AW82" i="22" s="1"/>
  <c r="BF77" i="22"/>
  <c r="BF82" i="22" s="1"/>
  <c r="BA8" i="1"/>
  <c r="BC8" i="1" s="1"/>
  <c r="AW75" i="1"/>
  <c r="AW74" i="1"/>
  <c r="AS6" i="1"/>
  <c r="AJ6" i="1"/>
  <c r="AS5" i="1"/>
  <c r="AU8" i="1"/>
  <c r="AS8" i="1"/>
  <c r="AQ8" i="1"/>
  <c r="AJ5" i="1"/>
  <c r="AN75" i="1"/>
  <c r="AN74" i="1"/>
  <c r="AL8" i="1"/>
  <c r="AJ8" i="1"/>
  <c r="AH8" i="1"/>
  <c r="AI8" i="1" s="1"/>
  <c r="AE75" i="1"/>
  <c r="AE74" i="1"/>
  <c r="M75" i="1"/>
  <c r="M74" i="1"/>
  <c r="V74" i="1"/>
  <c r="V75" i="1"/>
  <c r="AC8" i="1"/>
  <c r="AA8" i="1"/>
  <c r="Y8" i="1"/>
  <c r="Z8" i="1" s="1"/>
  <c r="AA5" i="1"/>
  <c r="BH8" i="1"/>
  <c r="F9" i="21"/>
  <c r="F8" i="21" l="1"/>
  <c r="G8" i="50"/>
  <c r="T37" i="53"/>
  <c r="AE76" i="1"/>
  <c r="BF87" i="26"/>
  <c r="J106" i="45" s="1"/>
  <c r="BI81" i="38"/>
  <c r="M82" i="38"/>
  <c r="BI81" i="23"/>
  <c r="M82" i="23"/>
  <c r="L77" i="21"/>
  <c r="H109" i="45"/>
  <c r="P77" i="21"/>
  <c r="I109" i="45"/>
  <c r="M81" i="29"/>
  <c r="BI79" i="29"/>
  <c r="AB79" i="21" s="1"/>
  <c r="AB81" i="21" s="1"/>
  <c r="AB82" i="21" s="1"/>
  <c r="J115" i="45"/>
  <c r="M81" i="28"/>
  <c r="BI79" i="28"/>
  <c r="X79" i="21" s="1"/>
  <c r="X81" i="21" s="1"/>
  <c r="X82" i="21" s="1"/>
  <c r="M81" i="27"/>
  <c r="BI79" i="27"/>
  <c r="T79" i="21" s="1"/>
  <c r="T81" i="21" s="1"/>
  <c r="T82" i="21" s="1"/>
  <c r="AW87" i="26"/>
  <c r="AN87" i="26"/>
  <c r="V87" i="26"/>
  <c r="H79" i="26"/>
  <c r="M79" i="26" s="1"/>
  <c r="BI77" i="26"/>
  <c r="AE87" i="26"/>
  <c r="V87" i="22"/>
  <c r="AN87" i="22"/>
  <c r="AW87" i="22"/>
  <c r="AE87" i="22"/>
  <c r="BI54" i="22"/>
  <c r="M77" i="22"/>
  <c r="BF87" i="22"/>
  <c r="V76" i="1"/>
  <c r="AN76" i="1"/>
  <c r="AW76" i="1"/>
  <c r="M76" i="1"/>
  <c r="BA48" i="1"/>
  <c r="AR8" i="1"/>
  <c r="AT8" i="1" s="1"/>
  <c r="AN8" i="1"/>
  <c r="AK8" i="1"/>
  <c r="AM8" i="1" s="1"/>
  <c r="AE8" i="1"/>
  <c r="AB8" i="1"/>
  <c r="AD8" i="1" s="1"/>
  <c r="C9" i="21"/>
  <c r="D9" i="21"/>
  <c r="T39" i="53" l="1"/>
  <c r="T38" i="53"/>
  <c r="F103" i="45"/>
  <c r="G106" i="45"/>
  <c r="M87" i="38"/>
  <c r="BI82" i="38"/>
  <c r="M87" i="23"/>
  <c r="BI82" i="23"/>
  <c r="G103" i="45"/>
  <c r="F106" i="45"/>
  <c r="BI81" i="29"/>
  <c r="M82" i="29"/>
  <c r="BI81" i="28"/>
  <c r="M82" i="28"/>
  <c r="BI81" i="27"/>
  <c r="M82" i="27"/>
  <c r="BI79" i="26"/>
  <c r="P79" i="21" s="1"/>
  <c r="P81" i="21" s="1"/>
  <c r="P82" i="21" s="1"/>
  <c r="M81" i="26"/>
  <c r="H106" i="45"/>
  <c r="I106" i="45"/>
  <c r="J103" i="45"/>
  <c r="H103" i="45"/>
  <c r="H79" i="22"/>
  <c r="M79" i="22" s="1"/>
  <c r="BI77" i="22"/>
  <c r="I103" i="45"/>
  <c r="AY50" i="1"/>
  <c r="BF50" i="1" s="1"/>
  <c r="H9" i="21"/>
  <c r="BC49" i="1"/>
  <c r="BF49" i="1" s="1"/>
  <c r="AR48" i="1"/>
  <c r="AI48" i="1"/>
  <c r="Z48" i="1"/>
  <c r="D45" i="34"/>
  <c r="R13" i="53" l="1"/>
  <c r="BI87" i="38"/>
  <c r="BI87" i="23"/>
  <c r="BI82" i="29"/>
  <c r="M87" i="29"/>
  <c r="BI82" i="28"/>
  <c r="M87" i="28"/>
  <c r="BI82" i="27"/>
  <c r="M87" i="27"/>
  <c r="BI81" i="26"/>
  <c r="M82" i="26"/>
  <c r="M81" i="22"/>
  <c r="BI79" i="22"/>
  <c r="L79" i="21" s="1"/>
  <c r="L81" i="21" s="1"/>
  <c r="L82" i="21" s="1"/>
  <c r="AG50" i="1"/>
  <c r="AN50" i="1" s="1"/>
  <c r="X50" i="1"/>
  <c r="AE50" i="1" s="1"/>
  <c r="AP50" i="1"/>
  <c r="AW50" i="1" s="1"/>
  <c r="BF51" i="1"/>
  <c r="AY53" i="1" s="1"/>
  <c r="BF53" i="1" s="1"/>
  <c r="AT49" i="1"/>
  <c r="AW49" i="1" s="1"/>
  <c r="AK49" i="1"/>
  <c r="AN49" i="1" s="1"/>
  <c r="AM52" i="1"/>
  <c r="AN52" i="1" s="1"/>
  <c r="AD52" i="1"/>
  <c r="AE52" i="1" s="1"/>
  <c r="AB49" i="1"/>
  <c r="AE49" i="1" s="1"/>
  <c r="R6" i="1"/>
  <c r="R5" i="1"/>
  <c r="R8" i="1"/>
  <c r="K8" i="1"/>
  <c r="I8" i="1"/>
  <c r="BI90" i="23" l="1"/>
  <c r="BI88" i="23"/>
  <c r="BH89" i="23" s="1"/>
  <c r="BI88" i="38"/>
  <c r="BH89" i="38" s="1"/>
  <c r="BI90" i="38"/>
  <c r="AN51" i="1"/>
  <c r="AG53" i="1" s="1"/>
  <c r="AN53" i="1" s="1"/>
  <c r="AN54" i="1" s="1"/>
  <c r="AN77" i="1" s="1"/>
  <c r="AI79" i="1" s="1"/>
  <c r="AE51" i="1"/>
  <c r="X53" i="1" s="1"/>
  <c r="AE53" i="1" s="1"/>
  <c r="AE54" i="1" s="1"/>
  <c r="AE77" i="1" s="1"/>
  <c r="Z79" i="1" s="1"/>
  <c r="BI87" i="29"/>
  <c r="BI87" i="28"/>
  <c r="BI87" i="27"/>
  <c r="M87" i="26"/>
  <c r="BI82" i="26"/>
  <c r="BI81" i="22"/>
  <c r="M82" i="22"/>
  <c r="AW51" i="1"/>
  <c r="AP53" i="1" s="1"/>
  <c r="AW53" i="1" s="1"/>
  <c r="P8" i="1"/>
  <c r="D8" i="21"/>
  <c r="C8" i="21"/>
  <c r="B46" i="34"/>
  <c r="X87" i="21" l="1"/>
  <c r="BI90" i="28"/>
  <c r="X90" i="21" s="1"/>
  <c r="BI88" i="28"/>
  <c r="AB87" i="21"/>
  <c r="BI88" i="29"/>
  <c r="BI90" i="29"/>
  <c r="AB90" i="21" s="1"/>
  <c r="K36" i="18" s="1"/>
  <c r="T87" i="21"/>
  <c r="BI88" i="27"/>
  <c r="BI90" i="27"/>
  <c r="T90" i="21" s="1"/>
  <c r="E109" i="45"/>
  <c r="K109" i="45" s="1"/>
  <c r="L108" i="45" s="1"/>
  <c r="E115" i="45"/>
  <c r="K115" i="45" s="1"/>
  <c r="L114" i="45" s="1"/>
  <c r="E112" i="45"/>
  <c r="K112" i="45" s="1"/>
  <c r="L111" i="45" s="1"/>
  <c r="AE7" i="33"/>
  <c r="X7" i="33"/>
  <c r="J7" i="33"/>
  <c r="AS7" i="33"/>
  <c r="Q7" i="33"/>
  <c r="AL7" i="33"/>
  <c r="C79" i="1"/>
  <c r="BI87" i="26"/>
  <c r="BI82" i="22"/>
  <c r="M87" i="22"/>
  <c r="AE79" i="1"/>
  <c r="AE81" i="1" s="1"/>
  <c r="AE82" i="1" s="1"/>
  <c r="AN79" i="1"/>
  <c r="AN81" i="1" s="1"/>
  <c r="AN82" i="1" s="1"/>
  <c r="V8" i="1"/>
  <c r="Q8" i="1"/>
  <c r="H8" i="1"/>
  <c r="X88" i="21" l="1"/>
  <c r="BH89" i="28"/>
  <c r="W89" i="21" s="1"/>
  <c r="T88" i="21"/>
  <c r="BH89" i="27"/>
  <c r="S89" i="21" s="1"/>
  <c r="AB88" i="21"/>
  <c r="BH89" i="29"/>
  <c r="AA89" i="21" s="1"/>
  <c r="K35" i="18"/>
  <c r="P11" i="53"/>
  <c r="K34" i="18"/>
  <c r="M11" i="53"/>
  <c r="P87" i="21"/>
  <c r="BI88" i="26"/>
  <c r="BI90" i="26"/>
  <c r="P90" i="21" s="1"/>
  <c r="E106" i="45"/>
  <c r="K106" i="45" s="1"/>
  <c r="L105" i="45" s="1"/>
  <c r="C79" i="38"/>
  <c r="C79" i="23"/>
  <c r="C79" i="21"/>
  <c r="C79" i="29"/>
  <c r="C79" i="22"/>
  <c r="C79" i="28"/>
  <c r="C79" i="26"/>
  <c r="C79" i="27"/>
  <c r="BI87" i="22"/>
  <c r="BI8" i="1"/>
  <c r="H8" i="21" s="1"/>
  <c r="AN87" i="1"/>
  <c r="AE87" i="1"/>
  <c r="S8" i="1"/>
  <c r="S49" i="1" s="1"/>
  <c r="V49" i="1" s="1"/>
  <c r="Q48" i="1"/>
  <c r="O50" i="1" s="1"/>
  <c r="V50" i="1" s="1"/>
  <c r="J8" i="1"/>
  <c r="L8" i="1" s="1"/>
  <c r="H48" i="1"/>
  <c r="P88" i="21" l="1"/>
  <c r="BH89" i="26"/>
  <c r="O89" i="21" s="1"/>
  <c r="M14" i="53"/>
  <c r="M13" i="53" s="1"/>
  <c r="L13" i="53"/>
  <c r="K33" i="18"/>
  <c r="J11" i="53"/>
  <c r="P14" i="53"/>
  <c r="P13" i="53" s="1"/>
  <c r="O13" i="53"/>
  <c r="L87" i="21"/>
  <c r="BI88" i="22"/>
  <c r="BI90" i="22"/>
  <c r="L90" i="21" s="1"/>
  <c r="K103" i="45"/>
  <c r="L102" i="45" s="1"/>
  <c r="BI48" i="1"/>
  <c r="H100" i="45"/>
  <c r="U8" i="1"/>
  <c r="U52" i="1" s="1"/>
  <c r="V52" i="1" s="1"/>
  <c r="J49" i="1"/>
  <c r="M49" i="1" s="1"/>
  <c r="BI49" i="1" s="1"/>
  <c r="H49" i="21" s="1"/>
  <c r="M8" i="1"/>
  <c r="L52" i="1"/>
  <c r="M52" i="1" s="1"/>
  <c r="F50" i="1"/>
  <c r="M50" i="1" s="1"/>
  <c r="D3" i="1"/>
  <c r="D2" i="1"/>
  <c r="B2" i="36"/>
  <c r="E8" i="36"/>
  <c r="F8" i="36"/>
  <c r="G8" i="36"/>
  <c r="H8" i="36"/>
  <c r="I8" i="36"/>
  <c r="L88" i="21" l="1"/>
  <c r="BH89" i="22"/>
  <c r="K89" i="21" s="1"/>
  <c r="K32" i="18"/>
  <c r="G11" i="53"/>
  <c r="J14" i="53"/>
  <c r="J13" i="53" s="1"/>
  <c r="I13" i="53"/>
  <c r="AT8" i="33"/>
  <c r="AM8" i="33"/>
  <c r="AF8" i="33"/>
  <c r="C2" i="33"/>
  <c r="G14" i="53" l="1"/>
  <c r="G13" i="53" s="1"/>
  <c r="F13" i="53"/>
  <c r="BF8" i="1"/>
  <c r="BE8" i="1"/>
  <c r="AW8" i="1"/>
  <c r="AV8" i="1"/>
  <c r="BJ8" i="1" l="1"/>
  <c r="BE52" i="1"/>
  <c r="BF52" i="1" s="1"/>
  <c r="AV52" i="1"/>
  <c r="AW52" i="1" s="1"/>
  <c r="AW54" i="1" s="1"/>
  <c r="AW77" i="1" s="1"/>
  <c r="AR79" i="1" s="1"/>
  <c r="BF54" i="1" l="1"/>
  <c r="BF77" i="1" s="1"/>
  <c r="BI52" i="1"/>
  <c r="H52" i="21" s="1"/>
  <c r="BJ48" i="1"/>
  <c r="AW79" i="1"/>
  <c r="AW81" i="1" s="1"/>
  <c r="AW82" i="1" s="1"/>
  <c r="I5" i="1"/>
  <c r="I6" i="1"/>
  <c r="AW87" i="1" l="1"/>
  <c r="Y8" i="33"/>
  <c r="I100" i="45" l="1"/>
  <c r="B2" i="16" l="1"/>
  <c r="B2" i="17"/>
  <c r="C3" i="21"/>
  <c r="C2" i="21"/>
  <c r="C31" i="18"/>
  <c r="C32" i="18"/>
  <c r="C34" i="18"/>
  <c r="C35" i="18"/>
  <c r="C36" i="18"/>
  <c r="C37" i="18"/>
  <c r="C38" i="18"/>
  <c r="C39" i="18"/>
  <c r="C40" i="18"/>
  <c r="C41" i="18"/>
  <c r="C42" i="18"/>
  <c r="C44" i="18"/>
  <c r="C46" i="18"/>
  <c r="F48" i="1"/>
  <c r="C4" i="37" s="1"/>
  <c r="O48" i="1"/>
  <c r="D4" i="37" s="1"/>
  <c r="X48" i="1"/>
  <c r="E4" i="37" s="1"/>
  <c r="AG48" i="1"/>
  <c r="F4" i="37" s="1"/>
  <c r="AP48" i="1"/>
  <c r="G4" i="37" s="1"/>
  <c r="AY48" i="1"/>
  <c r="H4" i="37" s="1"/>
  <c r="BI56" i="1"/>
  <c r="H56" i="21" s="1"/>
  <c r="BI57" i="1"/>
  <c r="H57" i="21" s="1"/>
  <c r="BI58" i="1"/>
  <c r="H58" i="21" s="1"/>
  <c r="BI59" i="1"/>
  <c r="H59" i="21" s="1"/>
  <c r="BI69" i="1"/>
  <c r="H69" i="21" s="1"/>
  <c r="BI70" i="1"/>
  <c r="H70" i="21" s="1"/>
  <c r="BI71" i="1"/>
  <c r="H71" i="21" s="1"/>
  <c r="BF84" i="1"/>
  <c r="BF86" i="1" s="1"/>
  <c r="AE56" i="21" l="1"/>
  <c r="BI80" i="1"/>
  <c r="H80" i="21" s="1"/>
  <c r="BI63" i="1"/>
  <c r="H63" i="21" s="1"/>
  <c r="AE59" i="21"/>
  <c r="AE71" i="21"/>
  <c r="BI85" i="1"/>
  <c r="H85" i="21" s="1"/>
  <c r="BI75" i="1"/>
  <c r="H75" i="21" s="1"/>
  <c r="AE58" i="21"/>
  <c r="BI68" i="1"/>
  <c r="BI72" i="1"/>
  <c r="AE69" i="21"/>
  <c r="BI62" i="1"/>
  <c r="H62" i="21" s="1"/>
  <c r="M51" i="1"/>
  <c r="R48" i="21"/>
  <c r="BI74" i="1"/>
  <c r="H74" i="21" s="1"/>
  <c r="AE70" i="21"/>
  <c r="E43" i="18" s="1"/>
  <c r="BI65" i="1"/>
  <c r="H65" i="21" s="1"/>
  <c r="BI64" i="1"/>
  <c r="H64" i="21" s="1"/>
  <c r="BH48" i="1"/>
  <c r="AE57" i="21"/>
  <c r="J48" i="21"/>
  <c r="BI84" i="1"/>
  <c r="H84" i="21" s="1"/>
  <c r="V48" i="21"/>
  <c r="AD9" i="21"/>
  <c r="AD8" i="21"/>
  <c r="BI50" i="1"/>
  <c r="H50" i="21" s="1"/>
  <c r="H60" i="21"/>
  <c r="H12" i="37"/>
  <c r="I14" i="37"/>
  <c r="I12" i="37"/>
  <c r="E12" i="37"/>
  <c r="F8" i="37"/>
  <c r="H8" i="37"/>
  <c r="E14" i="37"/>
  <c r="F12" i="37"/>
  <c r="G8" i="37"/>
  <c r="G12" i="37"/>
  <c r="G14" i="37"/>
  <c r="H18" i="37"/>
  <c r="E8" i="37"/>
  <c r="D12" i="37"/>
  <c r="E15" i="37"/>
  <c r="F14" i="37"/>
  <c r="E18" i="37"/>
  <c r="H14" i="37"/>
  <c r="H68" i="21" l="1"/>
  <c r="H72" i="21" s="1"/>
  <c r="F53" i="1"/>
  <c r="M53" i="1" s="1"/>
  <c r="BI76" i="1"/>
  <c r="F48" i="21"/>
  <c r="J12" i="37"/>
  <c r="AE85" i="21"/>
  <c r="H76" i="21"/>
  <c r="BI66" i="1"/>
  <c r="AE80" i="21"/>
  <c r="AE63" i="21"/>
  <c r="AE75" i="21"/>
  <c r="AE62" i="21"/>
  <c r="AE9" i="21"/>
  <c r="AE64" i="21"/>
  <c r="H66" i="21"/>
  <c r="AE74" i="21"/>
  <c r="AE65" i="21"/>
  <c r="AE8" i="21"/>
  <c r="AE60" i="21"/>
  <c r="E34" i="18" s="1"/>
  <c r="AE84" i="21"/>
  <c r="H86" i="21"/>
  <c r="BI86" i="1"/>
  <c r="V51" i="1"/>
  <c r="BI51" i="1" s="1"/>
  <c r="G13" i="37"/>
  <c r="F15" i="37"/>
  <c r="G15" i="37"/>
  <c r="H13" i="37"/>
  <c r="I13" i="37"/>
  <c r="G18" i="37"/>
  <c r="I15" i="37"/>
  <c r="D15" i="37"/>
  <c r="D13" i="37"/>
  <c r="D8" i="37"/>
  <c r="D18" i="37"/>
  <c r="I18" i="37"/>
  <c r="E13" i="37"/>
  <c r="H15" i="37"/>
  <c r="D14" i="37"/>
  <c r="F13" i="37"/>
  <c r="F18" i="37"/>
  <c r="AE68" i="21" l="1"/>
  <c r="J14" i="37"/>
  <c r="AE72" i="21"/>
  <c r="E36" i="18" s="1"/>
  <c r="AE50" i="21"/>
  <c r="AD48" i="21"/>
  <c r="Z48" i="21"/>
  <c r="O53" i="1"/>
  <c r="V53" i="1" s="1"/>
  <c r="J18" i="37"/>
  <c r="J15" i="37"/>
  <c r="J13" i="37"/>
  <c r="AE76" i="21"/>
  <c r="E37" i="18" s="1"/>
  <c r="AE86" i="21"/>
  <c r="E41" i="18" s="1"/>
  <c r="AE66" i="21"/>
  <c r="E35" i="18" s="1"/>
  <c r="M54" i="1"/>
  <c r="F11" i="37"/>
  <c r="I8" i="37"/>
  <c r="BI53" i="1" l="1"/>
  <c r="J8" i="37"/>
  <c r="H48" i="21"/>
  <c r="V54" i="1"/>
  <c r="V77" i="1" s="1"/>
  <c r="H51" i="21"/>
  <c r="D10" i="37"/>
  <c r="F10" i="37"/>
  <c r="E10" i="37"/>
  <c r="I9" i="37"/>
  <c r="G11" i="37"/>
  <c r="H9" i="37"/>
  <c r="G10" i="37"/>
  <c r="H10" i="37"/>
  <c r="E11" i="37"/>
  <c r="F9" i="37"/>
  <c r="E9" i="37"/>
  <c r="D9" i="37"/>
  <c r="I10" i="37"/>
  <c r="G9" i="37"/>
  <c r="H53" i="21" l="1"/>
  <c r="AE53" i="21" s="1"/>
  <c r="AE49" i="21"/>
  <c r="Q79" i="1"/>
  <c r="V79" i="1" s="1"/>
  <c r="J9" i="37"/>
  <c r="AE48" i="21"/>
  <c r="E31" i="18" s="1"/>
  <c r="J10" i="37"/>
  <c r="BI54" i="1"/>
  <c r="BA79" i="1"/>
  <c r="BF79" i="1" s="1"/>
  <c r="AE51" i="21"/>
  <c r="E32" i="18" s="1"/>
  <c r="E16" i="37"/>
  <c r="F17" i="37"/>
  <c r="I11" i="37"/>
  <c r="E19" i="37"/>
  <c r="H11" i="37"/>
  <c r="F16" i="37"/>
  <c r="G16" i="37"/>
  <c r="H54" i="21" l="1"/>
  <c r="AE52" i="21"/>
  <c r="V81" i="1"/>
  <c r="V82" i="1" s="1"/>
  <c r="V87" i="1" s="1"/>
  <c r="BF81" i="1"/>
  <c r="G17" i="37"/>
  <c r="D11" i="37"/>
  <c r="E17" i="37"/>
  <c r="H16" i="37"/>
  <c r="I16" i="37"/>
  <c r="E21" i="37" l="1"/>
  <c r="BF82" i="1"/>
  <c r="BF87" i="1" s="1"/>
  <c r="J11" i="37"/>
  <c r="H77" i="21"/>
  <c r="AE54" i="21"/>
  <c r="E33" i="18" s="1"/>
  <c r="H17" i="37"/>
  <c r="D16" i="37"/>
  <c r="F19" i="37"/>
  <c r="I17" i="37"/>
  <c r="F21" i="37" l="1"/>
  <c r="J100" i="45"/>
  <c r="J16" i="37"/>
  <c r="AE77" i="21"/>
  <c r="E38" i="18" s="1"/>
  <c r="F100" i="45"/>
  <c r="I20" i="37"/>
  <c r="F20" i="37"/>
  <c r="G20" i="37"/>
  <c r="H19" i="37"/>
  <c r="I19" i="37"/>
  <c r="E20" i="37"/>
  <c r="G19" i="37"/>
  <c r="H21" i="37" l="1"/>
  <c r="I21" i="37"/>
  <c r="G21" i="37"/>
  <c r="BI60" i="1"/>
  <c r="M77" i="1"/>
  <c r="H20" i="37"/>
  <c r="BI77" i="1" l="1"/>
  <c r="H79" i="1"/>
  <c r="M79" i="1" l="1"/>
  <c r="M81" i="1" s="1"/>
  <c r="BI79" i="1" l="1"/>
  <c r="H79" i="21" s="1"/>
  <c r="AE79" i="21" s="1"/>
  <c r="BI81" i="1"/>
  <c r="M82" i="1"/>
  <c r="M87" i="1" s="1"/>
  <c r="H81" i="21" l="1"/>
  <c r="H82" i="21" s="1"/>
  <c r="BI82" i="1"/>
  <c r="D17" i="37"/>
  <c r="AE81" i="21" l="1"/>
  <c r="E39" i="18" s="1"/>
  <c r="J17" i="37"/>
  <c r="AE82" i="21"/>
  <c r="E40" i="18" s="1"/>
  <c r="BI87" i="1"/>
  <c r="H87" i="21" l="1"/>
  <c r="AE87" i="21" s="1"/>
  <c r="BI90" i="1"/>
  <c r="H90" i="21" s="1"/>
  <c r="BI88" i="1"/>
  <c r="D20" i="37"/>
  <c r="K31" i="18" l="1"/>
  <c r="D11" i="53"/>
  <c r="BH89" i="1"/>
  <c r="G89" i="21" s="1"/>
  <c r="H88" i="21"/>
  <c r="E42" i="18"/>
  <c r="AE88" i="21"/>
  <c r="AD89" i="21" s="1"/>
  <c r="D45" i="18" s="1"/>
  <c r="D14" i="53" l="1"/>
  <c r="D13" i="53" s="1"/>
  <c r="C13" i="53"/>
  <c r="E100" i="45"/>
  <c r="K100" i="45" s="1"/>
  <c r="L99" i="45" s="1"/>
  <c r="D19" i="37"/>
  <c r="D21" i="37" l="1"/>
  <c r="F23" i="37" s="1"/>
  <c r="J19" i="37"/>
  <c r="J21" i="37" s="1"/>
  <c r="F24" i="37" s="1"/>
  <c r="E44" i="18"/>
  <c r="F25" i="37" l="1"/>
  <c r="AE90" i="21"/>
  <c r="E46" i="18" l="1"/>
  <c r="K37" i="18"/>
  <c r="L68" i="17"/>
  <c r="L126" i="17" l="1"/>
  <c r="N126" i="17" l="1"/>
  <c r="P68" i="17"/>
</calcChain>
</file>

<file path=xl/comments1.xml><?xml version="1.0" encoding="utf-8"?>
<comments xmlns="http://schemas.openxmlformats.org/spreadsheetml/2006/main">
  <authors>
    <author>Breen, David (contr-cmo)</author>
  </authors>
  <commentList>
    <comment ref="H79" authorId="0" shapeId="0">
      <text>
        <r>
          <rPr>
            <b/>
            <sz val="9"/>
            <color indexed="81"/>
            <rFont val="Tahoma"/>
            <family val="2"/>
          </rPr>
          <t xml:space="preserve">
Change this cell if Modified Total Direct Costs are needed for this calculation.</t>
        </r>
      </text>
    </comment>
  </commentList>
</comments>
</file>

<file path=xl/comments2.xml><?xml version="1.0" encoding="utf-8"?>
<comments xmlns="http://schemas.openxmlformats.org/spreadsheetml/2006/main">
  <authors>
    <author>dew</author>
  </authors>
  <commentList>
    <comment ref="F8" authorId="0" shapeId="0">
      <text>
        <r>
          <rPr>
            <sz val="12"/>
            <color indexed="81"/>
            <rFont val="Tahoma"/>
            <family val="2"/>
          </rPr>
          <t xml:space="preserve">Adjust formula to iinclude all phase sub-totals
</t>
        </r>
      </text>
    </comment>
    <comment ref="F9" authorId="0" shapeId="0">
      <text>
        <r>
          <rPr>
            <sz val="12"/>
            <color indexed="81"/>
            <rFont val="Tahoma"/>
            <family val="2"/>
          </rPr>
          <t>Update sub-total formula for all iincluded sub-tasks</t>
        </r>
      </text>
    </comment>
    <comment ref="F22" authorId="0" shapeId="0">
      <text>
        <r>
          <rPr>
            <sz val="12"/>
            <color indexed="81"/>
            <rFont val="Tahoma"/>
            <family val="2"/>
          </rPr>
          <t>Update sub-total formula for all iincluded sub-tasks</t>
        </r>
      </text>
    </comment>
    <comment ref="F35" authorId="0" shapeId="0">
      <text>
        <r>
          <rPr>
            <sz val="12"/>
            <color indexed="81"/>
            <rFont val="Tahoma"/>
            <family val="2"/>
          </rPr>
          <t xml:space="preserve">Adjust formula to iinclude all phase sub-totals
</t>
        </r>
      </text>
    </comment>
    <comment ref="F36" authorId="0" shapeId="0">
      <text>
        <r>
          <rPr>
            <sz val="12"/>
            <color indexed="81"/>
            <rFont val="Tahoma"/>
            <family val="2"/>
          </rPr>
          <t>Update sub-total formula for all iincluded sub-tasks</t>
        </r>
      </text>
    </comment>
    <comment ref="F49" authorId="0" shapeId="0">
      <text>
        <r>
          <rPr>
            <sz val="12"/>
            <color indexed="81"/>
            <rFont val="Tahoma"/>
            <family val="2"/>
          </rPr>
          <t>Update sub-total formula for all iincluded sub-tasks</t>
        </r>
      </text>
    </comment>
    <comment ref="F62" authorId="0" shapeId="0">
      <text>
        <r>
          <rPr>
            <sz val="12"/>
            <color indexed="81"/>
            <rFont val="Tahoma"/>
            <family val="2"/>
          </rPr>
          <t xml:space="preserve">Adjust formula to iinclude all phase sub-totals
</t>
        </r>
      </text>
    </comment>
    <comment ref="F63" authorId="0" shapeId="0">
      <text>
        <r>
          <rPr>
            <sz val="12"/>
            <color indexed="81"/>
            <rFont val="Tahoma"/>
            <family val="2"/>
          </rPr>
          <t>Update sub-total formula for all iincluded sub-tasks</t>
        </r>
      </text>
    </comment>
    <comment ref="F76" authorId="0" shapeId="0">
      <text>
        <r>
          <rPr>
            <sz val="12"/>
            <color indexed="81"/>
            <rFont val="Tahoma"/>
            <family val="2"/>
          </rPr>
          <t>Update sub-total formula for all iincluded sub-tasks</t>
        </r>
      </text>
    </comment>
  </commentList>
</comments>
</file>

<file path=xl/sharedStrings.xml><?xml version="1.0" encoding="utf-8"?>
<sst xmlns="http://schemas.openxmlformats.org/spreadsheetml/2006/main" count="3130" uniqueCount="786">
  <si>
    <t>Insert line(s) &amp; title(s) for any other M/H O/H rates</t>
  </si>
  <si>
    <t>Insert line(s) &amp; title(s) for any other F/B rates</t>
  </si>
  <si>
    <t>Insert line(s) &amp; title(s) for any other O/H rates</t>
  </si>
  <si>
    <t>Insert line(s) &amp; title(s) for any other G&amp;A rates</t>
  </si>
  <si>
    <t>Insert COM rate title</t>
  </si>
  <si>
    <t>Insert line(s) &amp; title(s) for any other COM rates</t>
  </si>
  <si>
    <t>Qty</t>
  </si>
  <si>
    <t xml:space="preserve">Other Direct Costs </t>
  </si>
  <si>
    <t xml:space="preserve"> TRAVEL</t>
  </si>
  <si>
    <t>Unit of Issue</t>
  </si>
  <si>
    <t xml:space="preserve">Note 1: </t>
  </si>
  <si>
    <t>Hourly Rate</t>
  </si>
  <si>
    <t>Other Costs</t>
  </si>
  <si>
    <t>Note 2:</t>
  </si>
  <si>
    <t>Vendor/Source (If known)</t>
  </si>
  <si>
    <t>Total</t>
  </si>
  <si>
    <t>File/Tab Name or Link</t>
  </si>
  <si>
    <t>Consultants</t>
  </si>
  <si>
    <t>Subtotal Costs</t>
  </si>
  <si>
    <t>Total Estimated Costs</t>
  </si>
  <si>
    <t>Total Cost of Money</t>
  </si>
  <si>
    <t>SUBCONTRACTOR COST DATA</t>
  </si>
  <si>
    <t>Name (Last, First)</t>
  </si>
  <si>
    <t>Consultant Name - #01</t>
  </si>
  <si>
    <t>Consultant Name - #02</t>
  </si>
  <si>
    <t>Consultant Name - #03</t>
  </si>
  <si>
    <t>Rate</t>
  </si>
  <si>
    <t>Fixed Fee (If proposing a CPFF contract)</t>
  </si>
  <si>
    <t>Total Estimated Costs Plus Fixed Fee</t>
  </si>
  <si>
    <t>Materials/Supplies</t>
  </si>
  <si>
    <t>Equipment</t>
  </si>
  <si>
    <t>Travel</t>
  </si>
  <si>
    <t>Insert line(s) for any other types of ODCs</t>
  </si>
  <si>
    <t>Insert line(s) for any additional Consultants</t>
  </si>
  <si>
    <t>Total Material Handling Costs</t>
  </si>
  <si>
    <t>Total Direct Labor Costs</t>
  </si>
  <si>
    <t>Total Fringe Benefit Costs</t>
  </si>
  <si>
    <t>Total Labor Overhead Costs</t>
  </si>
  <si>
    <t>Total Other Direct Costs</t>
  </si>
  <si>
    <t>Total G&amp;A Costs</t>
  </si>
  <si>
    <r>
      <t>X</t>
    </r>
    <r>
      <rPr>
        <b/>
        <u/>
        <sz val="9"/>
        <rFont val="Arial"/>
        <family val="2"/>
      </rPr>
      <t>-Months</t>
    </r>
  </si>
  <si>
    <t>Insert M/H O/H rate title</t>
  </si>
  <si>
    <t>Note 1:</t>
  </si>
  <si>
    <t xml:space="preserve">Note 2: </t>
  </si>
  <si>
    <t>Note 3:</t>
  </si>
  <si>
    <t>Note 4:</t>
  </si>
  <si>
    <t>Examples include rental fees, shipping costs, license fees</t>
  </si>
  <si>
    <t>Estimates and the resultant costs claimed must conform to the applicable Federal cost principles.</t>
  </si>
  <si>
    <t>Subcontracts/Interorganizational Transfer</t>
  </si>
  <si>
    <t>Base</t>
  </si>
  <si>
    <t>Option I</t>
  </si>
  <si>
    <t>Subcontract/Interorganizational Name - #02</t>
  </si>
  <si>
    <t>Subcontract/Interorganizational Name - #03</t>
  </si>
  <si>
    <t xml:space="preserve">Insert line(s) for any additional Subcontractors/Interorganizational </t>
  </si>
  <si>
    <t xml:space="preserve">2. Information regarding your projections for out years, including your assumptions and method for developing these estimates.  </t>
  </si>
  <si>
    <t>If there are miscellaneous expenses associated with the trip, provide description and rationale.</t>
  </si>
  <si>
    <t>Applied Against</t>
  </si>
  <si>
    <t>Material Handling</t>
  </si>
  <si>
    <t>Material Handling (M/H O/H) (See Escalation and Indirect Rate Worksheet)</t>
  </si>
  <si>
    <t>General and Administrative (G&amp;A) (See Escalation and Indirect Rate Worksheet)</t>
  </si>
  <si>
    <t>Facilities Cost of Money (COM) (See Escalation and Indirect Rate Worksheet)</t>
  </si>
  <si>
    <t>OPTION 5</t>
  </si>
  <si>
    <t>Total Subcontract Costs</t>
  </si>
  <si>
    <t>Total Consultant Costs</t>
  </si>
  <si>
    <t>(Note 4)</t>
  </si>
  <si>
    <t xml:space="preserve"> </t>
  </si>
  <si>
    <t>BASE</t>
  </si>
  <si>
    <t>OPTION 2</t>
  </si>
  <si>
    <t>OPTION 1</t>
  </si>
  <si>
    <t>OPTION 3</t>
  </si>
  <si>
    <t>OPTION 4</t>
  </si>
  <si>
    <t>Y</t>
  </si>
  <si>
    <t>N</t>
  </si>
  <si>
    <t>(Example: FPRA, FPRP, Estimate, etc.)</t>
  </si>
  <si>
    <t>Provide details in Materials Tab</t>
  </si>
  <si>
    <t>Provide details in Equip. Tab</t>
  </si>
  <si>
    <t>Provide details in ODC Tab</t>
  </si>
  <si>
    <t>Provide details in Travel Tab</t>
  </si>
  <si>
    <t>Provide details in Subcontractor Tab</t>
  </si>
  <si>
    <t>Provide details in Consultant Tab</t>
  </si>
  <si>
    <t>CAGE 
Code</t>
  </si>
  <si>
    <t>Instructions:</t>
  </si>
  <si>
    <t>(Note 3)</t>
  </si>
  <si>
    <t>Direct Labor (DL)</t>
  </si>
  <si>
    <t>Contractors are normally required to furnish all equipment and/or facilities necessary to perform Government contracts (see FAR 45.102(a)). The Government may allow equipment and/or facilities only under special circumstances. If equipment and/or facilities are proposed, the specific description should identify the component, nomenclature, and configuration of the equipment/hardware that it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</si>
  <si>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(Note 2)</t>
  </si>
  <si>
    <t>In an attachment, provide all supporting documentation to support your price basis, e.g. copy of quote, page from catalog, or method used for deriving engineering estimates.</t>
  </si>
  <si>
    <t>Certificate of Current Cost/Pricing Data for Prime if Contract &gt; $2,000,000</t>
  </si>
  <si>
    <t>Certificate of Current Cost/Pricing Data for each Subcontractor &gt; $2,000,000</t>
  </si>
  <si>
    <t xml:space="preserve">Certified cost or pricing data may be required for subcontractor proposals over $2,000,000. </t>
  </si>
  <si>
    <t>Total amount exceeds $2M (Y/N)</t>
  </si>
  <si>
    <t>Fringe Benefits Rate</t>
  </si>
  <si>
    <t>Labor Overhead Rate</t>
  </si>
  <si>
    <t>Hourly Labor Rate</t>
  </si>
  <si>
    <t>This Organization's Business Type:</t>
  </si>
  <si>
    <t>General, I2, Picklist of Offeror Business Types</t>
  </si>
  <si>
    <t>Large Business</t>
  </si>
  <si>
    <t>Small Business</t>
  </si>
  <si>
    <t>Non-Profit</t>
  </si>
  <si>
    <t>Academia</t>
  </si>
  <si>
    <t>Project Management</t>
  </si>
  <si>
    <t>Administrative</t>
  </si>
  <si>
    <t>Project Manager</t>
  </si>
  <si>
    <t>Software Development</t>
  </si>
  <si>
    <t xml:space="preserve"> Labor Escalation Rate</t>
  </si>
  <si>
    <t>Labor Escalation Rate</t>
  </si>
  <si>
    <t>Calculated</t>
  </si>
  <si>
    <t>Open Text</t>
  </si>
  <si>
    <t>$$$</t>
  </si>
  <si>
    <t>%</t>
  </si>
  <si>
    <t>Lab/FFRDC</t>
  </si>
  <si>
    <t>Principal Investigator</t>
  </si>
  <si>
    <t>Co-Principal Investigator</t>
  </si>
  <si>
    <t>Co-Investigator</t>
  </si>
  <si>
    <t>Sr. Post-Doc</t>
  </si>
  <si>
    <t>Post-Doc</t>
  </si>
  <si>
    <t>Research Associate</t>
  </si>
  <si>
    <t>Research Assistant</t>
  </si>
  <si>
    <t>Staff Scientist</t>
  </si>
  <si>
    <t>Post-Doc Fellow</t>
  </si>
  <si>
    <t>Graduate Research Assistant</t>
  </si>
  <si>
    <t>Graduate Student</t>
  </si>
  <si>
    <t>Student</t>
  </si>
  <si>
    <t>Systems Administrator</t>
  </si>
  <si>
    <t>Research Scientist/Engineer</t>
  </si>
  <si>
    <t>Business</t>
  </si>
  <si>
    <t>Principal Scientist/Engineer</t>
  </si>
  <si>
    <t>Security</t>
  </si>
  <si>
    <t>Research</t>
  </si>
  <si>
    <t>Support</t>
  </si>
  <si>
    <t>Valid values are Academia or General</t>
  </si>
  <si>
    <t>Academia Labor Groups</t>
  </si>
  <si>
    <t>General Labor Groups</t>
  </si>
  <si>
    <t>Science and Engineering</t>
  </si>
  <si>
    <t>Academia Research Categories</t>
  </si>
  <si>
    <t>Academia Project Management Categories</t>
  </si>
  <si>
    <t>Consultant</t>
  </si>
  <si>
    <t>General Support Categories</t>
  </si>
  <si>
    <t>General Project Management Categories</t>
  </si>
  <si>
    <t>Principal Program/Project Manager</t>
  </si>
  <si>
    <t>Program/Project Manager V</t>
  </si>
  <si>
    <t>Program/Project Manager IV</t>
  </si>
  <si>
    <t>Program/Project Manager III</t>
  </si>
  <si>
    <t>Program/Project Manager I</t>
  </si>
  <si>
    <t>Labor Collection based on Offeror Business Type Selection</t>
  </si>
  <si>
    <t>Financial</t>
  </si>
  <si>
    <t>Contracts</t>
  </si>
  <si>
    <t>General Science and Engineering Categories</t>
  </si>
  <si>
    <t>Scientist/Engineer V</t>
  </si>
  <si>
    <t>Scientist/Engineer IV</t>
  </si>
  <si>
    <t>Scientist/Engineer III</t>
  </si>
  <si>
    <t>Scientist/Engineer II</t>
  </si>
  <si>
    <t>Scientist/Engineer I</t>
  </si>
  <si>
    <t>General Software Development Categories</t>
  </si>
  <si>
    <t>Principal Software Developer</t>
  </si>
  <si>
    <t>Software Developer V</t>
  </si>
  <si>
    <t>Software Developer IV</t>
  </si>
  <si>
    <t>Software Developer III</t>
  </si>
  <si>
    <t>Software Developer II</t>
  </si>
  <si>
    <t>Software Developer I</t>
  </si>
  <si>
    <t>Fully Loaded Rate</t>
  </si>
  <si>
    <t>Indirect Rate Categories</t>
  </si>
  <si>
    <t>% Rate</t>
  </si>
  <si>
    <t>Facilities Cost of Money: Procurement COM</t>
  </si>
  <si>
    <t>Facilities Cost of Money: G&amp;A COM</t>
  </si>
  <si>
    <t>Facilities Cost of Money: Labor/Engineering COM</t>
  </si>
  <si>
    <t>Procurement Overhead</t>
  </si>
  <si>
    <t>Subcontract Overhead</t>
  </si>
  <si>
    <t>Business Operating Support Overhead</t>
  </si>
  <si>
    <t>Information Technology Support Overhead</t>
  </si>
  <si>
    <t>Other Direct Cost (ODC) Overhead</t>
  </si>
  <si>
    <t>Other Overhead/Cost Factors</t>
  </si>
  <si>
    <t>Project Administrator</t>
  </si>
  <si>
    <t xml:space="preserve">  (drop-down-list)</t>
  </si>
  <si>
    <t>Academia Administrative Support Categories</t>
  </si>
  <si>
    <t>Administrative Support</t>
  </si>
  <si>
    <t>Academia Consultant Categories</t>
  </si>
  <si>
    <t>Manufacturing</t>
  </si>
  <si>
    <t>General Manufacturing Categories</t>
  </si>
  <si>
    <t>Manufacturer V</t>
  </si>
  <si>
    <t>Manufacturer IV</t>
  </si>
  <si>
    <t>Manufacturer III</t>
  </si>
  <si>
    <t>Manufacturer II</t>
  </si>
  <si>
    <t>Manufacturer I</t>
  </si>
  <si>
    <t>General Consultant Categories</t>
  </si>
  <si>
    <t>Add/Change Labor Group requires changes below to Categories</t>
  </si>
  <si>
    <t>Add/Change Labor Collection requires Data Validation code change on Labor Rates tab, and new Labor Group list below.</t>
  </si>
  <si>
    <t>Cell Range Naming Conventions:</t>
  </si>
  <si>
    <t>ThisIsAName = internal constants such as pick-lists</t>
  </si>
  <si>
    <t>Labor Rates</t>
  </si>
  <si>
    <t>Prime Contractor (Fill-in) (if applicable)</t>
  </si>
  <si>
    <t>Prime Contractor</t>
  </si>
  <si>
    <t>Cost Proposal - Base Effort</t>
  </si>
  <si>
    <t>(Example: FPRA, Individual Payrate, Average for Job Category, etc.)</t>
  </si>
  <si>
    <t>Material Handling (M/H O/H) (See Indirect Rates Worksheet)</t>
  </si>
  <si>
    <t>General and Administrative (G&amp;A) (See Indirect Rates Worksheet)</t>
  </si>
  <si>
    <t>Facilities Cost of Money (COM) (See Indirect Rates Worksheet)</t>
  </si>
  <si>
    <t>Quality Control V</t>
  </si>
  <si>
    <t>Quality Control IV</t>
  </si>
  <si>
    <t>Quality Control III</t>
  </si>
  <si>
    <t>Quality Control II</t>
  </si>
  <si>
    <t>Quality Control I</t>
  </si>
  <si>
    <r>
      <t xml:space="preserve">Basis of Labor Rate </t>
    </r>
    <r>
      <rPr>
        <b/>
        <sz val="12"/>
        <color rgb="FFFF0000"/>
        <rFont val="Calibri"/>
        <family val="2"/>
      </rPr>
      <t>(Note 1)</t>
    </r>
  </si>
  <si>
    <t>Op1</t>
  </si>
  <si>
    <t>Op2</t>
  </si>
  <si>
    <t>Op3</t>
  </si>
  <si>
    <t>Op4</t>
  </si>
  <si>
    <t>Op5</t>
  </si>
  <si>
    <t>tdlc.dlrs</t>
  </si>
  <si>
    <t>tfbc.dlrs</t>
  </si>
  <si>
    <t>tloc.dlrs</t>
  </si>
  <si>
    <t>tsc.dlrs</t>
  </si>
  <si>
    <t>tcc.dlrs</t>
  </si>
  <si>
    <t>todc.dlrs</t>
  </si>
  <si>
    <t>tmhc.dlrs</t>
  </si>
  <si>
    <t>sc.dlrs</t>
  </si>
  <si>
    <t>tgac.dlrs</t>
  </si>
  <si>
    <t>tcm.dlrs</t>
  </si>
  <si>
    <t>Fixed Fee</t>
  </si>
  <si>
    <t>ff.dlrs</t>
  </si>
  <si>
    <t>tecpff.dlrs</t>
  </si>
  <si>
    <t>Row Sum</t>
  </si>
  <si>
    <t>Total Direct Labor Hours</t>
  </si>
  <si>
    <t>tdlc.hrs</t>
  </si>
  <si>
    <t>Principal Manufacturer</t>
  </si>
  <si>
    <t>Principal Quality Control</t>
  </si>
  <si>
    <t>No Business Type Selected</t>
  </si>
  <si>
    <t>instructional choice</t>
  </si>
  <si>
    <t>First select a Business Type</t>
  </si>
  <si>
    <t>No Labor Collection is available</t>
  </si>
  <si>
    <t>Insert additional Indirect Rates above this line</t>
  </si>
  <si>
    <t xml:space="preserve">Options:  Unpriced Options will not be accepted. Any Option that is not fully priced, will not be included in any resulting award.  </t>
  </si>
  <si>
    <t>Fringe Benefit Rate</t>
  </si>
  <si>
    <t>Direct Labor Cost</t>
  </si>
  <si>
    <t>Fringe Benefit Cost</t>
  </si>
  <si>
    <t>Fringe Benefit Cost from Direct Labor Above</t>
  </si>
  <si>
    <t>Labor Overhead Cost</t>
  </si>
  <si>
    <t>Labor Overhead from Direct Labor and FB Above</t>
  </si>
  <si>
    <t>This line is blank to help align row numbers on this tab with the rows on the Base and Options tabs</t>
  </si>
  <si>
    <t>Hours</t>
  </si>
  <si>
    <t>Total Direct Labor Hours/Costs</t>
  </si>
  <si>
    <t>Loaded Labor Cost</t>
  </si>
  <si>
    <t>Enter proposed PoP as "MM/YY to MM/YY"</t>
  </si>
  <si>
    <t>F/B Based on Labor Rates Tab</t>
  </si>
  <si>
    <t>O/H Based on Labor Rates Tab</t>
  </si>
  <si>
    <t>See Base Tab</t>
  </si>
  <si>
    <t>See O-I tab</t>
  </si>
  <si>
    <t>Cost</t>
  </si>
  <si>
    <t>See O-II tab</t>
  </si>
  <si>
    <t>See O-III tab</t>
  </si>
  <si>
    <t>See O-IV tab</t>
  </si>
  <si>
    <t>See O-V tab</t>
  </si>
  <si>
    <t>Total $</t>
  </si>
  <si>
    <t>Amount</t>
  </si>
  <si>
    <t>Subcontract/Interorganizational Name - #01</t>
  </si>
  <si>
    <t>If small business or non-traditional defense contractor, Certificate of Current Cost/Pricing Data for each Contract/Subcontractor &gt; $7,500,000</t>
  </si>
  <si>
    <t>• If the rates have been approved/negotiated by a Government agency, provide a copy of the memorandum/agreement.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t>
  </si>
  <si>
    <t>1. Proforma data used to develop your proposed indirect rates.  This consists of breakout of cost pool and cost base that demonstrate how the indirect rate(s) was derived. This information can be provided in your cost volume or add another worksheet tab in this spreadsheet to show calculations</t>
  </si>
  <si>
    <t>Fixed Fee (If proposing a CPFF contract) or Profit</t>
  </si>
  <si>
    <t>In an attachment, provide all supporting documentation to support your price basis, e.g. copy of vendor quote, past invoice/PO, page from catalog, or method used for deriving engineering estimates.</t>
  </si>
  <si>
    <t>Version ID</t>
  </si>
  <si>
    <t>Changes from Previous</t>
  </si>
  <si>
    <t>Program/Project Manager II</t>
  </si>
  <si>
    <t>Prime's CAGE</t>
  </si>
  <si>
    <t>Fringe</t>
  </si>
  <si>
    <t>Overhead (Labor)</t>
  </si>
  <si>
    <t>Tab</t>
  </si>
  <si>
    <t>Insert additional Labor Category rows above this line.  Also select Base and all Option tabs before inserting new rows.  Copy formulas from adjacent rows.</t>
  </si>
  <si>
    <t>Hours Proposed in Each Fiscal Year:</t>
  </si>
  <si>
    <t>Proposer Name:</t>
  </si>
  <si>
    <t>Proposer's CAGE</t>
  </si>
  <si>
    <t xml:space="preserve">• If the rates have been approved/negotiated by a Government agency, provide a copy of the memorandum/agreement (FPRA/FPRR).
• If the rates have not been approved/negotiated, provide sufficient detail to enable a determination of allowability, allocability and reasonableness of the allocation bases and how the rates are calculated. This information can be provided in your cost volume or add another worksheet tab in this spreadsheet to show calculations.
• If composite rates are used, provide the calculations used in deriving the composite rates in your cost volume or add another worksheet tab in this spreadsheet to show calculations.                                                                                                                                                                       
• If FPRA is not available, provide back-up documentation for labor rates (e.g., current payroll records)                                                                                                                                              </t>
  </si>
  <si>
    <t>Sum of Column Totals ($)</t>
  </si>
  <si>
    <t>Sum of Row Totals ($)</t>
  </si>
  <si>
    <t>COLUMN TOTALS - ROW TOTALS</t>
  </si>
  <si>
    <t>This should be $0.  If not, research is needed.</t>
  </si>
  <si>
    <t>Column Totals</t>
  </si>
  <si>
    <t>Profit (Fixed Price Awards)</t>
  </si>
  <si>
    <t>Fee (Cost Type Awards)</t>
  </si>
  <si>
    <t>Top Prime Proposer:</t>
  </si>
  <si>
    <t>Proposer Accounting Periods</t>
  </si>
  <si>
    <t>Enter the expected date range of each accounting period from the Proposer's perspective.  A period change would represent a change in hourly rates or indirect cost rates.</t>
  </si>
  <si>
    <t>Proposer FY 1</t>
  </si>
  <si>
    <t>Proposer FY 2</t>
  </si>
  <si>
    <t>Proposer FY 3</t>
  </si>
  <si>
    <t>Proposer FY 4</t>
  </si>
  <si>
    <t>Proposer FY 5</t>
  </si>
  <si>
    <t>Proposer FY 6</t>
  </si>
  <si>
    <t>Proposer Fiscal Year Labels:</t>
  </si>
  <si>
    <t>Proposer's Indirect Rate Name</t>
  </si>
  <si>
    <t>Proposer's Labor Category (Note 1)</t>
  </si>
  <si>
    <t>Proposer</t>
  </si>
  <si>
    <t>If the proposer does not have a Forward Pricing Rate Agreement (FPRA), Forward Pricing Rate Recommendation (FPRR), or provisional billing rates; in order to assist the Government in evaluating the reasonableness of your proposed indirect rates, please provide the following information:</t>
  </si>
  <si>
    <t>This.Is.a.Name = named ranges holding proposer data</t>
  </si>
  <si>
    <t>PI Name</t>
  </si>
  <si>
    <t>Option I (Phase 2)</t>
  </si>
  <si>
    <t>Option II (Phase 3)</t>
  </si>
  <si>
    <t>Phase</t>
  </si>
  <si>
    <t>Task/
Subtask #</t>
  </si>
  <si>
    <t>Organization</t>
  </si>
  <si>
    <t>Description/Approach</t>
  </si>
  <si>
    <t>Exit Criteria/Metrics</t>
  </si>
  <si>
    <t>Task/Subtask 
Start Date</t>
  </si>
  <si>
    <t>Task/Subtask 
End Date</t>
  </si>
  <si>
    <t>Prime/Sub #1/Sub #2</t>
  </si>
  <si>
    <t xml:space="preserve">1-2 sentence description of objective and approach </t>
  </si>
  <si>
    <t>short text identifier</t>
  </si>
  <si>
    <t>MM/DD/YY</t>
  </si>
  <si>
    <t>Short subtask text identifier</t>
  </si>
  <si>
    <t>Prime</t>
  </si>
  <si>
    <t>Sub #1</t>
  </si>
  <si>
    <t>Prime/Sub #1</t>
  </si>
  <si>
    <t>Sub #2</t>
  </si>
  <si>
    <t>Prime/Sub#2</t>
  </si>
  <si>
    <t>Sub#1</t>
  </si>
  <si>
    <t>N/A</t>
  </si>
  <si>
    <t>SBIR/STTR Phase Choices</t>
  </si>
  <si>
    <t>Not Applicable</t>
  </si>
  <si>
    <t>Phase I</t>
  </si>
  <si>
    <t>Phase II</t>
  </si>
  <si>
    <t>Phase III</t>
  </si>
  <si>
    <t>Small Business Size Choices</t>
  </si>
  <si>
    <t>1-100</t>
  </si>
  <si>
    <t>101-500</t>
  </si>
  <si>
    <t>501-1000</t>
  </si>
  <si>
    <t>Small Business Size Estimate:</t>
  </si>
  <si>
    <t>General and Administrative</t>
  </si>
  <si>
    <t>Facilities and Administrative Cost Rate</t>
  </si>
  <si>
    <t>Faculty/Professor</t>
  </si>
  <si>
    <t>Fringe (Students)</t>
  </si>
  <si>
    <t>Adding Rows</t>
  </si>
  <si>
    <t>Purpose of Trip</t>
  </si>
  <si>
    <t>Origin Destination</t>
  </si>
  <si>
    <t>Final Destination</t>
  </si>
  <si>
    <t># Days</t>
  </si>
  <si>
    <t># of Trips</t>
  </si>
  <si>
    <t>Total Hotel Per Diem $ per trip</t>
  </si>
  <si>
    <t>100% M&amp;IE Per Diem $</t>
  </si>
  <si>
    <t>75% M&amp;IE Per Diem $</t>
  </si>
  <si>
    <t>Total M&amp;IE Per Diem $ per trip</t>
  </si>
  <si>
    <t>Total Car rental $ per trip</t>
  </si>
  <si>
    <t>BAA #:</t>
  </si>
  <si>
    <t>Opportunity Notice #:</t>
  </si>
  <si>
    <t>Project Spend Plan</t>
  </si>
  <si>
    <t>Project Cost Summary</t>
  </si>
  <si>
    <t>General Instructions</t>
  </si>
  <si>
    <t>1.00.00</t>
  </si>
  <si>
    <t>All</t>
  </si>
  <si>
    <t xml:space="preserve">The PRIME and all subcontractors (per stipulations within) shall complete this workbook to develop the complete cost/pricing elements breakouts of the cost proposal.  </t>
  </si>
  <si>
    <t xml:space="preserve">Adopted DARPA version 1.06.02 with multiple minor revisions to tailor for TRMC T&amp;E/S&amp;T Program needs </t>
  </si>
  <si>
    <t>Revision Number</t>
  </si>
  <si>
    <t xml:space="preserve">If you need to add tabs to create datasets to populate in other tabs or for other explanatory purposes, use BLACK for the tab color and include the following below the data sets: tab purpose statement, notes that provide specific explanations of data cells (as used in exising tabs), and/or any other relavent commentary. </t>
  </si>
  <si>
    <t>CAGE:</t>
  </si>
  <si>
    <t>First digit change --&gt; prior functions changes.  Second digit change --&gt; new function added.  Third digit change --&gt; change in spreadsheet that does not affect functionality</t>
  </si>
  <si>
    <t>Test Tecchnology Area (TTA) Acronym</t>
  </si>
  <si>
    <t>AAIT</t>
  </si>
  <si>
    <t>AIST</t>
  </si>
  <si>
    <t>_C4T</t>
  </si>
  <si>
    <t>CTT</t>
  </si>
  <si>
    <t>DET</t>
  </si>
  <si>
    <t>EWT</t>
  </si>
  <si>
    <t>HSST</t>
  </si>
  <si>
    <t>SST</t>
  </si>
  <si>
    <t>SET</t>
  </si>
  <si>
    <t xml:space="preserve">  (drop-down list)</t>
  </si>
  <si>
    <t>TTA acronym:</t>
  </si>
  <si>
    <t>Proposer's Name (Prime or Sub)</t>
  </si>
  <si>
    <t>Fill out data cells associated with submitter's and PRIME information (if PRIME is not the submtter).</t>
  </si>
  <si>
    <t>Tab Colors</t>
  </si>
  <si>
    <t>Category #</t>
  </si>
  <si>
    <t>Qualifications</t>
  </si>
  <si>
    <t>Duties/Responsibilities</t>
  </si>
  <si>
    <t>Sr. Research Engineer</t>
  </si>
  <si>
    <t>PhD in Physics or Engineering, 7 - 12  years direct technology related experience.</t>
  </si>
  <si>
    <t>Performs advanced physics computations related to the modeling and simulation of developed systems.</t>
  </si>
  <si>
    <t>O-I</t>
  </si>
  <si>
    <t>O-II</t>
  </si>
  <si>
    <t>O-III</t>
  </si>
  <si>
    <t>O-IV</t>
  </si>
  <si>
    <t>O-V</t>
  </si>
  <si>
    <t>Project Direct Labor Description</t>
  </si>
  <si>
    <r>
      <t xml:space="preserve">Proposer's Labor Category
 </t>
    </r>
    <r>
      <rPr>
        <sz val="8"/>
        <rFont val="Arial"/>
        <family val="2"/>
      </rPr>
      <t>(from Project Direct Labor Descriptions)</t>
    </r>
  </si>
  <si>
    <t>Overview</t>
  </si>
  <si>
    <t>Change Notes for Internal Tracking</t>
  </si>
  <si>
    <t xml:space="preserve">Drop-Down Values for Lists in Workbook </t>
  </si>
  <si>
    <t>BAA # (not used) - Offeror to complete</t>
  </si>
  <si>
    <t>Check Sum of Project Cost Summary From All Phases Build Up Data (ALL data is from other spreadsheets)</t>
  </si>
  <si>
    <t>Project Cost Summary - Total Amount</t>
  </si>
  <si>
    <t>Sub-totals</t>
  </si>
  <si>
    <t>TRMC T&amp;E/S&amp;T BAA Standardized Cost Proposal Workbook</t>
  </si>
  <si>
    <t>If Small business is chosen, see content to the right.</t>
  </si>
  <si>
    <t>Primary Task/Subtask Title</t>
  </si>
  <si>
    <t>Task text identifier</t>
  </si>
  <si>
    <t>Insert additional rows above this row if needed</t>
  </si>
  <si>
    <t>Ph 1 (Base)</t>
  </si>
  <si>
    <t>Ph 2 (O-I)</t>
  </si>
  <si>
    <t>TOTAL (for Base)</t>
  </si>
  <si>
    <t>TOTAL (for Option I)</t>
  </si>
  <si>
    <t>TOTAL (for Option II)</t>
  </si>
  <si>
    <t>Ph 3 (O-II)</t>
  </si>
  <si>
    <t>Phase 3</t>
  </si>
  <si>
    <t xml:space="preserve">Phase 2 </t>
  </si>
  <si>
    <t>Phase 1</t>
  </si>
  <si>
    <t>All Phases</t>
  </si>
  <si>
    <t>Color Code For Corporate FY</t>
  </si>
  <si>
    <t>Proposer's Preferred Label:</t>
  </si>
  <si>
    <t>Corp. Fiscal Year Begin Date:</t>
  </si>
  <si>
    <t>Corp. Fiscal Year End Date:</t>
  </si>
  <si>
    <t>Data Below from 'Proposer Constant' Tab</t>
  </si>
  <si>
    <t>&gt;&gt;&gt;&gt;</t>
  </si>
  <si>
    <t>Milestones (M/S) / Deliverables 
(if applicable)</t>
  </si>
  <si>
    <t>M/S Date
(if appl)</t>
  </si>
  <si>
    <t>Option II</t>
  </si>
  <si>
    <t>Option III</t>
  </si>
  <si>
    <t>Option IV</t>
  </si>
  <si>
    <t>Option V</t>
  </si>
  <si>
    <t>Phase 2</t>
  </si>
  <si>
    <t>Phase 4</t>
  </si>
  <si>
    <t>Phase 5</t>
  </si>
  <si>
    <t>Phase 6</t>
  </si>
  <si>
    <t>Tab:</t>
  </si>
  <si>
    <t>Base Roll-up Cells</t>
  </si>
  <si>
    <t>O-I Roll-up Cells</t>
  </si>
  <si>
    <t>O-II Roll-up Cells</t>
  </si>
  <si>
    <t>O-III Roll-up Cells</t>
  </si>
  <si>
    <t>O-IV Roll-up Cells</t>
  </si>
  <si>
    <t>Delta</t>
  </si>
  <si>
    <t>Total Delta:</t>
  </si>
  <si>
    <t>Travel Costs</t>
  </si>
  <si>
    <t>Is a copy of the Consulting Agreement or other documentation included to support the proposed rate?</t>
  </si>
  <si>
    <t xml:space="preserve">Total Project Cost: </t>
  </si>
  <si>
    <t>Sub-task
Cost ($)</t>
  </si>
  <si>
    <t>Roll-up
Costs ($)</t>
  </si>
  <si>
    <t>Overview Instructions and Notes</t>
  </si>
  <si>
    <t>Cost Proposal - Option I</t>
  </si>
  <si>
    <t>Cost Proposal - Option III</t>
  </si>
  <si>
    <t>Cost Proposal - Option IV</t>
  </si>
  <si>
    <t>Cost Proposal - Flex Use (1)</t>
  </si>
  <si>
    <t>Cost Proposal - Flex Use (2)</t>
  </si>
  <si>
    <t>Cost Proposal - Option II</t>
  </si>
  <si>
    <t>Identify the topic response document</t>
  </si>
  <si>
    <t xml:space="preserve">* Note: Federal Acquisition Regulation provision 52.215-22 is incorporated into this solicitation by reference. The proposer is to exclude excessive pass-through charges from subcontractors. The proposer must identify in its proposal the percentage of effort it intends to perform and the percentage to be performed by each of its proposed subcontractors. If more than 70 percent of the total effort will be performed through subcontractors, the proposer must include the additional information required by the above-cited clause. </t>
  </si>
  <si>
    <t xml:space="preserve">Subcontracts/Interorganizational Transfers – all proposed subcontractors and all interorganizational transfer activities must provide a cost proposal just as detailed as the prime Proposer’s cost proposal submission, including support documentation. Subcontractor MS Excel cost proposal spreadsheets may be submitted directly to the Government by the proposed subcontractor via e-mail to the specified BAA mailbox or otherwise by per Contracting Officer. </t>
  </si>
  <si>
    <t>The prime contractor shall perform and provide a cost/price analysis of each subcontractor’s cost proposal. Proposers are required to obtain competition to the maximum extent practicable when selecting subcontractors. If the proposer has obtained competitive quotes, copies should be provided.  If the Proposer has selected other than the low bid for inclusion in their proposal or intends to award the subcontract on a sole-source basis, the proposer should provide rationale for their decision. For sole-sourced subcontracts, the prime contractor must provide a short sole-source justification.</t>
  </si>
  <si>
    <t>Contract</t>
  </si>
  <si>
    <t>Scope</t>
  </si>
  <si>
    <t>#</t>
  </si>
  <si>
    <t>Purpose of Use during Phase Proposed</t>
  </si>
  <si>
    <t>Select Phase #</t>
  </si>
  <si>
    <t>Total Hours</t>
  </si>
  <si>
    <t>Total Cost</t>
  </si>
  <si>
    <t>Summary</t>
  </si>
  <si>
    <t>&amp; Tot PoP (mo)</t>
  </si>
  <si>
    <t>months</t>
  </si>
  <si>
    <t xml:space="preserve">Phase # </t>
  </si>
  <si>
    <t>FY Period</t>
  </si>
  <si>
    <t>Check-Sum</t>
  </si>
  <si>
    <t>Competitive vs.
Sole Source</t>
  </si>
  <si>
    <t>Item Name</t>
  </si>
  <si>
    <t>Item Description</t>
  </si>
  <si>
    <r>
      <t xml:space="preserve">Basis of Estimate
</t>
    </r>
    <r>
      <rPr>
        <b/>
        <sz val="10"/>
        <color rgb="FFFF0000"/>
        <rFont val="Arial"/>
        <family val="2"/>
      </rPr>
      <t xml:space="preserve"> (Note 3)</t>
    </r>
  </si>
  <si>
    <t>FY Period Label</t>
  </si>
  <si>
    <t>Ref. Doc. #</t>
  </si>
  <si>
    <t>MAT001</t>
  </si>
  <si>
    <t>Summing Table Subtotal</t>
  </si>
  <si>
    <t>Summing Table Table Drop-down Pick List</t>
  </si>
  <si>
    <t xml:space="preserve">Material is property that may be incorporated into or attached to a deliverable end item or that may be consumed or expended in performing a contract.  It includes assemblies, components, parts, raw and processed materials, and small tools and supplies that may be consumed in normal use in performing a contract. Material should be proposed separately from Equipment. See the following spreadsheet and definitions. </t>
  </si>
  <si>
    <t>Extended Price ($)</t>
  </si>
  <si>
    <t>Unit
Price ($)</t>
  </si>
  <si>
    <t>Project Total:</t>
  </si>
  <si>
    <t>for unburdened Materials cost</t>
  </si>
  <si>
    <t>Data Validation Table (with respect to Phase Spreadsheet Data input)</t>
  </si>
  <si>
    <t>Below Content is for DARPA database comparative information.  Not used for TRMC T&amp;E/S&amp;T. Retained for future reference</t>
  </si>
  <si>
    <t>Labor Hrs</t>
  </si>
  <si>
    <t>Ph1 Hrs</t>
  </si>
  <si>
    <t>Identify primary tasks performed during this period by this labor grade/person.  If specific to an individual, identify name in the task activity.</t>
  </si>
  <si>
    <t>Example or
Intructions</t>
  </si>
  <si>
    <t>NOT INTENDED FOR USE UNLESS SPECIFIED OR REQUESTED ON A CASE BASIS.  If used, follow prior guidance.</t>
  </si>
  <si>
    <t>Ph 2 Hrs</t>
  </si>
  <si>
    <t>Workbook Change Instructions</t>
  </si>
  <si>
    <t xml:space="preserve">DO NOT add rows to worksheets without first understanding guidance in the 'Workbook Change Instructions' tab. Many workbooks need to be selected together when changes are made to keep formulas and links intact across the workbook. </t>
  </si>
  <si>
    <t>Read and follow explanatory information about workbook completion process.</t>
  </si>
  <si>
    <t>Workbook Change
Instructions</t>
  </si>
  <si>
    <t>The information collected in this tab is used throughout the workbook. After entering type business, the Proposer enters their corporate accounting fiscal year (FY) timeframe and designates the preferred name for six consecutive corparate fiscal years.  All labor and other cost information is entered in relation to a specific corporate FY per the submitted project schedule.  This is done to ensure indirect charges that apply over a specific corporate FY period are correctly applied to the time-phased costs.</t>
  </si>
  <si>
    <t>The Proposer's Preferred Label for each fiscal year period will appear on the Labor Rates, Indirect Rates, and all Cost Detail tabs.</t>
  </si>
  <si>
    <t>This workbook provides six proposer fiscal years, which is typically sufficient for TRMC efforts.  If you need more fiscal years (or accounting periods), use a second workbook to add the remaining needs -- do not attempt to add fiscal year periods to this workbook.</t>
  </si>
  <si>
    <t xml:space="preserve"> Indirect Rates</t>
  </si>
  <si>
    <t>Direct Labor Categories</t>
  </si>
  <si>
    <t>This tab is also used to provide a basis for the requirement for the use of the labor categories per amplified information discussed below.</t>
  </si>
  <si>
    <t>Provide narrative description of related qualifications, duties, and responsibilities that each labor category will perform. Also include concrete tasks that relate to overall phase objectives identified in the Technical Proposal and SOW.</t>
  </si>
  <si>
    <t>Note the requirements for justifying proposed rates and what costs they are applied against for verification.</t>
  </si>
  <si>
    <t>For each proposer fiscal year/accounting period, list each indirect rate your organization uses in this proposal.</t>
  </si>
  <si>
    <t>This tab provides guidance if you need to modify the workbook by adding rows on any tab,</t>
  </si>
  <si>
    <t>This tab will discuss conventions that should be used throughout the workbook.  Some may be specified for specified worksheets.</t>
  </si>
  <si>
    <t xml:space="preserve">•  For PRIME submission - Subcontractor Name: If there are subcontracts, list all subcontractor names.
•  Add descriptions in Column C if costs are entered in the following areas:  Fringe Benefits, Labor Overhead, Other Direct Costs (other types), Material Handling, General and Administrative, and Facilities Cost of Money.
•  Subcontracts/Interorganizational Transfers: If appropriate, place Subcontractor name(s) or Interorganizational Name/Code in Column C.
•  Consultants: If appropriate, place Consultant name(s) in Column C.  Running title will indicate when submission is from a prime, subcontractor or consultant.
</t>
  </si>
  <si>
    <t xml:space="preserve"> (Note 1)</t>
  </si>
  <si>
    <t xml:space="preserve">Profit or fee is not allowed on travel, Government entities or cost share contracts.  In addition, a DD Form 1547 (DFARS 215.404-70) will be utilized in calculating the Government objective for fee.  Fee is entered as a dollar amount for the work proposed.  The fee percentage is calculated based on total phase fee-bearing costs.  </t>
  </si>
  <si>
    <t>Note 5:</t>
  </si>
  <si>
    <t>(Note 5)</t>
  </si>
  <si>
    <t>Total FEE-BEARING Estimated Costs</t>
  </si>
  <si>
    <t xml:space="preserve">Calculated Fixed Fee: </t>
  </si>
  <si>
    <t>Total Estimated Costs less Travel Costs:</t>
  </si>
  <si>
    <t>You may choose to create links for the Fringe and Overhead rates entered on this tab to the appropriate cells in the 'Labor Rates' tab. There is no pre-set relationship between these tabs.</t>
  </si>
  <si>
    <t>Subcontractors, Consultants, Material, Equipment, 
Travel, ODC Details
 (separate tabs for each)</t>
  </si>
  <si>
    <t>Cost By Task</t>
  </si>
  <si>
    <t>Add a brief comment about each added tab in this section using this color font to draw attention to the Proposer's added content on this tab.</t>
  </si>
  <si>
    <t>Note 3 - A corporate Fiscal Year Begin Date should be one day after the Fiscal Year End Date of the prior fiscal year (or accounting period). Cells will turn red if this condition is not met.</t>
  </si>
  <si>
    <t>SCROLL STOP</t>
  </si>
  <si>
    <t>PoP (Mo)</t>
  </si>
  <si>
    <t>Proposer Use</t>
  </si>
  <si>
    <t>Phases must correlate to TRL level advancements.  No phase may exceed 24 months.</t>
  </si>
  <si>
    <t>Formula Update Legend</t>
  </si>
  <si>
    <t>Cell</t>
  </si>
  <si>
    <t>Proposer Accounting Data as Constants (used throughout this workbook)</t>
  </si>
  <si>
    <t>Proposer Accounting Data</t>
  </si>
  <si>
    <t xml:space="preserve">This is intended to help visually group cost elements in the correct timeframes. </t>
  </si>
  <si>
    <t xml:space="preserve">Note 1 - Throughout the workbook, the Proposer FY periods are consistently color-coded using the colors above.  </t>
  </si>
  <si>
    <t>Note 2 - Proposers should set the Period of Performance for the Base and each Option in cell C1 of the corresponding tabs.</t>
  </si>
  <si>
    <t xml:space="preserve">Add additional indirect rate category rows, if needed. </t>
  </si>
  <si>
    <t>Note 1</t>
  </si>
  <si>
    <r>
      <t>Basis of Rate (</t>
    </r>
    <r>
      <rPr>
        <b/>
        <sz val="12"/>
        <color rgb="FFFF0000"/>
        <rFont val="Calibri"/>
        <family val="2"/>
        <scheme val="minor"/>
      </rPr>
      <t>Note 2</t>
    </r>
    <r>
      <rPr>
        <b/>
        <sz val="12"/>
        <rFont val="Calibri"/>
        <family val="2"/>
        <scheme val="minor"/>
      </rPr>
      <t>)</t>
    </r>
  </si>
  <si>
    <t xml:space="preserve">Hint: </t>
  </si>
  <si>
    <t>Scroll Stop</t>
  </si>
  <si>
    <t xml:space="preserve">Identify primary tasks performed during this period by this labor grade/person.  If specific to an individual, identify name in the task.   
</t>
  </si>
  <si>
    <t>From completed
 'Base' tab</t>
  </si>
  <si>
    <t>From completed
 'O-I' tab</t>
  </si>
  <si>
    <t>From completed
 'O-II' tab</t>
  </si>
  <si>
    <t>From completed
 'O-III' tab</t>
  </si>
  <si>
    <t>From completed
 'O-IV' tab</t>
  </si>
  <si>
    <t>Indirect Rates</t>
  </si>
  <si>
    <t>Explanation of Formula Changes/Additions</t>
  </si>
  <si>
    <t>Cost Proposal - Option V</t>
  </si>
  <si>
    <t># of Hours</t>
  </si>
  <si>
    <t>Labor Subtotal ($)</t>
  </si>
  <si>
    <t>Total ($)</t>
  </si>
  <si>
    <t>Respective Phase Spreadsheet Cell's Data Entry</t>
  </si>
  <si>
    <t>CONS001</t>
  </si>
  <si>
    <r>
      <rPr>
        <b/>
        <i/>
        <sz val="10"/>
        <rFont val="Arial"/>
        <family val="2"/>
      </rPr>
      <t>60 data entry rows are created.</t>
    </r>
    <r>
      <rPr>
        <i/>
        <sz val="10"/>
        <rFont val="Arial"/>
        <family val="2"/>
      </rPr>
      <t xml:space="preserve"> Unhide rows as needed. </t>
    </r>
  </si>
  <si>
    <t>If more are needed, insert additional Material data entry rows above this line.  Copy formulas from adjacent rows.</t>
  </si>
  <si>
    <t>Total:</t>
  </si>
  <si>
    <t xml:space="preserve"> MATERIALS - SUPPLIES </t>
  </si>
  <si>
    <t>(Note 1)</t>
  </si>
  <si>
    <t>Cell below is percent fee on TOTAL Project</t>
  </si>
  <si>
    <t>Cell to the right is percent fee for Phase</t>
  </si>
  <si>
    <t>(Note2)</t>
  </si>
  <si>
    <t>Consultant Legal Entity Name (in Header)</t>
  </si>
  <si>
    <t>Consultant #1 Name:</t>
  </si>
  <si>
    <t>Consultant #2 Name:</t>
  </si>
  <si>
    <t>Consultant #3 Name:</t>
  </si>
  <si>
    <t>Consultant #4 Name:</t>
  </si>
  <si>
    <t>Consultant #5 Name:</t>
  </si>
  <si>
    <t>Consultant #6 Name:</t>
  </si>
  <si>
    <t>Brief description of effort to be performed by the Consultant or attach Consultant Statement of Work</t>
  </si>
  <si>
    <t>Grand Total for all Consultants</t>
  </si>
  <si>
    <r>
      <t>CONSULTANTS</t>
    </r>
    <r>
      <rPr>
        <b/>
        <i/>
        <sz val="12"/>
        <color rgb="FFFF0000"/>
        <rFont val="Arial"/>
        <family val="2"/>
      </rPr>
      <t xml:space="preserve"> </t>
    </r>
  </si>
  <si>
    <r>
      <t xml:space="preserve"> Y/N to Above
</t>
    </r>
    <r>
      <rPr>
        <b/>
        <sz val="10"/>
        <color rgb="FFFF0000"/>
        <rFont val="Arial"/>
        <family val="2"/>
      </rPr>
      <t>(Note 2)</t>
    </r>
  </si>
  <si>
    <t>In an attachment, provide all documentation to support the proposed rate. This can also include rationale assoctated with the need of the consultant and how the consultant(s) were selected.</t>
  </si>
  <si>
    <t>Reminder: Do not change labor categories or names in the Direct Labor section in these Cost Detail tabs.  All changes to labor categories and names must be done on previously discussed tabs.</t>
  </si>
  <si>
    <t>BASE (Phase 1)</t>
  </si>
  <si>
    <t>Option III (Phase 4)</t>
  </si>
  <si>
    <t>Option IV (Phase 5)</t>
  </si>
  <si>
    <t>Option V (Phase 6)</t>
  </si>
  <si>
    <t>TOTAL MOs:</t>
  </si>
  <si>
    <t>TOTAL FROM PROJ COST SUMMARY TAB:</t>
  </si>
  <si>
    <t xml:space="preserve"> Month # within Phase</t>
  </si>
  <si>
    <t>Month # within Phase</t>
  </si>
  <si>
    <t>Projected Expenditures:</t>
  </si>
  <si>
    <t>PoP</t>
  </si>
  <si>
    <t xml:space="preserve">PROJECT SPEND PLAN </t>
  </si>
  <si>
    <t>Validation Table Drop-down Pick List</t>
  </si>
  <si>
    <t>Base (Ph1)</t>
  </si>
  <si>
    <t>O-I (Ph2)</t>
  </si>
  <si>
    <t>O-II (Ph3)</t>
  </si>
  <si>
    <t>O-III (Ph4)</t>
  </si>
  <si>
    <t>O-IV (Ph5)</t>
  </si>
  <si>
    <t>O-V (Ph6)</t>
  </si>
  <si>
    <t>Trip #</t>
  </si>
  <si>
    <t># days at 75% M&amp;IE</t>
  </si>
  <si>
    <t>Lodging Rate</t>
  </si>
  <si>
    <t># days at 100% M&amp;IE</t>
  </si>
  <si>
    <t>RT Airfare/ Train Rate</t>
  </si>
  <si>
    <t>Total Airfare/ Train $ per Trip</t>
  </si>
  <si>
    <t>TOT DIRECT $ / TRIP</t>
  </si>
  <si>
    <t xml:space="preserve">Basis of Estimate 
(Provide brief rationale, elaborating in Cost Narrative, if needed)  </t>
  </si>
  <si>
    <t xml:space="preserve"> (Y/N)</t>
  </si>
  <si>
    <t>Subcontract Type (i.e., Fixed Price, Time and Materials, other)</t>
  </si>
  <si>
    <t xml:space="preserve">Is Cost/Price Analysis included </t>
  </si>
  <si>
    <t>(Y/N)</t>
  </si>
  <si>
    <t>Competitive / vs. Sole Source</t>
  </si>
  <si>
    <t>Y/N</t>
  </si>
  <si>
    <t xml:space="preserve">W900KK-22-R-0012 </t>
  </si>
  <si>
    <t>Workbook Purpose and Proposer Obligations:</t>
  </si>
  <si>
    <t>Completion of this cost proposal workbook per above with the Cost Narrative document enables a rapid cost/price analysis and, if your proposal is selected for award, expedited  negotiation and award execution.</t>
  </si>
  <si>
    <t xml:space="preserve">Enter below information for ues throughout workbook: </t>
  </si>
  <si>
    <t xml:space="preserve">Enter Periods of Performance (PoP) for Project </t>
  </si>
  <si>
    <t>INTRODUCTION / INITIALIZATION</t>
  </si>
  <si>
    <t>Contract Structure / Project Phasing</t>
  </si>
  <si>
    <t>The design and format in the attached worksheets assists Government personnel in the expedited review and evaluation of cost proposals concurrently submitted by multiple proposers. Proposers are reminded that the responsibility for providing adequate supporting data and attachments lies solely with them. Further, the proposer must also bear the burden of proof in establishing reasonableness of proposed costs; therefore, it is in the proposer’s best interest to submit a fully supportable and well-prepared cost proposal. The basis and rationale for all proposed costs should be provided as part of the proposal so that Government personnel can place reliance on the information as current, complete and accurate. Further, for procurement contracts, FAR 15.403-4 sets forth those circumstances in which proposers are required to submit certified cost or pricing data. This spreadsheet should be used for all cost proposals, regardless of award instrument: cooperative agreement, contract, or other transaction.</t>
  </si>
  <si>
    <t>List each indirect category required to complete the cost proposal. Add rows if additional indirect categories are required.</t>
  </si>
  <si>
    <r>
      <rPr>
        <b/>
        <sz val="14"/>
        <rFont val="Arial"/>
        <family val="2"/>
      </rPr>
      <t>Tab Color-coding Legend</t>
    </r>
    <r>
      <rPr>
        <sz val="12"/>
        <rFont val="Arial"/>
        <family val="2"/>
      </rPr>
      <t>:  Orange - Introductory/Informational // Green - Requisite set-up information for cost tables //  Purple - Cost Tables (requiring proposer input  Light purple - 'Flex' Cost tables for use only when directed - and normally hidden) // Sky Blue - Non-labor build-up worksheets for Subcontactors, Consultants, Materials, Equipment, ODCs (each a separate tab) requiring futher input into cost tables // Olive - other Cost/Projected Expenditure tabs (e.g. Project Cost Summary - no data entry required), Project Spend Plan, Cost by Task</t>
    </r>
    <r>
      <rPr>
        <sz val="12"/>
        <color rgb="FFFF0000"/>
        <rFont val="Arial"/>
        <family val="2"/>
      </rPr>
      <t xml:space="preserve"> </t>
    </r>
    <r>
      <rPr>
        <sz val="12"/>
        <rFont val="Arial"/>
        <family val="2"/>
      </rPr>
      <t>(used only when directed - and normally hidden))</t>
    </r>
    <r>
      <rPr>
        <sz val="12"/>
        <color rgb="FFFF0000"/>
        <rFont val="Arial"/>
        <family val="2"/>
      </rPr>
      <t xml:space="preserve">. </t>
    </r>
    <r>
      <rPr>
        <sz val="12"/>
        <rFont val="Arial"/>
        <family val="2"/>
      </rPr>
      <t xml:space="preserve">// Black - Any tabs created by the Proposer for amplification, calculations, or other uses.
</t>
    </r>
  </si>
  <si>
    <t>Data entered into YELLOW highlighted cells will automatically populate other relevant cells within that worksheet and other tabs.</t>
  </si>
  <si>
    <t>Enter requested data in light yellow cells.</t>
  </si>
  <si>
    <t>Summary of other Documentation/Documents Required for Award</t>
  </si>
  <si>
    <r>
      <t xml:space="preserve">Before proceeding to completing other tabs, read the 'General Instructions' tab contents for an overview on the use of each tab and workbook tab color-coding legend.  If a row, column, or worksheet in this workbook is not needed for your proposal, either ignore it or hide it; </t>
    </r>
    <r>
      <rPr>
        <b/>
        <sz val="12"/>
        <rFont val="Arial"/>
        <family val="2"/>
      </rPr>
      <t>do not delete it</t>
    </r>
    <r>
      <rPr>
        <sz val="12"/>
        <rFont val="Arial"/>
        <family val="2"/>
      </rPr>
      <t xml:space="preserve">. </t>
    </r>
  </si>
  <si>
    <t>(sub-component of ODCs above)</t>
  </si>
  <si>
    <t>Total Project Fee Percentage:</t>
  </si>
  <si>
    <r>
      <rPr>
        <b/>
        <sz val="12"/>
        <rFont val="Arial"/>
        <family val="2"/>
      </rPr>
      <t>Proposed Project Cost Summary by Cost Type</t>
    </r>
    <r>
      <rPr>
        <b/>
        <sz val="11"/>
        <rFont val="Arial"/>
        <family val="2"/>
      </rPr>
      <t xml:space="preserve"> </t>
    </r>
  </si>
  <si>
    <t>Proposed Project Cost Summary by Phase Execution</t>
  </si>
  <si>
    <t>(auto-populated from 'Project Cost Summary' tab)</t>
  </si>
  <si>
    <t>These instructions describe how to use this standardized Cost Proposal workbook to prepare an organization's cost proposal. These instructions do not replace or supersede cost proposal instructions given in the solicitation or announcement.</t>
  </si>
  <si>
    <r>
      <rPr>
        <u/>
        <sz val="12"/>
        <rFont val="Arial"/>
        <family val="2"/>
      </rPr>
      <t>DO NOT DELETE tabs, rows, or columns that exist in this template</t>
    </r>
    <r>
      <rPr>
        <sz val="12"/>
        <rFont val="Arial"/>
        <family val="2"/>
      </rPr>
      <t>. This will damage the structure of the workbook. If you don't want to see a tab, row, or column, use the Hide function.</t>
    </r>
  </si>
  <si>
    <t xml:space="preserve">Input your data in the YELLOW highlighted cells only. Existing data in yellow cells, if any, are provided as illustrative examples or instructions. Delete sample data before submission and populate YELLOW cells as needed.  </t>
  </si>
  <si>
    <t>Before entering any detailed proposal data, complete the yellow fields on the 'INTRODUCTION / INITILIALIZATION", 'Proposer Acct. Data, Project Direct Labor Description', 'Labor Rates', and 'Indirect Rates' tabs. On these green-colored tabs, the data sets are a prequisite for completion of other tabs.</t>
  </si>
  <si>
    <t>The Proposer is encouraged to create checksum tables where Proposer-created data sets must be transferred for entry into Base (Ph1), O-I (Ph2), O-II (Ph3), O-III (Ph4), O-IV (Ph5), O-V (Ph6), tabs (and Flex tabs, if used). Note that Flex tabs are normally hidden due to estimated infrequent use.</t>
  </si>
  <si>
    <t>Build-up (Sky Blue) workbooks typically do NOT have automatic data population into the phase cost tables.  Recommend creating/using a check-sum table in each build-up tab for the respective data populated in the applicable phase cost tables.</t>
  </si>
  <si>
    <t xml:space="preserve">Enter data associated with the applicable BAA #, Opportunity Notice #, TTA acronym, and each phase's period of performance in months. </t>
  </si>
  <si>
    <t>Note that the grey cells for Summary of Proposed Cost tables self-complete on this tab (via links from the Project Cost Summary tab).</t>
  </si>
  <si>
    <t>Identify the proposal ID # (typically specified in the request for proposal/solutions letter from the Contracting Officer).</t>
  </si>
  <si>
    <t xml:space="preserve">Enter type organization using drop-down menu.  If small business, include additional info when cell is activated. </t>
  </si>
  <si>
    <t>Each phase tab provides for inputs over six corporate accounting time periods to allow for rate changes for direct labor charges and changes in indirect rates over time.  For instance, an 18-month phase may be timed in execution such that the Contractor’s labor rates may change over three Contractor fiscal years. This allows for labor escalation to be shown plus any planned adjustments to indirect rates over the intended Phase Period of Performance.</t>
  </si>
  <si>
    <t xml:space="preserve">Note that Column C of this tab is where labor categories are identified and then used heavily throughout the remainder of the workbook. First list each labor category required for the entire project in this workbook to allow other tabs to properly populate. </t>
  </si>
  <si>
    <t xml:space="preserve">Also note that for each project phase, the labor hours are reflected (in formula cells) from the 'Project Cost Summary' tab. This provides an opportunity for technical review of responsibilities and activities proposed with respect to the calculated Level of Effort (LOE) in the phase cost tables. </t>
  </si>
  <si>
    <t xml:space="preserve">Enter the proposed cost detail for the Base and each Option period (as needed) on the tabs entitled, "Base (Ph1)", "O-I (Ph2)", "O-II - (Ph3)", O-III (Ph4)", "O-IV (Ph5)", and "O-V (Ph6)". The tab entitled, "Project Cost Summary" will automatically populate from the Base and Option tabs. Note that the term 'Phase' will be used throughout this document to represent the correlated programmatic execution of Base and Options. </t>
  </si>
  <si>
    <t>Input labor hours for each labor category (or further named individual) apportioned across the Proposer FY periods. Input costs for other categories.</t>
  </si>
  <si>
    <t xml:space="preserve">Workbook data is rolled up for summary costs in this tab.  No data should be directly entered on this tab.  Note required tab updates instructions under the 'INITIALIZATION' tab. </t>
  </si>
  <si>
    <t>Name or Number of People Billing</t>
  </si>
  <si>
    <r>
      <t xml:space="preserve">Note that FEE INPUT is performed at the phase summary level. Total Fixed Fee is input as a dollar amount and the fee percentage of costs are calculated from that.  </t>
    </r>
    <r>
      <rPr>
        <i/>
        <sz val="12"/>
        <rFont val="Arial"/>
        <family val="2"/>
      </rPr>
      <t>Note that Fee-bearing costs do NOT include travel costs. Fee percentage is based upon the fee bearing costs.</t>
    </r>
  </si>
  <si>
    <t xml:space="preserve">Material Section: For each material item listed, furnish substantiating cost verification information. THIS IS MANDATORY. Sufficient detail must be provided for each material itemized for the Government to ascertain its use during the proposed effort described in the Technical Proposal and SOW. Cost reasonableness should be addressed with appropriate explanations for cost assertions. Competitive pricing information is preferred for demonstrating cost reasonableness. See further guidance in the Materials/Supples tab. </t>
  </si>
  <si>
    <t>Travel Section: For all travel, attach all sources for cost verification and explain purpose for travel cost provided. Cost basis for trips may include use of travel web sites, airlines. See Joint Travel Regulations (JTR), OMB Circular A-21, and Joint Federal Travel Regulations (JFTR) for guidance as applicable.  More specific guidance is in the tab.</t>
  </si>
  <si>
    <t>ODC Section: List all ODCs and provide their supporting rationale/justification based on technical proposal and separately attached documentation for cost verification. Complete subcontractor and consultant proposals must be forwarded to the referenced Contract Specialist for rate verification. See above discussion regarding cost reasonableness.</t>
  </si>
  <si>
    <t>Input the planned monthly expenditures (rounded to whole dollar amount) for each proposed phase as displayed in the tab.</t>
  </si>
  <si>
    <t>TOTAL PLAN $:</t>
  </si>
  <si>
    <t>Check that the comment boxes below each Phase 'Total Plan $' row are green after all data is entered.  If red, address the discrepancy.</t>
  </si>
  <si>
    <t xml:space="preserve">This is used only if directed to do so or Proposer obtain permission to to so. This tab inputs all costs associated with eah sub-task that comprise a task. </t>
  </si>
  <si>
    <t xml:space="preserve">A data validation table is availble for entering phase cost entries to demonstrate costs are properly allocated within the entire document. </t>
  </si>
  <si>
    <t>Color-coding enables associating Proposer FYs with the sub-tasks to facilate ease of summing of tasks to Proposer FYs within each proposed phase.</t>
  </si>
  <si>
    <t>The Proposer may find value in creating a separate worksheet for explantions, amplificaion, calculations, or other purposes to improve compliance with the Cost Volume submission requirements. If so, create the needed tabs with a unique name for each and an explanation/purpose at the top of the tab.</t>
  </si>
  <si>
    <t xml:space="preserve">Expound on tasks summary using the Cost Narrative document with cross references to this tab and the applicable cells.  </t>
  </si>
  <si>
    <r>
      <t xml:space="preserve">Color-Codes for Sections (see </t>
    </r>
    <r>
      <rPr>
        <b/>
        <sz val="12"/>
        <color rgb="FFFF0000"/>
        <rFont val="Arial"/>
        <family val="2"/>
      </rPr>
      <t>Note 1</t>
    </r>
    <r>
      <rPr>
        <sz val="12"/>
        <rFont val="Arial"/>
        <family val="2"/>
      </rPr>
      <t>):</t>
    </r>
  </si>
  <si>
    <r>
      <t xml:space="preserve">Proposer's Preferred Label (see </t>
    </r>
    <r>
      <rPr>
        <b/>
        <sz val="12"/>
        <color rgb="FFFF0000"/>
        <rFont val="Arial"/>
        <family val="2"/>
      </rPr>
      <t>Note 2</t>
    </r>
    <r>
      <rPr>
        <sz val="12"/>
        <rFont val="Arial"/>
        <family val="2"/>
      </rPr>
      <t>):</t>
    </r>
  </si>
  <si>
    <r>
      <t xml:space="preserve">Corp. Fiscal Year Begin Date (see </t>
    </r>
    <r>
      <rPr>
        <b/>
        <sz val="12"/>
        <color rgb="FFFF0000"/>
        <rFont val="Arial"/>
        <family val="2"/>
      </rPr>
      <t>Note 3</t>
    </r>
    <r>
      <rPr>
        <sz val="12"/>
        <rFont val="Arial"/>
        <family val="2"/>
      </rPr>
      <t>):</t>
    </r>
  </si>
  <si>
    <r>
      <t xml:space="preserve">Corp. Fiscal Year End Date (see </t>
    </r>
    <r>
      <rPr>
        <b/>
        <sz val="12"/>
        <color rgb="FFFF0000"/>
        <rFont val="Arial"/>
        <family val="2"/>
      </rPr>
      <t>Note 3</t>
    </r>
    <r>
      <rPr>
        <sz val="12"/>
        <rFont val="Arial"/>
        <family val="2"/>
      </rPr>
      <t>):</t>
    </r>
  </si>
  <si>
    <r>
      <rPr>
        <b/>
        <sz val="12"/>
        <color rgb="FFFF0000"/>
        <rFont val="Arial"/>
        <family val="2"/>
      </rPr>
      <t>(Note 2)</t>
    </r>
    <r>
      <rPr>
        <b/>
        <sz val="12"/>
        <rFont val="Arial"/>
        <family val="2"/>
      </rPr>
      <t xml:space="preserve"> Major Tasks: Phase 1 (Base)</t>
    </r>
  </si>
  <si>
    <r>
      <rPr>
        <b/>
        <sz val="12"/>
        <color rgb="FFFF0000"/>
        <rFont val="Arial"/>
        <family val="2"/>
      </rPr>
      <t>(Note 2)</t>
    </r>
    <r>
      <rPr>
        <b/>
        <sz val="12"/>
        <rFont val="Arial"/>
        <family val="2"/>
      </rPr>
      <t xml:space="preserve"> Major Tasks: Phase 2 (O-I)</t>
    </r>
  </si>
  <si>
    <r>
      <rPr>
        <b/>
        <sz val="12"/>
        <color rgb="FFFF0000"/>
        <rFont val="Arial"/>
        <family val="2"/>
      </rPr>
      <t>(Note 2)</t>
    </r>
    <r>
      <rPr>
        <b/>
        <sz val="12"/>
        <rFont val="Arial"/>
        <family val="2"/>
      </rPr>
      <t xml:space="preserve"> Major Tasks: Phase 3 (O-II)</t>
    </r>
  </si>
  <si>
    <r>
      <rPr>
        <b/>
        <sz val="12"/>
        <color rgb="FFFF0000"/>
        <rFont val="Arial"/>
        <family val="2"/>
      </rPr>
      <t>(Note 2)</t>
    </r>
    <r>
      <rPr>
        <b/>
        <sz val="12"/>
        <rFont val="Arial"/>
        <family val="2"/>
      </rPr>
      <t xml:space="preserve"> Major Tasks: Phase 4 (O-III)</t>
    </r>
  </si>
  <si>
    <r>
      <rPr>
        <b/>
        <sz val="12"/>
        <color rgb="FFFF0000"/>
        <rFont val="Arial"/>
        <family val="2"/>
      </rPr>
      <t>(Note 2)</t>
    </r>
    <r>
      <rPr>
        <b/>
        <sz val="12"/>
        <rFont val="Arial"/>
        <family val="2"/>
      </rPr>
      <t xml:space="preserve"> Major Tasks: Phase 5 (O-IV)</t>
    </r>
  </si>
  <si>
    <r>
      <rPr>
        <b/>
        <sz val="12"/>
        <color rgb="FFFF0000"/>
        <rFont val="Arial"/>
        <family val="2"/>
      </rPr>
      <t>(Note 2)</t>
    </r>
    <r>
      <rPr>
        <b/>
        <sz val="12"/>
        <rFont val="Arial"/>
        <family val="2"/>
      </rPr>
      <t xml:space="preserve"> Major Tasks: Flex (if used)</t>
    </r>
  </si>
  <si>
    <r>
      <rPr>
        <b/>
        <sz val="12"/>
        <color rgb="FFFF0000"/>
        <rFont val="Arial"/>
        <family val="2"/>
      </rPr>
      <t>(Note 1)</t>
    </r>
    <r>
      <rPr>
        <b/>
        <sz val="12"/>
        <rFont val="Arial"/>
        <family val="2"/>
      </rPr>
      <t xml:space="preserve"> Labor Category Title</t>
    </r>
  </si>
  <si>
    <t>This is the source tab where each Labor Category Title is automatically pasted into Labor Rates, Summary and Phase Tabs for  Base (Ph1), O-I (Ph2), O-II (Ph3), O-III (Ph4), O-IV (Ph5),  O-V (Ph6), and Flex (if used).</t>
  </si>
  <si>
    <t xml:space="preserve">• To expedite workflow, consider linking these rates to the applicable cells in the phase cost build-up tabs for the Base and Options.  </t>
  </si>
  <si>
    <t>Confirm that any proposed personnel in the technical proposal should be identified with their labor category via link from labor rates tab.</t>
  </si>
  <si>
    <t>The Proposer Fiscal Years (accounting time periods) sown on Row 5 are defined on the 'Proposer Acct. Data' tab.  The months during the period of performance that these rates apply (Row 6) are also defined on the same tab.</t>
  </si>
  <si>
    <t>The values under Total Direct Labor "Hours" column indicate the total level of effort for the phase for each labor category.  This is summed from the Proposer's parsing these  hours between initial and subsequent rate Proposer FYs based on the respective time periods defined on the 'Proposer Acct. Data' tab.</t>
  </si>
  <si>
    <t>If rows need to be added to accommodate additional non-labor cost elements as discussed in the instrcutions above, follow guidance from the 'Workbook Change Instructions' tab, ensuring ALL affected workbook tabs are changed concurrently.</t>
  </si>
  <si>
    <t>Are Competitive Quotes or Sole Source Documentation Included?</t>
  </si>
  <si>
    <t>Data Below from 'Proposer Acct. Data' Tab</t>
  </si>
  <si>
    <t>Column Total</t>
  </si>
  <si>
    <t>Subcontractor Name</t>
  </si>
  <si>
    <t>Proposer FY Total</t>
  </si>
  <si>
    <t>O-I (Ph2) Roll-up</t>
  </si>
  <si>
    <t>Data Validation Table (with respect to Phase Cost Spreadsheet Data input)</t>
  </si>
  <si>
    <t>Base (Ph1) Total</t>
  </si>
  <si>
    <t>O-II (Ph3) Roll-up</t>
  </si>
  <si>
    <t>O-III (Ph4) Roll-up</t>
  </si>
  <si>
    <t>O-V (Ph6) Roll-up</t>
  </si>
  <si>
    <t>Note 3</t>
  </si>
  <si>
    <t xml:space="preserve">Note3: </t>
  </si>
  <si>
    <t>If a DELTA shows a number other than zero, a mismatch occurs between this tab and the phase cost tables tab</t>
  </si>
  <si>
    <t>EQUIPMENT</t>
  </si>
  <si>
    <t>Equipment Description</t>
  </si>
  <si>
    <r>
      <rPr>
        <b/>
        <sz val="10"/>
        <color rgb="FFFF0000"/>
        <rFont val="Arial"/>
        <family val="2"/>
      </rPr>
      <t>(Note 3)</t>
    </r>
    <r>
      <rPr>
        <b/>
        <sz val="10"/>
        <color indexed="8"/>
        <rFont val="Arial"/>
        <family val="2"/>
      </rPr>
      <t xml:space="preserve"> Supporting documentation has been provided?</t>
    </r>
  </si>
  <si>
    <r>
      <rPr>
        <b/>
        <sz val="10"/>
        <color rgb="FFFF0000"/>
        <rFont val="Arial"/>
        <family val="2"/>
      </rPr>
      <t>(Note 4)</t>
    </r>
    <r>
      <rPr>
        <b/>
        <sz val="10"/>
        <color indexed="8"/>
        <rFont val="Arial"/>
        <family val="2"/>
      </rPr>
      <t xml:space="preserve"> Supporting documentation has been provided?</t>
    </r>
  </si>
  <si>
    <t>Justification for Equipment Need</t>
  </si>
  <si>
    <t>Equipment Type</t>
  </si>
  <si>
    <t>Special Test</t>
  </si>
  <si>
    <t>Special Tooling</t>
  </si>
  <si>
    <t>General Purpose</t>
  </si>
  <si>
    <t>Plant Equipment</t>
  </si>
  <si>
    <t>Does this equipment become part of an award  deliverable item?</t>
  </si>
  <si>
    <t xml:space="preserve"> Y/N</t>
  </si>
  <si>
    <r>
      <t xml:space="preserve">Basis of Estimate
</t>
    </r>
    <r>
      <rPr>
        <b/>
        <sz val="10"/>
        <color rgb="FFFF0000"/>
        <rFont val="Arial"/>
        <family val="2"/>
      </rPr>
      <t xml:space="preserve"> (Note 4)</t>
    </r>
  </si>
  <si>
    <t>If more are needed, insert additional Material data entry rows above this line.</t>
  </si>
  <si>
    <t xml:space="preserve"> Copy formulas from adjacent rows.</t>
  </si>
  <si>
    <t>EQ001</t>
  </si>
  <si>
    <t xml:space="preserve">Special Test Equipment is defined as either single or multipurpose integrated test units engineered, designed, fabricated, or modified to accomplish special purpose testing in performing a contract.  It consists of items or assemblies of equipment including standard or general purpose items or components that are interconnected and interdependent so as to become a new functional entity for special testing purposes.  
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  
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 </t>
  </si>
  <si>
    <r>
      <t xml:space="preserve">Type of Equipment </t>
    </r>
    <r>
      <rPr>
        <b/>
        <sz val="10"/>
        <color rgb="FFFF0000"/>
        <rFont val="Arial"/>
        <family val="2"/>
      </rPr>
      <t>(Note 3 )</t>
    </r>
  </si>
  <si>
    <t>M&amp;IE Per Diem Rate /person</t>
  </si>
  <si>
    <t>Per Diem Days</t>
  </si>
  <si>
    <t>Per Diem Dollars</t>
  </si>
  <si>
    <t xml:space="preserve"># days Lodging </t>
  </si>
  <si>
    <t># Peeps</t>
  </si>
  <si>
    <t xml:space="preserve"> Rental $/day incl Taxes &amp; Fees</t>
  </si>
  <si>
    <t># of Cars @ 1-3 peeps per car</t>
  </si>
  <si>
    <t>Std POV Mileage Rate</t>
  </si>
  <si>
    <t>Est. # of RT Miles per Car</t>
  </si>
  <si>
    <t># of POVs</t>
  </si>
  <si>
    <t>Conf. Fees</t>
  </si>
  <si>
    <t xml:space="preserve">Other Exp. </t>
  </si>
  <si>
    <t>e.g. tolls, parking, rental gas, wi-fi</t>
  </si>
  <si>
    <t>Total POV Mileage $</t>
  </si>
  <si>
    <t>TOT DIRECT $ ALL TRIPS</t>
  </si>
  <si>
    <t xml:space="preserve">For each material item, this spreadsheet is designed to identify which phase and corporate FY the material purchase in planned based on estimated project start date. This is done by entering the correct drop-down menu item on each row using Columns C and D.  The Pick List  for the the drop-down menu selections is shown just above these notes.  The applicable corporate annual FY period use the values created by the proposer on the 'Proposer Acct. Data' tab.
The Summing Table is designed to capture the costs of the materials per their drop-down menu selections.  It allows the Proposer to create the combinations of Phase # and FY Period Label used in the materials list above. Upon selecting those used in the materials list, the extended price for every row that shares the same Column C and Column D selections are summed and displayed in Column D of the Summing Table.  Each Phase Cost tab spreadsheet has a cell to enter materials purchases within each of the applicable corporate FY periods. The proposer may link data in Column D of the Summing Table to the correct materials cost cell in the Phase Cost tab workbooks or enter the information manually.  Column F in this table is designed to reflect the value shown for the respective cell in the Phase costs spreadsheet and allow for a check-sum to be visualized for any discrepancies.  </t>
  </si>
  <si>
    <t>(Notes 1 and 2)</t>
  </si>
  <si>
    <t>OTHER DIRECT COSTS</t>
  </si>
  <si>
    <t>•  The Notes provide explanations on how to customize drop-down menus for listing materials and supplies within proposed project phases and corporate FY periods and use the summing function to suport transfer of data to the Phase tabs in the respective FY periods.
•  Fill out all columns on the Materials/Supplies Tab for each item.
•  40 rows can be unhidden for Material entry use.  If more are needed, add additional rows.
•  If there are no Materials for a Phase, ensure the Phase is labeled in Column C, leave Column D blank, and enter “N/A" in Column E.
•  Include supporting documentation for each entry with a unit cost over $5,000. Backup may consist of a vendor quote, past purchase order/invoice, information from a website, or a detailed explanation of labor and material costs for custom made items.
•  Clearly label Materials/Supplies backup with a Reference Document Number in the format of MAT000 starting with MAT001.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Materials/Supplies worksheet under the Reference Document Number column.
•  Ensure that vendors and descriptions listed on the Materials/Supplies spreadsheet match information provided in the backup.
•  Sequential number the Reference Documents so they match the Item number.  The item numbers should restarted for each new Phase.. For example, for the Base award, an Item number 1 should match MAT001. If there are 20 items in Phase 1, then for Phase 2 (or Option I) re-start the item numbering.  If the same items are purchased/expensed again in later phases than originally listed, there is no need to renumber or add additional back-up copies.  List the items sequentially in the later phase, but use the prior created  Reference Document Number. As an example, MAT010 could be used for Base item # 10, Option I item # 1 and Option II Item # 6.</t>
  </si>
  <si>
    <t>•  The Notes provide explanations on how to customize drop-down menus for listing materials and supplies within proposed project phases and corporate FY periods and use the summing function to suport transfer of data to the Phase tabs in the respective FY periods.
•  Fill out all columns on the Equipment tab for each item.
•  If more rows are needed, add additional rows.
•  If there are no Equipment purchases for a Phase, ensure the Phase is labeled in Column C, leave Column D blank, and enter “N/A” in Column E.
•  Include supporting documentation for each entry with a unit cost over $5,000. Backup may consist of a vendor quote, past purchase order/invoice, information from a website, or a detailed explanation of labor and material costs for custom made items.
•  Clearly  label equipment backup with a Reference Document Number in the format of EQ000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
•  Ensure that vendors and descriptions listed on the Equipment worksheet match information provided in the backup.
•  Sequential number the Reference Documents so they match the Item number.  The item numbers should restarted for each new Phase.. For example, for the Base award, an Item number 1 should match EQ001. If there are 20 items in Phase 1, then for Phase 2 (or Option I) re-start the item numbering.  If the same items are purchased/expensed again in later phases than originally listed, there is no need to renumber or add additional back-up copies.  List the items sequentially in the later phase, but use the prior creaated  Reference Document Number. As an example, EQ010 could be used for Base item # 10, Option I item # 1 and Option II Item # 6.</t>
  </si>
  <si>
    <t xml:space="preserve">When completing the “Origin” and “Final” Destination information, enter the city and state where travel will originate and end. For example, from Seattle WA to Washington DC. Do not list airport codes.
•  If there is no travel for a Phase, use the row just below the Phase header row, confirm the Phase is labeled in Column C, leave Column D blank, and enter “N/A” in Column E.
•  Include the trip purpose. It must be referred to in the Technical Proposal. Publications, conference attendance, and presentations are encouraged but must be justified to and approved by the Program Officer.
•  Remember that you cannot stay overnight the same number of days that you travel. There must always be one more day than night. 
•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
•  Do not combine any categories.
•  For lodging and M&amp;IE, use federal Per Diem Rates found at https://www.gsa.gov.
•  Submit backup for airfare and rental cars. Price airfare at economy rates; indicate if the airfare is refundable.
</t>
  </si>
  <si>
    <t>ODC001</t>
  </si>
  <si>
    <t>•  If you have any ODC entries, be sure to fill out all columns.
•  If there are no ODC's for a Phase, ensure the Phase is labeled in Column C, select 'None' for Column D, and enter “N/A" in Column E.  
• Include supporting documentation for each entry with unit cost over $5,000. Backup may consist of a vendor quote, past purchase order/invoice, information from a website, or a detailed explanation of labor and material costs for custom made items.
•  Label ODC backup clearly with a Reference Document Number in the format of ODC000 starting with ODC001. Place the Reference Document Number in the upper right hand side of the backup page. If there are several quotes on a page, make sure each desired item has a separate reference number placed to the left of the item on the backup page. The Reference Document Number must be listed next to the appropriate item on the ODC worksheet under the Reference Document Number column.
•  Ensure that descriptions and vendors listed on the ODC Details worksheet match information provided in the backup.
•  Sequential number the Reference Documents so they match the Item number.  The item numbers should restarted for each new Phase.. For example, for the Base award, an Item number 1 should match ODC001. If there are 20 items in Phase 1, then for Phase 2 (or Option I) re-start the item numbering.  If the same items are purchased/expensed again in later phases than originally listed, there is no need to renumber or add additional back-up copies.  List the items sequentially in the later phase, but use the prior created  Reference Document Number. As an example, ODC010 could be used for Base item # 10, Option I item # 1 and Option II Item # 6.</t>
  </si>
  <si>
    <t>If more are needed, insert additional ODC data entry rows above this line.  Copy formulas from adjacent rows.</t>
  </si>
  <si>
    <t>Summing Table Table
 Drop-down Pick List</t>
  </si>
  <si>
    <r>
      <rPr>
        <b/>
        <sz val="10"/>
        <color rgb="FFFF0000"/>
        <rFont val="Arial"/>
        <family val="2"/>
      </rPr>
      <t>(Note 2)</t>
    </r>
    <r>
      <rPr>
        <b/>
        <sz val="10"/>
        <color indexed="8"/>
        <rFont val="Arial"/>
        <family val="2"/>
      </rPr>
      <t xml:space="preserve"> Supporting documentation has been provided?</t>
    </r>
  </si>
  <si>
    <r>
      <t xml:space="preserve">Basis of Estimate
</t>
    </r>
    <r>
      <rPr>
        <b/>
        <sz val="10"/>
        <color rgb="FFFF0000"/>
        <rFont val="Arial"/>
        <family val="2"/>
      </rPr>
      <t xml:space="preserve"> (Note 2)</t>
    </r>
  </si>
  <si>
    <t>The contract base and options (or severable major milestones) are referred throughout this document per the Contract Structure/Project Phasing Table in the top right corner of this tab.  Successive Options are represented by 'O-I, O-II, O-III, O-IV, O-V).  If a Proposer needs more than 6 Phases, use another workbook to address the remaining needs.</t>
  </si>
  <si>
    <t># Hours</t>
  </si>
  <si>
    <t>Consultant Name</t>
  </si>
  <si>
    <t>Totals:</t>
  </si>
  <si>
    <r>
      <rPr>
        <b/>
        <i/>
        <sz val="10"/>
        <rFont val="Arial"/>
        <family val="2"/>
      </rPr>
      <t>6 consultant entity data entry sections are created.</t>
    </r>
    <r>
      <rPr>
        <i/>
        <sz val="10"/>
        <rFont val="Arial"/>
        <family val="2"/>
      </rPr>
      <t xml:space="preserve"> 3 are shown. Unhide rows as needed. </t>
    </r>
  </si>
  <si>
    <t>If more are needed, insert additional sections above this line.</t>
  </si>
  <si>
    <t>Respective Phase Cell's Data Entry</t>
  </si>
  <si>
    <t>Summing and Data Validation Table (with Phase Cost Table workbooks)</t>
  </si>
  <si>
    <t>Ph Hourly Rate</t>
  </si>
  <si>
    <r>
      <t xml:space="preserve">Basis of Estimate
</t>
    </r>
    <r>
      <rPr>
        <b/>
        <sz val="10"/>
        <color rgb="FFFF0000"/>
        <rFont val="Arial"/>
        <family val="2"/>
      </rPr>
      <t xml:space="preserve"> (Note 1)</t>
    </r>
  </si>
  <si>
    <t>Describe how and why the consultant was selected in the Cost Narrative.</t>
  </si>
  <si>
    <t>Phase Cell's Data Entry</t>
  </si>
  <si>
    <t>In addition to the instructions provided below, each tab may have additional guidance and instructions on it either at the top or bottom of the tab (or both).</t>
  </si>
  <si>
    <t xml:space="preserve">Provide cost quotes or estimates with justifications as directed for subcontractors, consultants, material, equipment, travel, and ODCs for the entire project.  Each of these categories has its own tab.  Tab specific instructions amplifies specific submission and data requiements.  </t>
  </si>
  <si>
    <t>Costs must also be apportioned across the respective Proposer FY period as labor is performed above.  Each of these tabs has tables to orvide details about the details of the respective items, but also includes another table to track how the data on the tab is represented in the Phase Cost Tables tabs as a cross check for information continuity. Instructions on the tabs provide more information.</t>
  </si>
  <si>
    <t>Equipment Section:  This is similar to the Materials section, but also requires justification for use of equipment as it is defined per the FAR on the tab.</t>
  </si>
  <si>
    <t>Subcontractor Section:  Provide requested information regarding each contractor.  Note the second table on the tab for cost allocation and Phase Cost Table data validation.</t>
  </si>
  <si>
    <t>Consultants Section:  Ths enables data input for consultant cost requirements correlated to scope.</t>
  </si>
  <si>
    <r>
      <t xml:space="preserve">•     The </t>
    </r>
    <r>
      <rPr>
        <u/>
        <sz val="12"/>
        <rFont val="Arial"/>
        <family val="2"/>
      </rPr>
      <t>instructions that follow apply to the tabs/worksheets that are colored green, purple, sky blue, and olive</t>
    </r>
    <r>
      <rPr>
        <sz val="12"/>
        <rFont val="Arial"/>
        <family val="2"/>
      </rPr>
      <t xml:space="preserve"> because these tabs are linked together using references and formulas.  The sky blue tabs, such as Subcontractor, Consultants, Travel, etc., provide space for cost proposal details, as required.  These tabs also contain tables to assimilate costs per the phase an Proposer FY period and a means to track data integrity between the sky blue data and the costs that mus be represented in the Phase Cost Tables tabs.</t>
    </r>
  </si>
  <si>
    <t>Phase Cost Tables:
Base, O-I, O-II,
O-III, O-IV, O-V</t>
  </si>
  <si>
    <t>Other than the Direct Labor section, the names or labels that appear in column C of the Base, Options, and Project Cost Summary tabs (after row 54) all come from Proposer entrries in Column C of the Base (Ph I) tab.  Enter/change ALL names/labels on the Base tab, even if that particular row is not used for the Base phase.  All Phase Cost Table tabs (and the Project Cost Summary tab should have the exact same rows.  For example, if you have a particular consultant that will only be involved in Option II, enter that consultant’s name on the Base tab but only enter that consultant’s costs on the Option II tab.</t>
  </si>
  <si>
    <r>
      <t xml:space="preserve">Phase Cost Tables Tabs </t>
    </r>
    <r>
      <rPr>
        <i/>
        <sz val="12"/>
        <rFont val="Arial"/>
        <family val="2"/>
      </rPr>
      <t xml:space="preserve"> (These include project Phases as identified by Base, Options, an Flex tabs)</t>
    </r>
  </si>
  <si>
    <t xml:space="preserve">•     This workbook is designed to handle the addition of rows.  It cannot handle the addition or removal of columns.  As you use the workbook, feel free to use the Excel 'Hide' function to hide rows or columns that seem excessive. </t>
  </si>
  <si>
    <t xml:space="preserve">•     Whenever an additional labor category row is needed (in addition to the 40 provided rows), a row must be added to all related worksheets.  The worksheets involved are: Direct labor Categories, Labor Rates, Project Cost Summary, and the Base, O-I, O-II, O-III, O-IV, O-V, and Flex worksheets.  </t>
  </si>
  <si>
    <t>Add Rows to obtain MORE Labor Categories</t>
  </si>
  <si>
    <t xml:space="preserve">First, select any one of the involved worksheets above, EXCEPT the Direct Labor Categories tab.  </t>
  </si>
  <si>
    <t>Holding down the Ctrl key, multi-select all of the other related worksheets tabs.  These tabs will remain selected as you execute steps 3 and 4.</t>
  </si>
  <si>
    <r>
      <rPr>
        <sz val="7"/>
        <rFont val="Arial"/>
        <family val="2"/>
      </rPr>
      <t xml:space="preserve"> </t>
    </r>
    <r>
      <rPr>
        <sz val="12"/>
        <rFont val="Arial"/>
        <family val="2"/>
      </rPr>
      <t>Highlight one or more rows in the Direct Labor section of the active worksheet. Right click on a highlighted row number and choose the Insert function.  This will insert one or more rows in all selected worksheets.</t>
    </r>
  </si>
  <si>
    <r>
      <t xml:space="preserve">Select the formula-populated row above the newly inserted blank rows. Using your mouse, grab the dark square in the lower </t>
    </r>
    <r>
      <rPr>
        <u/>
        <sz val="12"/>
        <rFont val="Arial"/>
        <family val="2"/>
      </rPr>
      <t>left</t>
    </r>
    <r>
      <rPr>
        <sz val="12"/>
        <rFont val="Arial"/>
        <family val="2"/>
      </rPr>
      <t xml:space="preserve"> corner of the column A cell.  Drag this down to cover all of the just-created blank rows.  This will copy all relevant formulas and formats down into the new rows in all selected worksheets.</t>
    </r>
  </si>
  <si>
    <t xml:space="preserve">DE-SELECT the involved worksheets by clicking any other (not currently selected) worksheet tab.  </t>
  </si>
  <si>
    <t>The Direct Labor Categories worksheet can have rows copied from the last row below it for the number needed. Follow step 4 above for this tab to ensure all formulas are updated.</t>
  </si>
  <si>
    <t>Step #</t>
  </si>
  <si>
    <t>Update both the Direct Labor Categories and Labor Rates tabs with requisite entries.</t>
  </si>
  <si>
    <r>
      <t>Ensure rows exist for all non-labor cost elements (based on content created in the Sky Blue tabs) by adding rows if necessary under the correct category, naming the source and entering the costs in the appropriate cells.   Ensure all indirect costs are associated with and are entered in the correct cells in the respective Proposer FY period.</t>
    </r>
    <r>
      <rPr>
        <i/>
        <sz val="12"/>
        <rFont val="Arial"/>
        <family val="2"/>
      </rPr>
      <t xml:space="preserve"> </t>
    </r>
    <r>
      <rPr>
        <b/>
        <i/>
        <sz val="12"/>
        <rFont val="Arial"/>
        <family val="2"/>
      </rPr>
      <t xml:space="preserve">Follow procedures in 'Workbook Change Instructions' tab if required to add rows for Phase Cost Tables tabs (and other data linked tabs). </t>
    </r>
  </si>
  <si>
    <r>
      <t>•      Ensure rows exist for all non-labor cost elements (based on content created in the Sky Blue tabs) by adding rows if necessary under the correct category, naming the source and entering the costs in the appropriate cells.   Ensure all indirect costs are associated with and are entered in the correct cells in the respective Proposer FY period.</t>
    </r>
    <r>
      <rPr>
        <i/>
        <sz val="12"/>
        <rFont val="Arial"/>
        <family val="2"/>
      </rPr>
      <t xml:space="preserve"> </t>
    </r>
    <r>
      <rPr>
        <b/>
        <i/>
        <sz val="12"/>
        <rFont val="Arial"/>
        <family val="2"/>
      </rPr>
      <t xml:space="preserve">Follow procedures below tab if required to add rows for Phase Cost Tables tabs (and other data linked tabs). </t>
    </r>
  </si>
  <si>
    <t>•     Whenever an additional cost category row is needed (in addition to the several provided rows), a row must be added to all related worksheets.  The worksheets involved are: Project Cost Summary, and the Base, O-I, O-II, O-III, O-IV, O-V, and Flex worksheets.  No direct labor-focused tabs are involved.</t>
  </si>
  <si>
    <t xml:space="preserve">First, select any one of the involved worksheets.  </t>
  </si>
  <si>
    <r>
      <t xml:space="preserve">•    All common row labels, such as Subcontractor names, Consultant names, and Indirect Rates, are pulled from the labels of the </t>
    </r>
    <r>
      <rPr>
        <b/>
        <i/>
        <sz val="12"/>
        <rFont val="Arial"/>
        <family val="2"/>
      </rPr>
      <t>Base worksheet</t>
    </r>
    <r>
      <rPr>
        <sz val="12"/>
        <rFont val="Arial"/>
        <family val="2"/>
      </rPr>
      <t>. This means that when you want to add a row for one Option, you need to add rows to all related worksheets.  For example, if you want a particular subcontractor to be involved only with Option 1, you need to name that subcontractor on the Base worksheet and leave all dollar amounts as zero for the Base period.</t>
    </r>
  </si>
  <si>
    <r>
      <t xml:space="preserve">Go to the </t>
    </r>
    <r>
      <rPr>
        <b/>
        <sz val="12"/>
        <rFont val="Arial"/>
        <family val="2"/>
      </rPr>
      <t>BASE tab</t>
    </r>
    <r>
      <rPr>
        <sz val="12"/>
        <rFont val="Arial"/>
        <family val="2"/>
      </rPr>
      <t xml:space="preserve"> and enter labels in column C for the newly inserted cost category rows. Changing the description on the Base worksheet also updates the description on the other worksheets.</t>
    </r>
  </si>
  <si>
    <t>Highlight one or more data rows in the relevant section of the active worksheet.  Do not highlight a Title row or a Total row.  Right click on a highlighted row number and select the Insert function.  This will insert one or more rows in all selected worksheets.</t>
  </si>
  <si>
    <t>Add Rows to provide for MORE Other Cost Category elements</t>
  </si>
  <si>
    <t>•      Proposers may add additional specific cost categories (Subcontractors, ODC types, etc.) as needed, but must ensure those new cost categories also track to the Project Cost Summary tabs. Follow the instructions below to add more rows.</t>
  </si>
  <si>
    <t>•     When you add rows to the spreadsheet, it must be done consistently for all related (and linked) worksheets.  The instructions below describe how to add rows for the Labor Rates and Cost Detail tabs.</t>
  </si>
  <si>
    <t>Sample color-coding is shown in this tab to demonstrate a recommended way to reflect which subtasks occur during a specific Proposer FY accounting period.  This is done to help visualize the  applicable costs and facilate creating sum formualas in the Data Validation Table on this tab (and/or the applicable cells on the Phase Cost Tables tabs).  A recommended convention is to color the sub-task number RED for the LAST sub-task in the Proposer FY accounting period and use the greater than symbols (&gt;&gt;&gt;&gt;) for th FIRST sub-task of the NEXT Proposer FY accounting period.  This allows for both the Proposer and Goverment to quickly validate data entry integrity if using linked formulas.</t>
  </si>
  <si>
    <t>Sample data from the Task Cost list above is shown populated in the Data Vaildation Table to show its use.  Also, the Roll-up Cells are links to the applicable Phase Cost Table tab cells where the required cost data is refected.  This allow for determining data integrity between the applicable worksheets. Check-sum cells indicate if issues exist.</t>
  </si>
  <si>
    <t>Proposer's Internal Proposal ID</t>
  </si>
  <si>
    <t xml:space="preserve">TRMC and ACC-Orlando are interested in your feedback on this updated cost proposal spreadsheet. If you have suggestions for improving this spreadsheet, please send an email to the specified email address in the BAA. </t>
  </si>
  <si>
    <t>Ph 3 Hrs</t>
  </si>
  <si>
    <t>Ph 4 Hrs</t>
  </si>
  <si>
    <r>
      <rPr>
        <b/>
        <sz val="12"/>
        <color rgb="FFFF0000"/>
        <rFont val="Arial"/>
        <family val="2"/>
      </rPr>
      <t>(Note 2)</t>
    </r>
    <r>
      <rPr>
        <b/>
        <sz val="12"/>
        <rFont val="Arial"/>
        <family val="2"/>
      </rPr>
      <t xml:space="preserve"> Major Tasks: Phase 6 (O-V)</t>
    </r>
  </si>
  <si>
    <t>Ph 6 Hrs</t>
  </si>
  <si>
    <t>From completed
 'O-V' tab</t>
  </si>
  <si>
    <t>Ph 5 Hrs</t>
  </si>
  <si>
    <t xml:space="preserve">If more Subcontractors are needed, add another entire row in the middle of the rows for both the table above and the entire row for each of the Phases in the Data Validation Table below. </t>
  </si>
  <si>
    <t>O-IV (Ph5) Roll-up</t>
  </si>
  <si>
    <t xml:space="preserve">Consultant data entry into each of the Phase worksheets, e.g. Base (Ph1) // O-I (Ph2), etc., includes entering # of hours and Consultant rate in each applicable Proposer FY for each phase of provided services.  The above structure allows for the entered data on this worksheet to provide ease for holistic analysis of the costing for consulting.  It also formats the needed information to allow for transfer into the Phase worksheets.  The Proposer may find it useful to update the respective cells in the Phase worksheets with links from respective data on this worksheet. 
The Summing and Data Validation Table is designed to capture the data from the above tabular entries per their drop-down menu selections.  It allows the Proposer to create the combinations of Phase # and FY Period Label used in the rows above. Upon selecting those used in the table above for each Consultant, the number of hours and total cost for every row that shares the same Column C and Column D selections are summed and displayed in Columns L and N respectively for hours billed and sub-total costs within the Summing Table.  Each Phase Cost tab spreadsheet has a cell to enter labor rate, hours, travel, costs, other costs, and total costs for each of the six corporate FY periods. The proposer may link data in Columns L and N of the Summing Table to the correct Consultant cost cells in the Phase Cost tab workbooks or enter the information manually.  Columns M and O in this table are designed to reflect the value shown for the respective cell in the Phase costs spreadsheet and allow for a check-sum to be visualized for any discrepancies.  To help confirm correct labor rate entries in Phase Cost tables, Column H can be used to link the information from the Phase Cost table, if desired.  This is an optional consideration. </t>
  </si>
  <si>
    <t>Respective Phase # Hrs Data Entry</t>
  </si>
  <si>
    <t xml:space="preserve">The Data Validation Table allows subcontractor costs within a phase and Proposer FY to be entered either on this page or the respective phase cost table table tab.  Recommend whichever cell is chose for direct data entry, the Proposer creates a link in the other cell to the cell with direct data entry.  For example, if the first subcontractor's phase 1 Proposer FY 1 date entry was in cell M58 of the Base (Ph1) tab, then cell P34 of this workbook would have a link created to cell M58. This allow data validation between this tab and the phase cost table tab because a link to the subcontractor totals for each phase are shown in the Data validation table for comparison. </t>
  </si>
  <si>
    <t xml:space="preserve">For each row of travel plans, this spreadsheet is designed to identify which phase and corporate FY the travel is planned based on estimated project start date. This is done by entering the correct drop-down menu item on each row using Columns C and D.  The applicable corporate annual FY period use the values created by the proposer on the 'Proposer Acct. Data' tab.
The Summing Table is designed to capture the costs of travel per their drop-down menu selections.  It allows the Proposer to create the combinations of Phase # and FY Period Label used in the travel list above. Upon selecting those used in the travel table, the extended price for every row that shares the same Column C and Column D selections are summed and displayed in Column E of the Summing Table.  Each Phase Cost tab spreadsheet has a cell to enter travel costs within each of the applicable corporate FY periods. The proposer may link data in Column E of the Summing Table to the correct travel cost cell in the Phase Cost tab workbooks or enter the information manually.  Column F in this table is designed to reflect the value shown for the respective cell in the Phase costs spreadsheet and allow for a check-sum to be visualized for any discrepancies.  </t>
  </si>
  <si>
    <t xml:space="preserve">For each row of ODC costs, this spreadsheet is designed to identify which phase and corporate FY the ODCs are planned based on estimated project start date. This is done by entering the correct drop-down menu item on each row using Columns C and D.  The applicable corporate annual FY period use the values created by the proposer on the 'Proposer Acct. Data' tab.
The Summing Table is designed to capture the costs of ODCs per their drop-down menu selections.  It allows the Proposer to create the combinations of Phase # and FY Period Label used in the ODC list above. Upon selecting those used in the ODC list, the extended price for every row that shares the same Column C and Column D selections are summed and displayed in Column E of the Summing Table.  Each Phase Cost tab spreadsheet has a cell to enter ODC costs within each of the applicable corporate FY periods. The proposer may link data in Column E of the Summing Table to the correct ODC cost cell in the Phase Cost tab workbooks or enter the information manually.  Column F in this table is designed to reflect the value shown for the respective cell in the Phase costs spreadsheet and allow for a check-sum to be visualized for any discrepancies.  </t>
  </si>
  <si>
    <t>For Proposer use as needed.  Create and label other tabs as required</t>
  </si>
  <si>
    <t xml:space="preserve">For each row of eqipment costs, this spreadsheet is designed to identify which phase and corporate FY the equipment is planned for purchase based on estimated project start date. This is done by entering the correct drop-down menu item on each row using Columns C and D.  The applicable corporate annual FY period use the values created by the proposer on the 'Proposer Acct. Data' tab.
The Summing Table is designed to capture the costs of equipment per their drop-down menu selections.  It allows the Proposer to create the combinations of Phase # and FY Period Label used in the equipment list above. Upon selecting those used in theequipment list, the extended price for every row that shares the same Column C and Column D selections are summed and displayed in Column E of the Summing Table.  Each Phase Cost tab spreadsheet has a cell to enter equipment costs within each of the applicable corporate FY periods. The proposer may link data in Column E of the Summing Table to the correct equipment cost cell in the Phase Cost tab workbooks or enter the information manually.  Column F in this table is designed to reflect the value shown for the respective cell in the Phase costs spreadsheet and allow for a check-sum to be visualized for any discrepancies.  </t>
  </si>
  <si>
    <t>fringe</t>
  </si>
  <si>
    <t>G&amp;A</t>
  </si>
  <si>
    <t>Matl OH</t>
  </si>
  <si>
    <t>labor OH</t>
  </si>
  <si>
    <r>
      <t xml:space="preserve">Grey cells have pre-formatted formulas in them to auto-populate data from other tabs and within the same tab. These formulas should not be changed unless there is specific reason to align with the Proposer's business practices. If any changes are made to grey cell formulas or new formulas are created, create a red outline for the cell as shown in cell B2 on this tab. Either use a comments field for the cell to explain the changes, or enter comments in a </t>
    </r>
    <r>
      <rPr>
        <i/>
        <sz val="12"/>
        <rFont val="Arial"/>
        <family val="2"/>
      </rPr>
      <t>'Formula Update Ledger'</t>
    </r>
    <r>
      <rPr>
        <sz val="12"/>
        <rFont val="Arial"/>
        <family val="2"/>
      </rPr>
      <t xml:space="preserve"> at the bottom of the same tab. A Proposer must contact the Contracting Officer to obtain a copy of the workbook if any of these cells need to be unlocked.      </t>
    </r>
  </si>
  <si>
    <t>Cell to the right is totap PoP in months</t>
  </si>
  <si>
    <t>• Rates are shown to six decimal places to support Cost of Money rate assessments.</t>
  </si>
  <si>
    <r>
      <rPr>
        <b/>
        <i/>
        <sz val="10"/>
        <rFont val="Arial"/>
        <family val="2"/>
      </rPr>
      <t>60 data entry rows are created.</t>
    </r>
    <r>
      <rPr>
        <i/>
        <sz val="10"/>
        <rFont val="Arial"/>
        <family val="2"/>
      </rPr>
      <t xml:space="preserve"> 30 are showiing. Unhide rows as needed. </t>
    </r>
  </si>
  <si>
    <r>
      <rPr>
        <b/>
        <i/>
        <sz val="10"/>
        <rFont val="Arial"/>
        <family val="2"/>
      </rPr>
      <t>8 trips/phase for all phases are created for data entry sections above.</t>
    </r>
    <r>
      <rPr>
        <i/>
        <sz val="10"/>
        <rFont val="Arial"/>
        <family val="2"/>
      </rPr>
      <t xml:space="preserve">  </t>
    </r>
  </si>
  <si>
    <t>If more are needed, insert additional rows where needed, copy formulas, and adjust Trip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</si>
</sst>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
    <numFmt numFmtId="165" formatCode="0.000%"/>
    <numFmt numFmtId="166" formatCode="&quot;$&quot;#,##0"/>
    <numFmt numFmtId="167" formatCode="_([$$-409]* #,##0.00_);_([$$-409]* \(#,##0.00\);_([$$-409]* &quot;-&quot;??_);_(@_)"/>
    <numFmt numFmtId="168" formatCode="mm/dd/yy;@"/>
    <numFmt numFmtId="169" formatCode="#,##0;[Red]#,##0"/>
    <numFmt numFmtId="170" formatCode="_(&quot;$&quot;* #,##0_);_(&quot;$&quot;* \(#,##0\);_(&quot;$&quot;* &quot;-&quot;??_);_(@_)"/>
    <numFmt numFmtId="171" formatCode="m/d/yy;@"/>
    <numFmt numFmtId="172" formatCode="&quot;$&quot;#,##0.000"/>
    <numFmt numFmtId="173" formatCode="#,##0.0"/>
    <numFmt numFmtId="175" formatCode="0.0"/>
    <numFmt numFmtId="176" formatCode="_(&quot;$&quot;* #,##0.0_);_(&quot;$&quot;* \(#,##0.0\);_(&quot;$&quot;* &quot;-&quot;??_);_(@_)"/>
    <numFmt numFmtId="177" formatCode="#,##0.0_);[Red]\(#,##0.0\)"/>
    <numFmt numFmtId="180" formatCode="0.000000%"/>
  </numFmts>
  <fonts count="105" x14ac:knownFonts="1">
    <font>
      <sz val="10"/>
      <name val="Arial"/>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Arial"/>
      <family val="2"/>
    </font>
    <font>
      <i/>
      <sz val="12"/>
      <name val="Calibri"/>
      <family val="2"/>
    </font>
    <font>
      <sz val="8"/>
      <name val="Verdana"/>
      <family val="2"/>
    </font>
    <font>
      <b/>
      <i/>
      <sz val="10"/>
      <name val="Arial"/>
      <family val="2"/>
    </font>
    <font>
      <b/>
      <sz val="12"/>
      <name val="Calibri"/>
      <family val="2"/>
      <scheme val="minor"/>
    </font>
    <font>
      <sz val="10"/>
      <name val="Calibri"/>
      <family val="2"/>
      <scheme val="minor"/>
    </font>
    <font>
      <sz val="12"/>
      <name val="Times New Roman"/>
      <family val="1"/>
    </font>
    <font>
      <b/>
      <sz val="9"/>
      <color rgb="FFFF0000"/>
      <name val="Arial"/>
      <family val="2"/>
    </font>
    <font>
      <b/>
      <sz val="12"/>
      <color rgb="FFFF0000"/>
      <name val="Calibri"/>
      <family val="2"/>
    </font>
    <font>
      <b/>
      <sz val="11"/>
      <name val="Arial"/>
      <family val="2"/>
    </font>
    <font>
      <b/>
      <sz val="14"/>
      <name val="Arial"/>
      <family val="2"/>
    </font>
    <font>
      <i/>
      <sz val="10"/>
      <name val="Arial"/>
      <family val="2"/>
    </font>
    <font>
      <i/>
      <sz val="11"/>
      <name val="Arial"/>
      <family val="2"/>
    </font>
    <font>
      <i/>
      <sz val="8"/>
      <name val="Arial"/>
      <family val="2"/>
    </font>
    <font>
      <sz val="10"/>
      <color rgb="FFFF0000"/>
      <name val="Arial"/>
      <family val="2"/>
    </font>
    <font>
      <b/>
      <sz val="9"/>
      <color indexed="81"/>
      <name val="Tahoma"/>
      <family val="2"/>
    </font>
    <font>
      <sz val="11"/>
      <name val="Arial"/>
      <family val="2"/>
    </font>
    <font>
      <sz val="10"/>
      <name val="Verdana"/>
      <family val="2"/>
    </font>
    <font>
      <sz val="12"/>
      <name val="Arial"/>
      <family val="2"/>
    </font>
    <font>
      <b/>
      <i/>
      <sz val="12"/>
      <name val="Arial"/>
      <family val="2"/>
    </font>
    <font>
      <i/>
      <sz val="12"/>
      <name val="Arial"/>
      <family val="2"/>
    </font>
    <font>
      <b/>
      <sz val="12"/>
      <name val="Arial"/>
      <family val="2"/>
    </font>
    <font>
      <sz val="12"/>
      <color indexed="8"/>
      <name val="Arial"/>
      <family val="2"/>
    </font>
    <font>
      <u/>
      <sz val="12"/>
      <name val="Arial"/>
      <family val="2"/>
    </font>
    <font>
      <sz val="10"/>
      <name val="Arial"/>
      <family val="2"/>
    </font>
    <font>
      <sz val="10"/>
      <color theme="0"/>
      <name val="Arial"/>
      <family val="2"/>
    </font>
    <font>
      <sz val="12"/>
      <color indexed="81"/>
      <name val="Tahoma"/>
      <family val="2"/>
    </font>
    <font>
      <sz val="7"/>
      <name val="Arial"/>
      <family val="2"/>
    </font>
    <font>
      <b/>
      <sz val="12"/>
      <color rgb="FFFF0000"/>
      <name val="Arial"/>
      <family val="2"/>
    </font>
    <font>
      <sz val="18"/>
      <color theme="1"/>
      <name val="Arial"/>
      <family val="2"/>
    </font>
    <font>
      <sz val="14"/>
      <color theme="1"/>
      <name val="Arial"/>
      <family val="2"/>
    </font>
    <font>
      <sz val="11"/>
      <color theme="1"/>
      <name val="Arial"/>
      <family val="2"/>
    </font>
    <font>
      <b/>
      <sz val="18"/>
      <color theme="0"/>
      <name val="Arial"/>
      <family val="2"/>
    </font>
    <font>
      <b/>
      <sz val="16"/>
      <color theme="1"/>
      <name val="Arial"/>
      <family val="2"/>
    </font>
    <font>
      <sz val="11"/>
      <color theme="0"/>
      <name val="Arial"/>
      <family val="2"/>
    </font>
    <font>
      <b/>
      <sz val="20"/>
      <name val="Arial"/>
      <family val="2"/>
    </font>
    <font>
      <b/>
      <sz val="18"/>
      <color theme="1"/>
      <name val="Arial"/>
      <family val="2"/>
    </font>
    <font>
      <b/>
      <sz val="11"/>
      <color theme="1"/>
      <name val="Arial"/>
      <family val="2"/>
    </font>
    <font>
      <b/>
      <sz val="20"/>
      <color theme="9" tint="-0.499984740745262"/>
      <name val="Arial"/>
      <family val="2"/>
    </font>
    <font>
      <b/>
      <i/>
      <sz val="11"/>
      <name val="Arial"/>
      <family val="2"/>
    </font>
    <font>
      <b/>
      <sz val="18"/>
      <color theme="4" tint="-0.499984740745262"/>
      <name val="Arial"/>
      <family val="2"/>
    </font>
    <font>
      <b/>
      <sz val="18"/>
      <color rgb="FFFF0000"/>
      <name val="Arial"/>
      <family val="2"/>
    </font>
    <font>
      <b/>
      <i/>
      <sz val="12"/>
      <color indexed="8"/>
      <name val="Arial"/>
      <family val="2"/>
    </font>
    <font>
      <b/>
      <i/>
      <sz val="12"/>
      <color rgb="FFFF0000"/>
      <name val="Arial"/>
      <family val="2"/>
    </font>
    <font>
      <sz val="14"/>
      <color indexed="8"/>
      <name val="Arial"/>
      <family val="2"/>
    </font>
    <font>
      <i/>
      <u/>
      <sz val="12"/>
      <name val="Arial"/>
      <family val="2"/>
    </font>
    <font>
      <sz val="14"/>
      <name val="Arial"/>
      <family val="2"/>
    </font>
    <font>
      <b/>
      <sz val="14"/>
      <color theme="1"/>
      <name val="Arial"/>
      <family val="2"/>
    </font>
    <font>
      <sz val="18"/>
      <color theme="0"/>
      <name val="Arial"/>
      <family val="2"/>
    </font>
    <font>
      <b/>
      <sz val="26"/>
      <name val="Arial"/>
      <family val="2"/>
    </font>
    <font>
      <sz val="12"/>
      <color rgb="FFFF0000"/>
      <name val="Arial"/>
      <family val="2"/>
    </font>
    <font>
      <b/>
      <sz val="10"/>
      <color rgb="FFFF0000"/>
      <name val="Arial"/>
      <family val="2"/>
    </font>
    <font>
      <b/>
      <sz val="10"/>
      <color indexed="8"/>
      <name val="Arial"/>
      <family val="2"/>
    </font>
    <font>
      <b/>
      <sz val="14"/>
      <color rgb="FFFF0000"/>
      <name val="Arial"/>
      <family val="2"/>
    </font>
    <font>
      <b/>
      <sz val="12"/>
      <color theme="0"/>
      <name val="Arial"/>
      <family val="2"/>
    </font>
    <font>
      <sz val="12"/>
      <color rgb="FF0000FF"/>
      <name val="Arial"/>
      <family val="2"/>
    </font>
    <font>
      <b/>
      <sz val="12"/>
      <color indexed="10"/>
      <name val="Arial"/>
      <family val="2"/>
    </font>
    <font>
      <sz val="9"/>
      <color rgb="FFFF0000"/>
      <name val="Arial"/>
      <family val="2"/>
    </font>
    <font>
      <b/>
      <sz val="12"/>
      <color rgb="FFFF0000"/>
      <name val="Calibri"/>
      <family val="2"/>
      <scheme val="minor"/>
    </font>
    <font>
      <b/>
      <i/>
      <sz val="14"/>
      <name val="Arial"/>
      <family val="2"/>
    </font>
    <font>
      <b/>
      <i/>
      <sz val="14"/>
      <color theme="0"/>
      <name val="Arial"/>
      <family val="2"/>
    </font>
    <font>
      <sz val="16"/>
      <color rgb="FFFF0000"/>
      <name val="Arial"/>
      <family val="2"/>
    </font>
    <font>
      <sz val="10"/>
      <name val="Arial"/>
      <family val="2"/>
    </font>
    <font>
      <b/>
      <sz val="11"/>
      <color rgb="FFFF0000"/>
      <name val="Arial"/>
      <family val="2"/>
    </font>
    <font>
      <sz val="11"/>
      <color theme="1"/>
      <name val="Arial Narrow"/>
      <family val="2"/>
    </font>
    <font>
      <sz val="11"/>
      <color theme="0"/>
      <name val="Arial Narrow"/>
      <family val="2"/>
    </font>
    <font>
      <sz val="11"/>
      <color rgb="FFFFCFAF"/>
      <name val="Arial"/>
      <family val="2"/>
    </font>
    <font>
      <sz val="11"/>
      <color rgb="FFFFCFAF"/>
      <name val="Arial Narrow"/>
      <family val="2"/>
    </font>
    <font>
      <sz val="11"/>
      <color rgb="FFFBE897"/>
      <name val="Arial"/>
      <family val="2"/>
    </font>
    <font>
      <sz val="11"/>
      <color rgb="FFFBE897"/>
      <name val="Arial Narrow"/>
      <family val="2"/>
    </font>
    <font>
      <sz val="11"/>
      <color rgb="FFB6DF89"/>
      <name val="Arial"/>
      <family val="2"/>
    </font>
    <font>
      <sz val="11"/>
      <color rgb="FFB6DF89"/>
      <name val="Arial Narrow"/>
      <family val="2"/>
    </font>
    <font>
      <sz val="11"/>
      <color rgb="FFA3D1FF"/>
      <name val="Arial"/>
      <family val="2"/>
    </font>
    <font>
      <sz val="11"/>
      <color rgb="FFA3D1FF"/>
      <name val="Arial Narrow"/>
      <family val="2"/>
    </font>
    <font>
      <sz val="11"/>
      <color rgb="FFDFC9FF"/>
      <name val="Arial"/>
      <family val="2"/>
    </font>
    <font>
      <sz val="11"/>
      <color rgb="FFDFC9FF"/>
      <name val="Arial Narrow"/>
      <family val="2"/>
    </font>
    <font>
      <sz val="16"/>
      <color theme="1"/>
      <name val="Arial"/>
      <family val="2"/>
    </font>
    <font>
      <b/>
      <i/>
      <sz val="14"/>
      <color theme="1"/>
      <name val="Arial"/>
      <family val="2"/>
    </font>
    <font>
      <sz val="10"/>
      <color rgb="FF0070C0"/>
      <name val="Arial"/>
      <family val="2"/>
    </font>
    <font>
      <sz val="10"/>
      <name val="Arial"/>
      <family val="2"/>
    </font>
    <font>
      <b/>
      <sz val="12"/>
      <color indexed="8"/>
      <name val="Arial"/>
      <family val="2"/>
    </font>
    <font>
      <b/>
      <sz val="12"/>
      <color rgb="FF000000"/>
      <name val="Arial"/>
      <family val="2"/>
    </font>
    <font>
      <b/>
      <i/>
      <sz val="11"/>
      <color theme="1"/>
      <name val="Arial"/>
      <family val="2"/>
    </font>
    <font>
      <i/>
      <sz val="11"/>
      <color theme="1"/>
      <name val="Arial"/>
      <family val="2"/>
    </font>
    <font>
      <b/>
      <sz val="16"/>
      <color theme="0"/>
      <name val="Arial"/>
      <family val="2"/>
    </font>
    <font>
      <b/>
      <sz val="14"/>
      <color theme="0"/>
      <name val="Arial"/>
      <family val="2"/>
    </font>
    <font>
      <sz val="14"/>
      <color theme="0"/>
      <name val="Arial"/>
      <family val="2"/>
    </font>
    <font>
      <b/>
      <sz val="11"/>
      <color theme="9" tint="-0.499984740745262"/>
      <name val="Arial"/>
      <family val="2"/>
    </font>
    <font>
      <b/>
      <sz val="11"/>
      <color theme="4" tint="-0.499984740745262"/>
      <name val="Arial"/>
      <family val="2"/>
    </font>
  </fonts>
  <fills count="52">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rgb="FFCCFFFF"/>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1" tint="0.249977111117893"/>
        <bgColor indexed="64"/>
      </patternFill>
    </fill>
    <fill>
      <patternFill patternType="solid">
        <fgColor rgb="FFFFFFAF"/>
        <bgColor indexed="64"/>
      </patternFill>
    </fill>
    <fill>
      <patternFill patternType="solid">
        <fgColor rgb="FF00B0F0"/>
        <bgColor indexed="64"/>
      </patternFill>
    </fill>
    <fill>
      <patternFill patternType="solid">
        <fgColor rgb="FFB1A0C7"/>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6795556505021"/>
        <bgColor indexed="64"/>
      </patternFill>
    </fill>
    <fill>
      <patternFill patternType="solid">
        <fgColor rgb="FFFFCDE1"/>
        <bgColor indexed="64"/>
      </patternFill>
    </fill>
    <fill>
      <patternFill patternType="solid">
        <fgColor rgb="FFFFCFAF"/>
        <bgColor indexed="64"/>
      </patternFill>
    </fill>
    <fill>
      <patternFill patternType="solid">
        <fgColor rgb="FFFBE897"/>
        <bgColor indexed="64"/>
      </patternFill>
    </fill>
    <fill>
      <patternFill patternType="solid">
        <fgColor rgb="FFC00000"/>
        <bgColor indexed="64"/>
      </patternFill>
    </fill>
    <fill>
      <patternFill patternType="solid">
        <fgColor rgb="FFFFCCCC"/>
        <bgColor indexed="64"/>
      </patternFill>
    </fill>
    <fill>
      <patternFill patternType="solid">
        <fgColor rgb="FFB6DF89"/>
        <bgColor indexed="64"/>
      </patternFill>
    </fill>
    <fill>
      <patternFill patternType="solid">
        <fgColor rgb="FFA3D1FF"/>
        <bgColor indexed="64"/>
      </patternFill>
    </fill>
    <fill>
      <patternFill patternType="solid">
        <fgColor rgb="FFDFC9FF"/>
        <bgColor indexed="64"/>
      </patternFill>
    </fill>
    <fill>
      <patternFill patternType="solid">
        <fgColor rgb="FFEBF1DE"/>
        <bgColor indexed="64"/>
      </patternFill>
    </fill>
    <fill>
      <patternFill patternType="solid">
        <fgColor rgb="FFDCE6F1"/>
        <bgColor indexed="64"/>
      </patternFill>
    </fill>
    <fill>
      <patternFill patternType="solid">
        <fgColor rgb="FF7030A0"/>
        <bgColor indexed="64"/>
      </patternFill>
    </fill>
    <fill>
      <patternFill patternType="solid">
        <fgColor rgb="FF404040"/>
        <bgColor indexed="64"/>
      </patternFill>
    </fill>
    <fill>
      <patternFill patternType="solid">
        <fgColor theme="5" tint="0.59999389629810485"/>
        <bgColor indexed="64"/>
      </patternFill>
    </fill>
    <fill>
      <patternFill patternType="solid">
        <fgColor theme="1"/>
        <bgColor indexed="64"/>
      </patternFill>
    </fill>
    <fill>
      <patternFill patternType="solid">
        <fgColor rgb="FFCDC800"/>
        <bgColor indexed="64"/>
      </patternFill>
    </fill>
    <fill>
      <patternFill patternType="solid">
        <fgColor rgb="FFE2C4A6"/>
        <bgColor indexed="64"/>
      </patternFill>
    </fill>
    <fill>
      <patternFill patternType="solid">
        <fgColor rgb="FF262626"/>
        <bgColor indexed="64"/>
      </patternFill>
    </fill>
    <fill>
      <patternFill patternType="solid">
        <fgColor rgb="FFFF0000"/>
        <bgColor indexed="64"/>
      </patternFill>
    </fill>
    <fill>
      <patternFill patternType="solid">
        <fgColor rgb="FFD8C5FF"/>
        <bgColor indexed="64"/>
      </patternFill>
    </fill>
    <fill>
      <patternFill patternType="solid">
        <fgColor rgb="FFE8D9F3"/>
        <bgColor indexed="64"/>
      </patternFill>
    </fill>
    <fill>
      <patternFill patternType="solid">
        <fgColor rgb="FF85E8FF"/>
        <bgColor indexed="64"/>
      </patternFill>
    </fill>
    <fill>
      <patternFill patternType="solid">
        <fgColor theme="1" tint="0.499984740745262"/>
        <bgColor indexed="64"/>
      </patternFill>
    </fill>
    <fill>
      <patternFill patternType="solid">
        <fgColor theme="6" tint="0.59999389629810485"/>
        <bgColor indexed="64"/>
      </patternFill>
    </fill>
    <fill>
      <patternFill patternType="solid">
        <fgColor rgb="FFFFD5FF"/>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double">
        <color indexed="64"/>
      </left>
      <right style="thick">
        <color indexed="64"/>
      </right>
      <top style="medium">
        <color indexed="64"/>
      </top>
      <bottom style="thin">
        <color indexed="64"/>
      </bottom>
      <diagonal/>
    </border>
    <border>
      <left style="double">
        <color indexed="64"/>
      </left>
      <right style="thick">
        <color indexed="64"/>
      </right>
      <top/>
      <bottom style="thin">
        <color indexed="64"/>
      </bottom>
      <diagonal/>
    </border>
    <border>
      <left style="double">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double">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medium">
        <color rgb="FFFF0000"/>
      </left>
      <right style="medium">
        <color rgb="FFFF0000"/>
      </right>
      <top style="medium">
        <color rgb="FFFF0000"/>
      </top>
      <bottom style="medium">
        <color rgb="FFFF0000"/>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ck">
        <color indexed="64"/>
      </left>
      <right style="medium">
        <color indexed="64"/>
      </right>
      <top/>
      <bottom/>
      <diagonal/>
    </border>
    <border>
      <left style="thick">
        <color indexed="64"/>
      </left>
      <right style="thin">
        <color indexed="64"/>
      </right>
      <top/>
      <bottom/>
      <diagonal/>
    </border>
    <border>
      <left style="thick">
        <color indexed="64"/>
      </left>
      <right style="medium">
        <color indexed="64"/>
      </right>
      <top style="thin">
        <color indexed="64"/>
      </top>
      <bottom/>
      <diagonal/>
    </border>
    <border>
      <left style="thin">
        <color indexed="64"/>
      </left>
      <right/>
      <top/>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bottom style="thin">
        <color indexed="64"/>
      </bottom>
      <diagonal/>
    </border>
    <border>
      <left style="thick">
        <color rgb="FFFF0000"/>
      </left>
      <right style="thick">
        <color rgb="FFFF0000"/>
      </right>
      <top style="thick">
        <color rgb="FFFF0000"/>
      </top>
      <bottom/>
      <diagonal/>
    </border>
    <border>
      <left style="medium">
        <color indexed="64"/>
      </left>
      <right style="thick">
        <color indexed="64"/>
      </right>
      <top style="medium">
        <color indexed="64"/>
      </top>
      <bottom style="medium">
        <color indexed="64"/>
      </bottom>
      <diagonal/>
    </border>
    <border>
      <left style="double">
        <color indexed="64"/>
      </left>
      <right style="thick">
        <color indexed="64"/>
      </right>
      <top style="medium">
        <color indexed="64"/>
      </top>
      <bottom style="medium">
        <color indexed="64"/>
      </bottom>
      <diagonal/>
    </border>
    <border>
      <left style="double">
        <color indexed="64"/>
      </left>
      <right style="thick">
        <color indexed="64"/>
      </right>
      <top style="thin">
        <color indexed="64"/>
      </top>
      <bottom/>
      <diagonal/>
    </border>
    <border>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dotted">
        <color indexed="64"/>
      </top>
      <bottom style="dotted">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s>
  <cellStyleXfs count="17">
    <xf numFmtId="0" fontId="0" fillId="0" borderId="0"/>
    <xf numFmtId="0" fontId="14" fillId="0" borderId="0"/>
    <xf numFmtId="0" fontId="14" fillId="0" borderId="0"/>
    <xf numFmtId="0" fontId="33" fillId="0" borderId="0"/>
    <xf numFmtId="0" fontId="1"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44" fontId="2" fillId="0" borderId="0" applyFont="0" applyFill="0" applyBorder="0" applyAlignment="0" applyProtection="0"/>
    <xf numFmtId="9" fontId="40"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4" fontId="78" fillId="0" borderId="0" applyFont="0" applyFill="0" applyBorder="0" applyAlignment="0" applyProtection="0"/>
    <xf numFmtId="0" fontId="47" fillId="0" borderId="0"/>
    <xf numFmtId="44" fontId="47" fillId="0" borderId="0" applyFont="0" applyFill="0" applyBorder="0" applyAlignment="0" applyProtection="0"/>
    <xf numFmtId="43" fontId="95" fillId="0" borderId="0" applyFont="0" applyFill="0" applyBorder="0" applyAlignment="0" applyProtection="0"/>
  </cellStyleXfs>
  <cellXfs count="1672">
    <xf numFmtId="0" fontId="0" fillId="0" borderId="0" xfId="0"/>
    <xf numFmtId="0" fontId="6" fillId="0" borderId="1" xfId="0" applyFont="1" applyBorder="1"/>
    <xf numFmtId="0" fontId="5" fillId="2" borderId="1" xfId="0" applyFont="1" applyFill="1" applyBorder="1" applyAlignment="1">
      <alignment vertical="top" wrapText="1"/>
    </xf>
    <xf numFmtId="0" fontId="5" fillId="2" borderId="1" xfId="0" applyFont="1" applyFill="1" applyBorder="1"/>
    <xf numFmtId="0" fontId="6" fillId="0" borderId="1" xfId="0" applyFont="1" applyFill="1" applyBorder="1" applyAlignment="1">
      <alignment vertical="top" wrapText="1"/>
    </xf>
    <xf numFmtId="165" fontId="6" fillId="0" borderId="1" xfId="0" applyNumberFormat="1" applyFont="1" applyBorder="1"/>
    <xf numFmtId="0" fontId="6" fillId="0" borderId="2" xfId="0" applyFont="1" applyBorder="1"/>
    <xf numFmtId="0" fontId="5" fillId="2" borderId="2" xfId="0" applyFont="1" applyFill="1" applyBorder="1"/>
    <xf numFmtId="0" fontId="6" fillId="0" borderId="5" xfId="0" applyFont="1" applyBorder="1"/>
    <xf numFmtId="3" fontId="5" fillId="2" borderId="5" xfId="0" applyNumberFormat="1" applyFont="1" applyFill="1" applyBorder="1"/>
    <xf numFmtId="166" fontId="6" fillId="0" borderId="5" xfId="0" applyNumberFormat="1" applyFont="1" applyBorder="1"/>
    <xf numFmtId="0" fontId="5" fillId="2" borderId="5" xfId="0" applyFont="1" applyFill="1" applyBorder="1"/>
    <xf numFmtId="0" fontId="6" fillId="3" borderId="1" xfId="0" applyFont="1" applyFill="1" applyBorder="1"/>
    <xf numFmtId="0" fontId="6" fillId="3" borderId="2" xfId="0" applyFont="1" applyFill="1" applyBorder="1"/>
    <xf numFmtId="0" fontId="5" fillId="0" borderId="5" xfId="0" applyFont="1" applyBorder="1"/>
    <xf numFmtId="0" fontId="5" fillId="3" borderId="5" xfId="0" applyFont="1" applyFill="1" applyBorder="1"/>
    <xf numFmtId="0" fontId="6" fillId="0" borderId="7" xfId="0" applyFont="1" applyBorder="1"/>
    <xf numFmtId="0" fontId="7" fillId="0" borderId="2" xfId="0" applyFont="1" applyBorder="1" applyAlignment="1">
      <alignment horizontal="center"/>
    </xf>
    <xf numFmtId="0" fontId="4" fillId="0" borderId="0" xfId="0" applyFont="1"/>
    <xf numFmtId="164" fontId="6" fillId="0" borderId="16" xfId="0" applyNumberFormat="1" applyFont="1" applyBorder="1"/>
    <xf numFmtId="164" fontId="5" fillId="2" borderId="16" xfId="0" applyNumberFormat="1" applyFont="1" applyFill="1" applyBorder="1"/>
    <xf numFmtId="0" fontId="5" fillId="0" borderId="18" xfId="0" applyFont="1" applyBorder="1"/>
    <xf numFmtId="0" fontId="5" fillId="4" borderId="19" xfId="0" applyFont="1" applyFill="1" applyBorder="1"/>
    <xf numFmtId="0" fontId="7" fillId="0" borderId="1" xfId="0" applyFont="1" applyBorder="1" applyAlignment="1">
      <alignment horizontal="left"/>
    </xf>
    <xf numFmtId="0" fontId="5" fillId="0" borderId="1" xfId="0" applyFont="1" applyFill="1" applyBorder="1"/>
    <xf numFmtId="0" fontId="6" fillId="0" borderId="1" xfId="0" applyFont="1" applyFill="1" applyBorder="1"/>
    <xf numFmtId="0" fontId="0" fillId="0" borderId="0" xfId="0" applyAlignment="1">
      <alignment horizontal="center"/>
    </xf>
    <xf numFmtId="0" fontId="0" fillId="0" borderId="0" xfId="0" applyBorder="1"/>
    <xf numFmtId="0" fontId="0" fillId="0" borderId="0" xfId="0" applyFill="1"/>
    <xf numFmtId="0" fontId="16" fillId="0" borderId="0" xfId="0" applyFont="1"/>
    <xf numFmtId="0" fontId="20" fillId="0" borderId="1" xfId="0" applyFont="1" applyBorder="1" applyAlignment="1">
      <alignment horizontal="center"/>
    </xf>
    <xf numFmtId="0" fontId="12" fillId="5" borderId="0" xfId="0" applyFont="1" applyFill="1"/>
    <xf numFmtId="0" fontId="17" fillId="5" borderId="0" xfId="0" applyFont="1" applyFill="1"/>
    <xf numFmtId="0" fontId="13" fillId="5" borderId="0" xfId="0" applyFont="1" applyFill="1"/>
    <xf numFmtId="0" fontId="0" fillId="5" borderId="0" xfId="0" applyFill="1"/>
    <xf numFmtId="0" fontId="2" fillId="0" borderId="0" xfId="0" applyFont="1"/>
    <xf numFmtId="0" fontId="8" fillId="0" borderId="2" xfId="0" applyFont="1" applyFill="1" applyBorder="1"/>
    <xf numFmtId="0" fontId="6" fillId="0" borderId="2" xfId="0" applyFont="1" applyFill="1" applyBorder="1"/>
    <xf numFmtId="0" fontId="6" fillId="9" borderId="2" xfId="0" applyFont="1" applyFill="1" applyBorder="1"/>
    <xf numFmtId="0" fontId="22" fillId="0" borderId="0" xfId="0" applyFont="1" applyAlignment="1">
      <alignment horizontal="justify" vertical="center"/>
    </xf>
    <xf numFmtId="0" fontId="4" fillId="0" borderId="0" xfId="0" applyFont="1" applyAlignment="1">
      <alignment horizontal="left" vertical="top"/>
    </xf>
    <xf numFmtId="0" fontId="23" fillId="0" borderId="14" xfId="0" applyFont="1" applyBorder="1"/>
    <xf numFmtId="0" fontId="13" fillId="0" borderId="0" xfId="0" applyFont="1" applyFill="1"/>
    <xf numFmtId="0" fontId="4" fillId="0" borderId="0" xfId="0" applyFont="1" applyFill="1" applyBorder="1"/>
    <xf numFmtId="0" fontId="4" fillId="0" borderId="0" xfId="0" applyFont="1"/>
    <xf numFmtId="0" fontId="22" fillId="0" borderId="0" xfId="0" applyFont="1" applyAlignment="1">
      <alignment horizontal="left" vertical="top"/>
    </xf>
    <xf numFmtId="0" fontId="13" fillId="0" borderId="0" xfId="0" applyFont="1"/>
    <xf numFmtId="0" fontId="4" fillId="0" borderId="0" xfId="0" applyFont="1" applyFill="1"/>
    <xf numFmtId="0" fontId="2" fillId="6" borderId="0" xfId="0" applyFont="1" applyFill="1"/>
    <xf numFmtId="0" fontId="12" fillId="0" borderId="0" xfId="0" applyFont="1" applyFill="1"/>
    <xf numFmtId="0" fontId="0" fillId="0" borderId="38" xfId="0" applyBorder="1"/>
    <xf numFmtId="0" fontId="0" fillId="0" borderId="0" xfId="0" applyFill="1" applyBorder="1"/>
    <xf numFmtId="0" fontId="27" fillId="0" borderId="27" xfId="0" applyFont="1" applyBorder="1" applyAlignment="1">
      <alignment horizontal="center"/>
    </xf>
    <xf numFmtId="0" fontId="2" fillId="0" borderId="0" xfId="0" applyFont="1" applyFill="1"/>
    <xf numFmtId="0" fontId="4" fillId="11" borderId="0" xfId="0" applyFont="1" applyFill="1"/>
    <xf numFmtId="0" fontId="4" fillId="12" borderId="0" xfId="0" applyFont="1" applyFill="1"/>
    <xf numFmtId="0" fontId="28" fillId="0" borderId="0" xfId="0" applyFont="1"/>
    <xf numFmtId="49" fontId="0" fillId="0" borderId="0" xfId="0" applyNumberFormat="1" applyAlignment="1">
      <alignment wrapText="1"/>
    </xf>
    <xf numFmtId="0" fontId="17" fillId="0" borderId="0" xfId="0" applyFont="1" applyFill="1"/>
    <xf numFmtId="0" fontId="27" fillId="0" borderId="0" xfId="0" applyFont="1"/>
    <xf numFmtId="0" fontId="30" fillId="0" borderId="0" xfId="0" applyFont="1"/>
    <xf numFmtId="0" fontId="5" fillId="2" borderId="1" xfId="0" applyNumberFormat="1" applyFont="1" applyFill="1" applyBorder="1" applyAlignment="1">
      <alignment vertical="top"/>
    </xf>
    <xf numFmtId="0" fontId="5" fillId="2" borderId="2" xfId="0" applyNumberFormat="1" applyFont="1" applyFill="1" applyBorder="1" applyAlignment="1"/>
    <xf numFmtId="164" fontId="6" fillId="13" borderId="1" xfId="0" applyNumberFormat="1" applyFont="1" applyFill="1" applyBorder="1" applyAlignment="1">
      <alignment horizontal="center"/>
    </xf>
    <xf numFmtId="165" fontId="6" fillId="0" borderId="2" xfId="0" applyNumberFormat="1" applyFont="1" applyBorder="1"/>
    <xf numFmtId="0" fontId="5" fillId="0" borderId="2" xfId="0" applyFont="1" applyFill="1" applyBorder="1"/>
    <xf numFmtId="49" fontId="6" fillId="0" borderId="5" xfId="0" applyNumberFormat="1" applyFont="1" applyBorder="1" applyAlignment="1">
      <alignment horizontal="center" wrapText="1"/>
    </xf>
    <xf numFmtId="49" fontId="7" fillId="0" borderId="1" xfId="0" applyNumberFormat="1" applyFont="1" applyBorder="1" applyAlignment="1">
      <alignment horizontal="center" wrapText="1"/>
    </xf>
    <xf numFmtId="49" fontId="7" fillId="0" borderId="2" xfId="0" applyNumberFormat="1" applyFont="1" applyBorder="1" applyAlignment="1">
      <alignment horizontal="center" wrapText="1"/>
    </xf>
    <xf numFmtId="49" fontId="0" fillId="0" borderId="0" xfId="0" applyNumberFormat="1" applyAlignment="1">
      <alignment horizontal="center" wrapText="1"/>
    </xf>
    <xf numFmtId="10" fontId="6" fillId="13" borderId="1" xfId="0" applyNumberFormat="1" applyFont="1" applyFill="1" applyBorder="1" applyAlignment="1">
      <alignment horizontal="center"/>
    </xf>
    <xf numFmtId="164" fontId="5" fillId="2" borderId="1" xfId="0" applyNumberFormat="1" applyFont="1" applyFill="1" applyBorder="1"/>
    <xf numFmtId="44" fontId="6" fillId="13" borderId="1" xfId="0" applyNumberFormat="1" applyFont="1" applyFill="1" applyBorder="1" applyAlignment="1">
      <alignment horizontal="center"/>
    </xf>
    <xf numFmtId="44" fontId="5" fillId="2" borderId="2" xfId="0" applyNumberFormat="1" applyFont="1" applyFill="1" applyBorder="1"/>
    <xf numFmtId="44" fontId="5" fillId="13" borderId="2" xfId="0" applyNumberFormat="1" applyFont="1" applyFill="1" applyBorder="1"/>
    <xf numFmtId="44" fontId="6" fillId="13" borderId="2" xfId="0" applyNumberFormat="1" applyFont="1" applyFill="1" applyBorder="1" applyAlignment="1">
      <alignment horizontal="center"/>
    </xf>
    <xf numFmtId="165" fontId="6" fillId="6" borderId="1" xfId="0" applyNumberFormat="1" applyFont="1" applyFill="1" applyBorder="1"/>
    <xf numFmtId="0" fontId="6" fillId="0" borderId="0" xfId="0" applyFont="1" applyFill="1"/>
    <xf numFmtId="3" fontId="5" fillId="2" borderId="29" xfId="0" applyNumberFormat="1" applyFont="1" applyFill="1" applyBorder="1"/>
    <xf numFmtId="0" fontId="6" fillId="0" borderId="29" xfId="0" applyFont="1" applyBorder="1"/>
    <xf numFmtId="166" fontId="6" fillId="0" borderId="29" xfId="0" applyNumberFormat="1" applyFont="1" applyBorder="1"/>
    <xf numFmtId="0" fontId="5" fillId="2" borderId="29" xfId="0" applyFont="1" applyFill="1" applyBorder="1"/>
    <xf numFmtId="0" fontId="5" fillId="0" borderId="29" xfId="0" applyFont="1" applyFill="1" applyBorder="1"/>
    <xf numFmtId="0" fontId="6" fillId="3" borderId="29" xfId="0" applyFont="1" applyFill="1" applyBorder="1"/>
    <xf numFmtId="44" fontId="6" fillId="13" borderId="29" xfId="0" applyNumberFormat="1" applyFont="1" applyFill="1" applyBorder="1"/>
    <xf numFmtId="42" fontId="5" fillId="2" borderId="50" xfId="0" applyNumberFormat="1" applyFont="1" applyFill="1" applyBorder="1"/>
    <xf numFmtId="42" fontId="6" fillId="0" borderId="50" xfId="0" applyNumberFormat="1" applyFont="1" applyBorder="1"/>
    <xf numFmtId="0" fontId="8" fillId="0" borderId="2" xfId="0" applyFont="1" applyFill="1" applyBorder="1" applyAlignment="1">
      <alignment horizontal="left"/>
    </xf>
    <xf numFmtId="0" fontId="11" fillId="0" borderId="2" xfId="0" applyFont="1" applyFill="1" applyBorder="1" applyAlignment="1">
      <alignment horizontal="center"/>
    </xf>
    <xf numFmtId="0" fontId="6" fillId="0" borderId="51" xfId="0" applyFont="1" applyBorder="1"/>
    <xf numFmtId="0" fontId="5" fillId="2" borderId="51" xfId="0" applyFont="1" applyFill="1" applyBorder="1"/>
    <xf numFmtId="42" fontId="6" fillId="13" borderId="50" xfId="0" applyNumberFormat="1" applyFont="1" applyFill="1" applyBorder="1"/>
    <xf numFmtId="42" fontId="6" fillId="0" borderId="6" xfId="0" applyNumberFormat="1" applyFont="1" applyBorder="1"/>
    <xf numFmtId="0" fontId="6" fillId="0" borderId="28" xfId="0" applyFont="1" applyBorder="1"/>
    <xf numFmtId="164" fontId="6" fillId="0" borderId="28" xfId="0" applyNumberFormat="1" applyFont="1" applyBorder="1"/>
    <xf numFmtId="164" fontId="5" fillId="2" borderId="28" xfId="0" applyNumberFormat="1" applyFont="1" applyFill="1" applyBorder="1"/>
    <xf numFmtId="164" fontId="5" fillId="0" borderId="28" xfId="0" applyNumberFormat="1" applyFont="1" applyFill="1" applyBorder="1"/>
    <xf numFmtId="164" fontId="6" fillId="0" borderId="28" xfId="0" applyNumberFormat="1" applyFont="1" applyFill="1" applyBorder="1"/>
    <xf numFmtId="164" fontId="6" fillId="3" borderId="28" xfId="0" applyNumberFormat="1" applyFont="1" applyFill="1" applyBorder="1"/>
    <xf numFmtId="0" fontId="4" fillId="0" borderId="0" xfId="0" applyFont="1"/>
    <xf numFmtId="0" fontId="6" fillId="14" borderId="29" xfId="0" applyFont="1" applyFill="1" applyBorder="1"/>
    <xf numFmtId="0" fontId="6" fillId="14" borderId="1" xfId="0" applyFont="1" applyFill="1" applyBorder="1"/>
    <xf numFmtId="0" fontId="6" fillId="14" borderId="2" xfId="0" applyFont="1" applyFill="1" applyBorder="1"/>
    <xf numFmtId="0" fontId="6" fillId="14" borderId="5" xfId="0" applyFont="1" applyFill="1" applyBorder="1"/>
    <xf numFmtId="165" fontId="6" fillId="14" borderId="2" xfId="0" applyNumberFormat="1" applyFont="1" applyFill="1" applyBorder="1"/>
    <xf numFmtId="165" fontId="6" fillId="14" borderId="14" xfId="0" applyNumberFormat="1" applyFont="1" applyFill="1" applyBorder="1"/>
    <xf numFmtId="166" fontId="6" fillId="14" borderId="29" xfId="0" applyNumberFormat="1" applyFont="1" applyFill="1" applyBorder="1"/>
    <xf numFmtId="0" fontId="5" fillId="15" borderId="5" xfId="0" applyFont="1" applyFill="1" applyBorder="1"/>
    <xf numFmtId="0" fontId="5" fillId="15" borderId="1" xfId="0" applyFont="1" applyFill="1" applyBorder="1"/>
    <xf numFmtId="0" fontId="5" fillId="15" borderId="2" xfId="0" applyFont="1" applyFill="1" applyBorder="1"/>
    <xf numFmtId="0" fontId="5" fillId="15" borderId="51" xfId="0" applyFont="1" applyFill="1" applyBorder="1"/>
    <xf numFmtId="0" fontId="5" fillId="15" borderId="29" xfId="0" applyFont="1" applyFill="1" applyBorder="1"/>
    <xf numFmtId="164" fontId="5" fillId="15" borderId="28" xfId="0" applyNumberFormat="1" applyFont="1" applyFill="1" applyBorder="1"/>
    <xf numFmtId="0" fontId="6" fillId="15" borderId="1" xfId="0" applyFont="1" applyFill="1" applyBorder="1"/>
    <xf numFmtId="0" fontId="6" fillId="15" borderId="2" xfId="0" applyFont="1" applyFill="1" applyBorder="1"/>
    <xf numFmtId="0" fontId="6" fillId="15" borderId="51" xfId="0" applyFont="1" applyFill="1" applyBorder="1"/>
    <xf numFmtId="0" fontId="6" fillId="15" borderId="29" xfId="0" applyFont="1" applyFill="1" applyBorder="1"/>
    <xf numFmtId="164" fontId="6" fillId="15" borderId="28" xfId="0" applyNumberFormat="1" applyFont="1" applyFill="1" applyBorder="1"/>
    <xf numFmtId="0" fontId="5" fillId="15" borderId="19" xfId="0" applyFont="1" applyFill="1" applyBorder="1"/>
    <xf numFmtId="0" fontId="5" fillId="15" borderId="20" xfId="0" applyFont="1" applyFill="1" applyBorder="1"/>
    <xf numFmtId="0" fontId="5" fillId="15" borderId="21" xfId="0" applyFont="1" applyFill="1" applyBorder="1"/>
    <xf numFmtId="0" fontId="5" fillId="15" borderId="40" xfId="0" applyFont="1" applyFill="1" applyBorder="1"/>
    <xf numFmtId="0" fontId="4" fillId="0" borderId="0" xfId="0" applyFont="1"/>
    <xf numFmtId="0" fontId="4" fillId="0" borderId="0" xfId="0" applyFont="1"/>
    <xf numFmtId="0" fontId="4" fillId="0" borderId="0" xfId="0" applyFont="1"/>
    <xf numFmtId="0" fontId="6" fillId="0" borderId="1" xfId="0" applyFont="1" applyBorder="1" applyAlignment="1">
      <alignment horizontal="right"/>
    </xf>
    <xf numFmtId="0" fontId="6" fillId="0" borderId="5" xfId="0" applyFont="1" applyBorder="1" applyAlignment="1">
      <alignment horizontal="right"/>
    </xf>
    <xf numFmtId="0" fontId="6" fillId="17" borderId="1" xfId="0" applyFont="1" applyFill="1" applyBorder="1" applyAlignment="1">
      <alignment vertical="top" wrapText="1"/>
    </xf>
    <xf numFmtId="0" fontId="4" fillId="0" borderId="0" xfId="0" applyFont="1" applyAlignment="1">
      <alignment wrapText="1"/>
    </xf>
    <xf numFmtId="0" fontId="4" fillId="0" borderId="0" xfId="0" applyFont="1" applyAlignment="1">
      <alignment vertical="top" wrapText="1"/>
    </xf>
    <xf numFmtId="0" fontId="4" fillId="0" borderId="0" xfId="0" applyFont="1"/>
    <xf numFmtId="49" fontId="32" fillId="0" borderId="0" xfId="0" applyNumberFormat="1" applyFont="1" applyAlignment="1">
      <alignment wrapText="1"/>
    </xf>
    <xf numFmtId="0" fontId="6" fillId="0" borderId="28" xfId="0" applyFont="1" applyBorder="1" applyAlignment="1">
      <alignment horizontal="right"/>
    </xf>
    <xf numFmtId="49" fontId="32" fillId="0" borderId="0" xfId="0" applyNumberFormat="1" applyFont="1"/>
    <xf numFmtId="0" fontId="4" fillId="0" borderId="0" xfId="0" applyFont="1"/>
    <xf numFmtId="0" fontId="0" fillId="0" borderId="0" xfId="0" applyAlignment="1">
      <alignment horizontal="right"/>
    </xf>
    <xf numFmtId="0" fontId="19" fillId="0" borderId="0" xfId="0" applyFont="1"/>
    <xf numFmtId="0" fontId="0" fillId="0" borderId="0" xfId="0" applyFill="1" applyAlignment="1">
      <alignment horizontal="right"/>
    </xf>
    <xf numFmtId="49" fontId="4" fillId="0" borderId="0" xfId="0" applyNumberFormat="1" applyFont="1" applyAlignment="1">
      <alignment wrapText="1"/>
    </xf>
    <xf numFmtId="49" fontId="2" fillId="0" borderId="0" xfId="0" applyNumberFormat="1" applyFont="1" applyFill="1"/>
    <xf numFmtId="49" fontId="4" fillId="0" borderId="0" xfId="0" applyNumberFormat="1" applyFont="1" applyFill="1"/>
    <xf numFmtId="0" fontId="13" fillId="0" borderId="0" xfId="0" applyFont="1"/>
    <xf numFmtId="0" fontId="34" fillId="0" borderId="0" xfId="0" applyFont="1" applyAlignment="1">
      <alignment horizontal="left"/>
    </xf>
    <xf numFmtId="0" fontId="34" fillId="0" borderId="0" xfId="0" applyFont="1"/>
    <xf numFmtId="0" fontId="36" fillId="0" borderId="0" xfId="0" applyFont="1"/>
    <xf numFmtId="0" fontId="37" fillId="0" borderId="0" xfId="0" applyFont="1"/>
    <xf numFmtId="0" fontId="34" fillId="0" borderId="0" xfId="0" applyFont="1" applyAlignment="1">
      <alignment wrapText="1"/>
    </xf>
    <xf numFmtId="0" fontId="34" fillId="0" borderId="0" xfId="0" applyFont="1" applyFill="1"/>
    <xf numFmtId="0" fontId="2" fillId="0" borderId="0" xfId="0" applyFont="1" applyAlignment="1">
      <alignment horizontal="left" wrapText="1"/>
    </xf>
    <xf numFmtId="0" fontId="2" fillId="0" borderId="0" xfId="0" applyFont="1" applyAlignment="1">
      <alignment horizontal="left" vertical="top" wrapText="1"/>
    </xf>
    <xf numFmtId="0" fontId="22" fillId="0" borderId="0" xfId="0" applyFont="1" applyAlignment="1">
      <alignment horizontal="left" vertical="top"/>
    </xf>
    <xf numFmtId="0" fontId="4" fillId="0" borderId="0" xfId="0" applyFont="1" applyAlignment="1">
      <alignment horizontal="left" vertical="top" wrapText="1"/>
    </xf>
    <xf numFmtId="49" fontId="4" fillId="0" borderId="0" xfId="0" applyNumberFormat="1" applyFont="1" applyAlignment="1">
      <alignment wrapText="1"/>
    </xf>
    <xf numFmtId="0" fontId="4" fillId="0" borderId="0" xfId="0" applyFont="1" applyAlignment="1"/>
    <xf numFmtId="0" fontId="2" fillId="0" borderId="0" xfId="0" applyFont="1" applyAlignment="1">
      <alignment horizontal="left" vertical="top"/>
    </xf>
    <xf numFmtId="0" fontId="2" fillId="0" borderId="0" xfId="0" applyFont="1" applyAlignment="1">
      <alignment vertical="top"/>
    </xf>
    <xf numFmtId="0" fontId="2" fillId="0" borderId="0" xfId="10" applyFont="1" applyProtection="1"/>
    <xf numFmtId="0" fontId="2" fillId="0" borderId="0" xfId="10" applyFont="1" applyAlignment="1" applyProtection="1">
      <alignment horizontal="center"/>
    </xf>
    <xf numFmtId="0" fontId="2" fillId="0" borderId="0" xfId="10" applyFont="1" applyAlignment="1" applyProtection="1">
      <alignment wrapText="1"/>
    </xf>
    <xf numFmtId="0" fontId="2" fillId="0" borderId="0" xfId="10" applyFont="1" applyAlignment="1" applyProtection="1">
      <alignment horizontal="center" vertical="center"/>
    </xf>
    <xf numFmtId="0" fontId="2" fillId="0" borderId="0" xfId="10" applyFont="1" applyFill="1" applyBorder="1" applyProtection="1"/>
    <xf numFmtId="0" fontId="2" fillId="0" borderId="0" xfId="10" applyFont="1" applyFill="1" applyBorder="1" applyAlignment="1" applyProtection="1">
      <alignment horizontal="center"/>
    </xf>
    <xf numFmtId="0" fontId="2" fillId="0" borderId="0" xfId="10" applyFont="1" applyFill="1" applyBorder="1" applyAlignment="1" applyProtection="1">
      <alignment wrapText="1"/>
    </xf>
    <xf numFmtId="0" fontId="2" fillId="0" borderId="0" xfId="10" applyFont="1" applyFill="1" applyBorder="1" applyAlignment="1" applyProtection="1">
      <alignment horizontal="center" vertical="center"/>
    </xf>
    <xf numFmtId="0" fontId="2" fillId="0" borderId="0" xfId="10" applyFont="1" applyFill="1" applyBorder="1" applyAlignment="1" applyProtection="1">
      <alignment vertical="top" wrapText="1"/>
    </xf>
    <xf numFmtId="0" fontId="2" fillId="0" borderId="0" xfId="10" applyFont="1" applyFill="1" applyBorder="1" applyAlignment="1" applyProtection="1"/>
    <xf numFmtId="0" fontId="2" fillId="0" borderId="0" xfId="10" applyFont="1" applyAlignment="1" applyProtection="1">
      <alignment horizontal="left" vertical="center"/>
    </xf>
    <xf numFmtId="14" fontId="2" fillId="0" borderId="0" xfId="10" applyNumberFormat="1" applyFont="1" applyAlignment="1" applyProtection="1">
      <alignment horizontal="center"/>
    </xf>
    <xf numFmtId="14" fontId="2" fillId="0" borderId="0" xfId="10" applyNumberFormat="1" applyFont="1" applyAlignment="1" applyProtection="1">
      <alignment horizontal="left" vertical="center"/>
    </xf>
    <xf numFmtId="0" fontId="2" fillId="0" borderId="0" xfId="10" applyFont="1" applyAlignment="1" applyProtection="1">
      <alignment horizontal="left" wrapText="1"/>
    </xf>
    <xf numFmtId="0" fontId="19" fillId="0" borderId="0" xfId="10" applyFont="1" applyAlignment="1" applyProtection="1">
      <alignment horizontal="center" vertical="center"/>
    </xf>
    <xf numFmtId="1" fontId="19" fillId="0" borderId="56" xfId="0" applyNumberFormat="1" applyFont="1" applyFill="1" applyBorder="1" applyAlignment="1" applyProtection="1">
      <alignment horizontal="center" vertical="center" wrapText="1" readingOrder="1"/>
    </xf>
    <xf numFmtId="1" fontId="37" fillId="27" borderId="8" xfId="0" applyNumberFormat="1" applyFont="1" applyFill="1" applyBorder="1" applyAlignment="1" applyProtection="1">
      <alignment horizontal="center" vertical="top" textRotation="255" wrapText="1" readingOrder="1"/>
    </xf>
    <xf numFmtId="1" fontId="37" fillId="27" borderId="10" xfId="0" applyNumberFormat="1" applyFont="1" applyFill="1" applyBorder="1" applyAlignment="1" applyProtection="1">
      <alignment horizontal="center" vertical="top" wrapText="1" readingOrder="1"/>
    </xf>
    <xf numFmtId="1" fontId="37" fillId="27" borderId="1" xfId="0" applyNumberFormat="1" applyFont="1" applyFill="1" applyBorder="1" applyAlignment="1" applyProtection="1">
      <alignment horizontal="center" vertical="top" wrapText="1" readingOrder="1"/>
    </xf>
    <xf numFmtId="1" fontId="34" fillId="0" borderId="0" xfId="0" applyNumberFormat="1" applyFont="1" applyFill="1" applyBorder="1" applyAlignment="1" applyProtection="1">
      <alignment horizontal="center" vertical="top" textRotation="90" wrapText="1" readingOrder="1"/>
    </xf>
    <xf numFmtId="0" fontId="4" fillId="0" borderId="0" xfId="0" applyFont="1" applyBorder="1" applyAlignment="1">
      <alignment horizontal="center" wrapText="1"/>
    </xf>
    <xf numFmtId="167" fontId="0" fillId="22" borderId="1" xfId="0" applyNumberFormat="1" applyFill="1" applyBorder="1"/>
    <xf numFmtId="10" fontId="0" fillId="22" borderId="1" xfId="0" applyNumberFormat="1" applyFill="1" applyBorder="1"/>
    <xf numFmtId="0" fontId="5" fillId="2" borderId="28" xfId="0" applyFont="1" applyFill="1" applyBorder="1"/>
    <xf numFmtId="0" fontId="7" fillId="0" borderId="28" xfId="0" applyFont="1" applyBorder="1" applyAlignment="1">
      <alignment horizontal="center"/>
    </xf>
    <xf numFmtId="0" fontId="8" fillId="0" borderId="28" xfId="0" applyFont="1" applyFill="1" applyBorder="1" applyAlignment="1">
      <alignment horizontal="left"/>
    </xf>
    <xf numFmtId="0" fontId="6" fillId="9" borderId="28" xfId="0" applyFont="1" applyFill="1" applyBorder="1"/>
    <xf numFmtId="0" fontId="11" fillId="0" borderId="28" xfId="0" applyFont="1" applyFill="1" applyBorder="1" applyAlignment="1">
      <alignment horizontal="center"/>
    </xf>
    <xf numFmtId="0" fontId="8" fillId="0" borderId="28" xfId="0" applyFont="1" applyFill="1" applyBorder="1"/>
    <xf numFmtId="0" fontId="6" fillId="0" borderId="28" xfId="0" applyFont="1" applyFill="1" applyBorder="1"/>
    <xf numFmtId="0" fontId="5" fillId="15" borderId="28" xfId="0" applyFont="1" applyFill="1" applyBorder="1"/>
    <xf numFmtId="0" fontId="6" fillId="15" borderId="28" xfId="0" applyFont="1" applyFill="1" applyBorder="1"/>
    <xf numFmtId="0" fontId="25" fillId="29" borderId="38" xfId="11" applyFont="1" applyFill="1" applyBorder="1" applyAlignment="1">
      <alignment horizontal="center"/>
    </xf>
    <xf numFmtId="0" fontId="25" fillId="30" borderId="38" xfId="11" applyFont="1" applyFill="1" applyBorder="1" applyAlignment="1">
      <alignment horizontal="center"/>
    </xf>
    <xf numFmtId="0" fontId="25" fillId="33" borderId="38" xfId="11" applyFont="1" applyFill="1" applyBorder="1" applyAlignment="1">
      <alignment horizontal="center"/>
    </xf>
    <xf numFmtId="0" fontId="25" fillId="34" borderId="38" xfId="11" applyFont="1" applyFill="1" applyBorder="1" applyAlignment="1">
      <alignment horizontal="center"/>
    </xf>
    <xf numFmtId="0" fontId="25" fillId="35" borderId="38" xfId="11" applyFont="1" applyFill="1" applyBorder="1" applyAlignment="1">
      <alignment horizontal="center"/>
    </xf>
    <xf numFmtId="0" fontId="28" fillId="28" borderId="10" xfId="11" applyFont="1" applyFill="1" applyBorder="1" applyAlignment="1">
      <alignment horizontal="center"/>
    </xf>
    <xf numFmtId="0" fontId="27" fillId="29" borderId="10" xfId="11" applyFont="1" applyFill="1" applyBorder="1" applyAlignment="1">
      <alignment horizontal="center"/>
    </xf>
    <xf numFmtId="0" fontId="28" fillId="29" borderId="10" xfId="11" applyFont="1" applyFill="1" applyBorder="1" applyAlignment="1">
      <alignment horizontal="center"/>
    </xf>
    <xf numFmtId="0" fontId="27" fillId="30" borderId="10" xfId="11" applyFont="1" applyFill="1" applyBorder="1" applyAlignment="1">
      <alignment horizontal="center"/>
    </xf>
    <xf numFmtId="0" fontId="28" fillId="30" borderId="10" xfId="11" applyFont="1" applyFill="1" applyBorder="1" applyAlignment="1">
      <alignment horizontal="center"/>
    </xf>
    <xf numFmtId="0" fontId="27" fillId="33" borderId="10" xfId="11" applyFont="1" applyFill="1" applyBorder="1" applyAlignment="1">
      <alignment horizontal="center"/>
    </xf>
    <xf numFmtId="0" fontId="28" fillId="33" borderId="10" xfId="11" applyFont="1" applyFill="1" applyBorder="1" applyAlignment="1">
      <alignment horizontal="center"/>
    </xf>
    <xf numFmtId="0" fontId="27" fillId="34" borderId="10" xfId="11" applyFont="1" applyFill="1" applyBorder="1" applyAlignment="1">
      <alignment horizontal="center"/>
    </xf>
    <xf numFmtId="0" fontId="28" fillId="34" borderId="10" xfId="11" applyFont="1" applyFill="1" applyBorder="1" applyAlignment="1">
      <alignment horizontal="center"/>
    </xf>
    <xf numFmtId="0" fontId="27" fillId="35" borderId="10" xfId="11" applyFont="1" applyFill="1" applyBorder="1" applyAlignment="1">
      <alignment horizontal="center"/>
    </xf>
    <xf numFmtId="0" fontId="28" fillId="35" borderId="10" xfId="11" applyFont="1" applyFill="1" applyBorder="1" applyAlignment="1">
      <alignment horizontal="center"/>
    </xf>
    <xf numFmtId="0" fontId="7" fillId="28" borderId="25" xfId="0" applyFont="1" applyFill="1" applyBorder="1" applyAlignment="1">
      <alignment horizontal="center" vertical="center"/>
    </xf>
    <xf numFmtId="0" fontId="6" fillId="28" borderId="48" xfId="0" applyFont="1" applyFill="1" applyBorder="1" applyAlignment="1">
      <alignment vertical="center"/>
    </xf>
    <xf numFmtId="0" fontId="6" fillId="30" borderId="27" xfId="0" applyFont="1" applyFill="1" applyBorder="1" applyAlignment="1">
      <alignment vertical="center"/>
    </xf>
    <xf numFmtId="0" fontId="7" fillId="30" borderId="3" xfId="0" applyFont="1" applyFill="1" applyBorder="1" applyAlignment="1">
      <alignment horizontal="center" vertical="center"/>
    </xf>
    <xf numFmtId="0" fontId="7" fillId="30" borderId="25" xfId="0" applyFont="1" applyFill="1" applyBorder="1" applyAlignment="1">
      <alignment horizontal="center" vertical="center"/>
    </xf>
    <xf numFmtId="0" fontId="6" fillId="30" borderId="48" xfId="0" applyFont="1" applyFill="1" applyBorder="1" applyAlignment="1">
      <alignment vertical="center"/>
    </xf>
    <xf numFmtId="0" fontId="6" fillId="33" borderId="27" xfId="0" applyFont="1" applyFill="1" applyBorder="1" applyAlignment="1">
      <alignment vertical="center"/>
    </xf>
    <xf numFmtId="0" fontId="7" fillId="33" borderId="3" xfId="0" applyFont="1" applyFill="1" applyBorder="1" applyAlignment="1">
      <alignment horizontal="center" vertical="center"/>
    </xf>
    <xf numFmtId="0" fontId="7" fillId="33" borderId="25" xfId="0" applyFont="1" applyFill="1" applyBorder="1" applyAlignment="1">
      <alignment horizontal="center" vertical="center"/>
    </xf>
    <xf numFmtId="0" fontId="6" fillId="33" borderId="48" xfId="0" applyFont="1" applyFill="1" applyBorder="1" applyAlignment="1">
      <alignment vertical="center"/>
    </xf>
    <xf numFmtId="0" fontId="7" fillId="28" borderId="2" xfId="0" applyFont="1" applyFill="1" applyBorder="1" applyAlignment="1">
      <alignment horizontal="center" vertical="center"/>
    </xf>
    <xf numFmtId="0" fontId="7" fillId="28" borderId="1" xfId="0" applyFont="1" applyFill="1" applyBorder="1" applyAlignment="1">
      <alignment horizontal="center" vertical="center"/>
    </xf>
    <xf numFmtId="0" fontId="7" fillId="28" borderId="12" xfId="0" applyFont="1" applyFill="1" applyBorder="1" applyAlignment="1">
      <alignment horizontal="center" vertical="center"/>
    </xf>
    <xf numFmtId="0" fontId="6" fillId="28" borderId="49" xfId="0" applyFont="1" applyFill="1" applyBorder="1" applyAlignment="1">
      <alignment vertical="center"/>
    </xf>
    <xf numFmtId="0" fontId="7" fillId="30" borderId="10" xfId="0" applyFont="1" applyFill="1" applyBorder="1" applyAlignment="1">
      <alignment horizontal="center" vertical="center"/>
    </xf>
    <xf numFmtId="0" fontId="7" fillId="30" borderId="12" xfId="0" applyFont="1" applyFill="1" applyBorder="1" applyAlignment="1">
      <alignment horizontal="center" vertical="center"/>
    </xf>
    <xf numFmtId="0" fontId="6" fillId="30" borderId="49" xfId="0" applyFont="1" applyFill="1" applyBorder="1" applyAlignment="1">
      <alignment vertical="center"/>
    </xf>
    <xf numFmtId="0" fontId="7" fillId="33" borderId="10" xfId="0" applyFont="1" applyFill="1" applyBorder="1" applyAlignment="1">
      <alignment horizontal="center" vertical="center"/>
    </xf>
    <xf numFmtId="0" fontId="7" fillId="33" borderId="12" xfId="0" applyFont="1" applyFill="1" applyBorder="1" applyAlignment="1">
      <alignment horizontal="center" vertical="center"/>
    </xf>
    <xf numFmtId="0" fontId="6" fillId="33" borderId="49" xfId="0" applyFont="1" applyFill="1" applyBorder="1" applyAlignment="1">
      <alignment vertical="center"/>
    </xf>
    <xf numFmtId="0" fontId="4" fillId="30" borderId="1" xfId="11" applyFont="1" applyFill="1" applyBorder="1" applyAlignment="1">
      <alignment horizontal="center" vertical="center" wrapText="1"/>
    </xf>
    <xf numFmtId="0" fontId="4" fillId="33" borderId="1" xfId="11" applyFont="1" applyFill="1" applyBorder="1" applyAlignment="1">
      <alignment horizontal="center" vertical="center" wrapText="1"/>
    </xf>
    <xf numFmtId="49" fontId="7" fillId="13" borderId="50" xfId="0" applyNumberFormat="1" applyFont="1" applyFill="1" applyBorder="1" applyAlignment="1">
      <alignment horizontal="center" vertical="center" wrapText="1"/>
    </xf>
    <xf numFmtId="49" fontId="7" fillId="9" borderId="1" xfId="0" applyNumberFormat="1" applyFont="1" applyFill="1" applyBorder="1" applyAlignment="1">
      <alignment horizontal="center" vertical="center" wrapText="1"/>
    </xf>
    <xf numFmtId="49" fontId="7" fillId="9" borderId="15" xfId="0" applyNumberFormat="1" applyFont="1" applyFill="1" applyBorder="1" applyAlignment="1">
      <alignment horizontal="center" vertical="center" wrapText="1"/>
    </xf>
    <xf numFmtId="44" fontId="6" fillId="13" borderId="10" xfId="0" applyNumberFormat="1" applyFont="1" applyFill="1" applyBorder="1" applyAlignment="1">
      <alignment horizontal="center"/>
    </xf>
    <xf numFmtId="10" fontId="6" fillId="13" borderId="10" xfId="0" applyNumberFormat="1" applyFont="1" applyFill="1" applyBorder="1" applyAlignment="1">
      <alignment horizontal="center"/>
    </xf>
    <xf numFmtId="44" fontId="6" fillId="13" borderId="12" xfId="0" applyNumberFormat="1" applyFont="1" applyFill="1" applyBorder="1" applyAlignment="1">
      <alignment horizontal="center"/>
    </xf>
    <xf numFmtId="42" fontId="6" fillId="13" borderId="49" xfId="0" applyNumberFormat="1" applyFont="1" applyFill="1" applyBorder="1"/>
    <xf numFmtId="167" fontId="0" fillId="22" borderId="10" xfId="0" applyNumberFormat="1" applyFill="1" applyBorder="1"/>
    <xf numFmtId="167" fontId="0" fillId="13" borderId="10" xfId="0" applyNumberFormat="1" applyFill="1" applyBorder="1" applyAlignment="1">
      <alignment horizontal="right"/>
    </xf>
    <xf numFmtId="10" fontId="0" fillId="22" borderId="10" xfId="0" applyNumberFormat="1" applyFill="1" applyBorder="1"/>
    <xf numFmtId="0" fontId="6" fillId="28" borderId="8" xfId="0" applyFont="1" applyFill="1" applyBorder="1" applyAlignment="1">
      <alignment vertical="center"/>
    </xf>
    <xf numFmtId="0" fontId="6" fillId="28" borderId="9" xfId="0" applyFont="1" applyFill="1" applyBorder="1" applyAlignment="1">
      <alignment vertical="center"/>
    </xf>
    <xf numFmtId="0" fontId="7" fillId="28" borderId="64" xfId="11" applyFont="1" applyFill="1" applyBorder="1" applyAlignment="1">
      <alignment horizontal="center" vertical="center" wrapText="1"/>
    </xf>
    <xf numFmtId="0" fontId="7" fillId="28" borderId="65" xfId="11" applyFont="1" applyFill="1" applyBorder="1" applyAlignment="1">
      <alignment horizontal="center" vertical="center" wrapText="1"/>
    </xf>
    <xf numFmtId="164" fontId="6" fillId="13" borderId="10" xfId="0" applyNumberFormat="1" applyFont="1" applyFill="1" applyBorder="1" applyAlignment="1">
      <alignment horizontal="center"/>
    </xf>
    <xf numFmtId="0" fontId="6" fillId="30" borderId="8" xfId="0" applyFont="1" applyFill="1" applyBorder="1" applyAlignment="1">
      <alignment vertical="center"/>
    </xf>
    <xf numFmtId="0" fontId="6" fillId="30" borderId="9" xfId="0" applyFont="1" applyFill="1" applyBorder="1" applyAlignment="1">
      <alignment vertical="center"/>
    </xf>
    <xf numFmtId="49" fontId="7" fillId="30" borderId="64" xfId="0" applyNumberFormat="1" applyFont="1" applyFill="1" applyBorder="1" applyAlignment="1">
      <alignment horizontal="center" vertical="center" wrapText="1"/>
    </xf>
    <xf numFmtId="49" fontId="7" fillId="30" borderId="65" xfId="0" applyNumberFormat="1" applyFont="1" applyFill="1" applyBorder="1" applyAlignment="1">
      <alignment horizontal="center" vertical="center" wrapText="1"/>
    </xf>
    <xf numFmtId="49" fontId="7" fillId="30" borderId="44" xfId="0" applyNumberFormat="1" applyFont="1" applyFill="1" applyBorder="1" applyAlignment="1">
      <alignment horizontal="center" vertical="center" wrapText="1"/>
    </xf>
    <xf numFmtId="0" fontId="6" fillId="33" borderId="8" xfId="0" applyFont="1" applyFill="1" applyBorder="1" applyAlignment="1">
      <alignment vertical="center"/>
    </xf>
    <xf numFmtId="0" fontId="6" fillId="33" borderId="9" xfId="0" applyFont="1" applyFill="1" applyBorder="1" applyAlignment="1">
      <alignment vertical="center"/>
    </xf>
    <xf numFmtId="49" fontId="7" fillId="33" borderId="64" xfId="0" applyNumberFormat="1" applyFont="1" applyFill="1" applyBorder="1" applyAlignment="1">
      <alignment horizontal="center" vertical="center" wrapText="1"/>
    </xf>
    <xf numFmtId="49" fontId="7" fillId="33" borderId="44" xfId="0" applyNumberFormat="1" applyFont="1" applyFill="1" applyBorder="1" applyAlignment="1">
      <alignment horizontal="center" vertical="center" wrapText="1"/>
    </xf>
    <xf numFmtId="49" fontId="7" fillId="33" borderId="66" xfId="0" applyNumberFormat="1" applyFont="1" applyFill="1" applyBorder="1" applyAlignment="1">
      <alignment horizontal="center" vertical="center" wrapText="1"/>
    </xf>
    <xf numFmtId="3" fontId="6" fillId="22" borderId="29" xfId="0" applyNumberFormat="1" applyFont="1" applyFill="1" applyBorder="1"/>
    <xf numFmtId="0" fontId="6" fillId="29" borderId="8" xfId="0" applyFont="1" applyFill="1" applyBorder="1" applyAlignment="1">
      <alignment vertical="center"/>
    </xf>
    <xf numFmtId="0" fontId="7" fillId="29" borderId="3" xfId="0" applyFont="1" applyFill="1" applyBorder="1" applyAlignment="1">
      <alignment horizontal="center" vertical="center"/>
    </xf>
    <xf numFmtId="0" fontId="7" fillId="29" borderId="25" xfId="0" applyFont="1" applyFill="1" applyBorder="1" applyAlignment="1">
      <alignment horizontal="center" vertical="center"/>
    </xf>
    <xf numFmtId="0" fontId="6" fillId="29" borderId="9" xfId="0" applyFont="1" applyFill="1" applyBorder="1" applyAlignment="1">
      <alignment vertical="center"/>
    </xf>
    <xf numFmtId="0" fontId="7" fillId="29" borderId="10" xfId="0" applyFont="1" applyFill="1" applyBorder="1" applyAlignment="1">
      <alignment horizontal="center" vertical="center"/>
    </xf>
    <xf numFmtId="0" fontId="7" fillId="29" borderId="12" xfId="0" applyFont="1" applyFill="1" applyBorder="1" applyAlignment="1">
      <alignment horizontal="center" vertical="center"/>
    </xf>
    <xf numFmtId="49" fontId="7" fillId="29" borderId="64" xfId="0" applyNumberFormat="1" applyFont="1" applyFill="1" applyBorder="1" applyAlignment="1">
      <alignment horizontal="center" vertical="center" wrapText="1"/>
    </xf>
    <xf numFmtId="49" fontId="7" fillId="29" borderId="65" xfId="0" applyNumberFormat="1" applyFont="1" applyFill="1" applyBorder="1" applyAlignment="1">
      <alignment horizontal="center" vertical="center" wrapText="1"/>
    </xf>
    <xf numFmtId="49" fontId="7" fillId="29" borderId="44" xfId="0" applyNumberFormat="1" applyFont="1" applyFill="1" applyBorder="1" applyAlignment="1">
      <alignment horizontal="center" vertical="center" wrapText="1"/>
    </xf>
    <xf numFmtId="0" fontId="6" fillId="29" borderId="27" xfId="0" applyFont="1" applyFill="1" applyBorder="1" applyAlignment="1">
      <alignment vertical="center"/>
    </xf>
    <xf numFmtId="0" fontId="6" fillId="34" borderId="41" xfId="0" applyFont="1" applyFill="1" applyBorder="1" applyAlignment="1">
      <alignment vertical="center"/>
    </xf>
    <xf numFmtId="0" fontId="7" fillId="34" borderId="25" xfId="0" applyFont="1" applyFill="1" applyBorder="1" applyAlignment="1">
      <alignment horizontal="center" vertical="center"/>
    </xf>
    <xf numFmtId="0" fontId="6" fillId="34" borderId="46" xfId="0" applyFont="1" applyFill="1" applyBorder="1" applyAlignment="1">
      <alignment vertical="center"/>
    </xf>
    <xf numFmtId="0" fontId="7" fillId="34" borderId="12" xfId="0" applyFont="1" applyFill="1" applyBorder="1" applyAlignment="1">
      <alignment horizontal="center" vertical="center"/>
    </xf>
    <xf numFmtId="0" fontId="6" fillId="34" borderId="27" xfId="0" applyFont="1" applyFill="1" applyBorder="1" applyAlignment="1">
      <alignment vertical="center"/>
    </xf>
    <xf numFmtId="0" fontId="6" fillId="35" borderId="8" xfId="0" applyFont="1" applyFill="1" applyBorder="1" applyAlignment="1">
      <alignment vertical="center"/>
    </xf>
    <xf numFmtId="0" fontId="6" fillId="35" borderId="41" xfId="0" applyFont="1" applyFill="1" applyBorder="1" applyAlignment="1">
      <alignment vertical="center"/>
    </xf>
    <xf numFmtId="0" fontId="7" fillId="35" borderId="3" xfId="0" applyFont="1" applyFill="1" applyBorder="1" applyAlignment="1">
      <alignment horizontal="center" vertical="center"/>
    </xf>
    <xf numFmtId="0" fontId="7" fillId="35" borderId="25" xfId="0" applyFont="1" applyFill="1" applyBorder="1" applyAlignment="1">
      <alignment horizontal="center" vertical="center"/>
    </xf>
    <xf numFmtId="0" fontId="6" fillId="35" borderId="9" xfId="0" applyFont="1" applyFill="1" applyBorder="1" applyAlignment="1">
      <alignment vertical="center"/>
    </xf>
    <xf numFmtId="0" fontId="6" fillId="35" borderId="46" xfId="0" applyFont="1" applyFill="1" applyBorder="1" applyAlignment="1">
      <alignment vertical="center"/>
    </xf>
    <xf numFmtId="0" fontId="7" fillId="35" borderId="10" xfId="0" applyFont="1" applyFill="1" applyBorder="1" applyAlignment="1">
      <alignment horizontal="center" vertical="center"/>
    </xf>
    <xf numFmtId="0" fontId="7" fillId="35" borderId="12" xfId="0" applyFont="1" applyFill="1" applyBorder="1" applyAlignment="1">
      <alignment horizontal="center" vertical="center"/>
    </xf>
    <xf numFmtId="0" fontId="6" fillId="35" borderId="27" xfId="0" applyFont="1" applyFill="1" applyBorder="1" applyAlignment="1">
      <alignment vertical="center"/>
    </xf>
    <xf numFmtId="3" fontId="6" fillId="22" borderId="9" xfId="0" applyNumberFormat="1" applyFont="1" applyFill="1" applyBorder="1"/>
    <xf numFmtId="49" fontId="7" fillId="35" borderId="64" xfId="0" applyNumberFormat="1" applyFont="1" applyFill="1" applyBorder="1" applyAlignment="1">
      <alignment horizontal="center" vertical="center" wrapText="1"/>
    </xf>
    <xf numFmtId="49" fontId="7" fillId="35" borderId="65" xfId="0" applyNumberFormat="1" applyFont="1" applyFill="1" applyBorder="1" applyAlignment="1">
      <alignment horizontal="center" vertical="center" wrapText="1"/>
    </xf>
    <xf numFmtId="49" fontId="7" fillId="35" borderId="44" xfId="0" applyNumberFormat="1" applyFont="1" applyFill="1" applyBorder="1" applyAlignment="1">
      <alignment horizontal="center" vertical="center" wrapText="1"/>
    </xf>
    <xf numFmtId="3" fontId="6" fillId="22" borderId="46" xfId="0" applyNumberFormat="1" applyFont="1" applyFill="1" applyBorder="1"/>
    <xf numFmtId="0" fontId="6" fillId="34" borderId="8" xfId="0" applyFont="1" applyFill="1" applyBorder="1" applyAlignment="1">
      <alignment vertical="center"/>
    </xf>
    <xf numFmtId="0" fontId="6" fillId="34" borderId="9" xfId="0" applyFont="1" applyFill="1" applyBorder="1" applyAlignment="1">
      <alignment vertical="center"/>
    </xf>
    <xf numFmtId="49" fontId="7" fillId="34" borderId="64" xfId="0" applyNumberFormat="1" applyFont="1" applyFill="1" applyBorder="1" applyAlignment="1">
      <alignment horizontal="center" vertical="center" wrapText="1"/>
    </xf>
    <xf numFmtId="49" fontId="7" fillId="34" borderId="65" xfId="0" applyNumberFormat="1" applyFont="1" applyFill="1" applyBorder="1" applyAlignment="1">
      <alignment horizontal="center" vertical="center" wrapText="1"/>
    </xf>
    <xf numFmtId="49" fontId="7" fillId="34" borderId="44" xfId="0" applyNumberFormat="1" applyFont="1" applyFill="1" applyBorder="1" applyAlignment="1">
      <alignment horizontal="center" vertical="center" wrapText="1"/>
    </xf>
    <xf numFmtId="0" fontId="15" fillId="0" borderId="29" xfId="11" applyFont="1" applyFill="1" applyBorder="1" applyAlignment="1">
      <alignment horizontal="center"/>
    </xf>
    <xf numFmtId="0" fontId="2" fillId="0" borderId="0" xfId="11"/>
    <xf numFmtId="0" fontId="4" fillId="0" borderId="0" xfId="11" applyFont="1"/>
    <xf numFmtId="0" fontId="21" fillId="0" borderId="0" xfId="11" applyFont="1"/>
    <xf numFmtId="0" fontId="0" fillId="22" borderId="1" xfId="0" applyFill="1" applyBorder="1"/>
    <xf numFmtId="0" fontId="4" fillId="13" borderId="29" xfId="11" applyFont="1" applyFill="1" applyBorder="1" applyAlignment="1">
      <alignment horizontal="center" vertical="center" wrapText="1"/>
    </xf>
    <xf numFmtId="0" fontId="4" fillId="0" borderId="0" xfId="0" applyFont="1" applyBorder="1" applyAlignment="1">
      <alignment horizontal="center" vertical="center" wrapText="1"/>
    </xf>
    <xf numFmtId="0" fontId="4" fillId="28" borderId="1" xfId="11" applyFont="1" applyFill="1" applyBorder="1" applyAlignment="1">
      <alignment horizontal="center" vertical="center" wrapText="1"/>
    </xf>
    <xf numFmtId="0" fontId="4" fillId="29" borderId="1" xfId="11" applyFont="1" applyFill="1" applyBorder="1" applyAlignment="1">
      <alignment horizontal="center" vertical="center" wrapText="1"/>
    </xf>
    <xf numFmtId="0" fontId="4" fillId="34" borderId="1" xfId="11" applyFont="1" applyFill="1" applyBorder="1" applyAlignment="1">
      <alignment horizontal="center" vertical="center" wrapText="1"/>
    </xf>
    <xf numFmtId="0" fontId="4" fillId="35" borderId="1" xfId="11" applyFont="1" applyFill="1" applyBorder="1" applyAlignment="1">
      <alignment horizontal="center" vertical="center" wrapText="1"/>
    </xf>
    <xf numFmtId="0" fontId="27" fillId="29" borderId="46" xfId="11" applyFont="1" applyFill="1" applyBorder="1" applyAlignment="1">
      <alignment horizontal="center"/>
    </xf>
    <xf numFmtId="0" fontId="27" fillId="28" borderId="4" xfId="11" applyFont="1" applyFill="1" applyBorder="1" applyAlignment="1">
      <alignment horizontal="center"/>
    </xf>
    <xf numFmtId="0" fontId="4" fillId="28" borderId="6" xfId="11" applyFont="1" applyFill="1" applyBorder="1" applyAlignment="1">
      <alignment horizontal="center" vertical="center" wrapText="1"/>
    </xf>
    <xf numFmtId="44" fontId="0" fillId="13" borderId="11" xfId="0" applyNumberFormat="1" applyFill="1" applyBorder="1"/>
    <xf numFmtId="44" fontId="0" fillId="13" borderId="6" xfId="0" applyNumberFormat="1" applyFill="1" applyBorder="1"/>
    <xf numFmtId="0" fontId="27" fillId="30" borderId="46" xfId="11" applyFont="1" applyFill="1" applyBorder="1" applyAlignment="1">
      <alignment horizontal="center"/>
    </xf>
    <xf numFmtId="0" fontId="27" fillId="29" borderId="4" xfId="11" applyFont="1" applyFill="1" applyBorder="1" applyAlignment="1">
      <alignment horizontal="center"/>
    </xf>
    <xf numFmtId="0" fontId="4" fillId="29" borderId="6" xfId="11" applyFont="1" applyFill="1" applyBorder="1" applyAlignment="1">
      <alignment horizontal="center" vertical="center" wrapText="1"/>
    </xf>
    <xf numFmtId="0" fontId="27" fillId="33" borderId="46" xfId="11" applyFont="1" applyFill="1" applyBorder="1" applyAlignment="1">
      <alignment horizontal="center"/>
    </xf>
    <xf numFmtId="0" fontId="27" fillId="30" borderId="4" xfId="11" applyFont="1" applyFill="1" applyBorder="1" applyAlignment="1">
      <alignment horizontal="center"/>
    </xf>
    <xf numFmtId="0" fontId="4" fillId="30" borderId="6" xfId="11" applyFont="1" applyFill="1" applyBorder="1" applyAlignment="1">
      <alignment horizontal="center" vertical="center" wrapText="1"/>
    </xf>
    <xf numFmtId="0" fontId="27" fillId="34" borderId="4" xfId="11" applyFont="1" applyFill="1" applyBorder="1" applyAlignment="1">
      <alignment horizontal="center"/>
    </xf>
    <xf numFmtId="0" fontId="4" fillId="34" borderId="6" xfId="11" applyFont="1" applyFill="1" applyBorder="1" applyAlignment="1">
      <alignment horizontal="center" vertical="center" wrapText="1"/>
    </xf>
    <xf numFmtId="0" fontId="27" fillId="0" borderId="29" xfId="11" applyFont="1" applyBorder="1" applyAlignment="1">
      <alignment horizontal="center" wrapText="1"/>
    </xf>
    <xf numFmtId="0" fontId="4" fillId="0" borderId="61" xfId="11" applyFont="1" applyFill="1" applyBorder="1" applyAlignment="1">
      <alignment horizontal="center" wrapText="1"/>
    </xf>
    <xf numFmtId="0" fontId="27" fillId="35" borderId="4" xfId="11" applyFont="1" applyFill="1" applyBorder="1" applyAlignment="1">
      <alignment horizontal="center"/>
    </xf>
    <xf numFmtId="0" fontId="4" fillId="35" borderId="6" xfId="11" applyFont="1" applyFill="1" applyBorder="1" applyAlignment="1">
      <alignment horizontal="center" vertical="center" wrapText="1"/>
    </xf>
    <xf numFmtId="44" fontId="0" fillId="35" borderId="63" xfId="0" applyNumberFormat="1" applyFill="1" applyBorder="1"/>
    <xf numFmtId="0" fontId="4" fillId="35" borderId="61" xfId="11" applyFont="1" applyFill="1" applyBorder="1" applyAlignment="1">
      <alignment horizontal="center" vertical="center" wrapText="1"/>
    </xf>
    <xf numFmtId="0" fontId="27" fillId="35" borderId="68" xfId="11" applyFont="1" applyFill="1" applyBorder="1" applyAlignment="1">
      <alignment horizontal="center"/>
    </xf>
    <xf numFmtId="0" fontId="27" fillId="34" borderId="61" xfId="11" applyFont="1" applyFill="1" applyBorder="1" applyAlignment="1">
      <alignment horizontal="center"/>
    </xf>
    <xf numFmtId="0" fontId="4" fillId="34" borderId="61" xfId="11" applyFont="1" applyFill="1" applyBorder="1" applyAlignment="1">
      <alignment horizontal="center" vertical="center" wrapText="1"/>
    </xf>
    <xf numFmtId="0" fontId="27" fillId="33" borderId="4" xfId="11" applyFont="1" applyFill="1" applyBorder="1" applyAlignment="1">
      <alignment horizontal="center"/>
    </xf>
    <xf numFmtId="0" fontId="4" fillId="33" borderId="6" xfId="11" applyFont="1" applyFill="1" applyBorder="1" applyAlignment="1">
      <alignment horizontal="center" vertical="center" wrapText="1"/>
    </xf>
    <xf numFmtId="44" fontId="0" fillId="34" borderId="63" xfId="0" applyNumberFormat="1" applyFill="1" applyBorder="1"/>
    <xf numFmtId="0" fontId="4" fillId="33" borderId="47" xfId="11" applyFont="1" applyFill="1" applyBorder="1" applyAlignment="1">
      <alignment horizontal="center" vertical="center" wrapText="1"/>
    </xf>
    <xf numFmtId="44" fontId="0" fillId="33" borderId="63" xfId="0" applyNumberFormat="1" applyFill="1" applyBorder="1"/>
    <xf numFmtId="0" fontId="4" fillId="30" borderId="47" xfId="11" applyFont="1" applyFill="1" applyBorder="1" applyAlignment="1">
      <alignment horizontal="center" vertical="center" wrapText="1"/>
    </xf>
    <xf numFmtId="0" fontId="0" fillId="30" borderId="63" xfId="0" applyFill="1" applyBorder="1"/>
    <xf numFmtId="0" fontId="4" fillId="29" borderId="47" xfId="11" applyFont="1" applyFill="1" applyBorder="1" applyAlignment="1">
      <alignment horizontal="center" vertical="center" wrapText="1"/>
    </xf>
    <xf numFmtId="44" fontId="0" fillId="29" borderId="63" xfId="0" applyNumberFormat="1" applyFill="1" applyBorder="1"/>
    <xf numFmtId="44" fontId="4" fillId="13" borderId="6" xfId="11" applyNumberFormat="1" applyFont="1" applyFill="1" applyBorder="1" applyAlignment="1">
      <alignment horizontal="center" vertical="center" wrapText="1"/>
    </xf>
    <xf numFmtId="0" fontId="6" fillId="13" borderId="1" xfId="0" quotePrefix="1" applyNumberFormat="1" applyFont="1" applyFill="1" applyBorder="1" applyAlignment="1">
      <alignment vertical="top"/>
    </xf>
    <xf numFmtId="164" fontId="29" fillId="13" borderId="1" xfId="0" applyNumberFormat="1" applyFont="1" applyFill="1" applyBorder="1" applyAlignment="1">
      <alignment horizontal="center"/>
    </xf>
    <xf numFmtId="42" fontId="6" fillId="13" borderId="6" xfId="0" applyNumberFormat="1" applyFont="1" applyFill="1" applyBorder="1"/>
    <xf numFmtId="9" fontId="0" fillId="22" borderId="1" xfId="9" applyFont="1" applyFill="1" applyBorder="1"/>
    <xf numFmtId="9" fontId="4" fillId="13" borderId="29" xfId="9" applyFont="1" applyFill="1" applyBorder="1" applyAlignment="1">
      <alignment horizontal="center" vertical="center" wrapText="1"/>
    </xf>
    <xf numFmtId="44" fontId="4" fillId="22" borderId="29" xfId="11" applyNumberFormat="1" applyFont="1" applyFill="1" applyBorder="1" applyAlignment="1">
      <alignment horizontal="center" vertical="center" wrapText="1"/>
    </xf>
    <xf numFmtId="9" fontId="4" fillId="13" borderId="10" xfId="9" applyFont="1" applyFill="1" applyBorder="1" applyAlignment="1">
      <alignment horizontal="center"/>
    </xf>
    <xf numFmtId="9" fontId="0" fillId="22" borderId="10" xfId="9" applyFont="1" applyFill="1" applyBorder="1"/>
    <xf numFmtId="0" fontId="0" fillId="32" borderId="0" xfId="0" applyFill="1"/>
    <xf numFmtId="0" fontId="2" fillId="28" borderId="0" xfId="11" applyFill="1" applyBorder="1"/>
    <xf numFmtId="0" fontId="4" fillId="28" borderId="63" xfId="11" applyFont="1" applyFill="1" applyBorder="1" applyAlignment="1">
      <alignment horizontal="center" wrapText="1"/>
    </xf>
    <xf numFmtId="0" fontId="27" fillId="28" borderId="68" xfId="11" applyFont="1" applyFill="1" applyBorder="1" applyAlignment="1">
      <alignment horizontal="center"/>
    </xf>
    <xf numFmtId="0" fontId="6" fillId="0" borderId="29" xfId="0" applyFont="1" applyBorder="1" applyAlignment="1">
      <alignment horizontal="right"/>
    </xf>
    <xf numFmtId="0" fontId="7" fillId="0" borderId="51" xfId="0" applyFont="1" applyBorder="1" applyAlignment="1">
      <alignment horizontal="center"/>
    </xf>
    <xf numFmtId="0" fontId="8" fillId="0" borderId="51" xfId="0" applyFont="1" applyFill="1" applyBorder="1" applyAlignment="1">
      <alignment horizontal="left"/>
    </xf>
    <xf numFmtId="0" fontId="6" fillId="9" borderId="51" xfId="0" applyFont="1" applyFill="1" applyBorder="1"/>
    <xf numFmtId="0" fontId="11" fillId="0" borderId="51" xfId="0" applyFont="1" applyFill="1" applyBorder="1" applyAlignment="1">
      <alignment horizontal="center"/>
    </xf>
    <xf numFmtId="0" fontId="8" fillId="0" borderId="51" xfId="0" applyFont="1" applyFill="1" applyBorder="1"/>
    <xf numFmtId="0" fontId="6" fillId="0" borderId="51" xfId="0" applyFont="1" applyFill="1" applyBorder="1"/>
    <xf numFmtId="0" fontId="6" fillId="28" borderId="69" xfId="0" applyFont="1" applyFill="1" applyBorder="1"/>
    <xf numFmtId="0" fontId="5" fillId="2" borderId="52" xfId="0" applyFont="1" applyFill="1" applyBorder="1"/>
    <xf numFmtId="0" fontId="6" fillId="28" borderId="70" xfId="0" applyFont="1" applyFill="1" applyBorder="1"/>
    <xf numFmtId="0" fontId="6" fillId="28" borderId="71" xfId="0" applyFont="1" applyFill="1" applyBorder="1"/>
    <xf numFmtId="0" fontId="6" fillId="29" borderId="0" xfId="0" applyFont="1" applyFill="1" applyBorder="1" applyAlignment="1">
      <alignment vertical="center"/>
    </xf>
    <xf numFmtId="0" fontId="5" fillId="2" borderId="27" xfId="0" applyFont="1" applyFill="1" applyBorder="1"/>
    <xf numFmtId="0" fontId="4" fillId="29" borderId="61" xfId="11" applyFont="1" applyFill="1" applyBorder="1" applyAlignment="1">
      <alignment horizontal="center" vertical="center" wrapText="1"/>
    </xf>
    <xf numFmtId="0" fontId="4" fillId="29" borderId="61" xfId="11" applyFont="1" applyFill="1" applyBorder="1" applyAlignment="1">
      <alignment horizontal="center" wrapText="1"/>
    </xf>
    <xf numFmtId="0" fontId="7" fillId="28" borderId="49" xfId="0" applyFont="1" applyFill="1" applyBorder="1" applyAlignment="1">
      <alignment horizontal="center" vertical="center"/>
    </xf>
    <xf numFmtId="0" fontId="6" fillId="30" borderId="0" xfId="0" applyFont="1" applyFill="1" applyBorder="1" applyAlignment="1">
      <alignment vertical="center"/>
    </xf>
    <xf numFmtId="0" fontId="4" fillId="30" borderId="0" xfId="11" applyFont="1" applyFill="1" applyBorder="1" applyAlignment="1">
      <alignment horizontal="center" vertical="center" wrapText="1"/>
    </xf>
    <xf numFmtId="0" fontId="4" fillId="30" borderId="61" xfId="11" applyFont="1" applyFill="1" applyBorder="1" applyAlignment="1">
      <alignment horizontal="center" vertical="center" wrapText="1"/>
    </xf>
    <xf numFmtId="0" fontId="6" fillId="29" borderId="48" xfId="0" applyFont="1" applyFill="1" applyBorder="1" applyAlignment="1">
      <alignment vertical="center"/>
    </xf>
    <xf numFmtId="0" fontId="6" fillId="29" borderId="49" xfId="0" applyFont="1" applyFill="1" applyBorder="1" applyAlignment="1">
      <alignment vertical="center"/>
    </xf>
    <xf numFmtId="49" fontId="7" fillId="29" borderId="53" xfId="0" applyNumberFormat="1" applyFont="1" applyFill="1" applyBorder="1" applyAlignment="1">
      <alignment horizontal="center" vertical="center" wrapText="1"/>
    </xf>
    <xf numFmtId="0" fontId="6" fillId="33" borderId="0" xfId="0" applyFont="1" applyFill="1" applyBorder="1" applyAlignment="1">
      <alignment vertical="center"/>
    </xf>
    <xf numFmtId="49" fontId="7" fillId="33" borderId="0" xfId="0" applyNumberFormat="1" applyFont="1" applyFill="1" applyBorder="1" applyAlignment="1">
      <alignment horizontal="center" vertical="center" wrapText="1"/>
    </xf>
    <xf numFmtId="0" fontId="4" fillId="33" borderId="61" xfId="11" applyFont="1" applyFill="1" applyBorder="1" applyAlignment="1">
      <alignment horizontal="center" vertical="center" wrapText="1"/>
    </xf>
    <xf numFmtId="49" fontId="7" fillId="30" borderId="53" xfId="0" applyNumberFormat="1" applyFont="1" applyFill="1" applyBorder="1" applyAlignment="1">
      <alignment horizontal="center" vertical="center" wrapText="1"/>
    </xf>
    <xf numFmtId="0" fontId="6" fillId="34" borderId="0" xfId="0" applyFont="1" applyFill="1" applyBorder="1" applyAlignment="1">
      <alignment vertical="center"/>
    </xf>
    <xf numFmtId="0" fontId="4" fillId="34" borderId="0" xfId="11" applyFont="1" applyFill="1" applyBorder="1" applyAlignment="1">
      <alignment horizontal="center" wrapText="1"/>
    </xf>
    <xf numFmtId="49" fontId="7" fillId="33" borderId="73" xfId="0" applyNumberFormat="1" applyFont="1" applyFill="1" applyBorder="1" applyAlignment="1">
      <alignment horizontal="center" vertical="center" wrapText="1"/>
    </xf>
    <xf numFmtId="0" fontId="6" fillId="35" borderId="0" xfId="0" applyFont="1" applyFill="1" applyBorder="1" applyAlignment="1">
      <alignment vertical="center"/>
    </xf>
    <xf numFmtId="0" fontId="4" fillId="35" borderId="35" xfId="11" applyFont="1" applyFill="1" applyBorder="1" applyAlignment="1">
      <alignment horizontal="center" wrapText="1"/>
    </xf>
    <xf numFmtId="0" fontId="6" fillId="35" borderId="35" xfId="0" quotePrefix="1" applyNumberFormat="1" applyFont="1" applyFill="1" applyBorder="1" applyAlignment="1">
      <alignment vertical="top"/>
    </xf>
    <xf numFmtId="0" fontId="6" fillId="34" borderId="48" xfId="0" applyFont="1" applyFill="1" applyBorder="1" applyAlignment="1">
      <alignment vertical="center"/>
    </xf>
    <xf numFmtId="0" fontId="6" fillId="34" borderId="49" xfId="0" applyFont="1" applyFill="1" applyBorder="1" applyAlignment="1">
      <alignment vertical="center"/>
    </xf>
    <xf numFmtId="49" fontId="7" fillId="34" borderId="53" xfId="0" applyNumberFormat="1" applyFont="1" applyFill="1" applyBorder="1" applyAlignment="1">
      <alignment horizontal="center" vertical="center" wrapText="1"/>
    </xf>
    <xf numFmtId="0" fontId="6" fillId="35" borderId="48" xfId="0" applyFont="1" applyFill="1" applyBorder="1" applyAlignment="1">
      <alignment vertical="center"/>
    </xf>
    <xf numFmtId="0" fontId="6" fillId="35" borderId="49" xfId="0" applyFont="1" applyFill="1" applyBorder="1" applyAlignment="1">
      <alignment vertical="center"/>
    </xf>
    <xf numFmtId="49" fontId="7" fillId="35" borderId="53" xfId="0" applyNumberFormat="1" applyFont="1" applyFill="1" applyBorder="1" applyAlignment="1">
      <alignment horizontal="center" vertical="center" wrapText="1"/>
    </xf>
    <xf numFmtId="44" fontId="6" fillId="13" borderId="1" xfId="0" applyNumberFormat="1" applyFont="1" applyFill="1" applyBorder="1"/>
    <xf numFmtId="42" fontId="6" fillId="13" borderId="1" xfId="0" applyNumberFormat="1" applyFont="1" applyFill="1" applyBorder="1"/>
    <xf numFmtId="0" fontId="6" fillId="22" borderId="1" xfId="0" applyFont="1" applyFill="1" applyBorder="1"/>
    <xf numFmtId="0" fontId="6" fillId="22" borderId="1" xfId="0" applyFont="1" applyFill="1" applyBorder="1" applyAlignment="1">
      <alignment vertical="top" wrapText="1"/>
    </xf>
    <xf numFmtId="44" fontId="6" fillId="22" borderId="29" xfId="0" applyNumberFormat="1" applyFont="1" applyFill="1" applyBorder="1"/>
    <xf numFmtId="165" fontId="6" fillId="22" borderId="1" xfId="0" applyNumberFormat="1" applyFont="1" applyFill="1" applyBorder="1"/>
    <xf numFmtId="42" fontId="6" fillId="22" borderId="50" xfId="0" applyNumberFormat="1" applyFont="1" applyFill="1" applyBorder="1"/>
    <xf numFmtId="3" fontId="6" fillId="22" borderId="1" xfId="0" applyNumberFormat="1" applyFont="1" applyFill="1" applyBorder="1"/>
    <xf numFmtId="44" fontId="6" fillId="22" borderId="1" xfId="0" applyNumberFormat="1" applyFont="1" applyFill="1" applyBorder="1"/>
    <xf numFmtId="42" fontId="6" fillId="22" borderId="1" xfId="0" applyNumberFormat="1" applyFont="1" applyFill="1" applyBorder="1"/>
    <xf numFmtId="3" fontId="0" fillId="13" borderId="1" xfId="0" applyNumberFormat="1" applyFill="1" applyBorder="1"/>
    <xf numFmtId="49" fontId="2" fillId="22" borderId="0" xfId="0" applyNumberFormat="1" applyFont="1" applyFill="1" applyAlignment="1">
      <alignment horizontal="center"/>
    </xf>
    <xf numFmtId="49" fontId="2" fillId="22" borderId="0" xfId="0" applyNumberFormat="1" applyFont="1" applyFill="1"/>
    <xf numFmtId="0" fontId="2" fillId="22" borderId="0" xfId="0" applyFont="1" applyFill="1"/>
    <xf numFmtId="49" fontId="25" fillId="0" borderId="27" xfId="0" applyNumberFormat="1" applyFont="1" applyBorder="1" applyAlignment="1">
      <alignment wrapText="1"/>
    </xf>
    <xf numFmtId="0" fontId="6" fillId="13" borderId="1" xfId="0" applyFont="1" applyFill="1" applyBorder="1" applyAlignment="1">
      <alignment vertical="top" wrapText="1"/>
    </xf>
    <xf numFmtId="0" fontId="6" fillId="13" borderId="2" xfId="0" applyFont="1" applyFill="1" applyBorder="1"/>
    <xf numFmtId="165" fontId="6" fillId="13" borderId="1" xfId="0" applyNumberFormat="1" applyFont="1" applyFill="1" applyBorder="1"/>
    <xf numFmtId="0" fontId="6" fillId="13" borderId="1" xfId="0" applyFont="1" applyFill="1" applyBorder="1"/>
    <xf numFmtId="164" fontId="6" fillId="0" borderId="1" xfId="0" applyNumberFormat="1" applyFont="1" applyFill="1" applyBorder="1" applyAlignment="1">
      <alignment horizontal="center"/>
    </xf>
    <xf numFmtId="165" fontId="6" fillId="0" borderId="1" xfId="0" applyNumberFormat="1" applyFont="1" applyFill="1" applyBorder="1"/>
    <xf numFmtId="169" fontId="6" fillId="13" borderId="28" xfId="0" applyNumberFormat="1" applyFont="1" applyFill="1" applyBorder="1"/>
    <xf numFmtId="164" fontId="6" fillId="13" borderId="28" xfId="0" applyNumberFormat="1" applyFont="1" applyFill="1" applyBorder="1"/>
    <xf numFmtId="0" fontId="6" fillId="0" borderId="1" xfId="0" applyFont="1" applyFill="1" applyBorder="1" applyAlignment="1">
      <alignment horizontal="right"/>
    </xf>
    <xf numFmtId="42" fontId="5" fillId="13" borderId="6" xfId="0" applyNumberFormat="1" applyFont="1" applyFill="1" applyBorder="1"/>
    <xf numFmtId="42" fontId="6" fillId="13" borderId="13" xfId="0" applyNumberFormat="1" applyFont="1" applyFill="1" applyBorder="1"/>
    <xf numFmtId="42" fontId="5" fillId="13" borderId="13" xfId="0" applyNumberFormat="1" applyFont="1" applyFill="1" applyBorder="1"/>
    <xf numFmtId="0" fontId="6" fillId="0" borderId="0" xfId="0" applyFont="1"/>
    <xf numFmtId="0" fontId="0" fillId="13" borderId="0" xfId="0" applyFill="1"/>
    <xf numFmtId="0" fontId="41" fillId="31" borderId="0" xfId="0" applyFont="1" applyFill="1"/>
    <xf numFmtId="0" fontId="0" fillId="22" borderId="2" xfId="0" applyFill="1" applyBorder="1"/>
    <xf numFmtId="0" fontId="0" fillId="22" borderId="29" xfId="0" applyFill="1" applyBorder="1"/>
    <xf numFmtId="168" fontId="4" fillId="13" borderId="1" xfId="0" applyNumberFormat="1" applyFont="1" applyFill="1" applyBorder="1" applyAlignment="1">
      <alignment horizontal="center"/>
    </xf>
    <xf numFmtId="3" fontId="5" fillId="13" borderId="29" xfId="0" applyNumberFormat="1" applyFont="1" applyFill="1" applyBorder="1"/>
    <xf numFmtId="0" fontId="6" fillId="13" borderId="2" xfId="0" quotePrefix="1" applyNumberFormat="1" applyFont="1" applyFill="1" applyBorder="1" applyAlignment="1">
      <alignment vertical="top"/>
    </xf>
    <xf numFmtId="3" fontId="5" fillId="13" borderId="16" xfId="0" applyNumberFormat="1" applyFont="1" applyFill="1" applyBorder="1"/>
    <xf numFmtId="42" fontId="5" fillId="13" borderId="1" xfId="0" applyNumberFormat="1" applyFont="1" applyFill="1" applyBorder="1"/>
    <xf numFmtId="42" fontId="5" fillId="13" borderId="15" xfId="0" applyNumberFormat="1" applyFont="1" applyFill="1" applyBorder="1"/>
    <xf numFmtId="169" fontId="5" fillId="13" borderId="28" xfId="0" applyNumberFormat="1" applyFont="1" applyFill="1" applyBorder="1"/>
    <xf numFmtId="164" fontId="5" fillId="13" borderId="28" xfId="0" applyNumberFormat="1" applyFont="1" applyFill="1" applyBorder="1"/>
    <xf numFmtId="168" fontId="37" fillId="13" borderId="1" xfId="0" applyNumberFormat="1" applyFont="1" applyFill="1" applyBorder="1" applyAlignment="1">
      <alignment horizontal="center" vertical="center"/>
    </xf>
    <xf numFmtId="49" fontId="2" fillId="0" borderId="0" xfId="0" applyNumberFormat="1" applyFont="1"/>
    <xf numFmtId="49" fontId="34" fillId="0" borderId="0" xfId="0" applyNumberFormat="1" applyFont="1" applyFill="1" applyAlignment="1">
      <alignment horizontal="left" wrapText="1"/>
    </xf>
    <xf numFmtId="49" fontId="34" fillId="0" borderId="0" xfId="0" applyNumberFormat="1" applyFont="1" applyFill="1" applyAlignment="1">
      <alignment wrapText="1"/>
    </xf>
    <xf numFmtId="49" fontId="34" fillId="0" borderId="0" xfId="0" applyNumberFormat="1" applyFont="1" applyAlignment="1">
      <alignment horizontal="left" vertical="center" wrapText="1"/>
    </xf>
    <xf numFmtId="49" fontId="2" fillId="0" borderId="0" xfId="0" applyNumberFormat="1" applyFont="1" applyAlignment="1">
      <alignment wrapText="1"/>
    </xf>
    <xf numFmtId="0" fontId="34"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wrapText="1"/>
    </xf>
    <xf numFmtId="0" fontId="37" fillId="13" borderId="1" xfId="0" applyFont="1" applyFill="1" applyBorder="1" applyAlignment="1">
      <alignment horizontal="center" vertical="center"/>
    </xf>
    <xf numFmtId="0" fontId="45" fillId="0" borderId="0" xfId="6" applyFont="1" applyBorder="1" applyAlignment="1">
      <alignment horizontal="left" vertical="center" wrapText="1"/>
    </xf>
    <xf numFmtId="0" fontId="46" fillId="0" borderId="0" xfId="6" applyFont="1" applyBorder="1" applyAlignment="1">
      <alignment horizontal="right" vertical="center" indent="1"/>
    </xf>
    <xf numFmtId="0" fontId="47" fillId="0" borderId="0" xfId="6" applyFont="1" applyFill="1" applyBorder="1" applyAlignment="1">
      <alignment vertical="center" wrapText="1"/>
    </xf>
    <xf numFmtId="0" fontId="47" fillId="0" borderId="0" xfId="6" applyFont="1" applyBorder="1" applyAlignment="1">
      <alignment vertical="center" wrapText="1"/>
    </xf>
    <xf numFmtId="0" fontId="49" fillId="0" borderId="0" xfId="6" applyFont="1" applyFill="1" applyBorder="1" applyAlignment="1">
      <alignment vertical="center" wrapText="1"/>
    </xf>
    <xf numFmtId="0" fontId="49" fillId="0" borderId="0" xfId="6" applyFont="1" applyBorder="1" applyAlignment="1">
      <alignment vertical="center" wrapText="1"/>
    </xf>
    <xf numFmtId="0" fontId="47" fillId="22" borderId="65" xfId="6" applyFont="1" applyFill="1" applyBorder="1" applyAlignment="1">
      <alignment horizontal="left" vertical="center" wrapText="1"/>
    </xf>
    <xf numFmtId="0" fontId="47" fillId="22" borderId="65" xfId="6" applyFont="1" applyFill="1" applyBorder="1" applyAlignment="1">
      <alignment vertical="center" wrapText="1"/>
    </xf>
    <xf numFmtId="0" fontId="47" fillId="22" borderId="10" xfId="6" applyFont="1" applyFill="1" applyBorder="1" applyAlignment="1">
      <alignment horizontal="left" vertical="center" wrapText="1"/>
    </xf>
    <xf numFmtId="170" fontId="53" fillId="22" borderId="43" xfId="7" applyNumberFormat="1" applyFont="1" applyFill="1" applyBorder="1" applyAlignment="1">
      <alignment horizontal="right" vertical="center" wrapText="1" indent="1"/>
    </xf>
    <xf numFmtId="0" fontId="47" fillId="22" borderId="10" xfId="6" applyFont="1" applyFill="1" applyBorder="1" applyAlignment="1">
      <alignment vertical="center" wrapText="1"/>
    </xf>
    <xf numFmtId="0" fontId="47" fillId="22" borderId="1" xfId="6" applyFont="1" applyFill="1" applyBorder="1" applyAlignment="1">
      <alignment horizontal="left" vertical="center" wrapText="1"/>
    </xf>
    <xf numFmtId="170" fontId="53" fillId="22" borderId="7" xfId="7" applyNumberFormat="1" applyFont="1" applyFill="1" applyBorder="1" applyAlignment="1">
      <alignment horizontal="right" vertical="center" wrapText="1" indent="1"/>
    </xf>
    <xf numFmtId="0" fontId="47" fillId="22" borderId="1" xfId="6" applyFont="1" applyFill="1" applyBorder="1" applyAlignment="1">
      <alignment vertical="center" wrapText="1"/>
    </xf>
    <xf numFmtId="0" fontId="47" fillId="22" borderId="7" xfId="6" applyFont="1" applyFill="1" applyBorder="1" applyAlignment="1">
      <alignment horizontal="left" vertical="center" wrapText="1"/>
    </xf>
    <xf numFmtId="0" fontId="47" fillId="22" borderId="7" xfId="6" applyFont="1" applyFill="1" applyBorder="1" applyAlignment="1">
      <alignment vertical="center" wrapText="1"/>
    </xf>
    <xf numFmtId="0" fontId="51" fillId="8" borderId="76" xfId="6" applyFont="1" applyFill="1" applyBorder="1" applyAlignment="1">
      <alignment horizontal="center" vertical="center" wrapText="1"/>
    </xf>
    <xf numFmtId="0" fontId="54" fillId="23" borderId="26" xfId="6" applyFont="1" applyFill="1" applyBorder="1" applyAlignment="1">
      <alignment horizontal="center" vertical="center" wrapText="1"/>
    </xf>
    <xf numFmtId="0" fontId="26" fillId="23" borderId="26" xfId="6" applyFont="1" applyFill="1" applyBorder="1" applyAlignment="1">
      <alignment horizontal="left" vertical="center"/>
    </xf>
    <xf numFmtId="0" fontId="26" fillId="23" borderId="47" xfId="6" applyFont="1" applyFill="1" applyBorder="1" applyAlignment="1">
      <alignment horizontal="left" vertical="center"/>
    </xf>
    <xf numFmtId="0" fontId="47" fillId="22" borderId="20" xfId="6" applyFont="1" applyFill="1" applyBorder="1" applyAlignment="1">
      <alignment horizontal="left" vertical="center" wrapText="1"/>
    </xf>
    <xf numFmtId="171" fontId="47" fillId="22" borderId="20" xfId="6" applyNumberFormat="1" applyFont="1" applyFill="1" applyBorder="1" applyAlignment="1">
      <alignment horizontal="center" vertical="center" wrapText="1"/>
    </xf>
    <xf numFmtId="0" fontId="54" fillId="38" borderId="0" xfId="6" applyFont="1" applyFill="1" applyBorder="1" applyAlignment="1">
      <alignment horizontal="center" vertical="center" wrapText="1"/>
    </xf>
    <xf numFmtId="0" fontId="54" fillId="38" borderId="26" xfId="6" applyFont="1" applyFill="1" applyBorder="1" applyAlignment="1">
      <alignment horizontal="center" vertical="center" wrapText="1"/>
    </xf>
    <xf numFmtId="0" fontId="48" fillId="21" borderId="0" xfId="6" applyFont="1" applyFill="1" applyBorder="1" applyAlignment="1">
      <alignment horizontal="right" vertical="center" indent="2"/>
    </xf>
    <xf numFmtId="0" fontId="52" fillId="0" borderId="0" xfId="6" applyFont="1" applyBorder="1" applyAlignment="1">
      <alignment horizontal="center" vertical="center" wrapText="1"/>
    </xf>
    <xf numFmtId="0" fontId="52" fillId="0" borderId="0" xfId="6" applyFont="1" applyBorder="1" applyAlignment="1">
      <alignment horizontal="left" vertical="center"/>
    </xf>
    <xf numFmtId="0" fontId="47" fillId="0" borderId="0" xfId="6" applyFont="1" applyBorder="1" applyAlignment="1">
      <alignment horizontal="left" vertical="center" wrapText="1"/>
    </xf>
    <xf numFmtId="171" fontId="47" fillId="0" borderId="0" xfId="6" applyNumberFormat="1" applyFont="1" applyBorder="1" applyAlignment="1">
      <alignment horizontal="center" vertical="center" wrapText="1"/>
    </xf>
    <xf numFmtId="0" fontId="2" fillId="28" borderId="1" xfId="0" applyFont="1" applyFill="1" applyBorder="1"/>
    <xf numFmtId="0" fontId="2" fillId="29" borderId="1" xfId="0" applyFont="1" applyFill="1" applyBorder="1"/>
    <xf numFmtId="0" fontId="2" fillId="30" borderId="1" xfId="0" applyFont="1" applyFill="1" applyBorder="1"/>
    <xf numFmtId="0" fontId="2" fillId="33" borderId="1" xfId="0" applyFont="1" applyFill="1" applyBorder="1"/>
    <xf numFmtId="0" fontId="2" fillId="34" borderId="1" xfId="0" applyFont="1" applyFill="1" applyBorder="1"/>
    <xf numFmtId="0" fontId="2" fillId="35" borderId="1" xfId="0" applyFont="1" applyFill="1" applyBorder="1"/>
    <xf numFmtId="170" fontId="2" fillId="0" borderId="0" xfId="7" applyNumberFormat="1" applyFont="1" applyBorder="1" applyAlignment="1">
      <alignment vertical="center" wrapText="1"/>
    </xf>
    <xf numFmtId="0" fontId="56" fillId="19" borderId="76" xfId="6" applyFont="1" applyFill="1" applyBorder="1" applyAlignment="1">
      <alignment horizontal="center" vertical="center" wrapText="1"/>
    </xf>
    <xf numFmtId="0" fontId="47" fillId="22" borderId="25" xfId="6" applyFont="1" applyFill="1" applyBorder="1" applyAlignment="1">
      <alignment horizontal="left" vertical="center" wrapText="1"/>
    </xf>
    <xf numFmtId="0" fontId="52" fillId="0" borderId="0" xfId="6" applyNumberFormat="1" applyFont="1" applyBorder="1" applyAlignment="1">
      <alignment horizontal="center" vertical="center" wrapText="1"/>
    </xf>
    <xf numFmtId="0" fontId="45" fillId="0" borderId="0" xfId="6" applyNumberFormat="1" applyFont="1" applyBorder="1" applyAlignment="1">
      <alignment horizontal="left" vertical="center" wrapText="1"/>
    </xf>
    <xf numFmtId="0" fontId="2" fillId="0" borderId="0" xfId="7" applyNumberFormat="1" applyFont="1" applyBorder="1" applyAlignment="1">
      <alignment vertical="center" wrapText="1"/>
    </xf>
    <xf numFmtId="0" fontId="47" fillId="0" borderId="0" xfId="6" applyNumberFormat="1" applyFont="1" applyBorder="1" applyAlignment="1">
      <alignment vertical="center" wrapText="1"/>
    </xf>
    <xf numFmtId="0" fontId="47" fillId="0" borderId="0" xfId="6" applyNumberFormat="1" applyFont="1" applyBorder="1" applyAlignment="1">
      <alignment horizontal="left" vertical="center" wrapText="1"/>
    </xf>
    <xf numFmtId="0" fontId="47" fillId="0" borderId="0" xfId="6" applyNumberFormat="1" applyFont="1" applyBorder="1" applyAlignment="1">
      <alignment horizontal="center" vertical="center" wrapText="1"/>
    </xf>
    <xf numFmtId="0" fontId="47" fillId="0" borderId="0" xfId="6" applyNumberFormat="1" applyFont="1" applyFill="1" applyBorder="1" applyAlignment="1">
      <alignment vertical="center" wrapText="1"/>
    </xf>
    <xf numFmtId="0" fontId="47" fillId="22" borderId="20" xfId="6" applyNumberFormat="1" applyFont="1" applyFill="1" applyBorder="1" applyAlignment="1">
      <alignment horizontal="center" vertical="center" wrapText="1"/>
    </xf>
    <xf numFmtId="0" fontId="47" fillId="22" borderId="10" xfId="6" applyNumberFormat="1" applyFont="1" applyFill="1" applyBorder="1" applyAlignment="1">
      <alignment horizontal="center" vertical="center" wrapText="1"/>
    </xf>
    <xf numFmtId="168" fontId="47" fillId="22" borderId="65" xfId="6" applyNumberFormat="1" applyFont="1" applyFill="1" applyBorder="1" applyAlignment="1">
      <alignment horizontal="center" vertical="center" wrapText="1"/>
    </xf>
    <xf numFmtId="168" fontId="47" fillId="22" borderId="80" xfId="6" applyNumberFormat="1" applyFont="1" applyFill="1" applyBorder="1" applyAlignment="1">
      <alignment horizontal="center" vertical="center" wrapText="1"/>
    </xf>
    <xf numFmtId="168" fontId="47" fillId="22" borderId="10" xfId="6" applyNumberFormat="1" applyFont="1" applyFill="1" applyBorder="1" applyAlignment="1">
      <alignment horizontal="center" vertical="center" wrapText="1"/>
    </xf>
    <xf numFmtId="168" fontId="47" fillId="22" borderId="1" xfId="6" applyNumberFormat="1" applyFont="1" applyFill="1" applyBorder="1" applyAlignment="1">
      <alignment horizontal="center" vertical="center" wrapText="1"/>
    </xf>
    <xf numFmtId="0" fontId="47" fillId="22" borderId="3" xfId="6" applyNumberFormat="1" applyFont="1" applyFill="1" applyBorder="1" applyAlignment="1">
      <alignment vertical="center" wrapText="1"/>
    </xf>
    <xf numFmtId="0" fontId="47" fillId="22" borderId="4" xfId="6" applyNumberFormat="1" applyFont="1" applyFill="1" applyBorder="1" applyAlignment="1">
      <alignment vertical="center" wrapText="1"/>
    </xf>
    <xf numFmtId="170" fontId="53" fillId="13" borderId="10" xfId="7" applyNumberFormat="1" applyFont="1" applyFill="1" applyBorder="1" applyAlignment="1">
      <alignment horizontal="right" vertical="center" wrapText="1" indent="1"/>
    </xf>
    <xf numFmtId="170" fontId="53" fillId="13" borderId="78" xfId="7" applyNumberFormat="1" applyFont="1" applyFill="1" applyBorder="1" applyAlignment="1">
      <alignment horizontal="right" vertical="center" wrapText="1" indent="1"/>
    </xf>
    <xf numFmtId="170" fontId="53" fillId="13" borderId="4" xfId="7" applyNumberFormat="1" applyFont="1" applyFill="1" applyBorder="1" applyAlignment="1">
      <alignment horizontal="right" vertical="center" wrapText="1" indent="1"/>
    </xf>
    <xf numFmtId="170" fontId="53" fillId="13" borderId="65" xfId="7" applyNumberFormat="1" applyFont="1" applyFill="1" applyBorder="1" applyAlignment="1">
      <alignment horizontal="right" vertical="center" wrapText="1" indent="1"/>
    </xf>
    <xf numFmtId="0" fontId="47" fillId="0" borderId="42" xfId="6" applyFont="1" applyBorder="1" applyAlignment="1">
      <alignment vertical="center" wrapText="1"/>
    </xf>
    <xf numFmtId="0" fontId="2" fillId="28" borderId="10" xfId="0" applyFont="1" applyFill="1" applyBorder="1"/>
    <xf numFmtId="0" fontId="2" fillId="29" borderId="10" xfId="0" applyFont="1" applyFill="1" applyBorder="1"/>
    <xf numFmtId="0" fontId="2" fillId="30" borderId="10" xfId="0" applyFont="1" applyFill="1" applyBorder="1"/>
    <xf numFmtId="0" fontId="2" fillId="33" borderId="10" xfId="0" applyFont="1" applyFill="1" applyBorder="1"/>
    <xf numFmtId="0" fontId="2" fillId="34" borderId="10" xfId="0" applyFont="1" applyFill="1" applyBorder="1"/>
    <xf numFmtId="0" fontId="2" fillId="35" borderId="10" xfId="0" applyFont="1" applyFill="1" applyBorder="1"/>
    <xf numFmtId="170" fontId="53" fillId="13" borderId="68" xfId="7" applyNumberFormat="1" applyFont="1" applyFill="1" applyBorder="1" applyAlignment="1">
      <alignment horizontal="right" vertical="center" wrapText="1" indent="1"/>
    </xf>
    <xf numFmtId="170" fontId="53" fillId="13" borderId="64" xfId="7" applyNumberFormat="1" applyFont="1" applyFill="1" applyBorder="1" applyAlignment="1">
      <alignment horizontal="right" vertical="center" wrapText="1" indent="1"/>
    </xf>
    <xf numFmtId="0" fontId="60" fillId="0" borderId="0" xfId="0" applyFont="1"/>
    <xf numFmtId="0" fontId="2" fillId="0" borderId="0" xfId="0" applyFont="1" applyBorder="1"/>
    <xf numFmtId="0" fontId="61" fillId="0" borderId="0" xfId="0" applyFont="1" applyAlignment="1">
      <alignment horizontal="left" vertical="center" indent="1"/>
    </xf>
    <xf numFmtId="170" fontId="53" fillId="39" borderId="43" xfId="7" applyNumberFormat="1" applyFont="1" applyFill="1" applyBorder="1" applyAlignment="1">
      <alignment horizontal="right" vertical="center" wrapText="1" indent="1"/>
    </xf>
    <xf numFmtId="170" fontId="53" fillId="39" borderId="7" xfId="7" applyNumberFormat="1" applyFont="1" applyFill="1" applyBorder="1" applyAlignment="1">
      <alignment horizontal="right" vertical="center" wrapText="1" indent="1"/>
    </xf>
    <xf numFmtId="170" fontId="53" fillId="39" borderId="1" xfId="7" applyNumberFormat="1" applyFont="1" applyFill="1" applyBorder="1" applyAlignment="1">
      <alignment horizontal="right" vertical="center" wrapText="1" indent="1"/>
    </xf>
    <xf numFmtId="170" fontId="53" fillId="39" borderId="72" xfId="7" applyNumberFormat="1" applyFont="1" applyFill="1" applyBorder="1" applyAlignment="1">
      <alignment horizontal="right" vertical="center" wrapText="1" indent="1"/>
    </xf>
    <xf numFmtId="170" fontId="53" fillId="39" borderId="14" xfId="7" applyNumberFormat="1" applyFont="1" applyFill="1" applyBorder="1" applyAlignment="1">
      <alignment horizontal="right" vertical="center" wrapText="1" indent="1"/>
    </xf>
    <xf numFmtId="166" fontId="53" fillId="39" borderId="20" xfId="7" applyNumberFormat="1" applyFont="1" applyFill="1" applyBorder="1" applyAlignment="1">
      <alignment horizontal="right" vertical="center" wrapText="1" indent="1"/>
    </xf>
    <xf numFmtId="0" fontId="47" fillId="39" borderId="0" xfId="6" applyFont="1" applyFill="1" applyBorder="1" applyAlignment="1">
      <alignment vertical="center" wrapText="1"/>
    </xf>
    <xf numFmtId="0" fontId="47" fillId="39" borderId="21" xfId="6" applyFont="1" applyFill="1" applyBorder="1" applyAlignment="1">
      <alignment horizontal="left" vertical="center" wrapText="1"/>
    </xf>
    <xf numFmtId="0" fontId="48" fillId="21" borderId="2" xfId="6" applyFont="1" applyFill="1" applyBorder="1" applyAlignment="1">
      <alignment horizontal="right" vertical="center" wrapText="1"/>
    </xf>
    <xf numFmtId="0" fontId="48" fillId="21" borderId="28" xfId="6" applyFont="1" applyFill="1" applyBorder="1" applyAlignment="1">
      <alignment horizontal="center" vertical="center" wrapText="1"/>
    </xf>
    <xf numFmtId="170" fontId="48" fillId="21" borderId="1" xfId="7" applyNumberFormat="1" applyFont="1" applyFill="1" applyBorder="1" applyAlignment="1">
      <alignment horizontal="center" vertical="center" wrapText="1"/>
    </xf>
    <xf numFmtId="170" fontId="48" fillId="21" borderId="2" xfId="7" applyNumberFormat="1" applyFont="1" applyFill="1" applyBorder="1" applyAlignment="1">
      <alignment horizontal="center" vertical="center" wrapText="1"/>
    </xf>
    <xf numFmtId="0" fontId="65" fillId="0" borderId="26" xfId="6" applyFont="1" applyFill="1" applyBorder="1" applyAlignment="1">
      <alignment vertical="center" wrapText="1"/>
    </xf>
    <xf numFmtId="0" fontId="46" fillId="0" borderId="27" xfId="6" applyFont="1" applyBorder="1" applyAlignment="1">
      <alignment horizontal="center" vertical="center" wrapText="1"/>
    </xf>
    <xf numFmtId="0" fontId="45" fillId="0" borderId="72" xfId="6" applyFont="1" applyBorder="1" applyAlignment="1">
      <alignment horizontal="left" vertical="center" wrapText="1"/>
    </xf>
    <xf numFmtId="0" fontId="2" fillId="0" borderId="0" xfId="0" applyFont="1" applyAlignment="1">
      <alignment horizontal="left"/>
    </xf>
    <xf numFmtId="0" fontId="2" fillId="0" borderId="0" xfId="0" applyFont="1" applyAlignment="1"/>
    <xf numFmtId="0" fontId="38" fillId="0" borderId="0" xfId="0" applyFont="1" applyAlignment="1">
      <alignment horizontal="left" vertical="top" wrapText="1"/>
    </xf>
    <xf numFmtId="0" fontId="62" fillId="0" borderId="0" xfId="0" applyFont="1" applyFill="1"/>
    <xf numFmtId="0" fontId="37" fillId="0" borderId="9" xfId="0" applyFont="1" applyFill="1" applyBorder="1"/>
    <xf numFmtId="0" fontId="34" fillId="13" borderId="12" xfId="0" applyFont="1" applyFill="1" applyBorder="1"/>
    <xf numFmtId="0" fontId="34" fillId="0" borderId="0" xfId="0" applyFont="1" applyFill="1" applyBorder="1"/>
    <xf numFmtId="0" fontId="34" fillId="0" borderId="61" xfId="0" applyFont="1" applyFill="1" applyBorder="1"/>
    <xf numFmtId="0" fontId="37" fillId="0" borderId="63" xfId="0" applyFont="1" applyFill="1" applyBorder="1"/>
    <xf numFmtId="0" fontId="62" fillId="11" borderId="0" xfId="0" applyFont="1" applyFill="1" applyBorder="1"/>
    <xf numFmtId="0" fontId="62" fillId="11" borderId="0" xfId="0" applyFont="1" applyFill="1"/>
    <xf numFmtId="0" fontId="62" fillId="0" borderId="0" xfId="0" applyFont="1"/>
    <xf numFmtId="0" fontId="4" fillId="0" borderId="0" xfId="0" applyFont="1" applyAlignment="1">
      <alignment horizontal="left"/>
    </xf>
    <xf numFmtId="0" fontId="37" fillId="0" borderId="0" xfId="0" applyFont="1" applyAlignment="1">
      <alignment horizontal="center"/>
    </xf>
    <xf numFmtId="0" fontId="26" fillId="12" borderId="0" xfId="0" applyFont="1" applyFill="1" applyAlignment="1">
      <alignment horizontal="center"/>
    </xf>
    <xf numFmtId="0" fontId="34" fillId="0" borderId="0" xfId="10" applyFont="1" applyProtection="1"/>
    <xf numFmtId="0" fontId="34" fillId="13" borderId="62" xfId="10" applyNumberFormat="1" applyFont="1" applyFill="1" applyBorder="1" applyAlignment="1" applyProtection="1">
      <alignment horizontal="center" vertical="center" wrapText="1"/>
    </xf>
    <xf numFmtId="0" fontId="34" fillId="12" borderId="29" xfId="10" applyFont="1" applyFill="1" applyBorder="1" applyAlignment="1" applyProtection="1">
      <alignment horizontal="center" wrapText="1"/>
    </xf>
    <xf numFmtId="0" fontId="34" fillId="25" borderId="0" xfId="10" applyFont="1" applyFill="1" applyBorder="1" applyAlignment="1" applyProtection="1">
      <alignment wrapText="1"/>
    </xf>
    <xf numFmtId="0" fontId="34" fillId="25" borderId="0" xfId="10" applyFont="1" applyFill="1" applyAlignment="1" applyProtection="1">
      <alignment wrapText="1"/>
    </xf>
    <xf numFmtId="0" fontId="34" fillId="0" borderId="0" xfId="10" applyFont="1" applyAlignment="1" applyProtection="1">
      <alignment horizontal="center"/>
    </xf>
    <xf numFmtId="0" fontId="34" fillId="0" borderId="0" xfId="10" applyFont="1" applyBorder="1" applyAlignment="1" applyProtection="1">
      <alignment horizontal="center"/>
    </xf>
    <xf numFmtId="0" fontId="34" fillId="0" borderId="0" xfId="10" applyFont="1" applyBorder="1" applyProtection="1"/>
    <xf numFmtId="0" fontId="34" fillId="0" borderId="0" xfId="0" applyFont="1" applyAlignment="1"/>
    <xf numFmtId="0" fontId="37" fillId="0" borderId="0" xfId="0" applyFont="1" applyAlignment="1"/>
    <xf numFmtId="0" fontId="34" fillId="28" borderId="1" xfId="0" applyFont="1" applyFill="1" applyBorder="1"/>
    <xf numFmtId="0" fontId="34" fillId="29" borderId="1" xfId="0" applyFont="1" applyFill="1" applyBorder="1"/>
    <xf numFmtId="0" fontId="34" fillId="30" borderId="1" xfId="0" applyFont="1" applyFill="1" applyBorder="1"/>
    <xf numFmtId="0" fontId="34" fillId="33" borderId="1" xfId="0" applyFont="1" applyFill="1" applyBorder="1"/>
    <xf numFmtId="0" fontId="34" fillId="34" borderId="1" xfId="0" applyFont="1" applyFill="1" applyBorder="1"/>
    <xf numFmtId="0" fontId="34" fillId="35" borderId="1" xfId="0" applyFont="1" applyFill="1" applyBorder="1"/>
    <xf numFmtId="0" fontId="34" fillId="0" borderId="0" xfId="0" applyFont="1" applyAlignment="1">
      <alignment horizontal="right" indent="1"/>
    </xf>
    <xf numFmtId="0" fontId="2" fillId="0" borderId="0" xfId="0" applyFont="1" applyBorder="1" applyProtection="1"/>
    <xf numFmtId="0" fontId="37" fillId="0" borderId="0" xfId="0" applyFont="1" applyFill="1" applyBorder="1" applyAlignment="1" applyProtection="1">
      <alignment horizontal="center" vertical="center" wrapText="1"/>
    </xf>
    <xf numFmtId="0" fontId="2" fillId="0" borderId="0" xfId="0" applyFont="1" applyProtection="1"/>
    <xf numFmtId="0" fontId="34" fillId="0" borderId="0" xfId="0" applyFont="1" applyProtection="1"/>
    <xf numFmtId="0" fontId="34" fillId="0" borderId="0" xfId="0" applyFont="1" applyFill="1" applyBorder="1" applyAlignment="1" applyProtection="1"/>
    <xf numFmtId="0" fontId="35" fillId="0" borderId="56" xfId="0" applyFont="1" applyBorder="1" applyAlignment="1" applyProtection="1">
      <alignment vertical="top" wrapText="1"/>
      <protection locked="0"/>
    </xf>
    <xf numFmtId="0" fontId="35" fillId="0" borderId="56" xfId="0" applyFont="1" applyFill="1" applyBorder="1" applyAlignment="1" applyProtection="1">
      <alignment vertical="top" wrapText="1"/>
      <protection locked="0"/>
    </xf>
    <xf numFmtId="49" fontId="37" fillId="0" borderId="0" xfId="0" applyNumberFormat="1" applyFont="1" applyFill="1" applyBorder="1" applyAlignment="1" applyProtection="1">
      <alignment vertical="top" wrapText="1"/>
    </xf>
    <xf numFmtId="49" fontId="34" fillId="0" borderId="0" xfId="0" applyNumberFormat="1" applyFont="1" applyFill="1" applyBorder="1" applyAlignment="1" applyProtection="1">
      <alignment vertical="top" wrapText="1"/>
    </xf>
    <xf numFmtId="49" fontId="2" fillId="0" borderId="0" xfId="0" applyNumberFormat="1" applyFont="1" applyFill="1" applyBorder="1" applyAlignment="1" applyProtection="1">
      <alignment vertical="top" wrapText="1"/>
    </xf>
    <xf numFmtId="0" fontId="2" fillId="0" borderId="0" xfId="0" applyFont="1" applyFill="1" applyBorder="1" applyProtection="1"/>
    <xf numFmtId="1" fontId="2" fillId="0" borderId="0" xfId="0" applyNumberFormat="1" applyFont="1" applyFill="1" applyBorder="1" applyAlignment="1" applyProtection="1">
      <alignment horizontal="center" wrapText="1" readingOrder="1"/>
    </xf>
    <xf numFmtId="0" fontId="2" fillId="0" borderId="0" xfId="0" applyFont="1" applyFill="1" applyBorder="1" applyAlignment="1" applyProtection="1"/>
    <xf numFmtId="1" fontId="2" fillId="27" borderId="0" xfId="0" applyNumberFormat="1" applyFont="1" applyFill="1" applyAlignment="1" applyProtection="1">
      <alignment horizontal="center" wrapText="1" readingOrder="1"/>
    </xf>
    <xf numFmtId="0" fontId="34" fillId="0" borderId="0" xfId="0" applyFont="1" applyAlignment="1" applyProtection="1">
      <alignment vertical="center"/>
    </xf>
    <xf numFmtId="0" fontId="34" fillId="13" borderId="0" xfId="0" applyFont="1" applyFill="1"/>
    <xf numFmtId="0" fontId="2" fillId="0" borderId="28" xfId="11" applyFill="1" applyBorder="1"/>
    <xf numFmtId="0" fontId="62" fillId="0" borderId="0" xfId="0" applyFont="1" applyFill="1" applyBorder="1"/>
    <xf numFmtId="0" fontId="26" fillId="22" borderId="1" xfId="0" applyFont="1" applyFill="1" applyBorder="1"/>
    <xf numFmtId="0" fontId="27" fillId="0" borderId="0" xfId="0" applyFont="1" applyBorder="1" applyAlignment="1">
      <alignment horizontal="center"/>
    </xf>
    <xf numFmtId="0" fontId="2" fillId="0" borderId="0" xfId="11" applyFill="1" applyBorder="1"/>
    <xf numFmtId="0" fontId="4" fillId="0" borderId="0" xfId="0" applyFont="1" applyAlignment="1">
      <alignment horizontal="right" vertical="top"/>
    </xf>
    <xf numFmtId="0" fontId="27" fillId="32" borderId="0" xfId="0" applyFont="1" applyFill="1"/>
    <xf numFmtId="49" fontId="2" fillId="39" borderId="0" xfId="0" applyNumberFormat="1" applyFont="1" applyFill="1"/>
    <xf numFmtId="0" fontId="2" fillId="39" borderId="0" xfId="0" applyFont="1" applyFill="1"/>
    <xf numFmtId="49" fontId="19" fillId="6" borderId="0" xfId="0" applyNumberFormat="1" applyFont="1" applyFill="1"/>
    <xf numFmtId="0" fontId="34" fillId="0" borderId="0" xfId="0" applyNumberFormat="1" applyFont="1" applyAlignment="1">
      <alignment wrapText="1"/>
    </xf>
    <xf numFmtId="0" fontId="34" fillId="0" borderId="0" xfId="0" applyNumberFormat="1" applyFont="1" applyAlignment="1">
      <alignment vertical="top" wrapText="1"/>
    </xf>
    <xf numFmtId="0" fontId="34" fillId="0" borderId="10" xfId="0" applyFont="1" applyBorder="1"/>
    <xf numFmtId="0" fontId="34" fillId="0" borderId="12" xfId="0" applyFont="1" applyBorder="1"/>
    <xf numFmtId="0" fontId="34" fillId="0" borderId="46" xfId="0" applyFont="1" applyBorder="1" applyAlignment="1">
      <alignment horizontal="right"/>
    </xf>
    <xf numFmtId="0" fontId="34" fillId="0" borderId="10" xfId="0" applyFont="1" applyBorder="1" applyAlignment="1">
      <alignment horizontal="center"/>
    </xf>
    <xf numFmtId="0" fontId="4" fillId="20" borderId="75" xfId="0" applyFont="1" applyFill="1" applyBorder="1" applyAlignment="1" applyProtection="1">
      <alignment horizontal="center" vertical="center" wrapText="1"/>
    </xf>
    <xf numFmtId="0" fontId="4" fillId="20" borderId="56" xfId="0" applyFont="1" applyFill="1" applyBorder="1" applyAlignment="1" applyProtection="1">
      <alignment horizontal="center" vertical="center" wrapText="1"/>
    </xf>
    <xf numFmtId="0" fontId="4" fillId="20" borderId="24" xfId="0" applyFont="1" applyFill="1" applyBorder="1" applyAlignment="1" applyProtection="1">
      <alignment horizontal="center" vertical="center" wrapText="1"/>
    </xf>
    <xf numFmtId="0" fontId="4" fillId="20" borderId="37" xfId="0" applyFont="1" applyFill="1" applyBorder="1" applyAlignment="1" applyProtection="1">
      <alignment horizontal="center" vertical="center" wrapText="1"/>
    </xf>
    <xf numFmtId="1" fontId="2" fillId="22" borderId="10" xfId="0" quotePrefix="1" applyNumberFormat="1" applyFont="1" applyFill="1" applyBorder="1" applyAlignment="1" applyProtection="1">
      <alignment horizontal="center" vertical="top" wrapText="1"/>
      <protection locked="0"/>
    </xf>
    <xf numFmtId="1" fontId="2" fillId="22" borderId="1" xfId="0" quotePrefix="1" applyNumberFormat="1" applyFont="1" applyFill="1" applyBorder="1" applyAlignment="1" applyProtection="1">
      <alignment horizontal="center" vertical="top" wrapText="1"/>
      <protection locked="0"/>
    </xf>
    <xf numFmtId="0" fontId="7" fillId="13" borderId="6" xfId="0" applyFont="1" applyFill="1" applyBorder="1" applyAlignment="1">
      <alignment horizontal="center"/>
    </xf>
    <xf numFmtId="0" fontId="4" fillId="20" borderId="23" xfId="0" applyFont="1" applyFill="1" applyBorder="1" applyAlignment="1" applyProtection="1">
      <alignment horizontal="center" vertical="center" wrapText="1"/>
    </xf>
    <xf numFmtId="0" fontId="2" fillId="22" borderId="1" xfId="0" applyFont="1" applyFill="1" applyBorder="1" applyAlignment="1">
      <alignment horizontal="center"/>
    </xf>
    <xf numFmtId="0" fontId="2" fillId="16" borderId="1" xfId="0" applyFont="1" applyFill="1" applyBorder="1" applyAlignment="1">
      <alignment horizontal="center"/>
    </xf>
    <xf numFmtId="0" fontId="2" fillId="0" borderId="0" xfId="0" applyFont="1" applyAlignment="1">
      <alignment horizontal="right" indent="1"/>
    </xf>
    <xf numFmtId="0" fontId="2" fillId="22" borderId="1" xfId="0" applyFont="1" applyFill="1" applyBorder="1"/>
    <xf numFmtId="0" fontId="4" fillId="0" borderId="0" xfId="0" applyFont="1" applyAlignment="1">
      <alignment horizontal="right" indent="1"/>
    </xf>
    <xf numFmtId="44" fontId="2" fillId="13" borderId="1" xfId="0" applyNumberFormat="1" applyFont="1" applyFill="1" applyBorder="1"/>
    <xf numFmtId="1" fontId="2" fillId="22" borderId="58" xfId="0" quotePrefix="1" applyNumberFormat="1" applyFont="1" applyFill="1" applyBorder="1" applyAlignment="1" applyProtection="1">
      <alignment horizontal="center" vertical="top" wrapText="1"/>
      <protection locked="0"/>
    </xf>
    <xf numFmtId="0" fontId="2" fillId="22" borderId="1" xfId="0" applyFont="1" applyFill="1" applyBorder="1" applyAlignment="1" applyProtection="1">
      <alignment horizontal="left" vertical="top" wrapText="1" indent="1"/>
      <protection locked="0"/>
    </xf>
    <xf numFmtId="0" fontId="2" fillId="22" borderId="1" xfId="0" applyFont="1" applyFill="1" applyBorder="1" applyAlignment="1" applyProtection="1">
      <alignment horizontal="center" vertical="top" wrapText="1"/>
      <protection locked="0"/>
    </xf>
    <xf numFmtId="0" fontId="2" fillId="22" borderId="1" xfId="0" applyFont="1" applyFill="1" applyBorder="1" applyAlignment="1" applyProtection="1">
      <alignment horizontal="center" vertical="top"/>
      <protection locked="0"/>
    </xf>
    <xf numFmtId="166" fontId="2" fillId="13" borderId="1" xfId="0" applyNumberFormat="1" applyFont="1" applyFill="1" applyBorder="1" applyAlignment="1" applyProtection="1">
      <alignment horizontal="right" vertical="top" wrapText="1" indent="1"/>
    </xf>
    <xf numFmtId="166" fontId="2" fillId="22" borderId="1" xfId="0" applyNumberFormat="1" applyFont="1" applyFill="1" applyBorder="1" applyAlignment="1" applyProtection="1">
      <alignment horizontal="left" vertical="top" wrapText="1" indent="1"/>
    </xf>
    <xf numFmtId="0" fontId="2" fillId="22" borderId="65" xfId="0" applyFont="1" applyFill="1" applyBorder="1" applyAlignment="1" applyProtection="1">
      <alignment horizontal="left" vertical="top" wrapText="1" indent="1"/>
      <protection locked="0"/>
    </xf>
    <xf numFmtId="0" fontId="2" fillId="22" borderId="65" xfId="0" applyFont="1" applyFill="1" applyBorder="1" applyAlignment="1" applyProtection="1">
      <alignment horizontal="center" vertical="top" wrapText="1"/>
      <protection locked="0"/>
    </xf>
    <xf numFmtId="166" fontId="2" fillId="13" borderId="65" xfId="0" applyNumberFormat="1" applyFont="1" applyFill="1" applyBorder="1" applyAlignment="1" applyProtection="1">
      <alignment horizontal="right" vertical="top" wrapText="1" indent="1"/>
    </xf>
    <xf numFmtId="166" fontId="2" fillId="22" borderId="65" xfId="0" applyNumberFormat="1" applyFont="1" applyFill="1" applyBorder="1" applyAlignment="1" applyProtection="1">
      <alignment horizontal="left" vertical="top" wrapText="1" indent="1"/>
    </xf>
    <xf numFmtId="0" fontId="2" fillId="22" borderId="10" xfId="0" applyFont="1" applyFill="1" applyBorder="1" applyAlignment="1" applyProtection="1">
      <alignment horizontal="left" vertical="top" wrapText="1" indent="1"/>
      <protection locked="0"/>
    </xf>
    <xf numFmtId="0" fontId="2" fillId="22" borderId="10" xfId="0" applyFont="1" applyFill="1" applyBorder="1" applyAlignment="1" applyProtection="1">
      <alignment horizontal="center" vertical="top" wrapText="1"/>
      <protection locked="0"/>
    </xf>
    <xf numFmtId="166" fontId="2" fillId="22" borderId="10" xfId="0" applyNumberFormat="1" applyFont="1" applyFill="1" applyBorder="1" applyAlignment="1" applyProtection="1">
      <alignment horizontal="left" vertical="top" wrapText="1" indent="1"/>
    </xf>
    <xf numFmtId="0" fontId="2" fillId="22" borderId="10" xfId="0" applyFont="1" applyFill="1" applyBorder="1" applyAlignment="1" applyProtection="1">
      <alignment vertical="top" wrapText="1"/>
      <protection locked="0"/>
    </xf>
    <xf numFmtId="166" fontId="2" fillId="22" borderId="1" xfId="0" applyNumberFormat="1" applyFont="1" applyFill="1" applyBorder="1" applyAlignment="1" applyProtection="1">
      <alignment vertical="top" wrapText="1"/>
      <protection locked="0"/>
    </xf>
    <xf numFmtId="0" fontId="2" fillId="22" borderId="1" xfId="0" applyFont="1" applyFill="1" applyBorder="1" applyAlignment="1" applyProtection="1">
      <alignment vertical="top" wrapText="1"/>
      <protection locked="0"/>
    </xf>
    <xf numFmtId="0" fontId="4" fillId="20" borderId="56" xfId="0" applyFont="1" applyFill="1" applyBorder="1" applyAlignment="1">
      <alignment horizontal="center" vertical="center" wrapText="1"/>
    </xf>
    <xf numFmtId="0" fontId="2" fillId="22" borderId="10" xfId="0" applyFont="1" applyFill="1" applyBorder="1" applyAlignment="1" applyProtection="1">
      <alignment horizontal="center" vertical="center" wrapText="1"/>
      <protection locked="0"/>
    </xf>
    <xf numFmtId="0" fontId="4" fillId="20" borderId="56" xfId="2" applyFont="1" applyFill="1" applyBorder="1" applyAlignment="1">
      <alignment horizontal="center" vertical="center" wrapText="1"/>
    </xf>
    <xf numFmtId="0" fontId="4" fillId="0" borderId="0" xfId="0" applyFont="1" applyAlignment="1">
      <alignment horizontal="right" vertical="top" indent="1"/>
    </xf>
    <xf numFmtId="0" fontId="67" fillId="0" borderId="0" xfId="0" applyFont="1" applyAlignment="1">
      <alignment horizontal="center"/>
    </xf>
    <xf numFmtId="0" fontId="27" fillId="7" borderId="0" xfId="0" applyFont="1" applyFill="1"/>
    <xf numFmtId="0" fontId="2" fillId="7" borderId="0" xfId="0" applyFont="1" applyFill="1"/>
    <xf numFmtId="166" fontId="2" fillId="22" borderId="65" xfId="0" applyNumberFormat="1" applyFont="1" applyFill="1" applyBorder="1" applyAlignment="1" applyProtection="1">
      <alignment vertical="top" wrapText="1"/>
      <protection locked="0"/>
    </xf>
    <xf numFmtId="44" fontId="2" fillId="22" borderId="10" xfId="0" applyNumberFormat="1" applyFont="1" applyFill="1" applyBorder="1" applyAlignment="1" applyProtection="1">
      <alignment horizontal="right" vertical="top" wrapText="1" indent="1"/>
      <protection locked="0"/>
    </xf>
    <xf numFmtId="44" fontId="2" fillId="22" borderId="65" xfId="0" applyNumberFormat="1" applyFont="1" applyFill="1" applyBorder="1" applyAlignment="1" applyProtection="1">
      <alignment horizontal="right" vertical="top" wrapText="1" indent="1"/>
      <protection locked="0"/>
    </xf>
    <xf numFmtId="0" fontId="68" fillId="0" borderId="1" xfId="0" applyFont="1" applyBorder="1" applyAlignment="1">
      <alignment horizontal="right" vertical="center"/>
    </xf>
    <xf numFmtId="0" fontId="2" fillId="22" borderId="6" xfId="0" applyFont="1" applyFill="1" applyBorder="1" applyAlignment="1" applyProtection="1">
      <alignment horizontal="left" vertical="top" wrapText="1" indent="1"/>
      <protection locked="0"/>
    </xf>
    <xf numFmtId="0" fontId="2" fillId="22" borderId="4" xfId="0" applyFont="1" applyFill="1" applyBorder="1" applyAlignment="1" applyProtection="1">
      <alignment horizontal="left" vertical="top" wrapText="1" indent="1"/>
      <protection locked="0"/>
    </xf>
    <xf numFmtId="0" fontId="4" fillId="20" borderId="1" xfId="0" applyFont="1" applyFill="1" applyBorder="1" applyAlignment="1" applyProtection="1">
      <alignment horizontal="center" vertical="center" wrapText="1"/>
    </xf>
    <xf numFmtId="1" fontId="2" fillId="22" borderId="1" xfId="0" applyNumberFormat="1" applyFont="1" applyFill="1" applyBorder="1" applyAlignment="1" applyProtection="1">
      <alignment horizontal="center" vertical="top" wrapText="1"/>
    </xf>
    <xf numFmtId="1" fontId="2" fillId="22" borderId="1" xfId="0" applyNumberFormat="1" applyFont="1" applyFill="1" applyBorder="1" applyAlignment="1" applyProtection="1">
      <alignment horizontal="center" vertical="top"/>
    </xf>
    <xf numFmtId="0" fontId="4" fillId="0" borderId="0" xfId="0" applyFont="1" applyAlignment="1">
      <alignment horizontal="left" indent="1"/>
    </xf>
    <xf numFmtId="44" fontId="2" fillId="13" borderId="56" xfId="0" applyNumberFormat="1" applyFont="1" applyFill="1" applyBorder="1"/>
    <xf numFmtId="0" fontId="59" fillId="0" borderId="56" xfId="0" applyFont="1" applyFill="1" applyBorder="1" applyAlignment="1" applyProtection="1">
      <alignment vertical="top" wrapText="1"/>
      <protection locked="0"/>
    </xf>
    <xf numFmtId="0" fontId="37" fillId="7" borderId="0" xfId="0" applyFont="1" applyFill="1" applyBorder="1" applyAlignment="1" applyProtection="1">
      <alignment horizontal="center" vertical="top" wrapText="1"/>
    </xf>
    <xf numFmtId="0" fontId="37" fillId="7" borderId="75" xfId="0" applyFont="1" applyFill="1" applyBorder="1" applyAlignment="1" applyProtection="1">
      <alignment horizontal="center" vertical="top" wrapText="1"/>
      <protection locked="0"/>
    </xf>
    <xf numFmtId="0" fontId="34" fillId="0" borderId="1" xfId="10" applyFont="1" applyBorder="1" applyAlignment="1" applyProtection="1">
      <alignment horizontal="left" vertical="top" wrapText="1" indent="1"/>
    </xf>
    <xf numFmtId="0" fontId="37" fillId="25" borderId="0" xfId="10" applyFont="1" applyFill="1" applyBorder="1" applyAlignment="1" applyProtection="1">
      <alignment horizontal="center" vertical="center" wrapText="1"/>
    </xf>
    <xf numFmtId="0" fontId="2" fillId="0" borderId="0" xfId="0" applyFont="1" applyAlignment="1">
      <alignment horizontal="left" vertical="top" wrapText="1"/>
    </xf>
    <xf numFmtId="0" fontId="2" fillId="0" borderId="0" xfId="0" applyFont="1" applyAlignment="1">
      <alignment wrapText="1"/>
    </xf>
    <xf numFmtId="0" fontId="2" fillId="0" borderId="0" xfId="0" applyFont="1" applyAlignment="1">
      <alignment vertical="top" wrapText="1"/>
    </xf>
    <xf numFmtId="0" fontId="4" fillId="0" borderId="0" xfId="0" applyFont="1" applyFill="1" applyBorder="1"/>
    <xf numFmtId="49" fontId="4" fillId="0" borderId="0" xfId="0" applyNumberFormat="1" applyFont="1" applyAlignment="1">
      <alignment wrapText="1"/>
    </xf>
    <xf numFmtId="0" fontId="0" fillId="0" borderId="0" xfId="0" applyAlignment="1">
      <alignment horizontal="left" vertical="top"/>
    </xf>
    <xf numFmtId="0" fontId="23" fillId="0" borderId="1" xfId="0" applyFont="1" applyBorder="1"/>
    <xf numFmtId="0" fontId="2" fillId="0" borderId="0" xfId="0" applyFont="1" applyAlignment="1"/>
    <xf numFmtId="0" fontId="34" fillId="0" borderId="0" xfId="0" applyFont="1" applyAlignment="1">
      <alignment wrapText="1"/>
    </xf>
    <xf numFmtId="49" fontId="0" fillId="0" borderId="0" xfId="0" applyNumberFormat="1" applyAlignment="1">
      <alignment horizontal="left" vertical="top" wrapText="1"/>
    </xf>
    <xf numFmtId="49" fontId="4" fillId="0" borderId="0" xfId="0" applyNumberFormat="1" applyFont="1" applyAlignment="1">
      <alignment horizontal="left" vertical="top" wrapText="1"/>
    </xf>
    <xf numFmtId="0" fontId="4" fillId="0" borderId="0" xfId="0" applyFont="1" applyFill="1" applyBorder="1" applyAlignment="1">
      <alignment horizontal="right" vertical="top" indent="1"/>
    </xf>
    <xf numFmtId="0" fontId="4" fillId="0" borderId="0" xfId="0" applyFont="1" applyFill="1" applyBorder="1" applyAlignment="1">
      <alignment horizontal="left" vertical="top" wrapText="1"/>
    </xf>
    <xf numFmtId="0" fontId="23" fillId="0" borderId="14" xfId="0" applyFont="1" applyBorder="1" applyAlignment="1">
      <alignment horizontal="right" vertical="center" indent="1"/>
    </xf>
    <xf numFmtId="0" fontId="5" fillId="40" borderId="5" xfId="0" applyFont="1" applyFill="1" applyBorder="1"/>
    <xf numFmtId="0" fontId="6" fillId="40" borderId="7" xfId="0" applyFont="1" applyFill="1" applyBorder="1"/>
    <xf numFmtId="0" fontId="6" fillId="40" borderId="2" xfId="0" applyFont="1" applyFill="1" applyBorder="1"/>
    <xf numFmtId="0" fontId="6" fillId="40" borderId="29" xfId="0" applyFont="1" applyFill="1" applyBorder="1"/>
    <xf numFmtId="165" fontId="6" fillId="0" borderId="7" xfId="0" applyNumberFormat="1" applyFont="1" applyBorder="1" applyAlignment="1">
      <alignment horizontal="right"/>
    </xf>
    <xf numFmtId="0" fontId="23" fillId="0" borderId="14" xfId="0" applyFont="1" applyBorder="1" applyAlignment="1">
      <alignment horizontal="center" vertical="center"/>
    </xf>
    <xf numFmtId="0" fontId="2" fillId="0" borderId="0" xfId="0" applyFont="1" applyAlignment="1">
      <alignment horizontal="right" vertical="center"/>
    </xf>
    <xf numFmtId="0" fontId="4" fillId="0" borderId="0" xfId="0" applyFont="1" applyFill="1" applyBorder="1" applyAlignment="1">
      <alignment wrapText="1"/>
    </xf>
    <xf numFmtId="42" fontId="5" fillId="13" borderId="2" xfId="0" applyNumberFormat="1" applyFont="1" applyFill="1" applyBorder="1"/>
    <xf numFmtId="42" fontId="5" fillId="0" borderId="6" xfId="0" applyNumberFormat="1" applyFont="1" applyFill="1" applyBorder="1"/>
    <xf numFmtId="0" fontId="6" fillId="0" borderId="29" xfId="0" applyFont="1" applyFill="1" applyBorder="1"/>
    <xf numFmtId="165" fontId="6" fillId="0" borderId="14" xfId="0" applyNumberFormat="1" applyFont="1" applyFill="1" applyBorder="1"/>
    <xf numFmtId="42" fontId="6" fillId="22" borderId="13" xfId="0" applyNumberFormat="1" applyFont="1" applyFill="1" applyBorder="1"/>
    <xf numFmtId="165" fontId="6" fillId="13" borderId="14" xfId="0" applyNumberFormat="1" applyFont="1" applyFill="1" applyBorder="1"/>
    <xf numFmtId="0" fontId="37" fillId="42" borderId="1" xfId="10" applyFont="1" applyFill="1" applyBorder="1" applyAlignment="1" applyProtection="1">
      <alignment horizontal="center" vertical="center" wrapText="1"/>
    </xf>
    <xf numFmtId="0" fontId="71" fillId="0" borderId="1" xfId="10" applyFont="1" applyBorder="1" applyAlignment="1" applyProtection="1">
      <alignment horizontal="left" vertical="top" wrapText="1" indent="1"/>
    </xf>
    <xf numFmtId="0" fontId="69" fillId="0" borderId="0" xfId="0" applyFont="1"/>
    <xf numFmtId="0" fontId="57" fillId="0" borderId="0" xfId="6" applyFont="1" applyBorder="1" applyAlignment="1">
      <alignment horizontal="left" vertical="center"/>
    </xf>
    <xf numFmtId="0" fontId="5" fillId="42" borderId="5" xfId="0" applyFont="1" applyFill="1" applyBorder="1"/>
    <xf numFmtId="0" fontId="6" fillId="42" borderId="1" xfId="0" applyFont="1" applyFill="1" applyBorder="1"/>
    <xf numFmtId="0" fontId="6" fillId="42" borderId="2" xfId="0" applyFont="1" applyFill="1" applyBorder="1"/>
    <xf numFmtId="0" fontId="6" fillId="42" borderId="29" xfId="0" applyFont="1" applyFill="1" applyBorder="1"/>
    <xf numFmtId="164" fontId="6" fillId="42" borderId="28" xfId="0" applyNumberFormat="1" applyFont="1" applyFill="1" applyBorder="1"/>
    <xf numFmtId="0" fontId="6" fillId="40" borderId="47" xfId="0" applyFont="1" applyFill="1" applyBorder="1"/>
    <xf numFmtId="165" fontId="6" fillId="0" borderId="14" xfId="0" applyNumberFormat="1" applyFont="1" applyBorder="1" applyAlignment="1">
      <alignment horizontal="right"/>
    </xf>
    <xf numFmtId="0" fontId="44" fillId="0" borderId="0" xfId="0" applyFont="1" applyFill="1"/>
    <xf numFmtId="0" fontId="72" fillId="0" borderId="0" xfId="0" applyFont="1" applyFill="1"/>
    <xf numFmtId="0" fontId="7" fillId="43" borderId="55" xfId="0" applyFont="1" applyFill="1" applyBorder="1" applyAlignment="1">
      <alignment horizontal="center" vertical="center"/>
    </xf>
    <xf numFmtId="0" fontId="4" fillId="13" borderId="1" xfId="0" applyFont="1" applyFill="1" applyBorder="1" applyAlignment="1">
      <alignment horizontal="right"/>
    </xf>
    <xf numFmtId="0" fontId="0" fillId="43" borderId="32" xfId="0" applyFill="1" applyBorder="1" applyAlignment="1">
      <alignment vertical="center"/>
    </xf>
    <xf numFmtId="0" fontId="5" fillId="43" borderId="11" xfId="0" applyFont="1" applyFill="1" applyBorder="1" applyAlignment="1">
      <alignment horizontal="left" vertical="center" indent="1"/>
    </xf>
    <xf numFmtId="0" fontId="6" fillId="0" borderId="0" xfId="0" applyFont="1" applyFill="1" applyBorder="1"/>
    <xf numFmtId="0" fontId="0" fillId="43" borderId="30" xfId="0" applyFill="1" applyBorder="1"/>
    <xf numFmtId="0" fontId="9" fillId="43" borderId="17" xfId="0" applyFont="1" applyFill="1" applyBorder="1" applyAlignment="1">
      <alignment horizontal="center" vertical="center"/>
    </xf>
    <xf numFmtId="49" fontId="7" fillId="9" borderId="16" xfId="0" applyNumberFormat="1" applyFont="1" applyFill="1" applyBorder="1" applyAlignment="1">
      <alignment horizontal="center" vertical="center" wrapText="1"/>
    </xf>
    <xf numFmtId="0" fontId="7" fillId="43" borderId="39" xfId="0" applyFont="1" applyFill="1" applyBorder="1" applyAlignment="1">
      <alignment horizontal="center" vertical="center"/>
    </xf>
    <xf numFmtId="0" fontId="6" fillId="43" borderId="27" xfId="0" applyFont="1" applyFill="1" applyBorder="1" applyAlignment="1">
      <alignment vertical="center"/>
    </xf>
    <xf numFmtId="0" fontId="4" fillId="43" borderId="35" xfId="11" applyFont="1" applyFill="1" applyBorder="1" applyAlignment="1">
      <alignment horizontal="center" wrapText="1"/>
    </xf>
    <xf numFmtId="0" fontId="6" fillId="43" borderId="0" xfId="0" applyFont="1" applyFill="1" applyBorder="1" applyAlignment="1">
      <alignment vertical="center"/>
    </xf>
    <xf numFmtId="42" fontId="6" fillId="43" borderId="27" xfId="0" applyNumberFormat="1" applyFont="1" applyFill="1" applyBorder="1"/>
    <xf numFmtId="0" fontId="5" fillId="15" borderId="81" xfId="0" applyFont="1" applyFill="1" applyBorder="1"/>
    <xf numFmtId="0" fontId="6" fillId="28" borderId="37" xfId="0" applyFont="1" applyFill="1" applyBorder="1" applyAlignment="1">
      <alignment vertical="center"/>
    </xf>
    <xf numFmtId="0" fontId="6" fillId="28" borderId="24" xfId="0" applyFont="1" applyFill="1" applyBorder="1" applyAlignment="1">
      <alignment vertical="center"/>
    </xf>
    <xf numFmtId="42" fontId="5" fillId="13" borderId="82" xfId="0" applyNumberFormat="1" applyFont="1" applyFill="1" applyBorder="1"/>
    <xf numFmtId="0" fontId="0" fillId="43" borderId="37" xfId="0" applyFill="1" applyBorder="1"/>
    <xf numFmtId="0" fontId="0" fillId="43" borderId="24" xfId="0" applyFill="1" applyBorder="1"/>
    <xf numFmtId="0" fontId="0" fillId="34" borderId="37" xfId="0" applyFill="1" applyBorder="1"/>
    <xf numFmtId="0" fontId="0" fillId="34" borderId="24" xfId="0" applyFill="1" applyBorder="1"/>
    <xf numFmtId="0" fontId="0" fillId="33" borderId="37" xfId="0" applyFill="1" applyBorder="1"/>
    <xf numFmtId="0" fontId="0" fillId="33" borderId="24" xfId="0" applyFill="1" applyBorder="1"/>
    <xf numFmtId="0" fontId="0" fillId="30" borderId="37" xfId="0" applyFill="1" applyBorder="1"/>
    <xf numFmtId="0" fontId="16" fillId="30" borderId="37" xfId="0" applyFont="1" applyFill="1" applyBorder="1"/>
    <xf numFmtId="0" fontId="0" fillId="30" borderId="24" xfId="0" applyFill="1" applyBorder="1"/>
    <xf numFmtId="0" fontId="0" fillId="29" borderId="37" xfId="0" applyFill="1" applyBorder="1"/>
    <xf numFmtId="0" fontId="0" fillId="29" borderId="24" xfId="0" applyFill="1" applyBorder="1"/>
    <xf numFmtId="0" fontId="0" fillId="35" borderId="37" xfId="0" applyFill="1" applyBorder="1"/>
    <xf numFmtId="0" fontId="0" fillId="35" borderId="24" xfId="0" applyFill="1" applyBorder="1"/>
    <xf numFmtId="0" fontId="6" fillId="28" borderId="36" xfId="0" applyFont="1" applyFill="1" applyBorder="1" applyAlignment="1">
      <alignment vertical="center"/>
    </xf>
    <xf numFmtId="0" fontId="6" fillId="0" borderId="74" xfId="0" applyFont="1" applyBorder="1"/>
    <xf numFmtId="42" fontId="6" fillId="40" borderId="50" xfId="0" applyNumberFormat="1" applyFont="1" applyFill="1" applyBorder="1"/>
    <xf numFmtId="165" fontId="6" fillId="44" borderId="14" xfId="0" applyNumberFormat="1" applyFont="1" applyFill="1" applyBorder="1"/>
    <xf numFmtId="42" fontId="6" fillId="44" borderId="50" xfId="0" applyNumberFormat="1" applyFont="1" applyFill="1" applyBorder="1"/>
    <xf numFmtId="42" fontId="6" fillId="15" borderId="50" xfId="0" applyNumberFormat="1" applyFont="1" applyFill="1" applyBorder="1"/>
    <xf numFmtId="0" fontId="6" fillId="0" borderId="26" xfId="0" applyFont="1" applyBorder="1"/>
    <xf numFmtId="0" fontId="0" fillId="29" borderId="36" xfId="0" applyFill="1" applyBorder="1"/>
    <xf numFmtId="0" fontId="0" fillId="30" borderId="36" xfId="0" applyFill="1" applyBorder="1"/>
    <xf numFmtId="0" fontId="5" fillId="2" borderId="26" xfId="0" applyFont="1" applyFill="1" applyBorder="1"/>
    <xf numFmtId="0" fontId="0" fillId="33" borderId="36" xfId="0" applyFill="1" applyBorder="1"/>
    <xf numFmtId="0" fontId="0" fillId="34" borderId="36" xfId="0" applyFill="1" applyBorder="1"/>
    <xf numFmtId="0" fontId="0" fillId="35" borderId="36" xfId="0" applyFill="1" applyBorder="1"/>
    <xf numFmtId="42" fontId="6" fillId="43" borderId="83" xfId="0" applyNumberFormat="1" applyFont="1" applyFill="1" applyBorder="1"/>
    <xf numFmtId="42" fontId="6" fillId="43" borderId="84" xfId="0" applyNumberFormat="1" applyFont="1" applyFill="1" applyBorder="1"/>
    <xf numFmtId="42" fontId="6" fillId="43" borderId="69" xfId="0" applyNumberFormat="1" applyFont="1" applyFill="1" applyBorder="1"/>
    <xf numFmtId="0" fontId="0" fillId="43" borderId="36" xfId="0" applyFill="1" applyBorder="1"/>
    <xf numFmtId="0" fontId="6" fillId="28" borderId="8" xfId="0" applyFont="1" applyFill="1" applyBorder="1"/>
    <xf numFmtId="0" fontId="7" fillId="28" borderId="3" xfId="0" applyFont="1" applyFill="1" applyBorder="1" applyAlignment="1">
      <alignment horizontal="center"/>
    </xf>
    <xf numFmtId="0" fontId="6" fillId="28" borderId="4" xfId="0" applyFont="1" applyFill="1" applyBorder="1"/>
    <xf numFmtId="0" fontId="6" fillId="28" borderId="9" xfId="0" applyFont="1" applyFill="1" applyBorder="1"/>
    <xf numFmtId="0" fontId="7" fillId="28" borderId="10" xfId="0" applyFont="1" applyFill="1" applyBorder="1" applyAlignment="1">
      <alignment horizontal="center"/>
    </xf>
    <xf numFmtId="0" fontId="6" fillId="28" borderId="11" xfId="0" applyFont="1" applyFill="1" applyBorder="1"/>
    <xf numFmtId="0" fontId="7" fillId="28" borderId="69" xfId="0" applyFont="1" applyFill="1" applyBorder="1" applyAlignment="1">
      <alignment horizontal="center"/>
    </xf>
    <xf numFmtId="0" fontId="5" fillId="15" borderId="67" xfId="0" applyFont="1" applyFill="1" applyBorder="1"/>
    <xf numFmtId="0" fontId="2" fillId="28" borderId="37" xfId="0" applyFont="1" applyFill="1" applyBorder="1"/>
    <xf numFmtId="0" fontId="2" fillId="28" borderId="36" xfId="0" applyFont="1" applyFill="1" applyBorder="1"/>
    <xf numFmtId="3" fontId="6" fillId="13" borderId="29" xfId="0" applyNumberFormat="1" applyFont="1" applyFill="1" applyBorder="1"/>
    <xf numFmtId="0" fontId="6" fillId="28" borderId="70" xfId="0" quotePrefix="1" applyNumberFormat="1" applyFont="1" applyFill="1" applyBorder="1" applyAlignment="1">
      <alignment vertical="top"/>
    </xf>
    <xf numFmtId="166" fontId="6" fillId="0" borderId="29" xfId="0" applyNumberFormat="1" applyFont="1" applyFill="1" applyBorder="1"/>
    <xf numFmtId="0" fontId="6" fillId="0" borderId="29" xfId="0" applyFont="1" applyFill="1" applyBorder="1" applyAlignment="1">
      <alignment horizontal="right"/>
    </xf>
    <xf numFmtId="3" fontId="6" fillId="0" borderId="29" xfId="0" applyNumberFormat="1" applyFont="1" applyFill="1" applyBorder="1"/>
    <xf numFmtId="0" fontId="6" fillId="33" borderId="8" xfId="0" applyFont="1" applyFill="1" applyBorder="1"/>
    <xf numFmtId="0" fontId="6" fillId="29" borderId="8" xfId="0" applyFont="1" applyFill="1" applyBorder="1"/>
    <xf numFmtId="0" fontId="6" fillId="29" borderId="69" xfId="0" applyFont="1" applyFill="1" applyBorder="1"/>
    <xf numFmtId="0" fontId="7" fillId="29" borderId="3" xfId="0" applyFont="1" applyFill="1" applyBorder="1" applyAlignment="1">
      <alignment horizontal="center"/>
    </xf>
    <xf numFmtId="0" fontId="6" fillId="29" borderId="4" xfId="0" applyFont="1" applyFill="1" applyBorder="1"/>
    <xf numFmtId="0" fontId="6" fillId="29" borderId="9" xfId="0" applyFont="1" applyFill="1" applyBorder="1"/>
    <xf numFmtId="0" fontId="7" fillId="29" borderId="10" xfId="0" applyFont="1" applyFill="1" applyBorder="1" applyAlignment="1">
      <alignment horizontal="center"/>
    </xf>
    <xf numFmtId="0" fontId="6" fillId="29" borderId="11" xfId="0" applyFont="1" applyFill="1" applyBorder="1"/>
    <xf numFmtId="0" fontId="7" fillId="29" borderId="69" xfId="0" applyFont="1" applyFill="1" applyBorder="1" applyAlignment="1">
      <alignment horizontal="center"/>
    </xf>
    <xf numFmtId="0" fontId="6" fillId="29" borderId="70" xfId="0" quotePrefix="1" applyNumberFormat="1" applyFont="1" applyFill="1" applyBorder="1" applyAlignment="1">
      <alignment vertical="top"/>
    </xf>
    <xf numFmtId="0" fontId="2" fillId="29" borderId="37" xfId="0" applyFont="1" applyFill="1" applyBorder="1"/>
    <xf numFmtId="0" fontId="2" fillId="29" borderId="36" xfId="0" applyFont="1" applyFill="1" applyBorder="1"/>
    <xf numFmtId="0" fontId="7" fillId="33" borderId="3" xfId="0" applyFont="1" applyFill="1" applyBorder="1" applyAlignment="1">
      <alignment horizontal="center"/>
    </xf>
    <xf numFmtId="0" fontId="6" fillId="33" borderId="4" xfId="0" applyFont="1" applyFill="1" applyBorder="1"/>
    <xf numFmtId="0" fontId="6" fillId="33" borderId="9" xfId="0" applyFont="1" applyFill="1" applyBorder="1"/>
    <xf numFmtId="0" fontId="7" fillId="33" borderId="10" xfId="0" applyFont="1" applyFill="1" applyBorder="1" applyAlignment="1">
      <alignment horizontal="center"/>
    </xf>
    <xf numFmtId="0" fontId="6" fillId="33" borderId="11" xfId="0" applyFont="1" applyFill="1" applyBorder="1"/>
    <xf numFmtId="0" fontId="6" fillId="33" borderId="69" xfId="0" applyFont="1" applyFill="1" applyBorder="1"/>
    <xf numFmtId="0" fontId="7" fillId="33" borderId="69" xfId="0" applyFont="1" applyFill="1" applyBorder="1" applyAlignment="1">
      <alignment horizontal="center"/>
    </xf>
    <xf numFmtId="0" fontId="6" fillId="33" borderId="70" xfId="0" quotePrefix="1" applyNumberFormat="1" applyFont="1" applyFill="1" applyBorder="1" applyAlignment="1">
      <alignment vertical="top"/>
    </xf>
    <xf numFmtId="166" fontId="6" fillId="13" borderId="29" xfId="0" applyNumberFormat="1" applyFont="1" applyFill="1" applyBorder="1"/>
    <xf numFmtId="3" fontId="6" fillId="13" borderId="46" xfId="0" applyNumberFormat="1" applyFont="1" applyFill="1" applyBorder="1"/>
    <xf numFmtId="164" fontId="29" fillId="13" borderId="10" xfId="0" applyNumberFormat="1" applyFont="1" applyFill="1" applyBorder="1" applyAlignment="1">
      <alignment horizontal="center"/>
    </xf>
    <xf numFmtId="42" fontId="6" fillId="13" borderId="11" xfId="0" applyNumberFormat="1" applyFont="1" applyFill="1" applyBorder="1"/>
    <xf numFmtId="0" fontId="7" fillId="28" borderId="64" xfId="0" applyFont="1" applyFill="1" applyBorder="1" applyAlignment="1">
      <alignment horizontal="center"/>
    </xf>
    <xf numFmtId="0" fontId="7" fillId="28" borderId="65" xfId="0" applyFont="1" applyFill="1" applyBorder="1" applyAlignment="1">
      <alignment horizontal="center"/>
    </xf>
    <xf numFmtId="0" fontId="7" fillId="28" borderId="73" xfId="0" applyFont="1" applyFill="1" applyBorder="1" applyAlignment="1">
      <alignment horizontal="center"/>
    </xf>
    <xf numFmtId="0" fontId="7" fillId="29" borderId="64" xfId="0" applyFont="1" applyFill="1" applyBorder="1" applyAlignment="1">
      <alignment horizontal="center"/>
    </xf>
    <xf numFmtId="0" fontId="7" fillId="29" borderId="65" xfId="0" applyFont="1" applyFill="1" applyBorder="1" applyAlignment="1">
      <alignment horizontal="center"/>
    </xf>
    <xf numFmtId="0" fontId="7" fillId="29" borderId="73" xfId="0" applyFont="1" applyFill="1" applyBorder="1" applyAlignment="1">
      <alignment horizontal="center"/>
    </xf>
    <xf numFmtId="0" fontId="7" fillId="33" borderId="64" xfId="0" applyFont="1" applyFill="1" applyBorder="1" applyAlignment="1">
      <alignment horizontal="center"/>
    </xf>
    <xf numFmtId="0" fontId="7" fillId="33" borderId="65" xfId="0" applyFont="1" applyFill="1" applyBorder="1" applyAlignment="1">
      <alignment horizontal="center"/>
    </xf>
    <xf numFmtId="0" fontId="7" fillId="33" borderId="73" xfId="0" applyFont="1" applyFill="1" applyBorder="1" applyAlignment="1">
      <alignment horizontal="center"/>
    </xf>
    <xf numFmtId="0" fontId="6" fillId="34" borderId="8" xfId="0" applyFont="1" applyFill="1" applyBorder="1"/>
    <xf numFmtId="0" fontId="7" fillId="34" borderId="3" xfId="0" applyFont="1" applyFill="1" applyBorder="1" applyAlignment="1">
      <alignment horizontal="center"/>
    </xf>
    <xf numFmtId="0" fontId="6" fillId="34" borderId="4" xfId="0" applyFont="1" applyFill="1" applyBorder="1"/>
    <xf numFmtId="0" fontId="6" fillId="34" borderId="9" xfId="0" applyFont="1" applyFill="1" applyBorder="1"/>
    <xf numFmtId="0" fontId="7" fillId="34" borderId="10" xfId="0" applyFont="1" applyFill="1" applyBorder="1" applyAlignment="1">
      <alignment horizontal="center"/>
    </xf>
    <xf numFmtId="0" fontId="6" fillId="34" borderId="11" xfId="0" applyFont="1" applyFill="1" applyBorder="1"/>
    <xf numFmtId="0" fontId="7" fillId="34" borderId="64" xfId="0" applyFont="1" applyFill="1" applyBorder="1" applyAlignment="1">
      <alignment horizontal="center"/>
    </xf>
    <xf numFmtId="0" fontId="7" fillId="34" borderId="65" xfId="0" applyFont="1" applyFill="1" applyBorder="1" applyAlignment="1">
      <alignment horizontal="center"/>
    </xf>
    <xf numFmtId="0" fontId="7" fillId="34" borderId="80" xfId="0" applyFont="1" applyFill="1" applyBorder="1" applyAlignment="1">
      <alignment horizontal="center"/>
    </xf>
    <xf numFmtId="0" fontId="6" fillId="35" borderId="8" xfId="0" applyFont="1" applyFill="1" applyBorder="1"/>
    <xf numFmtId="0" fontId="7" fillId="35" borderId="3" xfId="0" applyFont="1" applyFill="1" applyBorder="1" applyAlignment="1">
      <alignment horizontal="center"/>
    </xf>
    <xf numFmtId="0" fontId="6" fillId="35" borderId="25" xfId="0" applyFont="1" applyFill="1" applyBorder="1"/>
    <xf numFmtId="0" fontId="6" fillId="35" borderId="9" xfId="0" applyFont="1" applyFill="1" applyBorder="1"/>
    <xf numFmtId="0" fontId="7" fillId="35" borderId="10" xfId="0" applyFont="1" applyFill="1" applyBorder="1" applyAlignment="1">
      <alignment horizontal="center"/>
    </xf>
    <xf numFmtId="0" fontId="6" fillId="35" borderId="12" xfId="0" applyFont="1" applyFill="1" applyBorder="1"/>
    <xf numFmtId="0" fontId="7" fillId="35" borderId="64" xfId="0" applyFont="1" applyFill="1" applyBorder="1" applyAlignment="1">
      <alignment horizontal="center"/>
    </xf>
    <xf numFmtId="0" fontId="7" fillId="35" borderId="65" xfId="0" applyFont="1" applyFill="1" applyBorder="1" applyAlignment="1">
      <alignment horizontal="center"/>
    </xf>
    <xf numFmtId="0" fontId="7" fillId="35" borderId="80" xfId="0" applyFont="1" applyFill="1" applyBorder="1" applyAlignment="1">
      <alignment horizontal="center"/>
    </xf>
    <xf numFmtId="0" fontId="7" fillId="43" borderId="39" xfId="0" applyFont="1" applyFill="1" applyBorder="1" applyAlignment="1">
      <alignment horizontal="center"/>
    </xf>
    <xf numFmtId="0" fontId="2" fillId="43" borderId="54" xfId="0" applyFont="1" applyFill="1" applyBorder="1" applyAlignment="1"/>
    <xf numFmtId="0" fontId="7" fillId="43" borderId="64" xfId="0" applyFont="1" applyFill="1" applyBorder="1" applyAlignment="1">
      <alignment horizontal="center"/>
    </xf>
    <xf numFmtId="0" fontId="7" fillId="43" borderId="80" xfId="0" applyFont="1" applyFill="1" applyBorder="1" applyAlignment="1">
      <alignment horizontal="center"/>
    </xf>
    <xf numFmtId="0" fontId="9" fillId="43" borderId="17" xfId="0" applyFont="1" applyFill="1" applyBorder="1" applyAlignment="1">
      <alignment horizontal="center"/>
    </xf>
    <xf numFmtId="0" fontId="6" fillId="30" borderId="8" xfId="0" applyFont="1" applyFill="1" applyBorder="1"/>
    <xf numFmtId="0" fontId="7" fillId="30" borderId="3" xfId="0" applyFont="1" applyFill="1" applyBorder="1" applyAlignment="1">
      <alignment horizontal="center"/>
    </xf>
    <xf numFmtId="0" fontId="6" fillId="30" borderId="4" xfId="0" applyFont="1" applyFill="1" applyBorder="1"/>
    <xf numFmtId="0" fontId="6" fillId="30" borderId="9" xfId="0" applyFont="1" applyFill="1" applyBorder="1"/>
    <xf numFmtId="0" fontId="7" fillId="30" borderId="10" xfId="0" applyFont="1" applyFill="1" applyBorder="1" applyAlignment="1">
      <alignment horizontal="center"/>
    </xf>
    <xf numFmtId="0" fontId="6" fillId="30" borderId="11" xfId="0" applyFont="1" applyFill="1" applyBorder="1"/>
    <xf numFmtId="0" fontId="7" fillId="30" borderId="64" xfId="0" applyFont="1" applyFill="1" applyBorder="1" applyAlignment="1">
      <alignment horizontal="center"/>
    </xf>
    <xf numFmtId="0" fontId="7" fillId="30" borderId="65" xfId="0" applyFont="1" applyFill="1" applyBorder="1" applyAlignment="1">
      <alignment horizontal="center"/>
    </xf>
    <xf numFmtId="0" fontId="7" fillId="30" borderId="73" xfId="0" applyFont="1" applyFill="1" applyBorder="1" applyAlignment="1">
      <alignment horizontal="center"/>
    </xf>
    <xf numFmtId="0" fontId="6" fillId="30" borderId="69" xfId="0" applyFont="1" applyFill="1" applyBorder="1"/>
    <xf numFmtId="0" fontId="7" fillId="30" borderId="69" xfId="0" applyFont="1" applyFill="1" applyBorder="1" applyAlignment="1">
      <alignment horizontal="center"/>
    </xf>
    <xf numFmtId="0" fontId="6" fillId="30" borderId="70" xfId="0" quotePrefix="1" applyNumberFormat="1" applyFont="1" applyFill="1" applyBorder="1" applyAlignment="1">
      <alignment vertical="top"/>
    </xf>
    <xf numFmtId="0" fontId="2" fillId="30" borderId="37" xfId="0" applyFont="1" applyFill="1" applyBorder="1"/>
    <xf numFmtId="0" fontId="2" fillId="30" borderId="24" xfId="0" applyFont="1" applyFill="1" applyBorder="1"/>
    <xf numFmtId="0" fontId="2" fillId="33" borderId="37" xfId="0" applyFont="1" applyFill="1" applyBorder="1"/>
    <xf numFmtId="0" fontId="2" fillId="33" borderId="24" xfId="0" applyFont="1" applyFill="1" applyBorder="1"/>
    <xf numFmtId="0" fontId="73" fillId="34" borderId="69" xfId="0" applyFont="1" applyFill="1" applyBorder="1"/>
    <xf numFmtId="0" fontId="6" fillId="34" borderId="69" xfId="0" applyFont="1" applyFill="1" applyBorder="1"/>
    <xf numFmtId="0" fontId="7" fillId="34" borderId="69" xfId="0" applyFont="1" applyFill="1" applyBorder="1" applyAlignment="1">
      <alignment horizontal="center"/>
    </xf>
    <xf numFmtId="0" fontId="6" fillId="34" borderId="70" xfId="0" quotePrefix="1" applyNumberFormat="1" applyFont="1" applyFill="1" applyBorder="1" applyAlignment="1">
      <alignment vertical="top"/>
    </xf>
    <xf numFmtId="0" fontId="2" fillId="34" borderId="37" xfId="0" applyFont="1" applyFill="1" applyBorder="1"/>
    <xf numFmtId="0" fontId="2" fillId="34" borderId="24" xfId="0" applyFont="1" applyFill="1" applyBorder="1"/>
    <xf numFmtId="0" fontId="2" fillId="43" borderId="37" xfId="0" applyFont="1" applyFill="1" applyBorder="1"/>
    <xf numFmtId="0" fontId="2" fillId="43" borderId="24" xfId="0" applyFont="1" applyFill="1" applyBorder="1"/>
    <xf numFmtId="0" fontId="2" fillId="35" borderId="37" xfId="0" applyFont="1" applyFill="1" applyBorder="1"/>
    <xf numFmtId="0" fontId="2" fillId="35" borderId="24" xfId="0" applyFont="1" applyFill="1" applyBorder="1"/>
    <xf numFmtId="0" fontId="6" fillId="35" borderId="69" xfId="0" applyFont="1" applyFill="1" applyBorder="1"/>
    <xf numFmtId="0" fontId="7" fillId="35" borderId="69" xfId="0" applyFont="1" applyFill="1" applyBorder="1" applyAlignment="1">
      <alignment horizontal="center"/>
    </xf>
    <xf numFmtId="0" fontId="6" fillId="35" borderId="70" xfId="0" quotePrefix="1" applyNumberFormat="1" applyFont="1" applyFill="1" applyBorder="1" applyAlignment="1">
      <alignment vertical="top"/>
    </xf>
    <xf numFmtId="0" fontId="6" fillId="43" borderId="69" xfId="0" applyFont="1" applyFill="1" applyBorder="1"/>
    <xf numFmtId="0" fontId="7" fillId="43" borderId="69" xfId="0" applyFont="1" applyFill="1" applyBorder="1" applyAlignment="1">
      <alignment horizontal="center"/>
    </xf>
    <xf numFmtId="0" fontId="6" fillId="43" borderId="70" xfId="0" quotePrefix="1" applyNumberFormat="1" applyFont="1" applyFill="1" applyBorder="1" applyAlignment="1">
      <alignment vertical="top"/>
    </xf>
    <xf numFmtId="0" fontId="5" fillId="43" borderId="72" xfId="0" applyFont="1" applyFill="1" applyBorder="1"/>
    <xf numFmtId="0" fontId="2" fillId="43" borderId="36" xfId="0" applyFont="1" applyFill="1" applyBorder="1"/>
    <xf numFmtId="0" fontId="2" fillId="35" borderId="36" xfId="0" applyFont="1" applyFill="1" applyBorder="1"/>
    <xf numFmtId="0" fontId="2" fillId="34" borderId="36" xfId="0" applyFont="1" applyFill="1" applyBorder="1"/>
    <xf numFmtId="0" fontId="2" fillId="33" borderId="36" xfId="0" applyFont="1" applyFill="1" applyBorder="1"/>
    <xf numFmtId="0" fontId="2" fillId="30" borderId="36" xfId="0" applyFont="1" applyFill="1" applyBorder="1"/>
    <xf numFmtId="0" fontId="2" fillId="0" borderId="0" xfId="0" applyFont="1" applyFill="1" applyBorder="1" applyAlignment="1">
      <alignment wrapText="1"/>
    </xf>
    <xf numFmtId="0" fontId="2" fillId="0" borderId="0" xfId="0" applyFont="1" applyFill="1" applyBorder="1"/>
    <xf numFmtId="0" fontId="2" fillId="0" borderId="0" xfId="0" applyFont="1" applyFill="1" applyBorder="1" applyAlignment="1">
      <alignment horizontal="center" wrapText="1"/>
    </xf>
    <xf numFmtId="0" fontId="19" fillId="0" borderId="0" xfId="0" applyFont="1" applyFill="1" applyBorder="1" applyAlignment="1">
      <alignment horizontal="center"/>
    </xf>
    <xf numFmtId="0" fontId="2" fillId="22" borderId="2" xfId="0" applyFont="1" applyFill="1" applyBorder="1" applyAlignment="1">
      <alignment horizontal="center"/>
    </xf>
    <xf numFmtId="0" fontId="34" fillId="0" borderId="0" xfId="0" applyFont="1" applyAlignment="1">
      <alignment horizontal="left" vertical="top" wrapText="1"/>
    </xf>
    <xf numFmtId="0" fontId="34" fillId="0" borderId="0" xfId="0" applyFont="1" applyAlignment="1">
      <alignment wrapText="1"/>
    </xf>
    <xf numFmtId="0" fontId="4" fillId="0" borderId="0" xfId="0" applyFont="1" applyAlignment="1"/>
    <xf numFmtId="0" fontId="4" fillId="0" borderId="27" xfId="0" applyFont="1" applyBorder="1" applyAlignment="1">
      <alignment horizontal="center" vertical="center"/>
    </xf>
    <xf numFmtId="0" fontId="34" fillId="13" borderId="1" xfId="1" applyFont="1" applyFill="1" applyBorder="1"/>
    <xf numFmtId="0" fontId="4" fillId="0" borderId="0" xfId="0" applyFont="1" applyAlignment="1">
      <alignment wrapText="1"/>
    </xf>
    <xf numFmtId="0" fontId="2" fillId="0" borderId="0" xfId="0" applyFont="1" applyAlignment="1">
      <alignment vertical="top"/>
    </xf>
    <xf numFmtId="0" fontId="2" fillId="0" borderId="0" xfId="0" applyFont="1" applyAlignment="1">
      <alignment horizontal="right"/>
    </xf>
    <xf numFmtId="0" fontId="67" fillId="32" borderId="0" xfId="0" applyFont="1" applyFill="1" applyAlignment="1">
      <alignment horizontal="center"/>
    </xf>
    <xf numFmtId="0" fontId="27" fillId="40" borderId="28" xfId="11" applyFont="1" applyFill="1" applyBorder="1"/>
    <xf numFmtId="0" fontId="2" fillId="40" borderId="28" xfId="11" applyFill="1" applyBorder="1"/>
    <xf numFmtId="0" fontId="2" fillId="40" borderId="27" xfId="11" applyFill="1" applyBorder="1"/>
    <xf numFmtId="0" fontId="4" fillId="0" borderId="0" xfId="11" applyFont="1" applyAlignment="1">
      <alignment horizontal="right" vertical="top"/>
    </xf>
    <xf numFmtId="0" fontId="4" fillId="0" borderId="0" xfId="11" applyFont="1" applyAlignment="1">
      <alignment horizontal="right" vertical="top" indent="1"/>
    </xf>
    <xf numFmtId="0" fontId="2" fillId="13" borderId="1" xfId="0" applyNumberFormat="1" applyFont="1" applyFill="1" applyBorder="1" applyAlignment="1">
      <alignment horizontal="left" indent="1"/>
    </xf>
    <xf numFmtId="49" fontId="2" fillId="22" borderId="1" xfId="0" applyNumberFormat="1" applyFont="1" applyFill="1" applyBorder="1" applyAlignment="1">
      <alignment horizontal="left" indent="1"/>
    </xf>
    <xf numFmtId="49" fontId="32" fillId="22" borderId="1" xfId="0" applyNumberFormat="1" applyFont="1" applyFill="1" applyBorder="1" applyAlignment="1" applyProtection="1">
      <alignment horizontal="left" vertical="top" wrapText="1" indent="1"/>
      <protection locked="0"/>
    </xf>
    <xf numFmtId="49" fontId="32" fillId="22" borderId="3" xfId="0" applyNumberFormat="1" applyFont="1" applyFill="1" applyBorder="1" applyAlignment="1" applyProtection="1">
      <alignment horizontal="left" vertical="top" wrapText="1" indent="1"/>
      <protection locked="0"/>
    </xf>
    <xf numFmtId="49" fontId="32" fillId="22" borderId="25" xfId="0" applyNumberFormat="1" applyFont="1" applyFill="1" applyBorder="1" applyAlignment="1" applyProtection="1">
      <alignment horizontal="left" vertical="top" wrapText="1" indent="1"/>
      <protection locked="0"/>
    </xf>
    <xf numFmtId="49" fontId="32" fillId="22" borderId="10" xfId="0" applyNumberFormat="1" applyFont="1" applyFill="1" applyBorder="1" applyAlignment="1" applyProtection="1">
      <alignment horizontal="left" vertical="top" wrapText="1" indent="1"/>
      <protection locked="0"/>
    </xf>
    <xf numFmtId="49" fontId="32" fillId="22" borderId="12" xfId="0" applyNumberFormat="1" applyFont="1" applyFill="1" applyBorder="1" applyAlignment="1" applyProtection="1">
      <alignment horizontal="left" vertical="top" wrapText="1" indent="1"/>
      <protection locked="0"/>
    </xf>
    <xf numFmtId="49" fontId="32" fillId="22" borderId="41" xfId="0" applyNumberFormat="1" applyFont="1" applyFill="1" applyBorder="1" applyAlignment="1" applyProtection="1">
      <alignment horizontal="left" vertical="top" wrapText="1" indent="1"/>
      <protection locked="0"/>
    </xf>
    <xf numFmtId="49" fontId="32" fillId="22" borderId="46" xfId="0" applyNumberFormat="1" applyFont="1" applyFill="1" applyBorder="1" applyAlignment="1" applyProtection="1">
      <alignment horizontal="left" vertical="top" wrapText="1" indent="1"/>
      <protection locked="0"/>
    </xf>
    <xf numFmtId="49" fontId="32" fillId="22" borderId="29" xfId="0" applyNumberFormat="1" applyFont="1" applyFill="1" applyBorder="1" applyAlignment="1" applyProtection="1">
      <alignment horizontal="left" vertical="top" wrapText="1" indent="1"/>
      <protection locked="0"/>
    </xf>
    <xf numFmtId="49" fontId="32" fillId="22" borderId="28" xfId="0" applyNumberFormat="1" applyFont="1" applyFill="1" applyBorder="1" applyAlignment="1" applyProtection="1">
      <alignment horizontal="left" vertical="top" wrapText="1" indent="1"/>
      <protection locked="0"/>
    </xf>
    <xf numFmtId="0" fontId="32" fillId="22" borderId="28" xfId="0" applyNumberFormat="1" applyFont="1" applyFill="1" applyBorder="1" applyAlignment="1" applyProtection="1">
      <alignment horizontal="left" vertical="top" wrapText="1" indent="1"/>
      <protection locked="0"/>
    </xf>
    <xf numFmtId="49" fontId="32" fillId="22" borderId="54" xfId="0" applyNumberFormat="1" applyFont="1" applyFill="1" applyBorder="1" applyAlignment="1" applyProtection="1">
      <alignment horizontal="left" vertical="top" wrapText="1" indent="1"/>
      <protection locked="0"/>
    </xf>
    <xf numFmtId="1" fontId="66" fillId="0" borderId="0" xfId="0" applyNumberFormat="1" applyFont="1" applyFill="1" applyBorder="1" applyAlignment="1" applyProtection="1">
      <alignment horizontal="center" vertical="top" wrapText="1" readingOrder="1"/>
    </xf>
    <xf numFmtId="0" fontId="26" fillId="0" borderId="0" xfId="0" applyFont="1" applyFill="1" applyBorder="1" applyAlignment="1">
      <alignment horizontal="left" indent="1"/>
    </xf>
    <xf numFmtId="0" fontId="75" fillId="12" borderId="0" xfId="0" applyFont="1" applyFill="1" applyBorder="1" applyAlignment="1">
      <alignment horizontal="left" indent="1"/>
    </xf>
    <xf numFmtId="0" fontId="75" fillId="11" borderId="0" xfId="0" applyFont="1" applyFill="1" applyBorder="1" applyAlignment="1">
      <alignment horizontal="left" indent="1"/>
    </xf>
    <xf numFmtId="0" fontId="75" fillId="32" borderId="38" xfId="0" applyFont="1" applyFill="1" applyBorder="1" applyAlignment="1">
      <alignment horizontal="left" indent="1"/>
    </xf>
    <xf numFmtId="0" fontId="62" fillId="45" borderId="0" xfId="0" applyFont="1" applyFill="1"/>
    <xf numFmtId="0" fontId="76" fillId="45" borderId="38" xfId="0" applyFont="1" applyFill="1" applyBorder="1" applyAlignment="1">
      <alignment horizontal="left" indent="1"/>
    </xf>
    <xf numFmtId="0" fontId="76" fillId="31" borderId="0" xfId="0" applyFont="1" applyFill="1" applyAlignment="1">
      <alignment horizontal="left" indent="1"/>
    </xf>
    <xf numFmtId="0" fontId="26" fillId="42" borderId="0" xfId="0" applyFont="1" applyFill="1"/>
    <xf numFmtId="0" fontId="62" fillId="42" borderId="0" xfId="0" applyFont="1" applyFill="1"/>
    <xf numFmtId="0" fontId="75" fillId="42" borderId="0" xfId="0" applyFont="1" applyFill="1" applyAlignment="1">
      <alignment horizontal="left" indent="1"/>
    </xf>
    <xf numFmtId="0" fontId="37" fillId="13" borderId="85" xfId="0" applyFont="1" applyFill="1" applyBorder="1" applyAlignment="1">
      <alignment horizontal="center"/>
    </xf>
    <xf numFmtId="0" fontId="0" fillId="10" borderId="2" xfId="0" applyFill="1" applyBorder="1" applyAlignment="1">
      <alignment horizontal="center"/>
    </xf>
    <xf numFmtId="0" fontId="2" fillId="10" borderId="2" xfId="0" applyFont="1" applyFill="1" applyBorder="1" applyAlignment="1">
      <alignment horizontal="center"/>
    </xf>
    <xf numFmtId="0" fontId="2" fillId="22" borderId="10" xfId="0" applyFont="1" applyFill="1" applyBorder="1" applyAlignment="1">
      <alignment horizontal="right" vertical="center" indent="1"/>
    </xf>
    <xf numFmtId="0" fontId="0" fillId="22" borderId="10" xfId="0" applyFill="1" applyBorder="1" applyAlignment="1">
      <alignment horizontal="right" vertical="center" indent="1"/>
    </xf>
    <xf numFmtId="0" fontId="62" fillId="46" borderId="67" xfId="0" applyFont="1" applyFill="1" applyBorder="1"/>
    <xf numFmtId="0" fontId="62" fillId="46" borderId="31" xfId="0" applyFont="1" applyFill="1" applyBorder="1"/>
    <xf numFmtId="0" fontId="75" fillId="46" borderId="8" xfId="0" applyFont="1" applyFill="1" applyBorder="1" applyAlignment="1">
      <alignment horizontal="left" indent="1"/>
    </xf>
    <xf numFmtId="0" fontId="75" fillId="47" borderId="8" xfId="0" applyFont="1" applyFill="1" applyBorder="1" applyAlignment="1">
      <alignment horizontal="left" indent="1"/>
    </xf>
    <xf numFmtId="0" fontId="62" fillId="47" borderId="67" xfId="0" applyFont="1" applyFill="1" applyBorder="1"/>
    <xf numFmtId="0" fontId="62" fillId="47" borderId="31" xfId="0" applyFont="1" applyFill="1" applyBorder="1"/>
    <xf numFmtId="0" fontId="2" fillId="22" borderId="4" xfId="0" applyFont="1" applyFill="1" applyBorder="1" applyAlignment="1" applyProtection="1">
      <alignment horizontal="center" vertical="top" wrapText="1"/>
      <protection locked="0"/>
    </xf>
    <xf numFmtId="0" fontId="2" fillId="0" borderId="0" xfId="0" applyFont="1" applyAlignment="1">
      <alignment horizontal="center" vertical="top"/>
    </xf>
    <xf numFmtId="164" fontId="2" fillId="22" borderId="1" xfId="0" applyNumberFormat="1" applyFont="1" applyFill="1" applyBorder="1" applyAlignment="1" applyProtection="1">
      <alignment horizontal="right" vertical="top" wrapText="1" indent="1"/>
    </xf>
    <xf numFmtId="166" fontId="2" fillId="13" borderId="56" xfId="0" applyNumberFormat="1" applyFont="1" applyFill="1" applyBorder="1" applyAlignment="1" applyProtection="1">
      <alignment horizontal="right" vertical="top" wrapText="1" indent="1"/>
    </xf>
    <xf numFmtId="0" fontId="4" fillId="0" borderId="0" xfId="0" applyFont="1" applyFill="1" applyAlignment="1">
      <alignment horizontal="right" indent="1"/>
    </xf>
    <xf numFmtId="0" fontId="34" fillId="28" borderId="2" xfId="0" applyFont="1" applyFill="1" applyBorder="1"/>
    <xf numFmtId="0" fontId="34" fillId="28" borderId="29" xfId="0" applyFont="1" applyFill="1" applyBorder="1"/>
    <xf numFmtId="0" fontId="34" fillId="29" borderId="2" xfId="0" applyFont="1" applyFill="1" applyBorder="1"/>
    <xf numFmtId="0" fontId="34" fillId="29" borderId="29" xfId="0" applyFont="1" applyFill="1" applyBorder="1"/>
    <xf numFmtId="0" fontId="34" fillId="33" borderId="2" xfId="0" applyFont="1" applyFill="1" applyBorder="1"/>
    <xf numFmtId="0" fontId="34" fillId="33" borderId="29" xfId="0" applyFont="1" applyFill="1" applyBorder="1"/>
    <xf numFmtId="0" fontId="34" fillId="34" borderId="2" xfId="0" applyFont="1" applyFill="1" applyBorder="1"/>
    <xf numFmtId="0" fontId="34" fillId="34" borderId="29" xfId="0" applyFont="1" applyFill="1" applyBorder="1"/>
    <xf numFmtId="0" fontId="34" fillId="30" borderId="2" xfId="0" applyFont="1" applyFill="1" applyBorder="1"/>
    <xf numFmtId="0" fontId="34" fillId="30" borderId="29" xfId="0" applyFont="1" applyFill="1" applyBorder="1"/>
    <xf numFmtId="0" fontId="34" fillId="35" borderId="2" xfId="0" applyFont="1" applyFill="1" applyBorder="1"/>
    <xf numFmtId="0" fontId="34" fillId="35" borderId="29" xfId="0" applyFont="1" applyFill="1" applyBorder="1"/>
    <xf numFmtId="0" fontId="34" fillId="43" borderId="1" xfId="0" applyFont="1" applyFill="1" applyBorder="1"/>
    <xf numFmtId="0" fontId="77" fillId="0" borderId="0" xfId="0" applyFont="1"/>
    <xf numFmtId="0" fontId="38" fillId="0" borderId="0" xfId="0" applyFont="1" applyAlignment="1">
      <alignment horizontal="left" wrapText="1"/>
    </xf>
    <xf numFmtId="0" fontId="34" fillId="7" borderId="0" xfId="0" applyFont="1" applyFill="1"/>
    <xf numFmtId="0" fontId="4" fillId="13" borderId="38" xfId="0" applyFont="1" applyFill="1" applyBorder="1" applyAlignment="1">
      <alignment horizontal="left" vertical="top" wrapText="1"/>
    </xf>
    <xf numFmtId="0" fontId="37" fillId="0" borderId="0" xfId="0" applyFont="1" applyBorder="1" applyAlignment="1" applyProtection="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2" fillId="22" borderId="2" xfId="0" applyFont="1" applyFill="1" applyBorder="1" applyAlignment="1">
      <alignment horizontal="center"/>
    </xf>
    <xf numFmtId="0" fontId="2" fillId="22" borderId="2" xfId="0" applyFont="1" applyFill="1" applyBorder="1" applyAlignment="1"/>
    <xf numFmtId="0" fontId="4" fillId="20" borderId="23" xfId="0" applyFont="1" applyFill="1" applyBorder="1" applyAlignment="1" applyProtection="1">
      <alignment horizontal="center" vertical="center" wrapText="1"/>
    </xf>
    <xf numFmtId="0" fontId="4" fillId="20" borderId="24" xfId="0" applyFont="1" applyFill="1" applyBorder="1" applyAlignment="1" applyProtection="1">
      <alignment horizontal="center" vertical="center" wrapText="1"/>
    </xf>
    <xf numFmtId="0" fontId="4" fillId="20" borderId="1" xfId="0" applyFont="1" applyFill="1" applyBorder="1" applyAlignment="1">
      <alignment horizontal="center" vertical="center" wrapText="1"/>
    </xf>
    <xf numFmtId="0" fontId="4" fillId="0" borderId="0" xfId="0" applyFont="1" applyAlignment="1"/>
    <xf numFmtId="0" fontId="4" fillId="0" borderId="0" xfId="0" applyFont="1" applyAlignment="1">
      <alignment wrapText="1"/>
    </xf>
    <xf numFmtId="42" fontId="6" fillId="0" borderId="13" xfId="0" applyNumberFormat="1" applyFont="1" applyBorder="1"/>
    <xf numFmtId="42" fontId="6" fillId="0" borderId="11" xfId="0" applyNumberFormat="1" applyFont="1" applyBorder="1"/>
    <xf numFmtId="42" fontId="5" fillId="15" borderId="11" xfId="0" applyNumberFormat="1" applyFont="1" applyFill="1" applyBorder="1"/>
    <xf numFmtId="42" fontId="5" fillId="13" borderId="11" xfId="0" applyNumberFormat="1" applyFont="1" applyFill="1" applyBorder="1"/>
    <xf numFmtId="0" fontId="2" fillId="28" borderId="42" xfId="0" applyFont="1" applyFill="1" applyBorder="1"/>
    <xf numFmtId="42" fontId="5" fillId="13" borderId="86" xfId="0" applyNumberFormat="1" applyFont="1" applyFill="1" applyBorder="1"/>
    <xf numFmtId="42" fontId="6" fillId="13" borderId="86" xfId="0" applyNumberFormat="1" applyFont="1" applyFill="1" applyBorder="1"/>
    <xf numFmtId="0" fontId="67" fillId="0" borderId="0" xfId="0" applyFont="1" applyAlignment="1">
      <alignment horizontal="center" vertical="center"/>
    </xf>
    <xf numFmtId="0" fontId="2" fillId="0" borderId="0" xfId="0" applyFont="1" applyAlignment="1">
      <alignment horizontal="right" vertical="top" indent="1"/>
    </xf>
    <xf numFmtId="166" fontId="23" fillId="0" borderId="47" xfId="0" applyNumberFormat="1" applyFont="1" applyBorder="1" applyAlignment="1">
      <alignment horizontal="center" vertical="center"/>
    </xf>
    <xf numFmtId="10" fontId="6" fillId="13" borderId="80" xfId="0" applyNumberFormat="1" applyFont="1" applyFill="1" applyBorder="1"/>
    <xf numFmtId="3" fontId="6" fillId="13" borderId="27" xfId="0" applyNumberFormat="1" applyFont="1" applyFill="1" applyBorder="1"/>
    <xf numFmtId="3" fontId="6" fillId="13" borderId="28" xfId="0" applyNumberFormat="1" applyFont="1" applyFill="1" applyBorder="1"/>
    <xf numFmtId="3" fontId="5" fillId="2" borderId="28" xfId="0" applyNumberFormat="1" applyFont="1" applyFill="1" applyBorder="1"/>
    <xf numFmtId="165" fontId="6" fillId="43" borderId="72" xfId="0" applyNumberFormat="1" applyFont="1" applyFill="1" applyBorder="1" applyAlignment="1">
      <alignment horizontal="right"/>
    </xf>
    <xf numFmtId="0" fontId="2" fillId="43" borderId="61" xfId="0" applyFont="1" applyFill="1" applyBorder="1"/>
    <xf numFmtId="42" fontId="6" fillId="0" borderId="88" xfId="0" applyNumberFormat="1" applyFont="1" applyBorder="1"/>
    <xf numFmtId="42" fontId="6" fillId="22" borderId="88" xfId="0" applyNumberFormat="1" applyFont="1" applyFill="1" applyBorder="1"/>
    <xf numFmtId="42" fontId="6" fillId="13" borderId="88" xfId="0" applyNumberFormat="1" applyFont="1" applyFill="1" applyBorder="1"/>
    <xf numFmtId="42" fontId="6" fillId="0" borderId="49" xfId="0" applyNumberFormat="1" applyFont="1" applyBorder="1"/>
    <xf numFmtId="42" fontId="5" fillId="0" borderId="49" xfId="0" applyNumberFormat="1" applyFont="1" applyFill="1" applyBorder="1"/>
    <xf numFmtId="42" fontId="5" fillId="13" borderId="49" xfId="0" applyNumberFormat="1" applyFont="1" applyFill="1" applyBorder="1"/>
    <xf numFmtId="42" fontId="6" fillId="40" borderId="49" xfId="0" applyNumberFormat="1" applyFont="1" applyFill="1" applyBorder="1"/>
    <xf numFmtId="42" fontId="5" fillId="13" borderId="87" xfId="0" applyNumberFormat="1" applyFont="1" applyFill="1" applyBorder="1"/>
    <xf numFmtId="42" fontId="6" fillId="13" borderId="87" xfId="0" applyNumberFormat="1" applyFont="1" applyFill="1" applyBorder="1"/>
    <xf numFmtId="0" fontId="2" fillId="0" borderId="0" xfId="0" applyFont="1" applyAlignment="1">
      <alignment horizontal="center"/>
    </xf>
    <xf numFmtId="164" fontId="2" fillId="22" borderId="10" xfId="0" applyNumberFormat="1" applyFont="1" applyFill="1" applyBorder="1" applyAlignment="1" applyProtection="1">
      <alignment horizontal="right" vertical="top" wrapText="1" indent="1"/>
    </xf>
    <xf numFmtId="166" fontId="2" fillId="13" borderId="10" xfId="0" applyNumberFormat="1" applyFont="1" applyFill="1" applyBorder="1" applyAlignment="1" applyProtection="1">
      <alignment horizontal="right" vertical="top" wrapText="1" indent="1"/>
    </xf>
    <xf numFmtId="0" fontId="2" fillId="22" borderId="3" xfId="0" applyFont="1" applyFill="1" applyBorder="1" applyAlignment="1" applyProtection="1">
      <alignment horizontal="center" vertical="center" wrapText="1"/>
      <protection locked="0"/>
    </xf>
    <xf numFmtId="164" fontId="2" fillId="22" borderId="65" xfId="0" applyNumberFormat="1" applyFont="1" applyFill="1" applyBorder="1" applyAlignment="1" applyProtection="1">
      <alignment horizontal="right" vertical="top" wrapText="1" indent="1"/>
    </xf>
    <xf numFmtId="0" fontId="2" fillId="0" borderId="0" xfId="0" applyNumberFormat="1" applyFont="1"/>
    <xf numFmtId="0" fontId="2" fillId="22" borderId="10" xfId="0" quotePrefix="1" applyNumberFormat="1" applyFont="1" applyFill="1" applyBorder="1" applyAlignment="1" applyProtection="1">
      <alignment horizontal="center" vertical="top" wrapText="1"/>
      <protection locked="0"/>
    </xf>
    <xf numFmtId="0" fontId="2" fillId="22" borderId="58" xfId="0" quotePrefix="1" applyNumberFormat="1" applyFont="1" applyFill="1" applyBorder="1" applyAlignment="1" applyProtection="1">
      <alignment horizontal="center" vertical="top" wrapText="1"/>
      <protection locked="0"/>
    </xf>
    <xf numFmtId="164" fontId="2" fillId="13" borderId="20" xfId="0" applyNumberFormat="1" applyFont="1" applyFill="1" applyBorder="1" applyAlignment="1" applyProtection="1">
      <alignment horizontal="right" vertical="top" wrapText="1" indent="1"/>
    </xf>
    <xf numFmtId="166" fontId="2" fillId="13" borderId="20" xfId="0" applyNumberFormat="1" applyFont="1" applyFill="1" applyBorder="1" applyAlignment="1" applyProtection="1">
      <alignment horizontal="right" vertical="top" wrapText="1" indent="1"/>
    </xf>
    <xf numFmtId="1" fontId="2" fillId="26" borderId="8" xfId="0" applyNumberFormat="1" applyFont="1" applyFill="1" applyBorder="1" applyAlignment="1" applyProtection="1">
      <alignment horizontal="center" vertical="top" wrapText="1"/>
    </xf>
    <xf numFmtId="175" fontId="2" fillId="26" borderId="5" xfId="0" applyNumberFormat="1" applyFont="1" applyFill="1" applyBorder="1" applyAlignment="1" applyProtection="1">
      <alignment horizontal="center" vertical="top"/>
    </xf>
    <xf numFmtId="175" fontId="2" fillId="26" borderId="64" xfId="0" applyNumberFormat="1" applyFont="1" applyFill="1" applyBorder="1" applyAlignment="1" applyProtection="1">
      <alignment horizontal="center" vertical="top"/>
    </xf>
    <xf numFmtId="166" fontId="4" fillId="13" borderId="1" xfId="0" applyNumberFormat="1" applyFont="1" applyFill="1" applyBorder="1" applyAlignment="1" applyProtection="1">
      <alignment horizontal="right" vertical="top" wrapText="1" indent="1"/>
    </xf>
    <xf numFmtId="0" fontId="4" fillId="0" borderId="0" xfId="0" applyFont="1" applyAlignment="1">
      <alignment horizontal="left" vertical="top" wrapText="1" indent="1"/>
    </xf>
    <xf numFmtId="0" fontId="4" fillId="0" borderId="0" xfId="0" applyFont="1" applyAlignment="1">
      <alignment horizontal="right"/>
    </xf>
    <xf numFmtId="0" fontId="4" fillId="0" borderId="0" xfId="0" applyFont="1" applyAlignment="1">
      <alignment horizontal="center"/>
    </xf>
    <xf numFmtId="49" fontId="34" fillId="0" borderId="0" xfId="0" applyNumberFormat="1" applyFont="1" applyAlignment="1">
      <alignment horizontal="left" vertical="center"/>
    </xf>
    <xf numFmtId="0" fontId="47" fillId="0" borderId="0" xfId="14" applyAlignment="1">
      <alignment vertical="top"/>
    </xf>
    <xf numFmtId="0" fontId="50" fillId="0" borderId="0" xfId="14" applyFont="1" applyAlignment="1">
      <alignment vertical="top"/>
    </xf>
    <xf numFmtId="0" fontId="47" fillId="9" borderId="1" xfId="14" applyFill="1" applyBorder="1" applyAlignment="1">
      <alignment vertical="top"/>
    </xf>
    <xf numFmtId="0" fontId="47" fillId="9" borderId="1" xfId="14" applyFill="1" applyBorder="1" applyAlignment="1">
      <alignment vertical="top" wrapText="1"/>
    </xf>
    <xf numFmtId="0" fontId="80" fillId="9" borderId="1" xfId="14" applyFont="1" applyFill="1" applyBorder="1" applyAlignment="1">
      <alignment horizontal="center" vertical="top" wrapText="1"/>
    </xf>
    <xf numFmtId="0" fontId="81" fillId="0" borderId="0" xfId="14" applyFont="1" applyAlignment="1">
      <alignment vertical="top"/>
    </xf>
    <xf numFmtId="0" fontId="80" fillId="0" borderId="0" xfId="14" applyFont="1" applyAlignment="1">
      <alignment vertical="top"/>
    </xf>
    <xf numFmtId="0" fontId="32" fillId="0" borderId="1" xfId="14" applyFont="1" applyBorder="1" applyAlignment="1">
      <alignment vertical="top"/>
    </xf>
    <xf numFmtId="0" fontId="47" fillId="0" borderId="1" xfId="14" applyBorder="1" applyAlignment="1">
      <alignment vertical="top"/>
    </xf>
    <xf numFmtId="0" fontId="47" fillId="28" borderId="30" xfId="14" applyFill="1" applyBorder="1" applyAlignment="1">
      <alignment vertical="top"/>
    </xf>
    <xf numFmtId="0" fontId="47" fillId="28" borderId="34" xfId="14" applyFill="1" applyBorder="1" applyAlignment="1">
      <alignment vertical="top"/>
    </xf>
    <xf numFmtId="0" fontId="47" fillId="9" borderId="6" xfId="14" applyFont="1" applyFill="1" applyBorder="1" applyAlignment="1">
      <alignment horizontal="center" vertical="top"/>
    </xf>
    <xf numFmtId="44" fontId="0" fillId="9" borderId="6" xfId="15" applyFont="1" applyFill="1" applyBorder="1" applyAlignment="1">
      <alignment horizontal="center" vertical="top"/>
    </xf>
    <xf numFmtId="0" fontId="80" fillId="28" borderId="34" xfId="14" applyFont="1" applyFill="1" applyBorder="1" applyAlignment="1">
      <alignment vertical="top"/>
    </xf>
    <xf numFmtId="0" fontId="80" fillId="9" borderId="6" xfId="14" applyFont="1" applyFill="1" applyBorder="1" applyAlignment="1">
      <alignment horizontal="center" vertical="top" wrapText="1"/>
    </xf>
    <xf numFmtId="0" fontId="50" fillId="0" borderId="35" xfId="14" applyFont="1" applyBorder="1" applyAlignment="1">
      <alignment vertical="top"/>
    </xf>
    <xf numFmtId="0" fontId="47" fillId="28" borderId="36" xfId="14" applyFill="1" applyBorder="1" applyAlignment="1">
      <alignment vertical="top"/>
    </xf>
    <xf numFmtId="0" fontId="47" fillId="28" borderId="38" xfId="14" applyFill="1" applyBorder="1" applyAlignment="1">
      <alignment vertical="top"/>
    </xf>
    <xf numFmtId="0" fontId="47" fillId="28" borderId="42" xfId="14" applyFill="1" applyBorder="1" applyAlignment="1">
      <alignment vertical="top"/>
    </xf>
    <xf numFmtId="0" fontId="47" fillId="29" borderId="38" xfId="14" applyFill="1" applyBorder="1" applyAlignment="1">
      <alignment vertical="top"/>
    </xf>
    <xf numFmtId="0" fontId="47" fillId="29" borderId="42" xfId="14" applyFill="1" applyBorder="1" applyAlignment="1">
      <alignment vertical="top"/>
    </xf>
    <xf numFmtId="0" fontId="47" fillId="30" borderId="38" xfId="14" applyFill="1" applyBorder="1" applyAlignment="1">
      <alignment vertical="top"/>
    </xf>
    <xf numFmtId="0" fontId="47" fillId="30" borderId="42" xfId="14" applyFill="1" applyBorder="1" applyAlignment="1">
      <alignment vertical="top"/>
    </xf>
    <xf numFmtId="0" fontId="47" fillId="33" borderId="38" xfId="14" applyFill="1" applyBorder="1" applyAlignment="1">
      <alignment vertical="top"/>
    </xf>
    <xf numFmtId="0" fontId="47" fillId="33" borderId="42" xfId="14" applyFill="1" applyBorder="1" applyAlignment="1">
      <alignment vertical="top"/>
    </xf>
    <xf numFmtId="0" fontId="47" fillId="34" borderId="38" xfId="14" applyFill="1" applyBorder="1" applyAlignment="1">
      <alignment vertical="top"/>
    </xf>
    <xf numFmtId="0" fontId="47" fillId="34" borderId="42" xfId="14" applyFill="1" applyBorder="1" applyAlignment="1">
      <alignment vertical="top"/>
    </xf>
    <xf numFmtId="0" fontId="47" fillId="35" borderId="38" xfId="14" applyFill="1" applyBorder="1" applyAlignment="1">
      <alignment vertical="top"/>
    </xf>
    <xf numFmtId="0" fontId="47" fillId="35" borderId="42" xfId="14" applyFill="1" applyBorder="1" applyAlignment="1">
      <alignment vertical="top"/>
    </xf>
    <xf numFmtId="0" fontId="82" fillId="29" borderId="30" xfId="14" applyFont="1" applyFill="1" applyBorder="1" applyAlignment="1">
      <alignment vertical="top"/>
    </xf>
    <xf numFmtId="0" fontId="82" fillId="29" borderId="34" xfId="14" applyFont="1" applyFill="1" applyBorder="1" applyAlignment="1">
      <alignment vertical="top"/>
    </xf>
    <xf numFmtId="0" fontId="83" fillId="29" borderId="34" xfId="14" applyFont="1" applyFill="1" applyBorder="1" applyAlignment="1">
      <alignment vertical="top"/>
    </xf>
    <xf numFmtId="0" fontId="82" fillId="29" borderId="36" xfId="14" applyFont="1" applyFill="1" applyBorder="1" applyAlignment="1">
      <alignment vertical="top"/>
    </xf>
    <xf numFmtId="0" fontId="84" fillId="30" borderId="30" xfId="14" applyFont="1" applyFill="1" applyBorder="1" applyAlignment="1">
      <alignment vertical="top"/>
    </xf>
    <xf numFmtId="0" fontId="84" fillId="30" borderId="34" xfId="14" applyFont="1" applyFill="1" applyBorder="1" applyAlignment="1">
      <alignment vertical="top"/>
    </xf>
    <xf numFmtId="0" fontId="85" fillId="30" borderId="34" xfId="14" applyFont="1" applyFill="1" applyBorder="1" applyAlignment="1">
      <alignment vertical="top"/>
    </xf>
    <xf numFmtId="0" fontId="84" fillId="30" borderId="36" xfId="14" applyFont="1" applyFill="1" applyBorder="1" applyAlignment="1">
      <alignment vertical="top"/>
    </xf>
    <xf numFmtId="0" fontId="86" fillId="33" borderId="30" xfId="14" applyFont="1" applyFill="1" applyBorder="1" applyAlignment="1">
      <alignment vertical="top"/>
    </xf>
    <xf numFmtId="0" fontId="86" fillId="33" borderId="34" xfId="14" applyFont="1" applyFill="1" applyBorder="1" applyAlignment="1">
      <alignment vertical="top"/>
    </xf>
    <xf numFmtId="0" fontId="87" fillId="33" borderId="34" xfId="14" applyFont="1" applyFill="1" applyBorder="1" applyAlignment="1">
      <alignment vertical="top"/>
    </xf>
    <xf numFmtId="0" fontId="86" fillId="33" borderId="36" xfId="14" applyFont="1" applyFill="1" applyBorder="1" applyAlignment="1">
      <alignment vertical="top"/>
    </xf>
    <xf numFmtId="0" fontId="88" fillId="34" borderId="30" xfId="14" applyFont="1" applyFill="1" applyBorder="1" applyAlignment="1">
      <alignment vertical="top"/>
    </xf>
    <xf numFmtId="0" fontId="88" fillId="34" borderId="34" xfId="14" applyFont="1" applyFill="1" applyBorder="1" applyAlignment="1">
      <alignment vertical="top"/>
    </xf>
    <xf numFmtId="0" fontId="89" fillId="34" borderId="34" xfId="14" applyFont="1" applyFill="1" applyBorder="1" applyAlignment="1">
      <alignment vertical="top"/>
    </xf>
    <xf numFmtId="0" fontId="88" fillId="34" borderId="36" xfId="14" applyFont="1" applyFill="1" applyBorder="1" applyAlignment="1">
      <alignment vertical="top"/>
    </xf>
    <xf numFmtId="0" fontId="90" fillId="35" borderId="30" xfId="14" applyFont="1" applyFill="1" applyBorder="1" applyAlignment="1">
      <alignment vertical="top"/>
    </xf>
    <xf numFmtId="0" fontId="90" fillId="35" borderId="34" xfId="14" applyFont="1" applyFill="1" applyBorder="1" applyAlignment="1">
      <alignment vertical="top"/>
    </xf>
    <xf numFmtId="0" fontId="91" fillId="35" borderId="34" xfId="14" applyFont="1" applyFill="1" applyBorder="1" applyAlignment="1">
      <alignment vertical="top"/>
    </xf>
    <xf numFmtId="0" fontId="90" fillId="35" borderId="36" xfId="14" applyFont="1" applyFill="1" applyBorder="1" applyAlignment="1">
      <alignment vertical="top"/>
    </xf>
    <xf numFmtId="176" fontId="0" fillId="9" borderId="6" xfId="15" applyNumberFormat="1" applyFont="1" applyFill="1" applyBorder="1" applyAlignment="1">
      <alignment horizontal="center" vertical="top"/>
    </xf>
    <xf numFmtId="170" fontId="0" fillId="9" borderId="6" xfId="15" applyNumberFormat="1" applyFont="1" applyFill="1" applyBorder="1" applyAlignment="1">
      <alignment horizontal="center" vertical="top"/>
    </xf>
    <xf numFmtId="0" fontId="47" fillId="10" borderId="1" xfId="14" applyFill="1" applyBorder="1" applyAlignment="1">
      <alignment horizontal="center" vertical="top" wrapText="1"/>
    </xf>
    <xf numFmtId="0" fontId="47" fillId="10" borderId="6" xfId="14" applyFill="1" applyBorder="1" applyAlignment="1">
      <alignment horizontal="center" vertical="top" wrapText="1"/>
    </xf>
    <xf numFmtId="0" fontId="62" fillId="45" borderId="0" xfId="0" applyFont="1" applyFill="1" applyAlignment="1">
      <alignment horizontal="center"/>
    </xf>
    <xf numFmtId="0" fontId="2" fillId="6" borderId="0" xfId="0" applyFont="1" applyFill="1" applyAlignment="1">
      <alignment horizontal="center"/>
    </xf>
    <xf numFmtId="0" fontId="2" fillId="39" borderId="0" xfId="0" applyFont="1" applyFill="1" applyAlignment="1">
      <alignment horizontal="center"/>
    </xf>
    <xf numFmtId="0" fontId="2" fillId="22" borderId="0" xfId="0" applyFont="1" applyFill="1" applyAlignment="1">
      <alignment horizontal="center"/>
    </xf>
    <xf numFmtId="0" fontId="75" fillId="42" borderId="0" xfId="0" applyFont="1" applyFill="1" applyAlignment="1">
      <alignment horizontal="left"/>
    </xf>
    <xf numFmtId="0" fontId="62" fillId="42" borderId="0" xfId="1" applyFont="1" applyFill="1"/>
    <xf numFmtId="0" fontId="65" fillId="42" borderId="28" xfId="6" applyFont="1" applyFill="1" applyBorder="1" applyAlignment="1">
      <alignment vertical="center" wrapText="1"/>
    </xf>
    <xf numFmtId="0" fontId="46" fillId="0" borderId="0" xfId="6" applyFont="1" applyBorder="1" applyAlignment="1">
      <alignment horizontal="center" vertical="center" wrapText="1"/>
    </xf>
    <xf numFmtId="0" fontId="47" fillId="0" borderId="0" xfId="14" applyNumberFormat="1" applyAlignment="1">
      <alignment vertical="top"/>
    </xf>
    <xf numFmtId="42" fontId="47" fillId="0" borderId="0" xfId="13" applyNumberFormat="1" applyFont="1" applyAlignment="1">
      <alignment vertical="top"/>
    </xf>
    <xf numFmtId="0" fontId="47" fillId="0" borderId="0" xfId="13" applyNumberFormat="1" applyFont="1" applyAlignment="1">
      <alignment vertical="top"/>
    </xf>
    <xf numFmtId="0" fontId="75" fillId="42" borderId="2" xfId="6" applyFont="1" applyFill="1" applyBorder="1" applyAlignment="1">
      <alignment vertical="center"/>
    </xf>
    <xf numFmtId="0" fontId="37" fillId="13" borderId="2" xfId="6" applyFont="1" applyFill="1" applyBorder="1" applyAlignment="1">
      <alignment horizontal="left" vertical="center" indent="1"/>
    </xf>
    <xf numFmtId="0" fontId="37" fillId="13" borderId="28" xfId="6" applyFont="1" applyFill="1" applyBorder="1" applyAlignment="1">
      <alignment horizontal="left" vertical="center" indent="1"/>
    </xf>
    <xf numFmtId="0" fontId="37" fillId="13" borderId="29" xfId="6" applyFont="1" applyFill="1" applyBorder="1" applyAlignment="1">
      <alignment horizontal="left" vertical="center" indent="1"/>
    </xf>
    <xf numFmtId="0" fontId="53" fillId="0" borderId="0" xfId="6" applyNumberFormat="1" applyFont="1" applyBorder="1" applyAlignment="1">
      <alignment horizontal="right" vertical="top" wrapText="1" indent="1"/>
    </xf>
    <xf numFmtId="170" fontId="47" fillId="22" borderId="3" xfId="6" applyNumberFormat="1" applyFont="1" applyFill="1" applyBorder="1" applyAlignment="1">
      <alignment vertical="center" wrapText="1"/>
    </xf>
    <xf numFmtId="166" fontId="47" fillId="22" borderId="3" xfId="6" applyNumberFormat="1" applyFont="1" applyFill="1" applyBorder="1" applyAlignment="1">
      <alignment vertical="center" wrapText="1"/>
    </xf>
    <xf numFmtId="42" fontId="47" fillId="22" borderId="3" xfId="6" applyNumberFormat="1" applyFont="1" applyFill="1" applyBorder="1" applyAlignment="1">
      <alignment vertical="center" wrapText="1"/>
    </xf>
    <xf numFmtId="0" fontId="63" fillId="0" borderId="0" xfId="6" applyFont="1" applyBorder="1" applyAlignment="1">
      <alignment horizontal="center" vertical="center" wrapText="1"/>
    </xf>
    <xf numFmtId="0" fontId="46" fillId="0" borderId="0" xfId="6" applyFont="1" applyBorder="1" applyAlignment="1">
      <alignment horizontal="left" vertical="center" wrapText="1"/>
    </xf>
    <xf numFmtId="0" fontId="93" fillId="0" borderId="3" xfId="6" applyFont="1" applyBorder="1" applyAlignment="1">
      <alignment horizontal="center" vertical="center"/>
    </xf>
    <xf numFmtId="0" fontId="49" fillId="0" borderId="0" xfId="6" applyFont="1" applyBorder="1" applyAlignment="1">
      <alignment horizontal="left" vertical="center"/>
    </xf>
    <xf numFmtId="0" fontId="92" fillId="0" borderId="0" xfId="6" applyFont="1" applyBorder="1" applyAlignment="1">
      <alignment vertical="center" wrapText="1"/>
    </xf>
    <xf numFmtId="0" fontId="47" fillId="10" borderId="1" xfId="14" applyFill="1" applyBorder="1" applyAlignment="1">
      <alignment horizontal="center" vertical="top"/>
    </xf>
    <xf numFmtId="41" fontId="47" fillId="22" borderId="6" xfId="8" applyNumberFormat="1" applyFont="1" applyFill="1" applyBorder="1" applyAlignment="1" applyProtection="1">
      <alignment horizontal="right" vertical="center" indent="1"/>
      <protection locked="0"/>
    </xf>
    <xf numFmtId="41" fontId="47" fillId="22" borderId="6" xfId="8" applyNumberFormat="1" applyFont="1" applyFill="1" applyBorder="1" applyAlignment="1" applyProtection="1">
      <alignment horizontal="center" vertical="top"/>
      <protection locked="0"/>
    </xf>
    <xf numFmtId="0" fontId="79" fillId="0" borderId="0" xfId="14" applyFont="1" applyAlignment="1">
      <alignment horizontal="center" vertical="top"/>
    </xf>
    <xf numFmtId="0" fontId="2" fillId="22" borderId="19" xfId="0" quotePrefix="1" applyNumberFormat="1" applyFont="1" applyFill="1" applyBorder="1" applyAlignment="1" applyProtection="1">
      <alignment horizontal="center" vertical="top" wrapText="1"/>
      <protection locked="0"/>
    </xf>
    <xf numFmtId="0" fontId="2" fillId="0" borderId="0" xfId="0" applyFont="1" applyAlignment="1">
      <alignment horizontal="center" vertical="center"/>
    </xf>
    <xf numFmtId="0" fontId="2" fillId="0" borderId="0" xfId="3" applyFont="1"/>
    <xf numFmtId="0" fontId="34" fillId="0" borderId="0" xfId="3" applyFont="1"/>
    <xf numFmtId="0" fontId="25" fillId="0" borderId="0" xfId="3" applyFont="1"/>
    <xf numFmtId="175" fontId="2" fillId="26" borderId="9" xfId="0" applyNumberFormat="1" applyFont="1" applyFill="1" applyBorder="1" applyAlignment="1" applyProtection="1">
      <alignment horizontal="center" vertical="top"/>
    </xf>
    <xf numFmtId="1" fontId="2" fillId="26" borderId="19" xfId="0" applyNumberFormat="1" applyFont="1" applyFill="1" applyBorder="1" applyAlignment="1" applyProtection="1">
      <alignment horizontal="center" vertical="top" wrapText="1"/>
    </xf>
    <xf numFmtId="38" fontId="2" fillId="17" borderId="10" xfId="3" applyNumberFormat="1" applyFont="1" applyFill="1" applyBorder="1" applyAlignment="1">
      <alignment horizontal="center"/>
    </xf>
    <xf numFmtId="3" fontId="2" fillId="22" borderId="10" xfId="3" applyNumberFormat="1" applyFont="1" applyFill="1" applyBorder="1" applyAlignment="1" applyProtection="1">
      <alignment horizontal="center"/>
      <protection locked="0"/>
    </xf>
    <xf numFmtId="173" fontId="2" fillId="22" borderId="10" xfId="3" applyNumberFormat="1" applyFont="1" applyFill="1" applyBorder="1" applyAlignment="1" applyProtection="1">
      <alignment horizontal="center"/>
      <protection locked="0"/>
    </xf>
    <xf numFmtId="49" fontId="4" fillId="7" borderId="0" xfId="3" applyNumberFormat="1" applyFont="1" applyFill="1" applyBorder="1" applyAlignment="1" applyProtection="1">
      <alignment vertical="center" wrapText="1"/>
      <protection locked="0"/>
    </xf>
    <xf numFmtId="49" fontId="2" fillId="7" borderId="0" xfId="3" applyNumberFormat="1" applyFont="1" applyFill="1" applyBorder="1" applyAlignment="1" applyProtection="1">
      <alignment horizontal="left" vertical="center" wrapText="1"/>
      <protection locked="0"/>
    </xf>
    <xf numFmtId="0" fontId="2" fillId="0" borderId="0" xfId="3" applyFont="1" applyAlignment="1">
      <alignment horizontal="right"/>
    </xf>
    <xf numFmtId="164" fontId="94" fillId="17" borderId="10" xfId="3" applyNumberFormat="1" applyFont="1" applyFill="1" applyBorder="1" applyAlignment="1">
      <alignment horizontal="right"/>
    </xf>
    <xf numFmtId="42" fontId="4" fillId="13" borderId="56" xfId="8" applyNumberFormat="1" applyFont="1" applyFill="1" applyBorder="1" applyAlignment="1" applyProtection="1">
      <alignment horizontal="right"/>
    </xf>
    <xf numFmtId="0" fontId="2" fillId="0" borderId="0" xfId="3" applyFont="1" applyFill="1"/>
    <xf numFmtId="0" fontId="35" fillId="48" borderId="0" xfId="0" applyFont="1" applyFill="1"/>
    <xf numFmtId="0" fontId="2" fillId="48" borderId="0" xfId="0" applyFont="1" applyFill="1"/>
    <xf numFmtId="0" fontId="6" fillId="48" borderId="0" xfId="0" applyFont="1" applyFill="1"/>
    <xf numFmtId="0" fontId="34" fillId="48" borderId="0" xfId="0" applyFont="1" applyFill="1"/>
    <xf numFmtId="0" fontId="2" fillId="48" borderId="0" xfId="0" applyFont="1" applyFill="1" applyAlignment="1">
      <alignment horizontal="right"/>
    </xf>
    <xf numFmtId="0" fontId="34" fillId="48" borderId="0" xfId="0" applyFont="1" applyFill="1" applyAlignment="1">
      <alignment horizontal="right"/>
    </xf>
    <xf numFmtId="0" fontId="75" fillId="48" borderId="0" xfId="0" applyFont="1" applyFill="1" applyAlignment="1">
      <alignment horizontal="left"/>
    </xf>
    <xf numFmtId="0" fontId="62" fillId="48" borderId="0" xfId="1" applyFont="1" applyFill="1"/>
    <xf numFmtId="0" fontId="62" fillId="48" borderId="0" xfId="0" applyFont="1" applyFill="1"/>
    <xf numFmtId="0" fontId="69" fillId="48" borderId="0" xfId="1" applyFont="1" applyFill="1" applyAlignment="1">
      <alignment horizontal="center"/>
    </xf>
    <xf numFmtId="0" fontId="58" fillId="48" borderId="0" xfId="0" applyFont="1" applyFill="1" applyAlignment="1"/>
    <xf numFmtId="0" fontId="67" fillId="48" borderId="0" xfId="0" applyFont="1" applyFill="1" applyAlignment="1">
      <alignment horizontal="center" vertical="center"/>
    </xf>
    <xf numFmtId="0" fontId="6" fillId="48" borderId="0" xfId="0" applyFont="1" applyFill="1" applyAlignment="1"/>
    <xf numFmtId="0" fontId="35" fillId="48" borderId="0" xfId="0" applyFont="1" applyFill="1" applyAlignment="1">
      <alignment horizontal="left"/>
    </xf>
    <xf numFmtId="0" fontId="34" fillId="0" borderId="32" xfId="0" applyFont="1" applyBorder="1" applyAlignment="1">
      <alignment horizontal="right" vertical="top"/>
    </xf>
    <xf numFmtId="0" fontId="34" fillId="0" borderId="33" xfId="0" applyFont="1" applyBorder="1" applyAlignment="1">
      <alignment horizontal="right" vertical="top"/>
    </xf>
    <xf numFmtId="0" fontId="34" fillId="0" borderId="54" xfId="0" applyFont="1" applyBorder="1" applyAlignment="1">
      <alignment horizontal="right" vertical="top"/>
    </xf>
    <xf numFmtId="0" fontId="34" fillId="0" borderId="55" xfId="0" applyFont="1" applyBorder="1" applyAlignment="1">
      <alignment horizontal="left" vertical="top" wrapText="1"/>
    </xf>
    <xf numFmtId="0" fontId="34" fillId="0" borderId="31" xfId="0" applyFont="1" applyBorder="1" applyAlignment="1">
      <alignment horizontal="left" vertical="top" wrapText="1"/>
    </xf>
    <xf numFmtId="0" fontId="47" fillId="22" borderId="21" xfId="6" applyFont="1" applyFill="1" applyBorder="1" applyAlignment="1">
      <alignment horizontal="left" vertical="center" wrapText="1"/>
    </xf>
    <xf numFmtId="0" fontId="47" fillId="22" borderId="2" xfId="6" applyFont="1" applyFill="1" applyBorder="1" applyAlignment="1">
      <alignment horizontal="left" vertical="center" wrapText="1"/>
    </xf>
    <xf numFmtId="0" fontId="47" fillId="22" borderId="12" xfId="6" applyFont="1" applyFill="1" applyBorder="1" applyAlignment="1">
      <alignment horizontal="left" vertical="center" wrapText="1"/>
    </xf>
    <xf numFmtId="0" fontId="34" fillId="0" borderId="0" xfId="0" applyFont="1" applyAlignment="1">
      <alignment horizontal="right" vertical="top"/>
    </xf>
    <xf numFmtId="0" fontId="27" fillId="0" borderId="0" xfId="0" applyFont="1" applyAlignment="1">
      <alignment horizontal="left" vertical="center"/>
    </xf>
    <xf numFmtId="49" fontId="34" fillId="0" borderId="0" xfId="0" applyNumberFormat="1" applyFont="1" applyFill="1" applyAlignment="1">
      <alignment horizontal="left" vertical="top" wrapText="1"/>
    </xf>
    <xf numFmtId="0" fontId="25" fillId="0" borderId="0" xfId="0" applyFont="1"/>
    <xf numFmtId="49" fontId="34" fillId="0" borderId="0" xfId="0" applyNumberFormat="1" applyFont="1" applyFill="1" applyAlignment="1">
      <alignment horizontal="left" vertical="top"/>
    </xf>
    <xf numFmtId="0" fontId="75" fillId="11" borderId="0" xfId="0" applyFont="1" applyFill="1" applyBorder="1" applyAlignment="1">
      <alignment horizontal="left"/>
    </xf>
    <xf numFmtId="0" fontId="6" fillId="0" borderId="0" xfId="0" applyFont="1" applyAlignment="1"/>
    <xf numFmtId="0" fontId="2" fillId="0" borderId="0" xfId="0" applyFont="1" applyBorder="1" applyAlignment="1"/>
    <xf numFmtId="0" fontId="4" fillId="13" borderId="36" xfId="0" applyFont="1" applyFill="1" applyBorder="1" applyAlignment="1">
      <alignment horizontal="left" vertical="top"/>
    </xf>
    <xf numFmtId="6" fontId="4" fillId="13" borderId="56" xfId="0" applyNumberFormat="1" applyFont="1" applyFill="1" applyBorder="1" applyAlignment="1">
      <alignment horizontal="right" wrapText="1"/>
    </xf>
    <xf numFmtId="10" fontId="4" fillId="13" borderId="56" xfId="0" applyNumberFormat="1" applyFont="1" applyFill="1" applyBorder="1" applyAlignment="1">
      <alignment horizontal="right" vertical="top" wrapText="1"/>
    </xf>
    <xf numFmtId="0" fontId="2" fillId="13" borderId="39" xfId="0" applyFont="1" applyFill="1" applyBorder="1" applyAlignment="1">
      <alignment horizontal="left" vertical="top"/>
    </xf>
    <xf numFmtId="0" fontId="2" fillId="13" borderId="55" xfId="0" applyFont="1" applyFill="1" applyBorder="1" applyAlignment="1">
      <alignment horizontal="left" vertical="top" wrapText="1"/>
    </xf>
    <xf numFmtId="6" fontId="2" fillId="13" borderId="54" xfId="0" applyNumberFormat="1" applyFont="1" applyFill="1" applyBorder="1" applyAlignment="1">
      <alignment horizontal="right" vertical="top" wrapText="1"/>
    </xf>
    <xf numFmtId="0" fontId="2" fillId="13" borderId="16" xfId="0" applyFont="1" applyFill="1" applyBorder="1" applyAlignment="1">
      <alignment horizontal="left" vertical="top"/>
    </xf>
    <xf numFmtId="0" fontId="2" fillId="13" borderId="28" xfId="0" applyFont="1" applyFill="1" applyBorder="1" applyAlignment="1">
      <alignment horizontal="left" vertical="top" wrapText="1"/>
    </xf>
    <xf numFmtId="6" fontId="2" fillId="13" borderId="15" xfId="0" applyNumberFormat="1" applyFont="1" applyFill="1" applyBorder="1" applyAlignment="1">
      <alignment horizontal="right" wrapText="1"/>
    </xf>
    <xf numFmtId="0" fontId="4" fillId="13" borderId="16" xfId="0" applyFont="1" applyFill="1" applyBorder="1" applyAlignment="1">
      <alignment horizontal="left" vertical="top"/>
    </xf>
    <xf numFmtId="0" fontId="4" fillId="13" borderId="28" xfId="0" applyFont="1" applyFill="1" applyBorder="1" applyAlignment="1">
      <alignment horizontal="left" vertical="top" wrapText="1"/>
    </xf>
    <xf numFmtId="6" fontId="4" fillId="13" borderId="15" xfId="0" applyNumberFormat="1" applyFont="1" applyFill="1" applyBorder="1" applyAlignment="1">
      <alignment horizontal="right" wrapText="1"/>
    </xf>
    <xf numFmtId="0" fontId="2" fillId="26" borderId="28" xfId="0" applyFont="1" applyFill="1" applyBorder="1" applyAlignment="1">
      <alignment horizontal="left" vertical="top"/>
    </xf>
    <xf numFmtId="166" fontId="2" fillId="13" borderId="15" xfId="0" applyNumberFormat="1" applyFont="1" applyFill="1" applyBorder="1" applyAlignment="1">
      <alignment horizontal="right" wrapText="1"/>
    </xf>
    <xf numFmtId="0" fontId="2" fillId="13" borderId="90" xfId="0" applyFont="1" applyFill="1" applyBorder="1" applyAlignment="1">
      <alignment horizontal="left" vertical="top"/>
    </xf>
    <xf numFmtId="0" fontId="2" fillId="13" borderId="26" xfId="0" applyFont="1" applyFill="1" applyBorder="1" applyAlignment="1">
      <alignment horizontal="left" vertical="top" wrapText="1"/>
    </xf>
    <xf numFmtId="6" fontId="2" fillId="13" borderId="91" xfId="0" applyNumberFormat="1" applyFont="1" applyFill="1" applyBorder="1" applyAlignment="1">
      <alignment horizontal="right" vertical="top" wrapText="1"/>
    </xf>
    <xf numFmtId="6" fontId="2" fillId="13" borderId="59" xfId="0" applyNumberFormat="1" applyFont="1" applyFill="1" applyBorder="1" applyAlignment="1">
      <alignment horizontal="right" vertical="top" wrapText="1"/>
    </xf>
    <xf numFmtId="0" fontId="2" fillId="26" borderId="92" xfId="0" applyFont="1" applyFill="1" applyBorder="1" applyAlignment="1">
      <alignment horizontal="left" vertical="top"/>
    </xf>
    <xf numFmtId="0" fontId="32" fillId="13" borderId="1" xfId="0" applyFont="1" applyFill="1" applyBorder="1" applyAlignment="1">
      <alignment horizontal="center"/>
    </xf>
    <xf numFmtId="0" fontId="2" fillId="26" borderId="0" xfId="0" applyFont="1" applyFill="1"/>
    <xf numFmtId="0" fontId="66" fillId="0" borderId="1" xfId="10" applyFont="1" applyBorder="1" applyAlignment="1" applyProtection="1">
      <alignment horizontal="left" vertical="top" wrapText="1" indent="1"/>
    </xf>
    <xf numFmtId="0" fontId="37" fillId="13" borderId="29" xfId="0" applyFont="1" applyFill="1" applyBorder="1" applyAlignment="1" applyProtection="1">
      <alignment horizontal="center" vertical="center" wrapText="1"/>
    </xf>
    <xf numFmtId="0" fontId="97" fillId="0" borderId="0" xfId="0" applyFont="1" applyAlignment="1">
      <alignment horizontal="left" vertical="center"/>
    </xf>
    <xf numFmtId="1" fontId="37" fillId="0" borderId="0" xfId="0" applyNumberFormat="1" applyFont="1" applyFill="1" applyBorder="1" applyAlignment="1" applyProtection="1">
      <alignment horizontal="left" vertical="top" wrapText="1" readingOrder="1"/>
    </xf>
    <xf numFmtId="1" fontId="34" fillId="0" borderId="0" xfId="0" applyNumberFormat="1" applyFont="1" applyFill="1" applyBorder="1" applyAlignment="1" applyProtection="1">
      <alignment horizontal="left" vertical="top" wrapText="1" readingOrder="1"/>
    </xf>
    <xf numFmtId="1" fontId="37" fillId="0" borderId="0" xfId="0" applyNumberFormat="1" applyFont="1" applyFill="1" applyBorder="1" applyAlignment="1" applyProtection="1">
      <alignment horizontal="right" vertical="top" wrapText="1" indent="1" readingOrder="1"/>
    </xf>
    <xf numFmtId="0" fontId="53" fillId="0" borderId="0" xfId="6" applyFont="1" applyBorder="1" applyAlignment="1">
      <alignment horizontal="center" vertical="center" wrapText="1"/>
    </xf>
    <xf numFmtId="0" fontId="79" fillId="0" borderId="0" xfId="6" applyFont="1" applyBorder="1" applyAlignment="1">
      <alignment horizontal="right" vertical="center" wrapText="1" indent="1"/>
    </xf>
    <xf numFmtId="0" fontId="32" fillId="28" borderId="7" xfId="0" applyFont="1" applyFill="1" applyBorder="1"/>
    <xf numFmtId="0" fontId="32" fillId="29" borderId="7" xfId="0" applyFont="1" applyFill="1" applyBorder="1"/>
    <xf numFmtId="0" fontId="32" fillId="30" borderId="7" xfId="0" applyFont="1" applyFill="1" applyBorder="1"/>
    <xf numFmtId="0" fontId="32" fillId="33" borderId="7" xfId="0" applyFont="1" applyFill="1" applyBorder="1"/>
    <xf numFmtId="0" fontId="32" fillId="34" borderId="7" xfId="0" applyFont="1" applyFill="1" applyBorder="1"/>
    <xf numFmtId="0" fontId="32" fillId="35" borderId="7" xfId="0" applyFont="1" applyFill="1" applyBorder="1"/>
    <xf numFmtId="0" fontId="98" fillId="0" borderId="65" xfId="6" applyFont="1" applyBorder="1" applyAlignment="1">
      <alignment horizontal="left" vertical="center"/>
    </xf>
    <xf numFmtId="0" fontId="98" fillId="0" borderId="65" xfId="6" applyFont="1" applyBorder="1" applyAlignment="1">
      <alignment horizontal="center" vertical="center"/>
    </xf>
    <xf numFmtId="0" fontId="98" fillId="0" borderId="0" xfId="6" applyFont="1" applyBorder="1" applyAlignment="1">
      <alignment horizontal="center" vertical="center" wrapText="1"/>
    </xf>
    <xf numFmtId="0" fontId="47" fillId="0" borderId="0" xfId="6" applyFont="1" applyBorder="1" applyAlignment="1">
      <alignment horizontal="center" vertical="center" wrapText="1"/>
    </xf>
    <xf numFmtId="166" fontId="32" fillId="22" borderId="8" xfId="7" applyNumberFormat="1" applyFont="1" applyFill="1" applyBorder="1" applyAlignment="1">
      <alignment vertical="center" wrapText="1"/>
    </xf>
    <xf numFmtId="0" fontId="98" fillId="0" borderId="0" xfId="6" applyFont="1" applyBorder="1" applyAlignment="1">
      <alignment horizontal="right" vertical="center" wrapText="1" indent="1"/>
    </xf>
    <xf numFmtId="0" fontId="99" fillId="0" borderId="0" xfId="6" applyFont="1" applyBorder="1" applyAlignment="1">
      <alignment horizontal="right" vertical="center" wrapText="1" indent="1"/>
    </xf>
    <xf numFmtId="42" fontId="32" fillId="13" borderId="64" xfId="7" applyNumberFormat="1" applyFont="1" applyFill="1" applyBorder="1" applyAlignment="1">
      <alignment vertical="center" wrapText="1"/>
    </xf>
    <xf numFmtId="0" fontId="32" fillId="22" borderId="8" xfId="7" applyNumberFormat="1" applyFont="1" applyFill="1" applyBorder="1" applyAlignment="1">
      <alignment vertical="center" wrapText="1"/>
    </xf>
    <xf numFmtId="0" fontId="47" fillId="0" borderId="0" xfId="6" applyFont="1" applyBorder="1" applyAlignment="1">
      <alignment horizontal="right" vertical="center" indent="1"/>
    </xf>
    <xf numFmtId="0" fontId="47" fillId="22" borderId="29" xfId="6" applyNumberFormat="1" applyFont="1" applyFill="1" applyBorder="1" applyAlignment="1">
      <alignment vertical="center" wrapText="1"/>
    </xf>
    <xf numFmtId="0" fontId="47" fillId="22" borderId="15" xfId="6" applyNumberFormat="1" applyFont="1" applyFill="1" applyBorder="1" applyAlignment="1">
      <alignment vertical="center" wrapText="1"/>
    </xf>
    <xf numFmtId="166" fontId="32" fillId="22" borderId="1" xfId="7" applyNumberFormat="1" applyFont="1" applyFill="1" applyBorder="1" applyAlignment="1">
      <alignment vertical="center" wrapText="1"/>
    </xf>
    <xf numFmtId="0" fontId="47" fillId="22" borderId="1" xfId="6" applyNumberFormat="1" applyFont="1" applyFill="1" applyBorder="1" applyAlignment="1">
      <alignment vertical="center" wrapText="1"/>
    </xf>
    <xf numFmtId="0" fontId="47" fillId="22" borderId="6" xfId="6" applyNumberFormat="1" applyFont="1" applyFill="1" applyBorder="1" applyAlignment="1">
      <alignment vertical="center" wrapText="1"/>
    </xf>
    <xf numFmtId="0" fontId="47" fillId="0" borderId="38" xfId="6" applyFont="1" applyBorder="1" applyAlignment="1">
      <alignment vertical="center" wrapText="1"/>
    </xf>
    <xf numFmtId="0" fontId="47" fillId="13" borderId="39" xfId="6" applyNumberFormat="1" applyFont="1" applyFill="1" applyBorder="1" applyAlignment="1">
      <alignment vertical="center" wrapText="1"/>
    </xf>
    <xf numFmtId="0" fontId="47" fillId="13" borderId="16" xfId="6" applyFont="1" applyFill="1" applyBorder="1" applyAlignment="1">
      <alignment vertical="center" wrapText="1"/>
    </xf>
    <xf numFmtId="0" fontId="47" fillId="13" borderId="55" xfId="6" applyNumberFormat="1" applyFont="1" applyFill="1" applyBorder="1" applyAlignment="1">
      <alignment vertical="center" wrapText="1"/>
    </xf>
    <xf numFmtId="0" fontId="47" fillId="0" borderId="0" xfId="6" applyFont="1" applyBorder="1" applyAlignment="1">
      <alignment horizontal="right" vertical="center" wrapText="1" indent="1"/>
    </xf>
    <xf numFmtId="170" fontId="47" fillId="13" borderId="64" xfId="7" applyNumberFormat="1" applyFont="1" applyFill="1" applyBorder="1" applyAlignment="1">
      <alignment horizontal="right" vertical="center" wrapText="1" indent="1"/>
    </xf>
    <xf numFmtId="0" fontId="98" fillId="0" borderId="7" xfId="6" applyFont="1" applyBorder="1" applyAlignment="1">
      <alignment horizontal="center" vertical="center"/>
    </xf>
    <xf numFmtId="0" fontId="79" fillId="0" borderId="0" xfId="6" applyFont="1" applyBorder="1" applyAlignment="1">
      <alignment horizontal="center" vertical="center" wrapText="1"/>
    </xf>
    <xf numFmtId="42" fontId="32" fillId="10" borderId="0" xfId="7" applyNumberFormat="1" applyFont="1" applyFill="1" applyBorder="1" applyAlignment="1">
      <alignment vertical="center" wrapText="1"/>
    </xf>
    <xf numFmtId="170" fontId="25" fillId="10" borderId="0" xfId="7" applyNumberFormat="1" applyFont="1" applyFill="1" applyBorder="1" applyAlignment="1">
      <alignment horizontal="right" vertical="center" wrapText="1" indent="1"/>
    </xf>
    <xf numFmtId="0" fontId="98" fillId="0" borderId="28" xfId="6" applyFont="1" applyBorder="1" applyAlignment="1">
      <alignment horizontal="right" vertical="center" wrapText="1" indent="1"/>
    </xf>
    <xf numFmtId="171" fontId="47" fillId="0" borderId="28" xfId="6" applyNumberFormat="1" applyFont="1" applyBorder="1" applyAlignment="1">
      <alignment horizontal="center" vertical="center" wrapText="1"/>
    </xf>
    <xf numFmtId="0" fontId="47" fillId="0" borderId="28" xfId="6" applyFont="1" applyBorder="1" applyAlignment="1">
      <alignment horizontal="right" vertical="center" wrapText="1"/>
    </xf>
    <xf numFmtId="0" fontId="53" fillId="0" borderId="0" xfId="6" applyFont="1" applyBorder="1" applyAlignment="1">
      <alignment horizontal="right" vertical="center" wrapText="1" indent="1"/>
    </xf>
    <xf numFmtId="44" fontId="32" fillId="22" borderId="1" xfId="7" applyNumberFormat="1" applyFont="1" applyFill="1" applyBorder="1" applyAlignment="1">
      <alignment vertical="center" wrapText="1"/>
    </xf>
    <xf numFmtId="44" fontId="47" fillId="22" borderId="29" xfId="6" applyNumberFormat="1" applyFont="1" applyFill="1" applyBorder="1" applyAlignment="1">
      <alignment vertical="center" wrapText="1"/>
    </xf>
    <xf numFmtId="44" fontId="47" fillId="22" borderId="15" xfId="6" applyNumberFormat="1" applyFont="1" applyFill="1" applyBorder="1" applyAlignment="1">
      <alignment vertical="center" wrapText="1"/>
    </xf>
    <xf numFmtId="44" fontId="47" fillId="22" borderId="1" xfId="6" applyNumberFormat="1" applyFont="1" applyFill="1" applyBorder="1" applyAlignment="1">
      <alignment vertical="center" wrapText="1"/>
    </xf>
    <xf numFmtId="44" fontId="47" fillId="22" borderId="6" xfId="6" applyNumberFormat="1" applyFont="1" applyFill="1" applyBorder="1" applyAlignment="1">
      <alignment vertical="center" wrapText="1"/>
    </xf>
    <xf numFmtId="44" fontId="32" fillId="13" borderId="64" xfId="7" applyNumberFormat="1" applyFont="1" applyFill="1" applyBorder="1" applyAlignment="1">
      <alignment vertical="center" wrapText="1"/>
    </xf>
    <xf numFmtId="44" fontId="47" fillId="13" borderId="64" xfId="7" applyNumberFormat="1" applyFont="1" applyFill="1" applyBorder="1" applyAlignment="1">
      <alignment horizontal="right" vertical="center" wrapText="1" indent="1"/>
    </xf>
    <xf numFmtId="0" fontId="63" fillId="0" borderId="0" xfId="6" applyFont="1" applyBorder="1" applyAlignment="1">
      <alignment horizontal="left" vertical="center"/>
    </xf>
    <xf numFmtId="0" fontId="99" fillId="49" borderId="0" xfId="6" applyFont="1" applyFill="1" applyBorder="1" applyAlignment="1">
      <alignment horizontal="right" vertical="center" wrapText="1" indent="1"/>
    </xf>
    <xf numFmtId="0" fontId="79" fillId="0" borderId="0" xfId="6" applyFont="1" applyBorder="1" applyAlignment="1">
      <alignment horizontal="right" vertical="center" wrapText="1"/>
    </xf>
    <xf numFmtId="0" fontId="98" fillId="49" borderId="0" xfId="6" applyFont="1" applyFill="1" applyBorder="1" applyAlignment="1">
      <alignment horizontal="right" vertical="center" wrapText="1" indent="1"/>
    </xf>
    <xf numFmtId="171" fontId="47" fillId="49" borderId="0" xfId="6" applyNumberFormat="1" applyFont="1" applyFill="1" applyBorder="1" applyAlignment="1">
      <alignment horizontal="center" vertical="center" wrapText="1"/>
    </xf>
    <xf numFmtId="0" fontId="98" fillId="0" borderId="5" xfId="6" applyNumberFormat="1" applyFont="1" applyBorder="1" applyAlignment="1">
      <alignment horizontal="center" vertical="center"/>
    </xf>
    <xf numFmtId="44" fontId="53" fillId="13" borderId="80" xfId="7" applyNumberFormat="1" applyFont="1" applyFill="1" applyBorder="1" applyAlignment="1">
      <alignment horizontal="right" vertical="center" wrapText="1" indent="1"/>
    </xf>
    <xf numFmtId="0" fontId="25" fillId="13" borderId="1" xfId="0" applyFont="1" applyFill="1" applyBorder="1" applyAlignment="1">
      <alignment horizontal="center" vertical="center"/>
    </xf>
    <xf numFmtId="168" fontId="25" fillId="13" borderId="1" xfId="0" applyNumberFormat="1" applyFont="1" applyFill="1" applyBorder="1" applyAlignment="1">
      <alignment horizontal="center" vertical="center"/>
    </xf>
    <xf numFmtId="42" fontId="28" fillId="13" borderId="19" xfId="7" applyNumberFormat="1" applyFont="1" applyFill="1" applyBorder="1" applyAlignment="1">
      <alignment vertical="center" wrapText="1"/>
    </xf>
    <xf numFmtId="42" fontId="28" fillId="13" borderId="20" xfId="7" applyNumberFormat="1" applyFont="1" applyFill="1" applyBorder="1" applyAlignment="1">
      <alignment vertical="center" wrapText="1"/>
    </xf>
    <xf numFmtId="42" fontId="28" fillId="13" borderId="22" xfId="7" applyNumberFormat="1" applyFont="1" applyFill="1" applyBorder="1" applyAlignment="1">
      <alignment vertical="center" wrapText="1"/>
    </xf>
    <xf numFmtId="170" fontId="98" fillId="13" borderId="56" xfId="7" applyNumberFormat="1" applyFont="1" applyFill="1" applyBorder="1" applyAlignment="1">
      <alignment horizontal="right" vertical="center" wrapText="1" indent="1"/>
    </xf>
    <xf numFmtId="0" fontId="47" fillId="13" borderId="93" xfId="6" applyFont="1" applyFill="1" applyBorder="1" applyAlignment="1">
      <alignment vertical="center" wrapText="1"/>
    </xf>
    <xf numFmtId="0" fontId="47" fillId="13" borderId="28" xfId="6" applyFont="1" applyFill="1" applyBorder="1" applyAlignment="1">
      <alignment vertical="center" wrapText="1"/>
    </xf>
    <xf numFmtId="0" fontId="47" fillId="13" borderId="79" xfId="6" applyFont="1" applyFill="1" applyBorder="1" applyAlignment="1">
      <alignment vertical="center" wrapText="1"/>
    </xf>
    <xf numFmtId="0" fontId="47" fillId="0" borderId="94" xfId="6" applyFont="1" applyBorder="1" applyAlignment="1">
      <alignment vertical="center" wrapText="1"/>
    </xf>
    <xf numFmtId="0" fontId="2" fillId="0" borderId="1" xfId="0" applyFont="1" applyFill="1" applyBorder="1" applyAlignment="1">
      <alignment horizontal="center"/>
    </xf>
    <xf numFmtId="0" fontId="53" fillId="0" borderId="0" xfId="6" applyFont="1" applyBorder="1" applyAlignment="1">
      <alignment horizontal="left" vertical="top" wrapText="1"/>
    </xf>
    <xf numFmtId="0" fontId="4" fillId="28" borderId="1" xfId="0" applyFont="1" applyFill="1" applyBorder="1" applyAlignment="1">
      <alignment horizontal="center"/>
    </xf>
    <xf numFmtId="0" fontId="4" fillId="29" borderId="1" xfId="0" applyFont="1" applyFill="1" applyBorder="1" applyAlignment="1">
      <alignment horizontal="center"/>
    </xf>
    <xf numFmtId="0" fontId="4" fillId="30" borderId="1" xfId="0" applyFont="1" applyFill="1" applyBorder="1" applyAlignment="1">
      <alignment horizontal="center"/>
    </xf>
    <xf numFmtId="0" fontId="4" fillId="33" borderId="1" xfId="0" applyFont="1" applyFill="1" applyBorder="1" applyAlignment="1">
      <alignment horizontal="center"/>
    </xf>
    <xf numFmtId="0" fontId="4" fillId="34" borderId="1" xfId="0" applyFont="1" applyFill="1" applyBorder="1" applyAlignment="1">
      <alignment horizontal="center"/>
    </xf>
    <xf numFmtId="0" fontId="4" fillId="35" borderId="1" xfId="0" applyFont="1" applyFill="1" applyBorder="1" applyAlignment="1">
      <alignment horizontal="center"/>
    </xf>
    <xf numFmtId="0" fontId="2" fillId="26" borderId="14" xfId="0" applyFont="1" applyFill="1" applyBorder="1" applyAlignment="1" applyProtection="1">
      <alignment horizontal="center" vertical="center" wrapText="1"/>
      <protection locked="0"/>
    </xf>
    <xf numFmtId="0" fontId="2" fillId="26" borderId="91" xfId="0" applyFont="1" applyFill="1" applyBorder="1" applyAlignment="1" applyProtection="1">
      <alignment horizontal="center" vertical="top" wrapText="1"/>
      <protection locked="0"/>
    </xf>
    <xf numFmtId="0" fontId="2" fillId="26" borderId="72" xfId="0" applyFont="1" applyFill="1" applyBorder="1" applyAlignment="1" applyProtection="1">
      <alignment horizontal="center" vertical="center" wrapText="1"/>
      <protection locked="0"/>
    </xf>
    <xf numFmtId="0" fontId="2" fillId="26" borderId="35" xfId="0" applyFont="1" applyFill="1" applyBorder="1" applyAlignment="1" applyProtection="1">
      <alignment horizontal="center" vertical="top" wrapText="1"/>
      <protection locked="0"/>
    </xf>
    <xf numFmtId="0" fontId="2" fillId="26" borderId="95" xfId="0" applyFont="1" applyFill="1" applyBorder="1" applyAlignment="1" applyProtection="1">
      <alignment horizontal="center" vertical="center" wrapText="1"/>
      <protection locked="0"/>
    </xf>
    <xf numFmtId="0" fontId="2" fillId="26" borderId="42" xfId="0" applyFont="1" applyFill="1" applyBorder="1" applyAlignment="1" applyProtection="1">
      <alignment horizontal="center" vertical="top" wrapText="1"/>
      <protection locked="0"/>
    </xf>
    <xf numFmtId="1" fontId="37" fillId="20" borderId="56" xfId="0" applyNumberFormat="1" applyFont="1" applyFill="1" applyBorder="1" applyAlignment="1" applyProtection="1">
      <alignment horizontal="center" vertical="center" wrapText="1"/>
    </xf>
    <xf numFmtId="0" fontId="37" fillId="20" borderId="56" xfId="0" applyFont="1" applyFill="1" applyBorder="1" applyAlignment="1" applyProtection="1">
      <alignment horizontal="center" vertical="center" wrapText="1"/>
    </xf>
    <xf numFmtId="0" fontId="15" fillId="20" borderId="1" xfId="0" applyFont="1" applyFill="1" applyBorder="1" applyAlignment="1">
      <alignment horizontal="center"/>
    </xf>
    <xf numFmtId="0" fontId="20" fillId="20" borderId="1" xfId="0" applyFont="1" applyFill="1" applyBorder="1" applyAlignment="1">
      <alignment horizontal="center" wrapText="1"/>
    </xf>
    <xf numFmtId="0" fontId="0" fillId="20" borderId="1" xfId="0" applyFill="1" applyBorder="1"/>
    <xf numFmtId="0" fontId="27" fillId="20" borderId="1" xfId="0" applyFont="1" applyFill="1" applyBorder="1"/>
    <xf numFmtId="42" fontId="0" fillId="13" borderId="1" xfId="0" applyNumberFormat="1" applyFill="1" applyBorder="1"/>
    <xf numFmtId="42" fontId="0" fillId="12" borderId="1" xfId="0" applyNumberFormat="1" applyFill="1" applyBorder="1"/>
    <xf numFmtId="42" fontId="0" fillId="0" borderId="1" xfId="0" applyNumberFormat="1" applyBorder="1"/>
    <xf numFmtId="42" fontId="0" fillId="18" borderId="1" xfId="0" applyNumberFormat="1" applyFill="1" applyBorder="1"/>
    <xf numFmtId="0" fontId="4" fillId="20" borderId="5" xfId="0" applyFont="1" applyFill="1" applyBorder="1"/>
    <xf numFmtId="0" fontId="6" fillId="20" borderId="1" xfId="0" applyFont="1" applyFill="1" applyBorder="1"/>
    <xf numFmtId="0" fontId="6" fillId="20" borderId="7" xfId="0" applyFont="1" applyFill="1" applyBorder="1"/>
    <xf numFmtId="0" fontId="9" fillId="20" borderId="7" xfId="0" applyFont="1" applyFill="1" applyBorder="1" applyAlignment="1">
      <alignment horizontal="center"/>
    </xf>
    <xf numFmtId="0" fontId="6" fillId="20" borderId="14" xfId="0" applyFont="1" applyFill="1" applyBorder="1"/>
    <xf numFmtId="0" fontId="6" fillId="20" borderId="28" xfId="0" applyFont="1" applyFill="1" applyBorder="1"/>
    <xf numFmtId="0" fontId="6" fillId="20" borderId="13" xfId="0" applyFont="1" applyFill="1" applyBorder="1"/>
    <xf numFmtId="0" fontId="6" fillId="20" borderId="19" xfId="0" applyFont="1" applyFill="1" applyBorder="1"/>
    <xf numFmtId="0" fontId="9" fillId="20" borderId="20" xfId="0" applyFont="1" applyFill="1" applyBorder="1" applyAlignment="1">
      <alignment horizontal="center"/>
    </xf>
    <xf numFmtId="0" fontId="6" fillId="20" borderId="22" xfId="0" applyFont="1" applyFill="1" applyBorder="1"/>
    <xf numFmtId="0" fontId="6" fillId="20" borderId="26" xfId="0" applyFont="1" applyFill="1" applyBorder="1"/>
    <xf numFmtId="0" fontId="6" fillId="20" borderId="20" xfId="0" applyFont="1" applyFill="1" applyBorder="1"/>
    <xf numFmtId="0" fontId="6" fillId="20" borderId="0" xfId="0" applyFont="1" applyFill="1" applyBorder="1"/>
    <xf numFmtId="0" fontId="6" fillId="20" borderId="6" xfId="0" applyFont="1" applyFill="1" applyBorder="1"/>
    <xf numFmtId="0" fontId="6" fillId="20" borderId="16" xfId="0" applyFont="1" applyFill="1" applyBorder="1"/>
    <xf numFmtId="0" fontId="6" fillId="20" borderId="17" xfId="0" applyFont="1" applyFill="1" applyBorder="1"/>
    <xf numFmtId="0" fontId="4" fillId="20" borderId="2" xfId="0" applyFont="1" applyFill="1" applyBorder="1" applyAlignment="1">
      <alignment horizontal="center" vertical="center" wrapText="1"/>
    </xf>
    <xf numFmtId="0" fontId="4" fillId="20" borderId="29" xfId="0" applyFont="1" applyFill="1" applyBorder="1" applyAlignment="1">
      <alignment horizontal="center" vertical="center" wrapText="1"/>
    </xf>
    <xf numFmtId="0" fontId="2" fillId="22" borderId="60" xfId="0" applyFont="1" applyFill="1" applyBorder="1" applyAlignment="1" applyProtection="1">
      <alignment horizontal="left" vertical="top" wrapText="1" indent="1"/>
      <protection locked="0"/>
    </xf>
    <xf numFmtId="0" fontId="100" fillId="21" borderId="7" xfId="6" applyFont="1" applyFill="1" applyBorder="1" applyAlignment="1">
      <alignment horizontal="center" vertical="center" wrapText="1"/>
    </xf>
    <xf numFmtId="170" fontId="100" fillId="21" borderId="7" xfId="7" applyNumberFormat="1" applyFont="1" applyFill="1" applyBorder="1" applyAlignment="1">
      <alignment horizontal="center" vertical="center" wrapText="1"/>
    </xf>
    <xf numFmtId="171" fontId="100" fillId="21" borderId="7" xfId="6" applyNumberFormat="1" applyFont="1" applyFill="1" applyBorder="1" applyAlignment="1">
      <alignment horizontal="center" vertical="center" wrapText="1"/>
    </xf>
    <xf numFmtId="38" fontId="2" fillId="17" borderId="58" xfId="3" applyNumberFormat="1" applyFont="1" applyFill="1" applyBorder="1" applyAlignment="1">
      <alignment horizontal="center"/>
    </xf>
    <xf numFmtId="3" fontId="2" fillId="22" borderId="58" xfId="3" applyNumberFormat="1" applyFont="1" applyFill="1" applyBorder="1" applyAlignment="1" applyProtection="1">
      <alignment horizontal="center"/>
      <protection locked="0"/>
    </xf>
    <xf numFmtId="173" fontId="2" fillId="22" borderId="58" xfId="3" applyNumberFormat="1" applyFont="1" applyFill="1" applyBorder="1" applyAlignment="1" applyProtection="1">
      <alignment horizontal="center"/>
      <protection locked="0"/>
    </xf>
    <xf numFmtId="38" fontId="2" fillId="22" borderId="3" xfId="3" applyNumberFormat="1" applyFont="1" applyFill="1" applyBorder="1" applyAlignment="1" applyProtection="1">
      <alignment horizontal="center"/>
      <protection locked="0"/>
    </xf>
    <xf numFmtId="38" fontId="2" fillId="17" borderId="46" xfId="3" applyNumberFormat="1" applyFont="1" applyFill="1" applyBorder="1" applyAlignment="1">
      <alignment horizontal="center"/>
    </xf>
    <xf numFmtId="38" fontId="2" fillId="22" borderId="41" xfId="3" applyNumberFormat="1" applyFont="1" applyFill="1" applyBorder="1" applyAlignment="1" applyProtection="1">
      <alignment horizontal="center"/>
      <protection locked="0"/>
    </xf>
    <xf numFmtId="38" fontId="2" fillId="17" borderId="3" xfId="3" applyNumberFormat="1" applyFont="1" applyFill="1" applyBorder="1" applyAlignment="1">
      <alignment horizontal="center"/>
    </xf>
    <xf numFmtId="44" fontId="4" fillId="17" borderId="3" xfId="3" applyNumberFormat="1" applyFont="1" applyFill="1" applyBorder="1" applyAlignment="1">
      <alignment horizontal="right"/>
    </xf>
    <xf numFmtId="44" fontId="4" fillId="17" borderId="10" xfId="3" applyNumberFormat="1" applyFont="1" applyFill="1" applyBorder="1" applyAlignment="1">
      <alignment horizontal="right"/>
    </xf>
    <xf numFmtId="44" fontId="4" fillId="17" borderId="58" xfId="3" applyNumberFormat="1" applyFont="1" applyFill="1" applyBorder="1" applyAlignment="1">
      <alignment horizontal="right"/>
    </xf>
    <xf numFmtId="44" fontId="4" fillId="17" borderId="56" xfId="8" applyFont="1" applyFill="1" applyBorder="1" applyAlignment="1" applyProtection="1">
      <alignment horizontal="right"/>
    </xf>
    <xf numFmtId="38" fontId="4" fillId="13" borderId="40" xfId="3" applyNumberFormat="1" applyFont="1" applyFill="1" applyBorder="1" applyAlignment="1">
      <alignment horizontal="center"/>
    </xf>
    <xf numFmtId="44" fontId="4" fillId="13" borderId="56" xfId="8" applyFont="1" applyFill="1" applyBorder="1" applyAlignment="1" applyProtection="1">
      <alignment horizontal="right"/>
    </xf>
    <xf numFmtId="164" fontId="4" fillId="13" borderId="40" xfId="3" applyNumberFormat="1" applyFont="1" applyFill="1" applyBorder="1" applyAlignment="1">
      <alignment horizontal="center"/>
    </xf>
    <xf numFmtId="164" fontId="4" fillId="13" borderId="56" xfId="8" applyNumberFormat="1" applyFont="1" applyFill="1" applyBorder="1" applyAlignment="1" applyProtection="1">
      <alignment horizontal="right"/>
    </xf>
    <xf numFmtId="38" fontId="2" fillId="22" borderId="46" xfId="3" applyNumberFormat="1" applyFont="1" applyFill="1" applyBorder="1" applyAlignment="1" applyProtection="1">
      <alignment horizontal="center"/>
      <protection locked="0"/>
    </xf>
    <xf numFmtId="38" fontId="2" fillId="22" borderId="89" xfId="3" applyNumberFormat="1" applyFont="1" applyFill="1" applyBorder="1" applyAlignment="1" applyProtection="1">
      <alignment horizontal="center"/>
      <protection locked="0"/>
    </xf>
    <xf numFmtId="44" fontId="4" fillId="13" borderId="56" xfId="8" applyNumberFormat="1" applyFont="1" applyFill="1" applyBorder="1" applyAlignment="1" applyProtection="1">
      <alignment horizontal="right"/>
    </xf>
    <xf numFmtId="0" fontId="2" fillId="22" borderId="65" xfId="0" quotePrefix="1" applyNumberFormat="1" applyFont="1" applyFill="1" applyBorder="1" applyAlignment="1" applyProtection="1">
      <alignment horizontal="center" vertical="top" wrapText="1"/>
      <protection locked="0"/>
    </xf>
    <xf numFmtId="0" fontId="2" fillId="0" borderId="40" xfId="0" quotePrefix="1" applyNumberFormat="1" applyFont="1" applyFill="1" applyBorder="1" applyAlignment="1" applyProtection="1">
      <alignment horizontal="center" vertical="top" wrapText="1"/>
      <protection locked="0"/>
    </xf>
    <xf numFmtId="42" fontId="2" fillId="13" borderId="1" xfId="0" applyNumberFormat="1" applyFont="1" applyFill="1" applyBorder="1"/>
    <xf numFmtId="42" fontId="2" fillId="13" borderId="56" xfId="0" applyNumberFormat="1" applyFont="1" applyFill="1" applyBorder="1"/>
    <xf numFmtId="0" fontId="4" fillId="0" borderId="27" xfId="0" applyFont="1" applyBorder="1" applyAlignment="1">
      <alignment horizontal="left" vertical="center"/>
    </xf>
    <xf numFmtId="49" fontId="2" fillId="0" borderId="20" xfId="3" applyNumberFormat="1" applyFont="1" applyFill="1" applyBorder="1" applyAlignment="1" applyProtection="1">
      <alignment horizontal="left" vertical="top" wrapText="1"/>
      <protection locked="0"/>
    </xf>
    <xf numFmtId="49" fontId="2" fillId="22" borderId="10" xfId="3" applyNumberFormat="1" applyFont="1" applyFill="1" applyBorder="1" applyAlignment="1" applyProtection="1">
      <alignment horizontal="left" vertical="top" wrapText="1"/>
      <protection locked="0"/>
    </xf>
    <xf numFmtId="49" fontId="2" fillId="22" borderId="58" xfId="3" applyNumberFormat="1" applyFont="1" applyFill="1" applyBorder="1" applyAlignment="1" applyProtection="1">
      <alignment horizontal="left" vertical="top" wrapText="1"/>
      <protection locked="0"/>
    </xf>
    <xf numFmtId="0" fontId="67" fillId="0" borderId="0" xfId="3" applyFont="1"/>
    <xf numFmtId="0" fontId="34" fillId="0" borderId="0" xfId="0" applyFont="1" applyAlignment="1">
      <alignment horizontal="center"/>
    </xf>
    <xf numFmtId="44" fontId="2" fillId="17" borderId="10" xfId="8" applyNumberFormat="1" applyFont="1" applyFill="1" applyBorder="1" applyAlignment="1" applyProtection="1">
      <alignment horizontal="center"/>
    </xf>
    <xf numFmtId="44" fontId="2" fillId="17" borderId="10" xfId="8" applyFont="1" applyFill="1" applyBorder="1" applyAlignment="1" applyProtection="1">
      <alignment horizontal="right"/>
    </xf>
    <xf numFmtId="42" fontId="2" fillId="13" borderId="57" xfId="8" applyNumberFormat="1" applyFont="1" applyFill="1" applyBorder="1" applyAlignment="1" applyProtection="1">
      <alignment horizontal="right"/>
    </xf>
    <xf numFmtId="42" fontId="2" fillId="13" borderId="96" xfId="8" applyNumberFormat="1" applyFont="1" applyFill="1" applyBorder="1" applyAlignment="1" applyProtection="1">
      <alignment horizontal="right"/>
    </xf>
    <xf numFmtId="42" fontId="2" fillId="13" borderId="59" xfId="8" applyNumberFormat="1" applyFont="1" applyFill="1" applyBorder="1" applyAlignment="1" applyProtection="1">
      <alignment horizontal="right"/>
    </xf>
    <xf numFmtId="0" fontId="37" fillId="0" borderId="0" xfId="3" applyFont="1"/>
    <xf numFmtId="0" fontId="34" fillId="0" borderId="0" xfId="3" applyFont="1" applyAlignment="1">
      <alignment horizontal="right"/>
    </xf>
    <xf numFmtId="164" fontId="4" fillId="17" borderId="3" xfId="3" applyNumberFormat="1" applyFont="1" applyFill="1" applyBorder="1" applyAlignment="1">
      <alignment horizontal="right"/>
    </xf>
    <xf numFmtId="164" fontId="94" fillId="17" borderId="65" xfId="3" applyNumberFormat="1" applyFont="1" applyFill="1" applyBorder="1" applyAlignment="1">
      <alignment horizontal="right"/>
    </xf>
    <xf numFmtId="44" fontId="4" fillId="17" borderId="65" xfId="3" applyNumberFormat="1" applyFont="1" applyFill="1" applyBorder="1" applyAlignment="1">
      <alignment horizontal="right"/>
    </xf>
    <xf numFmtId="44" fontId="2" fillId="17" borderId="65" xfId="8" applyFont="1" applyFill="1" applyBorder="1" applyAlignment="1" applyProtection="1">
      <alignment horizontal="right"/>
    </xf>
    <xf numFmtId="0" fontId="2" fillId="0" borderId="45" xfId="0" applyFont="1" applyBorder="1" applyAlignment="1">
      <alignment horizontal="right"/>
    </xf>
    <xf numFmtId="177" fontId="4" fillId="13" borderId="40" xfId="3" applyNumberFormat="1" applyFont="1" applyFill="1" applyBorder="1" applyAlignment="1">
      <alignment horizontal="center"/>
    </xf>
    <xf numFmtId="164" fontId="2" fillId="22" borderId="41" xfId="3" applyNumberFormat="1" applyFont="1" applyFill="1" applyBorder="1" applyAlignment="1" applyProtection="1">
      <alignment horizontal="right"/>
      <protection locked="0"/>
    </xf>
    <xf numFmtId="164" fontId="2" fillId="22" borderId="46" xfId="3" applyNumberFormat="1" applyFont="1" applyFill="1" applyBorder="1" applyAlignment="1" applyProtection="1">
      <alignment horizontal="right"/>
      <protection locked="0"/>
    </xf>
    <xf numFmtId="164" fontId="2" fillId="22" borderId="89" xfId="3" applyNumberFormat="1" applyFont="1" applyFill="1" applyBorder="1" applyAlignment="1" applyProtection="1">
      <alignment horizontal="right"/>
      <protection locked="0"/>
    </xf>
    <xf numFmtId="164" fontId="4" fillId="13" borderId="40" xfId="3" applyNumberFormat="1" applyFont="1" applyFill="1" applyBorder="1" applyAlignment="1">
      <alignment horizontal="right"/>
    </xf>
    <xf numFmtId="172" fontId="4" fillId="13" borderId="40" xfId="3" applyNumberFormat="1" applyFont="1" applyFill="1" applyBorder="1" applyAlignment="1">
      <alignment horizontal="right"/>
    </xf>
    <xf numFmtId="172" fontId="2" fillId="22" borderId="3" xfId="3" applyNumberFormat="1" applyFont="1" applyFill="1" applyBorder="1" applyAlignment="1" applyProtection="1">
      <alignment horizontal="right"/>
      <protection locked="0"/>
    </xf>
    <xf numFmtId="172" fontId="2" fillId="22" borderId="46" xfId="3" applyNumberFormat="1" applyFont="1" applyFill="1" applyBorder="1" applyAlignment="1" applyProtection="1">
      <alignment horizontal="right"/>
      <protection locked="0"/>
    </xf>
    <xf numFmtId="172" fontId="2" fillId="22" borderId="58" xfId="3" applyNumberFormat="1" applyFont="1" applyFill="1" applyBorder="1" applyAlignment="1" applyProtection="1">
      <alignment horizontal="right"/>
      <protection locked="0"/>
    </xf>
    <xf numFmtId="177" fontId="4" fillId="13" borderId="40" xfId="3" applyNumberFormat="1" applyFont="1" applyFill="1" applyBorder="1" applyAlignment="1">
      <alignment horizontal="right"/>
    </xf>
    <xf numFmtId="164" fontId="2" fillId="22" borderId="3" xfId="3" applyNumberFormat="1" applyFont="1" applyFill="1" applyBorder="1" applyAlignment="1" applyProtection="1">
      <alignment horizontal="right"/>
      <protection locked="0"/>
    </xf>
    <xf numFmtId="164" fontId="2" fillId="22" borderId="33" xfId="8" applyNumberFormat="1" applyFont="1" applyFill="1" applyBorder="1" applyAlignment="1" applyProtection="1">
      <alignment horizontal="right"/>
    </xf>
    <xf numFmtId="164" fontId="2" fillId="22" borderId="58" xfId="3" applyNumberFormat="1" applyFont="1" applyFill="1" applyBorder="1" applyAlignment="1" applyProtection="1">
      <alignment horizontal="right"/>
      <protection locked="0"/>
    </xf>
    <xf numFmtId="164" fontId="2" fillId="22" borderId="42" xfId="8" applyNumberFormat="1" applyFont="1" applyFill="1" applyBorder="1" applyAlignment="1" applyProtection="1">
      <alignment horizontal="right"/>
    </xf>
    <xf numFmtId="164" fontId="4" fillId="5" borderId="75" xfId="3" quotePrefix="1" applyNumberFormat="1" applyFont="1" applyFill="1" applyBorder="1" applyAlignment="1">
      <alignment horizontal="center" vertical="center" wrapText="1"/>
    </xf>
    <xf numFmtId="164" fontId="4" fillId="5" borderId="32" xfId="3" quotePrefix="1" applyNumberFormat="1" applyFont="1" applyFill="1" applyBorder="1" applyAlignment="1">
      <alignment horizontal="center" vertical="center" wrapText="1"/>
    </xf>
    <xf numFmtId="0" fontId="44" fillId="0" borderId="0" xfId="0" applyFont="1" applyAlignment="1">
      <alignment horizontal="center"/>
    </xf>
    <xf numFmtId="0" fontId="4" fillId="0" borderId="0" xfId="0" applyFont="1" applyBorder="1"/>
    <xf numFmtId="1" fontId="2" fillId="22" borderId="10" xfId="0" applyNumberFormat="1" applyFont="1" applyFill="1" applyBorder="1" applyAlignment="1" applyProtection="1">
      <alignment horizontal="center" vertical="top" wrapText="1"/>
      <protection locked="0"/>
    </xf>
    <xf numFmtId="1" fontId="2" fillId="22" borderId="1" xfId="0" applyNumberFormat="1" applyFont="1" applyFill="1" applyBorder="1" applyAlignment="1" applyProtection="1">
      <alignment horizontal="center" vertical="top" wrapText="1"/>
      <protection locked="0"/>
    </xf>
    <xf numFmtId="1" fontId="2" fillId="22" borderId="1" xfId="0" applyNumberFormat="1" applyFont="1" applyFill="1" applyBorder="1" applyAlignment="1" applyProtection="1">
      <alignment horizontal="center" vertical="top"/>
      <protection locked="0"/>
    </xf>
    <xf numFmtId="1" fontId="2" fillId="22" borderId="65" xfId="0" applyNumberFormat="1" applyFont="1" applyFill="1" applyBorder="1" applyAlignment="1" applyProtection="1">
      <alignment horizontal="center" vertical="top" wrapText="1"/>
      <protection locked="0"/>
    </xf>
    <xf numFmtId="164" fontId="2" fillId="22" borderId="10" xfId="0" applyNumberFormat="1" applyFont="1" applyFill="1" applyBorder="1" applyAlignment="1" applyProtection="1">
      <alignment horizontal="right" vertical="top" wrapText="1" indent="1"/>
      <protection locked="0"/>
    </xf>
    <xf numFmtId="164" fontId="2" fillId="22" borderId="65" xfId="0" applyNumberFormat="1" applyFont="1" applyFill="1" applyBorder="1" applyAlignment="1" applyProtection="1">
      <alignment horizontal="right" vertical="top" wrapText="1" indent="1"/>
      <protection locked="0"/>
    </xf>
    <xf numFmtId="0" fontId="62" fillId="48" borderId="0" xfId="0" applyFont="1" applyFill="1" applyAlignment="1">
      <alignment horizontal="center"/>
    </xf>
    <xf numFmtId="0" fontId="2" fillId="22" borderId="6" xfId="0" applyFont="1" applyFill="1" applyBorder="1" applyAlignment="1" applyProtection="1">
      <alignment horizontal="center" vertical="top" wrapText="1"/>
      <protection locked="0"/>
    </xf>
    <xf numFmtId="0" fontId="2" fillId="22" borderId="60" xfId="0" applyFont="1" applyFill="1" applyBorder="1" applyAlignment="1" applyProtection="1">
      <alignment horizontal="center" vertical="top" wrapText="1"/>
      <protection locked="0"/>
    </xf>
    <xf numFmtId="0" fontId="2" fillId="0" borderId="0" xfId="0" applyFont="1" applyFill="1" applyAlignment="1">
      <alignment horizontal="center"/>
    </xf>
    <xf numFmtId="0" fontId="4" fillId="0" borderId="0" xfId="0" applyFont="1" applyAlignment="1">
      <alignment horizontal="center" vertical="top"/>
    </xf>
    <xf numFmtId="0" fontId="4" fillId="0" borderId="0" xfId="0" applyFont="1" applyAlignment="1">
      <alignment horizontal="center" vertical="top" wrapText="1"/>
    </xf>
    <xf numFmtId="0" fontId="2" fillId="0" borderId="0" xfId="0" applyFont="1" applyAlignment="1">
      <alignment horizontal="center" wrapText="1"/>
    </xf>
    <xf numFmtId="0" fontId="2" fillId="20" borderId="0" xfId="0" applyFont="1" applyFill="1"/>
    <xf numFmtId="164" fontId="2" fillId="26" borderId="20" xfId="0" applyNumberFormat="1" applyFont="1" applyFill="1" applyBorder="1" applyAlignment="1" applyProtection="1">
      <alignment horizontal="right" vertical="top" wrapText="1" indent="1"/>
    </xf>
    <xf numFmtId="164" fontId="2" fillId="13" borderId="1" xfId="0" applyNumberFormat="1" applyFont="1" applyFill="1" applyBorder="1" applyAlignment="1">
      <alignment horizontal="right" vertical="top"/>
    </xf>
    <xf numFmtId="164" fontId="2" fillId="13" borderId="10" xfId="0" applyNumberFormat="1" applyFont="1" applyFill="1" applyBorder="1" applyAlignment="1">
      <alignment horizontal="right" vertical="top"/>
    </xf>
    <xf numFmtId="0" fontId="2" fillId="22" borderId="10" xfId="0" applyFont="1" applyFill="1" applyBorder="1"/>
    <xf numFmtId="1" fontId="2" fillId="0" borderId="20" xfId="0" quotePrefix="1" applyNumberFormat="1" applyFont="1" applyFill="1" applyBorder="1" applyAlignment="1" applyProtection="1">
      <alignment horizontal="center" vertical="top" wrapText="1"/>
      <protection locked="0"/>
    </xf>
    <xf numFmtId="164" fontId="2" fillId="13" borderId="20" xfId="0" applyNumberFormat="1" applyFont="1" applyFill="1" applyBorder="1" applyAlignment="1">
      <alignment horizontal="right" vertical="top"/>
    </xf>
    <xf numFmtId="1" fontId="2" fillId="0" borderId="20" xfId="0" quotePrefix="1" applyNumberFormat="1" applyFont="1" applyFill="1" applyBorder="1" applyAlignment="1" applyProtection="1">
      <alignment horizontal="right" vertical="top" wrapText="1" indent="1"/>
      <protection locked="0"/>
    </xf>
    <xf numFmtId="173" fontId="2" fillId="13" borderId="20" xfId="0" applyNumberFormat="1" applyFont="1" applyFill="1" applyBorder="1" applyAlignment="1">
      <alignment horizontal="right" vertical="top"/>
    </xf>
    <xf numFmtId="173" fontId="2" fillId="13" borderId="10" xfId="0" applyNumberFormat="1" applyFont="1" applyFill="1" applyBorder="1" applyAlignment="1">
      <alignment horizontal="right" vertical="top"/>
    </xf>
    <xf numFmtId="173" fontId="2" fillId="13" borderId="1" xfId="0" applyNumberFormat="1" applyFont="1" applyFill="1" applyBorder="1" applyAlignment="1">
      <alignment horizontal="right" vertical="top"/>
    </xf>
    <xf numFmtId="173" fontId="2" fillId="13" borderId="19" xfId="16" applyNumberFormat="1" applyFont="1" applyFill="1" applyBorder="1" applyAlignment="1" applyProtection="1">
      <alignment horizontal="right" vertical="top" wrapText="1" indent="1"/>
    </xf>
    <xf numFmtId="173" fontId="2" fillId="22" borderId="10" xfId="16" applyNumberFormat="1" applyFont="1" applyFill="1" applyBorder="1" applyAlignment="1" applyProtection="1">
      <alignment horizontal="right" vertical="top" wrapText="1" indent="1"/>
    </xf>
    <xf numFmtId="173" fontId="2" fillId="22" borderId="1" xfId="16" applyNumberFormat="1" applyFont="1" applyFill="1" applyBorder="1" applyAlignment="1" applyProtection="1">
      <alignment horizontal="right" vertical="top" wrapText="1" indent="1"/>
    </xf>
    <xf numFmtId="173" fontId="2" fillId="22" borderId="65" xfId="16" applyNumberFormat="1" applyFont="1" applyFill="1" applyBorder="1" applyAlignment="1" applyProtection="1">
      <alignment horizontal="right" vertical="top" wrapText="1" indent="1"/>
    </xf>
    <xf numFmtId="173" fontId="4" fillId="13" borderId="19" xfId="16" applyNumberFormat="1" applyFont="1" applyFill="1" applyBorder="1" applyAlignment="1" applyProtection="1">
      <alignment horizontal="right" vertical="top" wrapText="1" indent="1"/>
    </xf>
    <xf numFmtId="173" fontId="4" fillId="13" borderId="56" xfId="0" applyNumberFormat="1" applyFont="1" applyFill="1" applyBorder="1"/>
    <xf numFmtId="164" fontId="4" fillId="13" borderId="20" xfId="0" applyNumberFormat="1" applyFont="1" applyFill="1" applyBorder="1" applyAlignment="1">
      <alignment horizontal="right" vertical="top"/>
    </xf>
    <xf numFmtId="164" fontId="2" fillId="13" borderId="1" xfId="0" applyNumberFormat="1" applyFont="1" applyFill="1" applyBorder="1"/>
    <xf numFmtId="164" fontId="2" fillId="13" borderId="22" xfId="0" applyNumberFormat="1" applyFont="1" applyFill="1" applyBorder="1"/>
    <xf numFmtId="164" fontId="2" fillId="22" borderId="10" xfId="16" applyNumberFormat="1" applyFont="1" applyFill="1" applyBorder="1" applyAlignment="1" applyProtection="1">
      <alignment horizontal="right" vertical="top" wrapText="1" indent="1"/>
    </xf>
    <xf numFmtId="175" fontId="2" fillId="22" borderId="1" xfId="0" applyNumberFormat="1" applyFont="1" applyFill="1" applyBorder="1"/>
    <xf numFmtId="0" fontId="4" fillId="0" borderId="0" xfId="0" applyNumberFormat="1" applyFont="1"/>
    <xf numFmtId="0" fontId="68" fillId="0" borderId="89" xfId="0" applyFont="1" applyBorder="1" applyAlignment="1">
      <alignment vertical="top" wrapText="1"/>
    </xf>
    <xf numFmtId="0" fontId="68" fillId="0" borderId="47" xfId="0" applyFont="1" applyBorder="1" applyAlignment="1">
      <alignment horizontal="right" vertical="top"/>
    </xf>
    <xf numFmtId="49" fontId="37" fillId="26" borderId="0" xfId="0" applyNumberFormat="1" applyFont="1" applyFill="1" applyAlignment="1">
      <alignment horizontal="left" vertical="top"/>
    </xf>
    <xf numFmtId="49" fontId="34" fillId="26" borderId="0" xfId="0" applyNumberFormat="1" applyFont="1" applyFill="1" applyAlignment="1">
      <alignment horizontal="left" vertical="top" wrapText="1"/>
    </xf>
    <xf numFmtId="0" fontId="37" fillId="13" borderId="62" xfId="0" applyFont="1" applyFill="1" applyBorder="1" applyAlignment="1">
      <alignment horizontal="center"/>
    </xf>
    <xf numFmtId="0" fontId="22" fillId="10" borderId="0" xfId="0" applyFont="1" applyFill="1" applyBorder="1" applyAlignment="1">
      <alignment vertical="top"/>
    </xf>
    <xf numFmtId="0" fontId="22" fillId="10" borderId="43" xfId="0" applyFont="1" applyFill="1" applyBorder="1" applyAlignment="1">
      <alignment horizontal="left" vertical="top" indent="1"/>
    </xf>
    <xf numFmtId="0" fontId="22" fillId="10" borderId="10" xfId="0" applyFont="1" applyFill="1" applyBorder="1" applyAlignment="1">
      <alignment vertical="top"/>
    </xf>
    <xf numFmtId="0" fontId="32" fillId="0" borderId="0" xfId="0" applyFont="1" applyAlignment="1">
      <alignment horizontal="right" vertical="top"/>
    </xf>
    <xf numFmtId="49" fontId="37" fillId="0" borderId="0" xfId="0" applyNumberFormat="1" applyFont="1" applyAlignment="1">
      <alignment horizontal="left" vertical="top"/>
    </xf>
    <xf numFmtId="49" fontId="34" fillId="0" borderId="0" xfId="0" applyNumberFormat="1" applyFont="1" applyAlignment="1">
      <alignment horizontal="left" vertical="top" wrapText="1"/>
    </xf>
    <xf numFmtId="0" fontId="75" fillId="12" borderId="38" xfId="0" applyFont="1" applyFill="1" applyBorder="1" applyAlignment="1">
      <alignment horizontal="left" vertical="top"/>
    </xf>
    <xf numFmtId="0" fontId="2" fillId="12" borderId="38" xfId="0" applyFont="1" applyFill="1" applyBorder="1" applyAlignment="1">
      <alignment vertical="top"/>
    </xf>
    <xf numFmtId="0" fontId="26" fillId="0" borderId="38" xfId="0" applyFont="1" applyFill="1" applyBorder="1" applyAlignment="1">
      <alignment vertical="top"/>
    </xf>
    <xf numFmtId="0" fontId="2" fillId="0" borderId="38" xfId="0" applyFont="1" applyFill="1" applyBorder="1" applyAlignment="1">
      <alignment vertical="top"/>
    </xf>
    <xf numFmtId="0" fontId="37" fillId="0" borderId="0" xfId="0" applyFont="1" applyFill="1" applyAlignment="1">
      <alignment vertical="top"/>
    </xf>
    <xf numFmtId="0" fontId="2" fillId="0" borderId="0" xfId="0" applyFont="1" applyFill="1" applyAlignment="1">
      <alignment vertical="top"/>
    </xf>
    <xf numFmtId="49" fontId="36" fillId="0" borderId="0" xfId="0" applyNumberFormat="1" applyFont="1" applyAlignment="1">
      <alignment horizontal="left" vertical="top" wrapText="1"/>
    </xf>
    <xf numFmtId="0" fontId="26" fillId="0" borderId="38" xfId="0" applyFont="1" applyBorder="1" applyAlignment="1">
      <alignment vertical="top"/>
    </xf>
    <xf numFmtId="0" fontId="2" fillId="0" borderId="38" xfId="0" applyFont="1" applyBorder="1" applyAlignment="1">
      <alignment vertical="top"/>
    </xf>
    <xf numFmtId="0" fontId="75" fillId="8" borderId="75" xfId="6" applyFont="1" applyFill="1" applyBorder="1" applyAlignment="1">
      <alignment horizontal="center" vertical="center" wrapText="1"/>
    </xf>
    <xf numFmtId="0" fontId="101" fillId="21" borderId="39" xfId="6" applyFont="1" applyFill="1" applyBorder="1" applyAlignment="1">
      <alignment horizontal="center" vertical="center"/>
    </xf>
    <xf numFmtId="0" fontId="101" fillId="21" borderId="55" xfId="6" applyFont="1" applyFill="1" applyBorder="1" applyAlignment="1">
      <alignment horizontal="right" vertical="center" indent="2"/>
    </xf>
    <xf numFmtId="166" fontId="26" fillId="39" borderId="43" xfId="7" applyNumberFormat="1" applyFont="1" applyFill="1" applyBorder="1" applyAlignment="1">
      <alignment horizontal="right" vertical="center" wrapText="1" indent="1"/>
    </xf>
    <xf numFmtId="166" fontId="26" fillId="13" borderId="3" xfId="7" applyNumberFormat="1" applyFont="1" applyFill="1" applyBorder="1" applyAlignment="1">
      <alignment horizontal="right" vertical="center" wrapText="1" indent="1"/>
    </xf>
    <xf numFmtId="170" fontId="101" fillId="39" borderId="3" xfId="7" applyNumberFormat="1" applyFont="1" applyFill="1" applyBorder="1" applyAlignment="1">
      <alignment horizontal="center" vertical="center" wrapText="1"/>
    </xf>
    <xf numFmtId="170" fontId="101" fillId="21" borderId="25" xfId="7" applyNumberFormat="1" applyFont="1" applyFill="1" applyBorder="1" applyAlignment="1">
      <alignment horizontal="center" vertical="center" wrapText="1"/>
    </xf>
    <xf numFmtId="0" fontId="102" fillId="21" borderId="55" xfId="6" applyFont="1" applyFill="1" applyBorder="1" applyAlignment="1">
      <alignment horizontal="center" vertical="center" wrapText="1"/>
    </xf>
    <xf numFmtId="0" fontId="102" fillId="21" borderId="54" xfId="6" applyFont="1" applyFill="1" applyBorder="1" applyAlignment="1">
      <alignment horizontal="center" vertical="center" wrapText="1"/>
    </xf>
    <xf numFmtId="0" fontId="63" fillId="0" borderId="0" xfId="6" applyFont="1" applyFill="1" applyBorder="1" applyAlignment="1">
      <alignment vertical="center" wrapText="1"/>
    </xf>
    <xf numFmtId="0" fontId="63" fillId="0" borderId="0" xfId="6" applyFont="1" applyBorder="1" applyAlignment="1">
      <alignment vertical="center" wrapText="1"/>
    </xf>
    <xf numFmtId="0" fontId="75" fillId="19" borderId="75" xfId="6" applyFont="1" applyFill="1" applyBorder="1" applyAlignment="1">
      <alignment horizontal="center" vertical="center" wrapText="1"/>
    </xf>
    <xf numFmtId="0" fontId="101" fillId="21" borderId="0" xfId="6" applyFont="1" applyFill="1" applyBorder="1" applyAlignment="1">
      <alignment horizontal="center" vertical="center"/>
    </xf>
    <xf numFmtId="0" fontId="101" fillId="21" borderId="0" xfId="6" applyFont="1" applyFill="1" applyBorder="1" applyAlignment="1">
      <alignment horizontal="right" vertical="center" indent="2"/>
    </xf>
    <xf numFmtId="166" fontId="26" fillId="13" borderId="43" xfId="7" applyNumberFormat="1" applyFont="1" applyFill="1" applyBorder="1" applyAlignment="1">
      <alignment horizontal="right" vertical="center" wrapText="1" indent="1"/>
    </xf>
    <xf numFmtId="170" fontId="101" fillId="21" borderId="43" xfId="7" applyNumberFormat="1" applyFont="1" applyFill="1" applyBorder="1" applyAlignment="1">
      <alignment horizontal="center" vertical="center" wrapText="1"/>
    </xf>
    <xf numFmtId="170" fontId="101" fillId="21" borderId="72" xfId="7" applyNumberFormat="1" applyFont="1" applyFill="1" applyBorder="1" applyAlignment="1">
      <alignment horizontal="center" vertical="center" wrapText="1"/>
    </xf>
    <xf numFmtId="0" fontId="102" fillId="21" borderId="0" xfId="6" applyFont="1" applyFill="1" applyBorder="1" applyAlignment="1">
      <alignment horizontal="center" vertical="center" wrapText="1"/>
    </xf>
    <xf numFmtId="0" fontId="102" fillId="21" borderId="61" xfId="6" applyFont="1" applyFill="1" applyBorder="1" applyAlignment="1">
      <alignment horizontal="center" vertical="center" wrapText="1"/>
    </xf>
    <xf numFmtId="0" fontId="75" fillId="36" borderId="75" xfId="6" applyFont="1" applyFill="1" applyBorder="1" applyAlignment="1">
      <alignment horizontal="center" vertical="center" wrapText="1"/>
    </xf>
    <xf numFmtId="166" fontId="26" fillId="39" borderId="43" xfId="7" applyNumberFormat="1" applyFont="1" applyFill="1" applyBorder="1" applyAlignment="1">
      <alignment horizontal="right" vertical="center" wrapText="1"/>
    </xf>
    <xf numFmtId="166" fontId="26" fillId="13" borderId="43" xfId="7" applyNumberFormat="1" applyFont="1" applyFill="1" applyBorder="1" applyAlignment="1">
      <alignment horizontal="right" vertical="center" wrapText="1"/>
    </xf>
    <xf numFmtId="170" fontId="101" fillId="21" borderId="7" xfId="7" applyNumberFormat="1" applyFont="1" applyFill="1" applyBorder="1" applyAlignment="1">
      <alignment horizontal="center" vertical="center" wrapText="1"/>
    </xf>
    <xf numFmtId="170" fontId="101" fillId="21" borderId="14" xfId="7" applyNumberFormat="1" applyFont="1" applyFill="1" applyBorder="1" applyAlignment="1">
      <alignment horizontal="center" vertical="center" wrapText="1"/>
    </xf>
    <xf numFmtId="0" fontId="46" fillId="0" borderId="0" xfId="6" applyFont="1" applyFill="1" applyBorder="1" applyAlignment="1">
      <alignment vertical="center" wrapText="1"/>
    </xf>
    <xf numFmtId="0" fontId="79" fillId="8" borderId="76" xfId="6" applyFont="1" applyFill="1" applyBorder="1" applyAlignment="1">
      <alignment horizontal="right" vertical="center" wrapText="1" indent="1"/>
    </xf>
    <xf numFmtId="0" fontId="53" fillId="0" borderId="64" xfId="6" applyFont="1" applyFill="1" applyBorder="1" applyAlignment="1">
      <alignment horizontal="center" vertical="center" wrapText="1"/>
    </xf>
    <xf numFmtId="166" fontId="53" fillId="13" borderId="65" xfId="7" applyNumberFormat="1" applyFont="1" applyFill="1" applyBorder="1" applyAlignment="1">
      <alignment horizontal="right" vertical="center" wrapText="1" indent="1"/>
    </xf>
    <xf numFmtId="0" fontId="25" fillId="8" borderId="76" xfId="6" applyFont="1" applyFill="1" applyBorder="1" applyAlignment="1">
      <alignment horizontal="right" vertical="center" wrapText="1" indent="1"/>
    </xf>
    <xf numFmtId="0" fontId="53" fillId="28" borderId="46" xfId="6" applyFont="1" applyFill="1" applyBorder="1" applyAlignment="1">
      <alignment horizontal="center" vertical="center" wrapText="1"/>
    </xf>
    <xf numFmtId="0" fontId="53" fillId="28" borderId="29" xfId="6" applyFont="1" applyFill="1" applyBorder="1" applyAlignment="1">
      <alignment horizontal="center" vertical="center" wrapText="1"/>
    </xf>
    <xf numFmtId="2" fontId="53" fillId="28" borderId="47" xfId="6" applyNumberFormat="1" applyFont="1" applyFill="1" applyBorder="1" applyAlignment="1">
      <alignment horizontal="center" vertical="center" wrapText="1"/>
    </xf>
    <xf numFmtId="0" fontId="55" fillId="8" borderId="76" xfId="6" applyFont="1" applyFill="1" applyBorder="1" applyAlignment="1">
      <alignment horizontal="left" vertical="center"/>
    </xf>
    <xf numFmtId="0" fontId="103" fillId="8" borderId="28" xfId="6" applyFont="1" applyFill="1" applyBorder="1" applyAlignment="1">
      <alignment horizontal="center" vertical="center" wrapText="1"/>
    </xf>
    <xf numFmtId="0" fontId="25" fillId="8" borderId="28" xfId="6" applyFont="1" applyFill="1" applyBorder="1" applyAlignment="1">
      <alignment horizontal="left" vertical="center"/>
    </xf>
    <xf numFmtId="0" fontId="25" fillId="8" borderId="29" xfId="6" applyFont="1" applyFill="1" applyBorder="1" applyAlignment="1">
      <alignment horizontal="left" vertical="center"/>
    </xf>
    <xf numFmtId="0" fontId="53" fillId="0" borderId="19" xfId="6" applyFont="1" applyFill="1" applyBorder="1" applyAlignment="1">
      <alignment horizontal="center" vertical="center" wrapText="1"/>
    </xf>
    <xf numFmtId="0" fontId="79" fillId="28" borderId="29" xfId="6" applyFont="1" applyFill="1" applyBorder="1" applyAlignment="1">
      <alignment horizontal="center" vertical="center" wrapText="1"/>
    </xf>
    <xf numFmtId="0" fontId="53" fillId="29" borderId="29" xfId="6" applyFont="1" applyFill="1" applyBorder="1" applyAlignment="1">
      <alignment horizontal="center" vertical="center" wrapText="1"/>
    </xf>
    <xf numFmtId="2" fontId="53" fillId="29" borderId="29" xfId="6" applyNumberFormat="1" applyFont="1" applyFill="1" applyBorder="1" applyAlignment="1">
      <alignment horizontal="center" vertical="center" wrapText="1"/>
    </xf>
    <xf numFmtId="0" fontId="55" fillId="8" borderId="77" xfId="6" applyFont="1" applyFill="1" applyBorder="1" applyAlignment="1">
      <alignment horizontal="left" vertical="center"/>
    </xf>
    <xf numFmtId="0" fontId="79" fillId="37" borderId="76" xfId="6" applyFont="1" applyFill="1" applyBorder="1" applyAlignment="1">
      <alignment horizontal="right" vertical="center" wrapText="1" indent="1"/>
    </xf>
    <xf numFmtId="0" fontId="104" fillId="19" borderId="76" xfId="6" applyFont="1" applyFill="1" applyBorder="1" applyAlignment="1">
      <alignment horizontal="right" vertical="center" wrapText="1" indent="1"/>
    </xf>
    <xf numFmtId="0" fontId="53" fillId="29" borderId="46" xfId="6" applyFont="1" applyFill="1" applyBorder="1" applyAlignment="1">
      <alignment horizontal="center" vertical="center" wrapText="1"/>
    </xf>
    <xf numFmtId="0" fontId="25" fillId="29" borderId="46" xfId="6" applyFont="1" applyFill="1" applyBorder="1" applyAlignment="1">
      <alignment horizontal="center" vertical="center" wrapText="1"/>
    </xf>
    <xf numFmtId="0" fontId="79" fillId="29" borderId="46" xfId="6" applyFont="1" applyFill="1" applyBorder="1" applyAlignment="1">
      <alignment horizontal="center" vertical="center" wrapText="1"/>
    </xf>
    <xf numFmtId="0" fontId="53" fillId="30" borderId="46" xfId="6" applyFont="1" applyFill="1" applyBorder="1" applyAlignment="1">
      <alignment horizontal="center" vertical="center" wrapText="1"/>
    </xf>
    <xf numFmtId="0" fontId="55" fillId="37" borderId="76" xfId="6" applyFont="1" applyFill="1" applyBorder="1" applyAlignment="1">
      <alignment horizontal="left" vertical="center"/>
    </xf>
    <xf numFmtId="0" fontId="103" fillId="37" borderId="28" xfId="6" applyFont="1" applyFill="1" applyBorder="1" applyAlignment="1">
      <alignment horizontal="center" vertical="center" wrapText="1"/>
    </xf>
    <xf numFmtId="0" fontId="25" fillId="37" borderId="28" xfId="6" applyFont="1" applyFill="1" applyBorder="1" applyAlignment="1">
      <alignment horizontal="left" vertical="center"/>
    </xf>
    <xf numFmtId="0" fontId="25" fillId="37" borderId="29" xfId="6" applyFont="1" applyFill="1" applyBorder="1" applyAlignment="1">
      <alignment horizontal="left" vertical="center"/>
    </xf>
    <xf numFmtId="0" fontId="53" fillId="30" borderId="29" xfId="6" applyFont="1" applyFill="1" applyBorder="1" applyAlignment="1">
      <alignment horizontal="center" vertical="center" wrapText="1"/>
    </xf>
    <xf numFmtId="0" fontId="79" fillId="30" borderId="29" xfId="6" applyFont="1" applyFill="1" applyBorder="1" applyAlignment="1">
      <alignment horizontal="center" vertical="center" wrapText="1"/>
    </xf>
    <xf numFmtId="0" fontId="53" fillId="33" borderId="29" xfId="6" applyFont="1" applyFill="1" applyBorder="1" applyAlignment="1">
      <alignment horizontal="center" vertical="center" wrapText="1"/>
    </xf>
    <xf numFmtId="2" fontId="53" fillId="33" borderId="29" xfId="6" applyNumberFormat="1" applyFont="1" applyFill="1" applyBorder="1" applyAlignment="1">
      <alignment horizontal="center" vertical="center" wrapText="1"/>
    </xf>
    <xf numFmtId="0" fontId="55" fillId="37" borderId="77" xfId="6" applyFont="1" applyFill="1" applyBorder="1" applyAlignment="1">
      <alignment horizontal="left" vertical="center"/>
    </xf>
    <xf numFmtId="0" fontId="79" fillId="36" borderId="76" xfId="6" applyFont="1" applyFill="1" applyBorder="1" applyAlignment="1">
      <alignment horizontal="right" vertical="center" wrapText="1" indent="1"/>
    </xf>
    <xf numFmtId="0" fontId="25" fillId="36" borderId="76" xfId="6" applyFont="1" applyFill="1" applyBorder="1" applyAlignment="1">
      <alignment horizontal="right" vertical="center" wrapText="1" indent="1"/>
    </xf>
    <xf numFmtId="0" fontId="53" fillId="33" borderId="46" xfId="6" applyFont="1" applyFill="1" applyBorder="1" applyAlignment="1">
      <alignment horizontal="center" vertical="center" wrapText="1"/>
    </xf>
    <xf numFmtId="0" fontId="104" fillId="36" borderId="76" xfId="6" applyFont="1" applyFill="1" applyBorder="1" applyAlignment="1">
      <alignment horizontal="right" vertical="center" wrapText="1" indent="1"/>
    </xf>
    <xf numFmtId="0" fontId="79" fillId="33" borderId="29" xfId="6" applyFont="1" applyFill="1" applyBorder="1" applyAlignment="1">
      <alignment horizontal="center" vertical="center" wrapText="1"/>
    </xf>
    <xf numFmtId="0" fontId="53" fillId="34" borderId="29" xfId="6" applyFont="1" applyFill="1" applyBorder="1" applyAlignment="1">
      <alignment horizontal="center" vertical="center" wrapText="1"/>
    </xf>
    <xf numFmtId="2" fontId="53" fillId="34" borderId="29" xfId="6" applyNumberFormat="1" applyFont="1" applyFill="1" applyBorder="1" applyAlignment="1">
      <alignment horizontal="center" vertical="center" wrapText="1"/>
    </xf>
    <xf numFmtId="0" fontId="55" fillId="36" borderId="76" xfId="6" applyFont="1" applyFill="1" applyBorder="1" applyAlignment="1">
      <alignment horizontal="left" vertical="center"/>
    </xf>
    <xf numFmtId="0" fontId="103" fillId="36" borderId="28" xfId="6" applyFont="1" applyFill="1" applyBorder="1" applyAlignment="1">
      <alignment horizontal="center" vertical="center" wrapText="1"/>
    </xf>
    <xf numFmtId="0" fontId="25" fillId="36" borderId="28" xfId="6" applyFont="1" applyFill="1" applyBorder="1" applyAlignment="1">
      <alignment horizontal="left" vertical="center"/>
    </xf>
    <xf numFmtId="0" fontId="25" fillId="36" borderId="29" xfId="6" applyFont="1" applyFill="1" applyBorder="1" applyAlignment="1">
      <alignment horizontal="left" vertical="center"/>
    </xf>
    <xf numFmtId="0" fontId="104" fillId="36" borderId="76" xfId="6" applyFont="1" applyFill="1" applyBorder="1" applyAlignment="1">
      <alignment horizontal="center" vertical="center" wrapText="1"/>
    </xf>
    <xf numFmtId="0" fontId="103" fillId="23" borderId="26" xfId="6" applyFont="1" applyFill="1" applyBorder="1" applyAlignment="1">
      <alignment horizontal="center" vertical="center" wrapText="1"/>
    </xf>
    <xf numFmtId="0" fontId="25" fillId="23" borderId="26" xfId="6" applyFont="1" applyFill="1" applyBorder="1" applyAlignment="1">
      <alignment horizontal="left" vertical="center"/>
    </xf>
    <xf numFmtId="0" fontId="25" fillId="23" borderId="47" xfId="6" applyFont="1" applyFill="1" applyBorder="1" applyAlignment="1">
      <alignment horizontal="left" vertical="center"/>
    </xf>
    <xf numFmtId="0" fontId="53" fillId="34" borderId="46" xfId="6" applyFont="1" applyFill="1" applyBorder="1" applyAlignment="1">
      <alignment horizontal="center" vertical="center" wrapText="1"/>
    </xf>
    <xf numFmtId="0" fontId="55" fillId="36" borderId="77" xfId="6" applyFont="1" applyFill="1" applyBorder="1" applyAlignment="1">
      <alignment horizontal="left" vertical="center"/>
    </xf>
    <xf numFmtId="49" fontId="37" fillId="0" borderId="0" xfId="0" applyNumberFormat="1" applyFont="1" applyFill="1" applyBorder="1" applyAlignment="1" applyProtection="1">
      <alignment vertical="top" wrapText="1"/>
    </xf>
    <xf numFmtId="49" fontId="2" fillId="0" borderId="0" xfId="0" applyNumberFormat="1" applyFont="1" applyAlignment="1">
      <alignment vertical="top" wrapText="1"/>
    </xf>
    <xf numFmtId="0" fontId="7" fillId="28" borderId="25" xfId="0" applyFont="1" applyFill="1" applyBorder="1" applyAlignment="1">
      <alignment horizontal="center" vertical="center"/>
    </xf>
    <xf numFmtId="0" fontId="7" fillId="28" borderId="2" xfId="0" applyFont="1" applyFill="1" applyBorder="1" applyAlignment="1">
      <alignment horizontal="center" vertical="center"/>
    </xf>
    <xf numFmtId="0" fontId="37" fillId="10" borderId="23" xfId="0" applyFont="1" applyFill="1" applyBorder="1" applyAlignment="1">
      <alignment horizontal="left" vertical="top" wrapText="1"/>
    </xf>
    <xf numFmtId="0" fontId="37" fillId="10" borderId="37" xfId="0" applyFont="1" applyFill="1" applyBorder="1" applyAlignment="1">
      <alignment horizontal="left" vertical="top" wrapText="1"/>
    </xf>
    <xf numFmtId="0" fontId="37" fillId="10" borderId="24" xfId="0" applyFont="1" applyFill="1" applyBorder="1" applyAlignment="1">
      <alignment horizontal="left" vertical="top" wrapText="1"/>
    </xf>
    <xf numFmtId="166" fontId="2" fillId="13" borderId="2" xfId="0" applyNumberFormat="1" applyFont="1" applyFill="1" applyBorder="1" applyAlignment="1">
      <alignment horizontal="right" vertical="top" indent="1"/>
    </xf>
    <xf numFmtId="166" fontId="2" fillId="13" borderId="29" xfId="0" applyNumberFormat="1" applyFont="1" applyFill="1" applyBorder="1" applyAlignment="1">
      <alignment horizontal="right" vertical="top" indent="1"/>
    </xf>
    <xf numFmtId="166" fontId="4" fillId="13" borderId="2" xfId="0" applyNumberFormat="1" applyFont="1" applyFill="1" applyBorder="1" applyAlignment="1">
      <alignment horizontal="right" vertical="top" indent="1"/>
    </xf>
    <xf numFmtId="166" fontId="4" fillId="13" borderId="29" xfId="0" applyNumberFormat="1" applyFont="1" applyFill="1" applyBorder="1" applyAlignment="1">
      <alignment horizontal="right" vertical="top" indent="1"/>
    </xf>
    <xf numFmtId="49" fontId="34" fillId="0" borderId="0" xfId="0" applyNumberFormat="1" applyFont="1" applyFill="1" applyAlignment="1">
      <alignment horizontal="left" vertical="top" wrapText="1"/>
    </xf>
    <xf numFmtId="0" fontId="38" fillId="0" borderId="0" xfId="0" applyFont="1" applyAlignment="1">
      <alignment horizontal="left" vertical="top" wrapText="1"/>
    </xf>
    <xf numFmtId="0" fontId="96" fillId="0" borderId="0" xfId="0" applyFont="1" applyAlignment="1">
      <alignment horizontal="left" vertical="top" wrapText="1"/>
    </xf>
    <xf numFmtId="0" fontId="34" fillId="0" borderId="0" xfId="0" applyFont="1" applyAlignment="1">
      <alignment horizontal="left" vertical="top" wrapText="1"/>
    </xf>
    <xf numFmtId="0" fontId="37" fillId="7" borderId="0" xfId="0" applyFont="1" applyFill="1"/>
    <xf numFmtId="0" fontId="37" fillId="11" borderId="7" xfId="10" applyFont="1" applyFill="1" applyBorder="1" applyAlignment="1" applyProtection="1">
      <alignment horizontal="center" vertical="center" wrapText="1"/>
    </xf>
    <xf numFmtId="0" fontId="37" fillId="11" borderId="43" xfId="10" applyFont="1" applyFill="1" applyBorder="1" applyAlignment="1" applyProtection="1">
      <alignment horizontal="center" vertical="center" wrapText="1"/>
    </xf>
    <xf numFmtId="0" fontId="37" fillId="12" borderId="7" xfId="10" applyFont="1" applyFill="1" applyBorder="1" applyAlignment="1" applyProtection="1">
      <alignment horizontal="center" vertical="center" wrapText="1"/>
    </xf>
    <xf numFmtId="0" fontId="37" fillId="12" borderId="43" xfId="10" applyFont="1" applyFill="1" applyBorder="1" applyAlignment="1" applyProtection="1">
      <alignment horizontal="center" vertical="center" wrapText="1"/>
    </xf>
    <xf numFmtId="0" fontId="70" fillId="41" borderId="47" xfId="10" applyFont="1" applyFill="1" applyBorder="1" applyAlignment="1" applyProtection="1">
      <alignment horizontal="center" vertical="center" wrapText="1"/>
    </xf>
    <xf numFmtId="0" fontId="70" fillId="41" borderId="61" xfId="10" applyFont="1" applyFill="1" applyBorder="1" applyAlignment="1" applyProtection="1">
      <alignment horizontal="center" vertical="center" wrapText="1"/>
    </xf>
    <xf numFmtId="0" fontId="37" fillId="48" borderId="7" xfId="10" applyFont="1" applyFill="1" applyBorder="1" applyAlignment="1" applyProtection="1">
      <alignment horizontal="center" vertical="center" wrapText="1"/>
    </xf>
    <xf numFmtId="0" fontId="37" fillId="48" borderId="43" xfId="10" applyFont="1" applyFill="1" applyBorder="1" applyAlignment="1" applyProtection="1">
      <alignment horizontal="center" vertical="center" wrapText="1"/>
    </xf>
    <xf numFmtId="0" fontId="37" fillId="48" borderId="10" xfId="10" applyFont="1" applyFill="1" applyBorder="1" applyAlignment="1" applyProtection="1">
      <alignment horizontal="center" vertical="center" wrapText="1"/>
    </xf>
    <xf numFmtId="0" fontId="37" fillId="42" borderId="7" xfId="10" applyFont="1" applyFill="1" applyBorder="1" applyAlignment="1" applyProtection="1">
      <alignment horizontal="center" vertical="center" wrapText="1"/>
    </xf>
    <xf numFmtId="0" fontId="37" fillId="42" borderId="43" xfId="10" applyFont="1" applyFill="1" applyBorder="1" applyAlignment="1" applyProtection="1">
      <alignment horizontal="center" vertical="center" wrapText="1"/>
    </xf>
    <xf numFmtId="0" fontId="37" fillId="42" borderId="10" xfId="10" applyFont="1" applyFill="1" applyBorder="1" applyAlignment="1" applyProtection="1">
      <alignment horizontal="center" vertical="center" wrapText="1"/>
    </xf>
    <xf numFmtId="0" fontId="37" fillId="24" borderId="47" xfId="10" applyFont="1" applyFill="1" applyBorder="1" applyAlignment="1" applyProtection="1">
      <alignment horizontal="center" vertical="center" wrapText="1"/>
    </xf>
    <xf numFmtId="0" fontId="37" fillId="24" borderId="61" xfId="10" applyFont="1" applyFill="1" applyBorder="1" applyAlignment="1" applyProtection="1">
      <alignment horizontal="center" vertical="center" wrapText="1"/>
    </xf>
    <xf numFmtId="49" fontId="37" fillId="0" borderId="0" xfId="0" applyNumberFormat="1" applyFont="1" applyFill="1" applyBorder="1" applyAlignment="1" applyProtection="1">
      <alignment vertical="top" wrapText="1"/>
    </xf>
    <xf numFmtId="0" fontId="20" fillId="20" borderId="2" xfId="0" applyFont="1" applyFill="1" applyBorder="1" applyAlignment="1">
      <alignment horizontal="center"/>
    </xf>
    <xf numFmtId="0" fontId="20" fillId="20" borderId="29" xfId="0" applyFont="1" applyFill="1" applyBorder="1" applyAlignment="1">
      <alignment horizontal="center"/>
    </xf>
    <xf numFmtId="0" fontId="0" fillId="22" borderId="2" xfId="0" applyFill="1" applyBorder="1"/>
    <xf numFmtId="0" fontId="0" fillId="22" borderId="29" xfId="0" applyFill="1" applyBorder="1"/>
    <xf numFmtId="49" fontId="15" fillId="20" borderId="1" xfId="0" applyNumberFormat="1" applyFont="1" applyFill="1" applyBorder="1" applyAlignment="1">
      <alignment horizontal="center" wrapText="1"/>
    </xf>
    <xf numFmtId="0" fontId="13" fillId="22" borderId="1" xfId="0" applyFont="1" applyFill="1" applyBorder="1"/>
    <xf numFmtId="0" fontId="4" fillId="0" borderId="0" xfId="0" applyFont="1" applyAlignment="1">
      <alignment horizontal="left" vertical="top" wrapText="1"/>
    </xf>
    <xf numFmtId="49" fontId="4" fillId="0" borderId="0" xfId="0" applyNumberFormat="1" applyFont="1" applyAlignment="1">
      <alignment vertical="top" wrapText="1"/>
    </xf>
    <xf numFmtId="49" fontId="2" fillId="0" borderId="0" xfId="0" applyNumberFormat="1" applyFont="1" applyAlignment="1">
      <alignment vertical="top" wrapText="1"/>
    </xf>
    <xf numFmtId="0" fontId="2" fillId="0" borderId="0" xfId="0" applyFont="1" applyAlignment="1">
      <alignment horizontal="left" vertical="top" wrapText="1"/>
    </xf>
    <xf numFmtId="0" fontId="25" fillId="34" borderId="23" xfId="11" applyFont="1" applyFill="1" applyBorder="1" applyAlignment="1">
      <alignment horizontal="center"/>
    </xf>
    <xf numFmtId="0" fontId="25" fillId="34" borderId="37" xfId="11" applyFont="1" applyFill="1" applyBorder="1" applyAlignment="1">
      <alignment horizontal="center"/>
    </xf>
    <xf numFmtId="0" fontId="25" fillId="34" borderId="24" xfId="11" applyFont="1" applyFill="1" applyBorder="1" applyAlignment="1">
      <alignment horizontal="center"/>
    </xf>
    <xf numFmtId="0" fontId="25" fillId="35" borderId="23" xfId="11" applyFont="1" applyFill="1" applyBorder="1" applyAlignment="1">
      <alignment horizontal="center"/>
    </xf>
    <xf numFmtId="0" fontId="25" fillId="35" borderId="37" xfId="11" applyFont="1" applyFill="1" applyBorder="1" applyAlignment="1">
      <alignment horizontal="center"/>
    </xf>
    <xf numFmtId="0" fontId="25" fillId="35" borderId="24" xfId="11" applyFont="1" applyFill="1" applyBorder="1" applyAlignment="1">
      <alignment horizontal="center"/>
    </xf>
    <xf numFmtId="0" fontId="2" fillId="0" borderId="0" xfId="11" applyFont="1" applyAlignment="1">
      <alignment horizontal="left" vertical="top" wrapText="1"/>
    </xf>
    <xf numFmtId="0" fontId="22" fillId="0" borderId="0" xfId="11" applyFont="1" applyAlignment="1">
      <alignment horizontal="left" vertical="top"/>
    </xf>
    <xf numFmtId="0" fontId="25" fillId="28" borderId="23" xfId="11" applyFont="1" applyFill="1" applyBorder="1" applyAlignment="1">
      <alignment horizontal="center"/>
    </xf>
    <xf numFmtId="0" fontId="25" fillId="28" borderId="37" xfId="11" applyFont="1" applyFill="1" applyBorder="1" applyAlignment="1">
      <alignment horizontal="center"/>
    </xf>
    <xf numFmtId="0" fontId="25" fillId="28" borderId="24" xfId="11" applyFont="1" applyFill="1" applyBorder="1" applyAlignment="1">
      <alignment horizontal="center"/>
    </xf>
    <xf numFmtId="0" fontId="25" fillId="29" borderId="23" xfId="11" applyFont="1" applyFill="1" applyBorder="1" applyAlignment="1">
      <alignment horizontal="center"/>
    </xf>
    <xf numFmtId="0" fontId="25" fillId="29" borderId="37" xfId="11" applyFont="1" applyFill="1" applyBorder="1" applyAlignment="1">
      <alignment horizontal="center"/>
    </xf>
    <xf numFmtId="0" fontId="25" fillId="29" borderId="24" xfId="11" applyFont="1" applyFill="1" applyBorder="1" applyAlignment="1">
      <alignment horizontal="center"/>
    </xf>
    <xf numFmtId="0" fontId="25" fillId="30" borderId="23" xfId="11" applyFont="1" applyFill="1" applyBorder="1" applyAlignment="1">
      <alignment horizontal="center"/>
    </xf>
    <xf numFmtId="0" fontId="25" fillId="30" borderId="37" xfId="11" applyFont="1" applyFill="1" applyBorder="1" applyAlignment="1">
      <alignment horizontal="center"/>
    </xf>
    <xf numFmtId="0" fontId="25" fillId="30" borderId="24" xfId="11" applyFont="1" applyFill="1" applyBorder="1" applyAlignment="1">
      <alignment horizontal="center"/>
    </xf>
    <xf numFmtId="0" fontId="25" fillId="33" borderId="23" xfId="11" applyFont="1" applyFill="1" applyBorder="1" applyAlignment="1">
      <alignment horizontal="center"/>
    </xf>
    <xf numFmtId="0" fontId="25" fillId="33" borderId="37" xfId="11" applyFont="1" applyFill="1" applyBorder="1" applyAlignment="1">
      <alignment horizontal="center"/>
    </xf>
    <xf numFmtId="0" fontId="25" fillId="33" borderId="24" xfId="11" applyFont="1" applyFill="1" applyBorder="1" applyAlignment="1">
      <alignment horizontal="center"/>
    </xf>
    <xf numFmtId="0" fontId="34" fillId="13" borderId="1" xfId="0" applyFont="1" applyFill="1" applyBorder="1"/>
    <xf numFmtId="0" fontId="7" fillId="30" borderId="25" xfId="0" applyFont="1" applyFill="1" applyBorder="1" applyAlignment="1">
      <alignment horizontal="center" vertical="center"/>
    </xf>
    <xf numFmtId="0" fontId="7" fillId="30" borderId="41" xfId="0" applyFont="1" applyFill="1" applyBorder="1" applyAlignment="1">
      <alignment horizontal="center" vertical="center"/>
    </xf>
    <xf numFmtId="0" fontId="7" fillId="30" borderId="2" xfId="0" applyFont="1" applyFill="1" applyBorder="1" applyAlignment="1">
      <alignment horizontal="center" vertical="center"/>
    </xf>
    <xf numFmtId="0" fontId="7" fillId="30" borderId="29" xfId="0" applyFont="1" applyFill="1" applyBorder="1" applyAlignment="1">
      <alignment horizontal="center" vertical="center"/>
    </xf>
    <xf numFmtId="0" fontId="7" fillId="34" borderId="2" xfId="0" applyFont="1" applyFill="1" applyBorder="1" applyAlignment="1">
      <alignment horizontal="center" vertical="center"/>
    </xf>
    <xf numFmtId="0" fontId="7" fillId="34" borderId="29" xfId="0" applyFont="1" applyFill="1" applyBorder="1" applyAlignment="1">
      <alignment horizontal="center" vertical="center"/>
    </xf>
    <xf numFmtId="0" fontId="9" fillId="20" borderId="21" xfId="0" applyFont="1" applyFill="1" applyBorder="1" applyAlignment="1">
      <alignment horizontal="center"/>
    </xf>
    <xf numFmtId="0" fontId="9" fillId="20" borderId="40" xfId="0" applyFont="1" applyFill="1" applyBorder="1" applyAlignment="1">
      <alignment horizontal="center"/>
    </xf>
    <xf numFmtId="0" fontId="7" fillId="33" borderId="25" xfId="0" applyFont="1" applyFill="1" applyBorder="1" applyAlignment="1">
      <alignment horizontal="center" vertical="center"/>
    </xf>
    <xf numFmtId="0" fontId="7" fillId="33" borderId="41" xfId="0" applyFont="1" applyFill="1" applyBorder="1" applyAlignment="1">
      <alignment horizontal="center" vertical="center"/>
    </xf>
    <xf numFmtId="0" fontId="7" fillId="33" borderId="2" xfId="0" applyFont="1" applyFill="1" applyBorder="1" applyAlignment="1">
      <alignment horizontal="center" vertical="center"/>
    </xf>
    <xf numFmtId="0" fontId="7" fillId="33" borderId="29" xfId="0" applyFont="1" applyFill="1" applyBorder="1" applyAlignment="1">
      <alignment horizontal="center" vertical="center"/>
    </xf>
    <xf numFmtId="0" fontId="7" fillId="34" borderId="25" xfId="0" applyFont="1" applyFill="1" applyBorder="1" applyAlignment="1">
      <alignment horizontal="center" vertical="center"/>
    </xf>
    <xf numFmtId="0" fontId="7" fillId="34" borderId="41" xfId="0" applyFont="1" applyFill="1" applyBorder="1" applyAlignment="1">
      <alignment horizontal="center" vertical="center"/>
    </xf>
    <xf numFmtId="0" fontId="7" fillId="28" borderId="25" xfId="0" applyFont="1" applyFill="1" applyBorder="1" applyAlignment="1">
      <alignment horizontal="center" vertical="center"/>
    </xf>
    <xf numFmtId="0" fontId="7" fillId="28" borderId="41" xfId="0" applyFont="1" applyFill="1" applyBorder="1" applyAlignment="1">
      <alignment horizontal="center" vertical="center"/>
    </xf>
    <xf numFmtId="0" fontId="7" fillId="28" borderId="2" xfId="0" applyFont="1" applyFill="1" applyBorder="1" applyAlignment="1">
      <alignment horizontal="center" vertical="center"/>
    </xf>
    <xf numFmtId="0" fontId="7" fillId="28" borderId="29" xfId="0" applyFont="1" applyFill="1" applyBorder="1" applyAlignment="1">
      <alignment horizontal="center" vertical="center"/>
    </xf>
    <xf numFmtId="0" fontId="7" fillId="29" borderId="25" xfId="0" applyFont="1" applyFill="1" applyBorder="1" applyAlignment="1">
      <alignment horizontal="center" vertical="center"/>
    </xf>
    <xf numFmtId="0" fontId="7" fillId="29" borderId="41" xfId="0" applyFont="1" applyFill="1" applyBorder="1" applyAlignment="1">
      <alignment horizontal="center" vertical="center"/>
    </xf>
    <xf numFmtId="0" fontId="7" fillId="29" borderId="2" xfId="0" applyFont="1" applyFill="1" applyBorder="1" applyAlignment="1">
      <alignment horizontal="center" vertical="center"/>
    </xf>
    <xf numFmtId="0" fontId="7" fillId="29" borderId="29" xfId="0" applyFont="1" applyFill="1" applyBorder="1" applyAlignment="1">
      <alignment horizontal="center" vertical="center"/>
    </xf>
    <xf numFmtId="49" fontId="4" fillId="0" borderId="0" xfId="0" applyNumberFormat="1" applyFont="1" applyAlignment="1">
      <alignment horizontal="left" vertical="top" wrapText="1"/>
    </xf>
    <xf numFmtId="0" fontId="4" fillId="0" borderId="0" xfId="0" applyFont="1" applyFill="1" applyBorder="1" applyAlignment="1">
      <alignment horizontal="left" vertical="top" wrapText="1"/>
    </xf>
    <xf numFmtId="0" fontId="22" fillId="10" borderId="10" xfId="0" applyFont="1" applyFill="1" applyBorder="1" applyAlignment="1">
      <alignment horizontal="left" vertical="top" indent="1"/>
    </xf>
    <xf numFmtId="0" fontId="22" fillId="10" borderId="1" xfId="0" applyFont="1" applyFill="1" applyBorder="1" applyAlignment="1">
      <alignment horizontal="left" vertical="top" indent="1"/>
    </xf>
    <xf numFmtId="0" fontId="22" fillId="22" borderId="12" xfId="0" applyFont="1" applyFill="1" applyBorder="1" applyAlignment="1">
      <alignment horizontal="left" vertical="center" wrapText="1" indent="1"/>
    </xf>
    <xf numFmtId="0" fontId="22" fillId="22" borderId="46" xfId="0" applyFont="1" applyFill="1" applyBorder="1" applyAlignment="1">
      <alignment horizontal="left" vertical="center" wrapText="1" indent="1"/>
    </xf>
    <xf numFmtId="0" fontId="22" fillId="22" borderId="2" xfId="0" applyFont="1" applyFill="1" applyBorder="1" applyAlignment="1">
      <alignment horizontal="left" vertical="center" wrapText="1" indent="1"/>
    </xf>
    <xf numFmtId="0" fontId="22" fillId="22" borderId="29" xfId="0" applyFont="1" applyFill="1" applyBorder="1" applyAlignment="1">
      <alignment horizontal="left" vertical="center" wrapText="1" indent="1"/>
    </xf>
    <xf numFmtId="0" fontId="10" fillId="6" borderId="1" xfId="0" applyFont="1" applyFill="1" applyBorder="1" applyAlignment="1">
      <alignment horizontal="center" vertical="center"/>
    </xf>
    <xf numFmtId="0" fontId="10" fillId="43" borderId="11" xfId="0" applyFont="1" applyFill="1" applyBorder="1" applyAlignment="1">
      <alignment horizontal="center" vertical="center"/>
    </xf>
    <xf numFmtId="0" fontId="47" fillId="13" borderId="93" xfId="6" applyNumberFormat="1" applyFont="1" applyFill="1" applyBorder="1" applyAlignment="1">
      <alignment vertical="center" wrapText="1"/>
    </xf>
    <xf numFmtId="0" fontId="47" fillId="13" borderId="60" xfId="6" applyNumberFormat="1" applyFont="1" applyFill="1" applyBorder="1" applyAlignment="1">
      <alignment vertical="center" wrapText="1"/>
    </xf>
    <xf numFmtId="0" fontId="47" fillId="13" borderId="39" xfId="6" applyNumberFormat="1" applyFont="1" applyFill="1" applyBorder="1" applyAlignment="1">
      <alignment vertical="center" wrapText="1"/>
    </xf>
    <xf numFmtId="0" fontId="47" fillId="13" borderId="54" xfId="6" applyNumberFormat="1" applyFont="1" applyFill="1" applyBorder="1" applyAlignment="1">
      <alignment vertical="center" wrapText="1"/>
    </xf>
    <xf numFmtId="0" fontId="47" fillId="13" borderId="16" xfId="6" applyNumberFormat="1" applyFont="1" applyFill="1" applyBorder="1" applyAlignment="1">
      <alignment vertical="center" wrapText="1"/>
    </xf>
    <xf numFmtId="0" fontId="47" fillId="13" borderId="15" xfId="6" applyNumberFormat="1" applyFont="1" applyFill="1" applyBorder="1" applyAlignment="1">
      <alignment vertical="center" wrapText="1"/>
    </xf>
    <xf numFmtId="0" fontId="53" fillId="0" borderId="0" xfId="6" applyFont="1" applyBorder="1" applyAlignment="1">
      <alignment horizontal="center" vertical="center" wrapText="1"/>
    </xf>
    <xf numFmtId="0" fontId="53" fillId="0" borderId="0" xfId="6" applyFont="1" applyBorder="1" applyAlignment="1">
      <alignment vertical="center" wrapText="1"/>
    </xf>
    <xf numFmtId="0" fontId="66" fillId="0" borderId="0" xfId="0" applyFont="1" applyAlignment="1">
      <alignment horizontal="left" vertical="top" wrapText="1"/>
    </xf>
    <xf numFmtId="0" fontId="34" fillId="0" borderId="0" xfId="0" applyNumberFormat="1" applyFont="1" applyAlignment="1">
      <alignment horizontal="left" vertical="top" wrapText="1"/>
    </xf>
    <xf numFmtId="0" fontId="34" fillId="13" borderId="0" xfId="0" applyFont="1" applyFill="1" applyAlignment="1"/>
    <xf numFmtId="0" fontId="2" fillId="22" borderId="2" xfId="0" applyFont="1" applyFill="1" applyBorder="1" applyAlignment="1">
      <alignment horizontal="center"/>
    </xf>
    <xf numFmtId="0" fontId="2" fillId="22" borderId="29" xfId="0" applyFont="1" applyFill="1" applyBorder="1" applyAlignment="1">
      <alignment horizontal="center"/>
    </xf>
    <xf numFmtId="0" fontId="4" fillId="20" borderId="2" xfId="0" applyFont="1" applyFill="1" applyBorder="1" applyAlignment="1">
      <alignment horizontal="center" vertical="center" wrapText="1"/>
    </xf>
    <xf numFmtId="0" fontId="4" fillId="20" borderId="29" xfId="0" applyFont="1" applyFill="1" applyBorder="1" applyAlignment="1">
      <alignment horizontal="center" vertical="center" wrapText="1"/>
    </xf>
    <xf numFmtId="0" fontId="4" fillId="20" borderId="2" xfId="0" applyFont="1" applyFill="1" applyBorder="1" applyAlignment="1">
      <alignment horizontal="center" vertical="center"/>
    </xf>
    <xf numFmtId="0" fontId="4" fillId="20" borderId="29" xfId="0" applyFont="1" applyFill="1" applyBorder="1" applyAlignment="1">
      <alignment horizontal="center" vertical="center"/>
    </xf>
    <xf numFmtId="0" fontId="2" fillId="22" borderId="2" xfId="0" applyFont="1" applyFill="1" applyBorder="1" applyAlignment="1"/>
    <xf numFmtId="0" fontId="2" fillId="22" borderId="29" xfId="0" applyFont="1" applyFill="1" applyBorder="1" applyAlignment="1"/>
    <xf numFmtId="0" fontId="25" fillId="0" borderId="0" xfId="0" applyFont="1" applyAlignment="1">
      <alignment horizontal="left" vertical="top" wrapText="1"/>
    </xf>
    <xf numFmtId="0" fontId="53" fillId="0" borderId="0" xfId="6" applyFont="1" applyBorder="1" applyAlignment="1">
      <alignment horizontal="left" vertical="top" wrapText="1"/>
    </xf>
    <xf numFmtId="0" fontId="22" fillId="22" borderId="1" xfId="0" applyFont="1" applyFill="1" applyBorder="1" applyAlignment="1">
      <alignment horizontal="left" vertical="center" wrapText="1" indent="1"/>
    </xf>
    <xf numFmtId="0" fontId="37" fillId="13" borderId="97" xfId="0" applyFont="1" applyFill="1" applyBorder="1" applyAlignment="1">
      <alignment horizontal="center"/>
    </xf>
    <xf numFmtId="0" fontId="37" fillId="13" borderId="98" xfId="0" applyFont="1" applyFill="1" applyBorder="1" applyAlignment="1">
      <alignment horizontal="center"/>
    </xf>
    <xf numFmtId="0" fontId="4" fillId="20" borderId="23" xfId="0" applyFont="1" applyFill="1" applyBorder="1" applyAlignment="1" applyProtection="1">
      <alignment horizontal="center" vertical="center" wrapText="1"/>
    </xf>
    <xf numFmtId="0" fontId="4" fillId="20" borderId="37" xfId="0" applyFont="1" applyFill="1" applyBorder="1" applyAlignment="1" applyProtection="1">
      <alignment horizontal="center" vertical="center" wrapText="1"/>
    </xf>
    <xf numFmtId="0" fontId="4" fillId="20" borderId="24" xfId="0" applyFont="1" applyFill="1" applyBorder="1" applyAlignment="1" applyProtection="1">
      <alignment horizontal="center" vertical="center" wrapText="1"/>
    </xf>
    <xf numFmtId="44" fontId="4" fillId="20" borderId="7" xfId="0" applyNumberFormat="1" applyFont="1" applyFill="1" applyBorder="1" applyAlignment="1">
      <alignment horizontal="center" vertical="center" wrapText="1"/>
    </xf>
    <xf numFmtId="44" fontId="4" fillId="20" borderId="58" xfId="0" applyNumberFormat="1" applyFont="1" applyFill="1" applyBorder="1" applyAlignment="1">
      <alignment horizontal="center" vertical="center" wrapText="1"/>
    </xf>
    <xf numFmtId="0" fontId="4" fillId="20" borderId="7" xfId="0" applyFont="1" applyFill="1" applyBorder="1" applyAlignment="1">
      <alignment horizontal="center" vertical="center"/>
    </xf>
    <xf numFmtId="0" fontId="4" fillId="20" borderId="58" xfId="0" applyFont="1" applyFill="1" applyBorder="1" applyAlignment="1">
      <alignment horizontal="center" vertical="center"/>
    </xf>
    <xf numFmtId="0" fontId="4" fillId="20" borderId="7" xfId="0" applyFont="1" applyFill="1" applyBorder="1" applyAlignment="1">
      <alignment horizontal="center" vertical="center" wrapText="1"/>
    </xf>
    <xf numFmtId="0" fontId="4" fillId="20" borderId="58" xfId="0" applyFont="1" applyFill="1" applyBorder="1" applyAlignment="1">
      <alignment horizontal="center" vertical="center" wrapText="1"/>
    </xf>
    <xf numFmtId="44" fontId="4" fillId="20" borderId="43" xfId="0" applyNumberFormat="1" applyFont="1" applyFill="1" applyBorder="1" applyAlignment="1">
      <alignment horizontal="center" vertical="center" wrapText="1"/>
    </xf>
    <xf numFmtId="0" fontId="2" fillId="22" borderId="67" xfId="0" applyNumberFormat="1" applyFont="1" applyFill="1" applyBorder="1" applyAlignment="1" applyProtection="1">
      <alignment horizontal="left" vertical="top" wrapText="1"/>
    </xf>
    <xf numFmtId="0" fontId="2" fillId="22" borderId="31" xfId="0" applyNumberFormat="1" applyFont="1" applyFill="1" applyBorder="1" applyAlignment="1" applyProtection="1">
      <alignment horizontal="left" vertical="top" wrapText="1"/>
    </xf>
    <xf numFmtId="0" fontId="2" fillId="22" borderId="81" xfId="0" applyNumberFormat="1" applyFont="1" applyFill="1" applyBorder="1" applyAlignment="1" applyProtection="1">
      <alignment horizontal="left" vertical="top" wrapText="1"/>
    </xf>
    <xf numFmtId="0" fontId="2" fillId="22" borderId="72" xfId="0" applyNumberFormat="1" applyFont="1" applyFill="1" applyBorder="1" applyAlignment="1" applyProtection="1">
      <alignment horizontal="left" vertical="top" wrapText="1"/>
    </xf>
    <xf numFmtId="0" fontId="2" fillId="22" borderId="0" xfId="0" applyNumberFormat="1" applyFont="1" applyFill="1" applyBorder="1" applyAlignment="1" applyProtection="1">
      <alignment horizontal="left" vertical="top" wrapText="1"/>
    </xf>
    <xf numFmtId="0" fontId="2" fillId="22" borderId="61" xfId="0" applyNumberFormat="1" applyFont="1" applyFill="1" applyBorder="1" applyAlignment="1" applyProtection="1">
      <alignment horizontal="left" vertical="top" wrapText="1"/>
    </xf>
    <xf numFmtId="0" fontId="2" fillId="22" borderId="95" xfId="0" applyNumberFormat="1" applyFont="1" applyFill="1" applyBorder="1" applyAlignment="1" applyProtection="1">
      <alignment horizontal="left" vertical="top" wrapText="1"/>
    </xf>
    <xf numFmtId="0" fontId="2" fillId="22" borderId="38" xfId="0" applyNumberFormat="1" applyFont="1" applyFill="1" applyBorder="1" applyAlignment="1" applyProtection="1">
      <alignment horizontal="left" vertical="top" wrapText="1"/>
    </xf>
    <xf numFmtId="0" fontId="2" fillId="22" borderId="89" xfId="0" applyNumberFormat="1" applyFont="1" applyFill="1" applyBorder="1" applyAlignment="1" applyProtection="1">
      <alignment horizontal="left" vertical="top" wrapText="1"/>
    </xf>
    <xf numFmtId="0" fontId="4" fillId="20" borderId="1" xfId="0" applyFont="1" applyFill="1" applyBorder="1" applyAlignment="1">
      <alignment horizontal="center" vertical="center"/>
    </xf>
    <xf numFmtId="0" fontId="2" fillId="13" borderId="23" xfId="0" applyFont="1" applyFill="1" applyBorder="1" applyAlignment="1">
      <alignment horizontal="center"/>
    </xf>
    <xf numFmtId="0" fontId="2" fillId="13" borderId="40" xfId="0" applyFont="1" applyFill="1" applyBorder="1" applyAlignment="1">
      <alignment horizontal="center"/>
    </xf>
    <xf numFmtId="0" fontId="4" fillId="20" borderId="14" xfId="0" applyFont="1" applyFill="1" applyBorder="1" applyAlignment="1">
      <alignment horizontal="center" vertical="center"/>
    </xf>
    <xf numFmtId="0" fontId="4" fillId="20" borderId="47" xfId="0" applyFont="1" applyFill="1" applyBorder="1" applyAlignment="1">
      <alignment horizontal="center" vertical="center"/>
    </xf>
    <xf numFmtId="0" fontId="4" fillId="20" borderId="72" xfId="0" applyFont="1" applyFill="1" applyBorder="1" applyAlignment="1">
      <alignment horizontal="center" vertical="center"/>
    </xf>
    <xf numFmtId="0" fontId="4" fillId="20" borderId="61" xfId="0" applyFont="1" applyFill="1" applyBorder="1" applyAlignment="1">
      <alignment horizontal="center" vertical="center"/>
    </xf>
    <xf numFmtId="0" fontId="2" fillId="13" borderId="30" xfId="0" applyFont="1" applyFill="1" applyBorder="1" applyAlignment="1">
      <alignment horizontal="center"/>
    </xf>
    <xf numFmtId="0" fontId="2" fillId="22" borderId="2" xfId="0" quotePrefix="1" applyNumberFormat="1" applyFont="1" applyFill="1" applyBorder="1" applyAlignment="1" applyProtection="1">
      <alignment horizontal="left" vertical="top" wrapText="1" indent="1"/>
      <protection locked="0"/>
    </xf>
    <xf numFmtId="0" fontId="2" fillId="22" borderId="28" xfId="0" quotePrefix="1" applyNumberFormat="1" applyFont="1" applyFill="1" applyBorder="1" applyAlignment="1" applyProtection="1">
      <alignment horizontal="left" vertical="top" wrapText="1" indent="1"/>
      <protection locked="0"/>
    </xf>
    <xf numFmtId="0" fontId="2" fillId="22" borderId="29" xfId="0" quotePrefix="1" applyNumberFormat="1" applyFont="1" applyFill="1" applyBorder="1" applyAlignment="1" applyProtection="1">
      <alignment horizontal="left" vertical="top" wrapText="1" indent="1"/>
      <protection locked="0"/>
    </xf>
    <xf numFmtId="0" fontId="2" fillId="22" borderId="44" xfId="0" quotePrefix="1" applyNumberFormat="1" applyFont="1" applyFill="1" applyBorder="1" applyAlignment="1" applyProtection="1">
      <alignment horizontal="left" vertical="top" wrapText="1" indent="1"/>
      <protection locked="0"/>
    </xf>
    <xf numFmtId="0" fontId="2" fillId="22" borderId="79" xfId="0" quotePrefix="1" applyNumberFormat="1" applyFont="1" applyFill="1" applyBorder="1" applyAlignment="1" applyProtection="1">
      <alignment horizontal="left" vertical="top" wrapText="1" indent="1"/>
      <protection locked="0"/>
    </xf>
    <xf numFmtId="0" fontId="2" fillId="22" borderId="45" xfId="0" quotePrefix="1" applyNumberFormat="1" applyFont="1" applyFill="1" applyBorder="1" applyAlignment="1" applyProtection="1">
      <alignment horizontal="left" vertical="top" wrapText="1" indent="1"/>
      <protection locked="0"/>
    </xf>
    <xf numFmtId="0" fontId="34" fillId="13" borderId="0" xfId="0" applyFont="1" applyFill="1" applyAlignment="1">
      <alignment horizontal="left"/>
    </xf>
    <xf numFmtId="0" fontId="2" fillId="22" borderId="23" xfId="0" quotePrefix="1" applyNumberFormat="1" applyFont="1" applyFill="1" applyBorder="1" applyAlignment="1" applyProtection="1">
      <alignment horizontal="left" vertical="top" wrapText="1" indent="1"/>
      <protection locked="0"/>
    </xf>
    <xf numFmtId="0" fontId="2" fillId="22" borderId="37" xfId="0" quotePrefix="1" applyNumberFormat="1" applyFont="1" applyFill="1" applyBorder="1" applyAlignment="1" applyProtection="1">
      <alignment horizontal="left" vertical="top" wrapText="1" indent="1"/>
      <protection locked="0"/>
    </xf>
    <xf numFmtId="0" fontId="2" fillId="22" borderId="24" xfId="0" quotePrefix="1" applyNumberFormat="1" applyFont="1" applyFill="1" applyBorder="1" applyAlignment="1" applyProtection="1">
      <alignment horizontal="left" vertical="top" wrapText="1" indent="1"/>
      <protection locked="0"/>
    </xf>
    <xf numFmtId="0" fontId="2" fillId="22" borderId="12" xfId="0" quotePrefix="1" applyNumberFormat="1" applyFont="1" applyFill="1" applyBorder="1" applyAlignment="1" applyProtection="1">
      <alignment horizontal="left" vertical="top" wrapText="1" indent="1"/>
      <protection locked="0"/>
    </xf>
    <xf numFmtId="0" fontId="2" fillId="22" borderId="27" xfId="0" quotePrefix="1" applyNumberFormat="1" applyFont="1" applyFill="1" applyBorder="1" applyAlignment="1" applyProtection="1">
      <alignment horizontal="left" vertical="top" wrapText="1" indent="1"/>
      <protection locked="0"/>
    </xf>
    <xf numFmtId="0" fontId="2" fillId="22" borderId="46" xfId="0" quotePrefix="1" applyNumberFormat="1" applyFont="1" applyFill="1" applyBorder="1" applyAlignment="1" applyProtection="1">
      <alignment horizontal="left" vertical="top" wrapText="1" indent="1"/>
      <protection locked="0"/>
    </xf>
    <xf numFmtId="0" fontId="4" fillId="20" borderId="30" xfId="0" applyFont="1" applyFill="1" applyBorder="1" applyAlignment="1" applyProtection="1">
      <alignment horizontal="center" vertical="center" wrapText="1"/>
    </xf>
    <xf numFmtId="0" fontId="4" fillId="20" borderId="31" xfId="0" applyFont="1" applyFill="1" applyBorder="1" applyAlignment="1" applyProtection="1">
      <alignment horizontal="center" vertical="center" wrapText="1"/>
    </xf>
    <xf numFmtId="0" fontId="4" fillId="20" borderId="32" xfId="0" applyFont="1" applyFill="1" applyBorder="1" applyAlignment="1" applyProtection="1">
      <alignment horizontal="center" vertical="center" wrapText="1"/>
    </xf>
    <xf numFmtId="0" fontId="22" fillId="22" borderId="28" xfId="0" applyFont="1" applyFill="1" applyBorder="1" applyAlignment="1">
      <alignment horizontal="left" vertical="center" wrapText="1" indent="1"/>
    </xf>
    <xf numFmtId="0" fontId="2" fillId="20" borderId="21" xfId="0" quotePrefix="1" applyNumberFormat="1" applyFont="1" applyFill="1" applyBorder="1" applyAlignment="1" applyProtection="1">
      <alignment horizontal="right" vertical="top" wrapText="1" indent="1"/>
      <protection locked="0"/>
    </xf>
    <xf numFmtId="0" fontId="2" fillId="20" borderId="37" xfId="0" quotePrefix="1" applyNumberFormat="1" applyFont="1" applyFill="1" applyBorder="1" applyAlignment="1" applyProtection="1">
      <alignment horizontal="right" vertical="top" wrapText="1" indent="1"/>
      <protection locked="0"/>
    </xf>
    <xf numFmtId="0" fontId="2" fillId="20" borderId="25" xfId="0" quotePrefix="1" applyNumberFormat="1" applyFont="1" applyFill="1" applyBorder="1" applyAlignment="1" applyProtection="1">
      <alignment horizontal="right" vertical="top" wrapText="1" indent="1"/>
      <protection locked="0"/>
    </xf>
    <xf numFmtId="0" fontId="2" fillId="20" borderId="55" xfId="0" quotePrefix="1" applyNumberFormat="1" applyFont="1" applyFill="1" applyBorder="1" applyAlignment="1" applyProtection="1">
      <alignment horizontal="right" vertical="top" wrapText="1" indent="1"/>
      <protection locked="0"/>
    </xf>
    <xf numFmtId="0" fontId="37" fillId="13" borderId="99" xfId="0" applyFont="1" applyFill="1" applyBorder="1" applyAlignment="1">
      <alignment horizontal="center"/>
    </xf>
    <xf numFmtId="0" fontId="22" fillId="10" borderId="72" xfId="0" applyFont="1" applyFill="1" applyBorder="1" applyAlignment="1">
      <alignment horizontal="left" vertical="top" indent="1"/>
    </xf>
    <xf numFmtId="0" fontId="22" fillId="10" borderId="0" xfId="0" applyFont="1" applyFill="1" applyBorder="1" applyAlignment="1">
      <alignment horizontal="left" vertical="top" indent="1"/>
    </xf>
    <xf numFmtId="44" fontId="4" fillId="20" borderId="1" xfId="0" applyNumberFormat="1" applyFont="1" applyFill="1" applyBorder="1" applyAlignment="1">
      <alignment horizontal="center" vertical="center" wrapText="1"/>
    </xf>
    <xf numFmtId="0" fontId="4" fillId="0" borderId="27" xfId="0" applyFont="1" applyBorder="1" applyAlignment="1">
      <alignment horizontal="center" vertical="center"/>
    </xf>
    <xf numFmtId="0" fontId="34" fillId="13" borderId="1" xfId="1" applyFont="1" applyFill="1" applyBorder="1"/>
    <xf numFmtId="0" fontId="4" fillId="20" borderId="1" xfId="0" applyFont="1" applyFill="1" applyBorder="1" applyAlignment="1">
      <alignment horizontal="center" vertical="center" wrapText="1"/>
    </xf>
    <xf numFmtId="0" fontId="4" fillId="0" borderId="0" xfId="0" applyFont="1" applyAlignment="1"/>
    <xf numFmtId="0" fontId="4" fillId="0" borderId="0" xfId="0" applyFont="1" applyFill="1" applyBorder="1" applyAlignment="1"/>
    <xf numFmtId="0" fontId="4" fillId="0" borderId="0" xfId="0" applyFont="1" applyAlignment="1">
      <alignment vertical="top" wrapText="1"/>
    </xf>
    <xf numFmtId="0" fontId="34" fillId="13" borderId="2" xfId="1" applyFont="1" applyFill="1" applyBorder="1"/>
    <xf numFmtId="0" fontId="34" fillId="13" borderId="28" xfId="1" applyFont="1" applyFill="1" applyBorder="1"/>
    <xf numFmtId="0" fontId="34" fillId="13" borderId="29" xfId="1" applyFont="1" applyFill="1" applyBorder="1"/>
    <xf numFmtId="44" fontId="4" fillId="20" borderId="0" xfId="0" applyNumberFormat="1" applyFont="1" applyFill="1" applyBorder="1" applyAlignment="1">
      <alignment horizontal="center" vertical="center" wrapText="1"/>
    </xf>
    <xf numFmtId="44" fontId="4" fillId="20" borderId="27" xfId="0" applyNumberFormat="1" applyFont="1" applyFill="1" applyBorder="1" applyAlignment="1">
      <alignment horizontal="center" vertical="center" wrapText="1"/>
    </xf>
    <xf numFmtId="49" fontId="2" fillId="22" borderId="2" xfId="3" applyNumberFormat="1" applyFont="1" applyFill="1" applyBorder="1" applyAlignment="1" applyProtection="1">
      <alignment horizontal="left" vertical="top" wrapText="1"/>
      <protection locked="0"/>
    </xf>
    <xf numFmtId="49" fontId="2" fillId="22" borderId="28" xfId="3" applyNumberFormat="1" applyFont="1" applyFill="1" applyBorder="1" applyAlignment="1" applyProtection="1">
      <alignment horizontal="left" vertical="top" wrapText="1"/>
      <protection locked="0"/>
    </xf>
    <xf numFmtId="49" fontId="2" fillId="22" borderId="29" xfId="3" applyNumberFormat="1" applyFont="1" applyFill="1" applyBorder="1" applyAlignment="1" applyProtection="1">
      <alignment horizontal="left" vertical="top" wrapText="1"/>
      <protection locked="0"/>
    </xf>
    <xf numFmtId="49" fontId="2" fillId="22" borderId="44" xfId="3" applyNumberFormat="1" applyFont="1" applyFill="1" applyBorder="1" applyAlignment="1" applyProtection="1">
      <alignment horizontal="left" vertical="top" wrapText="1"/>
      <protection locked="0"/>
    </xf>
    <xf numFmtId="49" fontId="2" fillId="22" borderId="79" xfId="3" applyNumberFormat="1" applyFont="1" applyFill="1" applyBorder="1" applyAlignment="1" applyProtection="1">
      <alignment horizontal="left" vertical="top" wrapText="1"/>
      <protection locked="0"/>
    </xf>
    <xf numFmtId="49" fontId="2" fillId="22" borderId="45" xfId="3" applyNumberFormat="1" applyFont="1" applyFill="1" applyBorder="1" applyAlignment="1" applyProtection="1">
      <alignment horizontal="left" vertical="top" wrapText="1"/>
      <protection locked="0"/>
    </xf>
    <xf numFmtId="49" fontId="2" fillId="0" borderId="21" xfId="3" applyNumberFormat="1" applyFont="1" applyFill="1" applyBorder="1" applyAlignment="1" applyProtection="1">
      <alignment horizontal="left" vertical="top" wrapText="1"/>
      <protection locked="0"/>
    </xf>
    <xf numFmtId="49" fontId="2" fillId="0" borderId="37" xfId="3" applyNumberFormat="1" applyFont="1" applyFill="1" applyBorder="1" applyAlignment="1" applyProtection="1">
      <alignment horizontal="left" vertical="top" wrapText="1"/>
      <protection locked="0"/>
    </xf>
    <xf numFmtId="49" fontId="2" fillId="0" borderId="40" xfId="3" applyNumberFormat="1" applyFont="1" applyFill="1" applyBorder="1" applyAlignment="1" applyProtection="1">
      <alignment horizontal="left" vertical="top" wrapText="1"/>
      <protection locked="0"/>
    </xf>
    <xf numFmtId="49" fontId="2" fillId="22" borderId="25" xfId="3" applyNumberFormat="1" applyFont="1" applyFill="1" applyBorder="1" applyAlignment="1" applyProtection="1">
      <alignment horizontal="left" vertical="top" wrapText="1"/>
      <protection locked="0"/>
    </xf>
    <xf numFmtId="49" fontId="2" fillId="22" borderId="55" xfId="3" applyNumberFormat="1" applyFont="1" applyFill="1" applyBorder="1" applyAlignment="1" applyProtection="1">
      <alignment horizontal="left" vertical="top" wrapText="1"/>
      <protection locked="0"/>
    </xf>
    <xf numFmtId="49" fontId="2" fillId="22" borderId="41" xfId="3" applyNumberFormat="1" applyFont="1" applyFill="1" applyBorder="1" applyAlignment="1" applyProtection="1">
      <alignment horizontal="left" vertical="top" wrapText="1"/>
      <protection locked="0"/>
    </xf>
    <xf numFmtId="0" fontId="4" fillId="20" borderId="10" xfId="0" applyFont="1" applyFill="1" applyBorder="1" applyAlignment="1">
      <alignment horizontal="center" vertical="center"/>
    </xf>
    <xf numFmtId="0" fontId="4" fillId="20" borderId="10" xfId="0" applyFont="1" applyFill="1" applyBorder="1" applyAlignment="1">
      <alignment horizontal="center" vertical="center" wrapText="1"/>
    </xf>
    <xf numFmtId="166" fontId="2" fillId="22" borderId="2" xfId="0" applyNumberFormat="1" applyFont="1" applyFill="1" applyBorder="1" applyAlignment="1" applyProtection="1">
      <alignment horizontal="left" vertical="top" wrapText="1"/>
      <protection locked="0"/>
    </xf>
    <xf numFmtId="166" fontId="2" fillId="22" borderId="29" xfId="0" applyNumberFormat="1" applyFont="1" applyFill="1" applyBorder="1" applyAlignment="1" applyProtection="1">
      <alignment horizontal="left" vertical="top" wrapText="1"/>
      <protection locked="0"/>
    </xf>
    <xf numFmtId="166" fontId="2" fillId="22" borderId="44" xfId="0" applyNumberFormat="1" applyFont="1" applyFill="1" applyBorder="1" applyAlignment="1" applyProtection="1">
      <alignment horizontal="left" vertical="top" wrapText="1"/>
      <protection locked="0"/>
    </xf>
    <xf numFmtId="166" fontId="2" fillId="22" borderId="45" xfId="0" applyNumberFormat="1" applyFont="1" applyFill="1" applyBorder="1" applyAlignment="1" applyProtection="1">
      <alignment horizontal="left" vertical="top" wrapText="1"/>
      <protection locked="0"/>
    </xf>
    <xf numFmtId="49" fontId="2" fillId="22" borderId="2" xfId="0" applyNumberFormat="1" applyFont="1" applyFill="1" applyBorder="1" applyAlignment="1" applyProtection="1">
      <alignment horizontal="left" vertical="top" wrapText="1" indent="1"/>
      <protection locked="0"/>
    </xf>
    <xf numFmtId="49" fontId="2" fillId="22" borderId="29" xfId="0" applyNumberFormat="1" applyFont="1" applyFill="1" applyBorder="1" applyAlignment="1" applyProtection="1">
      <alignment horizontal="left" vertical="top" wrapText="1" indent="1"/>
      <protection locked="0"/>
    </xf>
    <xf numFmtId="49" fontId="2" fillId="22" borderId="44" xfId="0" applyNumberFormat="1" applyFont="1" applyFill="1" applyBorder="1" applyAlignment="1" applyProtection="1">
      <alignment horizontal="left" vertical="top" wrapText="1" indent="1"/>
      <protection locked="0"/>
    </xf>
    <xf numFmtId="49" fontId="2" fillId="22" borderId="45" xfId="0" applyNumberFormat="1" applyFont="1" applyFill="1" applyBorder="1" applyAlignment="1" applyProtection="1">
      <alignment horizontal="left" vertical="top" wrapText="1" indent="1"/>
      <protection locked="0"/>
    </xf>
    <xf numFmtId="0" fontId="4" fillId="0" borderId="0" xfId="0" applyFont="1" applyBorder="1" applyAlignment="1">
      <alignment horizontal="center" vertical="center" wrapText="1"/>
    </xf>
    <xf numFmtId="0" fontId="4" fillId="0" borderId="27" xfId="0" applyFont="1" applyBorder="1" applyAlignment="1">
      <alignment horizontal="center" vertical="center" wrapText="1"/>
    </xf>
    <xf numFmtId="0" fontId="4" fillId="20" borderId="23" xfId="2" applyFont="1" applyFill="1" applyBorder="1" applyAlignment="1">
      <alignment horizontal="center" vertical="center" wrapText="1"/>
    </xf>
    <xf numFmtId="0" fontId="4" fillId="20" borderId="24" xfId="2" applyFont="1" applyFill="1" applyBorder="1" applyAlignment="1">
      <alignment horizontal="center" vertical="center" wrapText="1"/>
    </xf>
    <xf numFmtId="0" fontId="2" fillId="22" borderId="2" xfId="0" applyFont="1" applyFill="1" applyBorder="1" applyAlignment="1" applyProtection="1">
      <alignment horizontal="left" vertical="top" wrapText="1" indent="1"/>
      <protection locked="0"/>
    </xf>
    <xf numFmtId="0" fontId="2" fillId="22" borderId="29" xfId="0" applyFont="1" applyFill="1" applyBorder="1" applyAlignment="1" applyProtection="1">
      <alignment horizontal="left" vertical="top" wrapText="1" indent="1"/>
      <protection locked="0"/>
    </xf>
    <xf numFmtId="0" fontId="2" fillId="22" borderId="25" xfId="0" applyFont="1" applyFill="1" applyBorder="1" applyAlignment="1" applyProtection="1">
      <alignment horizontal="left" vertical="top" wrapText="1" indent="1"/>
      <protection locked="0"/>
    </xf>
    <xf numFmtId="0" fontId="2" fillId="22" borderId="41" xfId="0" applyFont="1" applyFill="1" applyBorder="1" applyAlignment="1" applyProtection="1">
      <alignment horizontal="left" vertical="top" wrapText="1" indent="1"/>
      <protection locked="0"/>
    </xf>
    <xf numFmtId="0" fontId="34" fillId="35" borderId="55" xfId="14" applyFont="1" applyFill="1" applyBorder="1" applyAlignment="1">
      <alignment horizontal="center"/>
    </xf>
    <xf numFmtId="0" fontId="34" fillId="35" borderId="54" xfId="14" applyFont="1" applyFill="1" applyBorder="1" applyAlignment="1">
      <alignment horizontal="center"/>
    </xf>
    <xf numFmtId="0" fontId="34" fillId="28" borderId="55" xfId="14" applyFont="1" applyFill="1" applyBorder="1" applyAlignment="1">
      <alignment horizontal="center"/>
    </xf>
    <xf numFmtId="0" fontId="34" fillId="28" borderId="54" xfId="14" applyFont="1" applyFill="1" applyBorder="1" applyAlignment="1">
      <alignment horizontal="center"/>
    </xf>
    <xf numFmtId="0" fontId="34" fillId="29" borderId="55" xfId="14" applyFont="1" applyFill="1" applyBorder="1" applyAlignment="1">
      <alignment horizontal="center"/>
    </xf>
    <xf numFmtId="0" fontId="34" fillId="29" borderId="54" xfId="14" applyFont="1" applyFill="1" applyBorder="1" applyAlignment="1">
      <alignment horizontal="center"/>
    </xf>
    <xf numFmtId="0" fontId="34" fillId="30" borderId="55" xfId="14" applyFont="1" applyFill="1" applyBorder="1" applyAlignment="1">
      <alignment horizontal="center"/>
    </xf>
    <xf numFmtId="0" fontId="34" fillId="30" borderId="54" xfId="14" applyFont="1" applyFill="1" applyBorder="1" applyAlignment="1">
      <alignment horizontal="center"/>
    </xf>
    <xf numFmtId="0" fontId="34" fillId="33" borderId="55" xfId="14" applyFont="1" applyFill="1" applyBorder="1" applyAlignment="1">
      <alignment horizontal="center"/>
    </xf>
    <xf numFmtId="0" fontId="34" fillId="33" borderId="54" xfId="14" applyFont="1" applyFill="1" applyBorder="1" applyAlignment="1">
      <alignment horizontal="center"/>
    </xf>
    <xf numFmtId="0" fontId="34" fillId="34" borderId="55" xfId="14" applyFont="1" applyFill="1" applyBorder="1" applyAlignment="1">
      <alignment horizontal="center"/>
    </xf>
    <xf numFmtId="0" fontId="34" fillId="34" borderId="54" xfId="14" applyFont="1" applyFill="1" applyBorder="1" applyAlignment="1">
      <alignment horizontal="center"/>
    </xf>
    <xf numFmtId="0" fontId="64" fillId="21" borderId="28" xfId="6" applyFont="1" applyFill="1" applyBorder="1" applyAlignment="1">
      <alignment horizontal="center" vertical="center" wrapText="1"/>
    </xf>
    <xf numFmtId="0" fontId="64" fillId="21" borderId="29" xfId="6" applyFont="1" applyFill="1" applyBorder="1" applyAlignment="1">
      <alignment horizontal="center" vertical="center" wrapText="1"/>
    </xf>
    <xf numFmtId="0" fontId="47" fillId="22" borderId="2" xfId="6" applyFont="1" applyFill="1" applyBorder="1" applyAlignment="1">
      <alignment horizontal="left" vertical="center" wrapText="1"/>
    </xf>
    <xf numFmtId="0" fontId="47" fillId="22" borderId="28" xfId="6" applyFont="1" applyFill="1" applyBorder="1" applyAlignment="1">
      <alignment horizontal="left" vertical="center" wrapText="1"/>
    </xf>
    <xf numFmtId="0" fontId="47" fillId="22" borderId="29" xfId="6" applyFont="1" applyFill="1" applyBorder="1" applyAlignment="1">
      <alignment horizontal="left" vertical="center" wrapText="1"/>
    </xf>
    <xf numFmtId="0" fontId="47" fillId="22" borderId="21" xfId="6" applyFont="1" applyFill="1" applyBorder="1" applyAlignment="1">
      <alignment horizontal="left" vertical="center" wrapText="1"/>
    </xf>
    <xf numFmtId="0" fontId="47" fillId="22" borderId="37" xfId="6" applyFont="1" applyFill="1" applyBorder="1" applyAlignment="1">
      <alignment horizontal="left" vertical="center" wrapText="1"/>
    </xf>
    <xf numFmtId="0" fontId="47" fillId="22" borderId="40" xfId="6" applyFont="1" applyFill="1" applyBorder="1" applyAlignment="1">
      <alignment horizontal="left" vertical="center" wrapText="1"/>
    </xf>
    <xf numFmtId="0" fontId="47" fillId="22" borderId="12" xfId="6" applyFont="1" applyFill="1" applyBorder="1" applyAlignment="1">
      <alignment horizontal="left" vertical="center" wrapText="1"/>
    </xf>
    <xf numFmtId="0" fontId="47" fillId="22" borderId="27" xfId="6" applyFont="1" applyFill="1" applyBorder="1" applyAlignment="1">
      <alignment horizontal="left" vertical="center" wrapText="1"/>
    </xf>
    <xf numFmtId="0" fontId="47" fillId="22" borderId="46" xfId="6" applyFont="1" applyFill="1" applyBorder="1" applyAlignment="1">
      <alignment horizontal="left" vertical="center" wrapText="1"/>
    </xf>
    <xf numFmtId="0" fontId="102" fillId="21" borderId="26" xfId="6" applyFont="1" applyFill="1" applyBorder="1" applyAlignment="1">
      <alignment horizontal="center" vertical="center" wrapText="1"/>
    </xf>
    <xf numFmtId="0" fontId="102" fillId="21" borderId="47" xfId="6" applyFont="1" applyFill="1" applyBorder="1" applyAlignment="1">
      <alignment horizontal="center" vertical="center" wrapText="1"/>
    </xf>
    <xf numFmtId="0" fontId="100" fillId="21" borderId="14" xfId="6" applyFont="1" applyFill="1" applyBorder="1" applyAlignment="1">
      <alignment horizontal="center" vertical="center" wrapText="1"/>
    </xf>
    <xf numFmtId="0" fontId="100" fillId="21" borderId="26" xfId="6" applyFont="1" applyFill="1" applyBorder="1" applyAlignment="1">
      <alignment horizontal="center" vertical="center" wrapText="1"/>
    </xf>
    <xf numFmtId="0" fontId="100" fillId="21" borderId="47" xfId="6" applyFont="1" applyFill="1" applyBorder="1" applyAlignment="1">
      <alignment horizontal="center" vertical="center" wrapText="1"/>
    </xf>
    <xf numFmtId="0" fontId="47" fillId="22" borderId="44" xfId="6" applyFont="1" applyFill="1" applyBorder="1" applyAlignment="1">
      <alignment horizontal="left" vertical="center" wrapText="1"/>
    </xf>
    <xf numFmtId="0" fontId="47" fillId="22" borderId="79" xfId="6" applyFont="1" applyFill="1" applyBorder="1" applyAlignment="1">
      <alignment horizontal="left" vertical="center" wrapText="1"/>
    </xf>
    <xf numFmtId="0" fontId="47" fillId="22" borderId="45" xfId="6" applyFont="1" applyFill="1" applyBorder="1" applyAlignment="1">
      <alignment horizontal="left" vertical="center" wrapText="1"/>
    </xf>
    <xf numFmtId="0" fontId="25" fillId="0" borderId="0" xfId="6" applyNumberFormat="1" applyFont="1" applyBorder="1" applyAlignment="1">
      <alignment horizontal="left" vertical="top" wrapText="1" indent="1"/>
    </xf>
    <xf numFmtId="0" fontId="37" fillId="22" borderId="2" xfId="6" applyFont="1" applyFill="1" applyBorder="1" applyAlignment="1">
      <alignment horizontal="left" vertical="center" indent="1"/>
    </xf>
    <xf numFmtId="0" fontId="37" fillId="22" borderId="28" xfId="6" applyFont="1" applyFill="1" applyBorder="1" applyAlignment="1">
      <alignment horizontal="left" vertical="center" indent="1"/>
    </xf>
    <xf numFmtId="0" fontId="37" fillId="22" borderId="29" xfId="6" applyFont="1" applyFill="1" applyBorder="1" applyAlignment="1">
      <alignment horizontal="left" vertical="center" indent="1"/>
    </xf>
    <xf numFmtId="0" fontId="55" fillId="22" borderId="2" xfId="0" applyFont="1" applyFill="1" applyBorder="1" applyAlignment="1" applyProtection="1">
      <alignment horizontal="left"/>
      <protection locked="0"/>
    </xf>
    <xf numFmtId="0" fontId="55" fillId="22" borderId="29" xfId="0" applyFont="1" applyFill="1" applyBorder="1" applyAlignment="1" applyProtection="1">
      <alignment horizontal="left"/>
      <protection locked="0"/>
    </xf>
    <xf numFmtId="0" fontId="55" fillId="22" borderId="1" xfId="0" applyFont="1" applyFill="1" applyBorder="1" applyAlignment="1" applyProtection="1">
      <protection locked="0"/>
    </xf>
    <xf numFmtId="0" fontId="55" fillId="22" borderId="1" xfId="0" applyFont="1" applyFill="1" applyBorder="1" applyProtection="1">
      <protection locked="0"/>
    </xf>
    <xf numFmtId="0" fontId="35" fillId="22" borderId="1" xfId="0" applyFont="1" applyFill="1" applyBorder="1" applyAlignment="1" applyProtection="1">
      <protection locked="0"/>
    </xf>
    <xf numFmtId="0" fontId="32" fillId="22" borderId="1" xfId="0" applyFont="1" applyFill="1" applyBorder="1" applyAlignment="1" applyProtection="1">
      <alignment horizontal="center"/>
      <protection locked="0"/>
    </xf>
    <xf numFmtId="0" fontId="37" fillId="22" borderId="1" xfId="0" applyFont="1" applyFill="1" applyBorder="1" applyProtection="1">
      <protection locked="0"/>
    </xf>
    <xf numFmtId="168" fontId="4" fillId="22" borderId="1" xfId="0" applyNumberFormat="1" applyFont="1" applyFill="1" applyBorder="1" applyAlignment="1" applyProtection="1">
      <alignment horizontal="center"/>
      <protection locked="0"/>
    </xf>
    <xf numFmtId="0" fontId="4" fillId="22" borderId="1" xfId="0" applyFont="1" applyFill="1" applyBorder="1" applyAlignment="1" applyProtection="1">
      <alignment horizontal="center"/>
      <protection locked="0"/>
    </xf>
    <xf numFmtId="3" fontId="32" fillId="13" borderId="96" xfId="0" applyNumberFormat="1" applyFont="1" applyFill="1" applyBorder="1" applyAlignment="1" applyProtection="1">
      <alignment horizontal="right" vertical="top" wrapText="1" indent="1"/>
    </xf>
    <xf numFmtId="3" fontId="32" fillId="13" borderId="92" xfId="0" applyNumberFormat="1" applyFont="1" applyFill="1" applyBorder="1" applyAlignment="1" applyProtection="1">
      <alignment horizontal="right" vertical="top" wrapText="1" indent="1"/>
    </xf>
    <xf numFmtId="3" fontId="32" fillId="13" borderId="59" xfId="0" applyNumberFormat="1" applyFont="1" applyFill="1" applyBorder="1" applyAlignment="1" applyProtection="1">
      <alignment horizontal="right" vertical="top" wrapText="1" indent="1"/>
    </xf>
    <xf numFmtId="42" fontId="0" fillId="50" borderId="1" xfId="0" applyNumberFormat="1" applyFill="1" applyBorder="1"/>
    <xf numFmtId="42" fontId="0" fillId="51" borderId="1" xfId="0" applyNumberFormat="1" applyFill="1" applyBorder="1"/>
    <xf numFmtId="0" fontId="7" fillId="28" borderId="25" xfId="0" applyFont="1" applyFill="1" applyBorder="1" applyAlignment="1">
      <alignment horizontal="left" vertical="center"/>
    </xf>
    <xf numFmtId="0" fontId="7" fillId="28" borderId="2" xfId="0" applyFont="1" applyFill="1" applyBorder="1" applyAlignment="1">
      <alignment horizontal="left" vertical="center"/>
    </xf>
    <xf numFmtId="0" fontId="98" fillId="20" borderId="0" xfId="6" applyFont="1" applyFill="1" applyBorder="1" applyAlignment="1">
      <alignment horizontal="center" vertical="center" wrapText="1"/>
    </xf>
    <xf numFmtId="49" fontId="2" fillId="0" borderId="0" xfId="0" applyNumberFormat="1" applyFont="1" applyAlignment="1">
      <alignment vertical="top"/>
    </xf>
    <xf numFmtId="180" fontId="13" fillId="22" borderId="1" xfId="0" applyNumberFormat="1" applyFont="1" applyFill="1" applyBorder="1"/>
    <xf numFmtId="10" fontId="5" fillId="13" borderId="13" xfId="9" applyNumberFormat="1" applyFont="1" applyFill="1" applyBorder="1"/>
    <xf numFmtId="0" fontId="37" fillId="25" borderId="28" xfId="10" applyFont="1" applyFill="1" applyBorder="1" applyAlignment="1" applyProtection="1">
      <alignment horizontal="center" vertical="center" wrapText="1"/>
    </xf>
    <xf numFmtId="3" fontId="32" fillId="13" borderId="57" xfId="0" applyNumberFormat="1" applyFont="1" applyFill="1" applyBorder="1" applyAlignment="1" applyProtection="1">
      <alignment horizontal="right" vertical="top" wrapText="1" indent="1"/>
    </xf>
  </cellXfs>
  <cellStyles count="17">
    <cellStyle name="Comma" xfId="16" builtinId="3"/>
    <cellStyle name="Comma 2" xfId="12"/>
    <cellStyle name="Currency" xfId="13" builtinId="4"/>
    <cellStyle name="Currency 2" xfId="8"/>
    <cellStyle name="Currency 2 2" xfId="7"/>
    <cellStyle name="Currency 3" xfId="5"/>
    <cellStyle name="Currency 4" xfId="15"/>
    <cellStyle name="Normal" xfId="0" builtinId="0"/>
    <cellStyle name="Normal 11" xfId="10"/>
    <cellStyle name="Normal 2" xfId="3"/>
    <cellStyle name="Normal 3" xfId="11"/>
    <cellStyle name="Normal 3 2" xfId="6"/>
    <cellStyle name="Normal 4" xfId="4"/>
    <cellStyle name="Normal 5" xfId="14"/>
    <cellStyle name="Normal_020719 NIHprop SLD Costing1-lowOH" xfId="1"/>
    <cellStyle name="Normal_020812 Navy LowCostCS Costing" xfId="2"/>
    <cellStyle name="Percent" xfId="9" builtinId="5"/>
  </cellStyles>
  <dxfs count="71">
    <dxf>
      <fill>
        <gradientFill degree="225">
          <stop position="0">
            <color theme="0"/>
          </stop>
          <stop position="1">
            <color rgb="FFFF0000"/>
          </stop>
        </gradient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theme="1"/>
      </font>
      <fill>
        <patternFill>
          <bgColor theme="6" tint="0.39994506668294322"/>
        </patternFill>
      </fill>
    </dxf>
    <dxf>
      <font>
        <b/>
        <i val="0"/>
        <color theme="0"/>
      </font>
      <fill>
        <patternFill>
          <bgColor rgb="FFFF0000"/>
        </patternFill>
      </fill>
    </dxf>
    <dxf>
      <font>
        <b/>
        <i val="0"/>
        <color theme="0"/>
      </font>
      <fill>
        <patternFill>
          <bgColor rgb="FFFF0000"/>
        </patternFill>
      </fill>
    </dxf>
    <dxf>
      <font>
        <b/>
        <i val="0"/>
        <color auto="1"/>
      </font>
      <fill>
        <patternFill>
          <bgColor theme="6" tint="0.39994506668294322"/>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theme="1"/>
      </font>
      <fill>
        <patternFill>
          <bgColor theme="6" tint="0.39994506668294322"/>
        </patternFill>
      </fill>
    </dxf>
    <dxf>
      <font>
        <b/>
        <i val="0"/>
        <color theme="0"/>
      </font>
      <fill>
        <patternFill>
          <bgColor rgb="FFFF000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rgb="FFFF0000"/>
      </font>
      <fill>
        <patternFill>
          <bgColor theme="0"/>
        </patternFill>
      </fill>
    </dxf>
    <dxf>
      <font>
        <b/>
        <i val="0"/>
        <color rgb="FF00B050"/>
      </font>
      <fill>
        <patternFill>
          <bgColor theme="0"/>
        </patternFill>
      </fill>
    </dxf>
    <dxf>
      <font>
        <b/>
        <i val="0"/>
        <color theme="0"/>
      </font>
      <fill>
        <patternFill>
          <bgColor rgb="FFFF0000"/>
        </patternFill>
      </fill>
    </dxf>
    <dxf>
      <font>
        <b/>
        <i val="0"/>
        <color auto="1"/>
      </font>
      <fill>
        <patternFill>
          <bgColor theme="6" tint="0.39994506668294322"/>
        </patternFill>
      </fill>
    </dxf>
    <dxf>
      <fill>
        <gradientFill degree="225">
          <stop position="0">
            <color theme="0"/>
          </stop>
          <stop position="1">
            <color rgb="FFFF0000"/>
          </stop>
        </gradientFill>
      </fill>
    </dxf>
    <dxf>
      <fill>
        <patternFill>
          <bgColor rgb="FFFFFF00"/>
        </patternFill>
      </fill>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D5FF"/>
      <color rgb="FF85E8FF"/>
      <color rgb="FFFFFFAF"/>
      <color rgb="FFCCFFCC"/>
      <color rgb="FFECECEC"/>
      <color rgb="FF9FE6FF"/>
      <color rgb="FFA3D1FF"/>
      <color rgb="FFCDC800"/>
      <color rgb="FF000000"/>
      <color rgb="FFFBE8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theme" Target="theme/theme1.xml"/><Relationship Id="rId40" Type="http://schemas.openxmlformats.org/officeDocument/2006/relationships/calcChain" Target="calcChain.xml"/><Relationship Id="rId45"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2</xdr:col>
      <xdr:colOff>1231900</xdr:colOff>
      <xdr:row>21</xdr:row>
      <xdr:rowOff>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117725" y="346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1231900</xdr:colOff>
      <xdr:row>21</xdr:row>
      <xdr:rowOff>0</xdr:rowOff>
    </xdr:from>
    <xdr:ext cx="184731" cy="264560"/>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2654300" y="459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1231900</xdr:colOff>
      <xdr:row>21</xdr:row>
      <xdr:rowOff>0</xdr:rowOff>
    </xdr:from>
    <xdr:ext cx="184731" cy="264560"/>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2654300" y="459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8" name="TextBox 7">
          <a:extLst>
            <a:ext uri="{FF2B5EF4-FFF2-40B4-BE49-F238E27FC236}">
              <a16:creationId xmlns:a16="http://schemas.microsoft.com/office/drawing/2014/main" id="{00000000-0008-0000-0200-000002000000}"/>
            </a:ext>
          </a:extLst>
        </xdr:cNvPr>
        <xdr:cNvSpPr txBox="1"/>
      </xdr:nvSpPr>
      <xdr:spPr>
        <a:xfrm>
          <a:off x="135096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9" name="TextBox 8">
          <a:extLst>
            <a:ext uri="{FF2B5EF4-FFF2-40B4-BE49-F238E27FC236}">
              <a16:creationId xmlns:a16="http://schemas.microsoft.com/office/drawing/2014/main" id="{00000000-0008-0000-0200-000003000000}"/>
            </a:ext>
          </a:extLst>
        </xdr:cNvPr>
        <xdr:cNvSpPr txBox="1"/>
      </xdr:nvSpPr>
      <xdr:spPr>
        <a:xfrm>
          <a:off x="135096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10" name="TextBox 9">
          <a:extLst>
            <a:ext uri="{FF2B5EF4-FFF2-40B4-BE49-F238E27FC236}">
              <a16:creationId xmlns:a16="http://schemas.microsoft.com/office/drawing/2014/main" id="{00000000-0008-0000-0200-000004000000}"/>
            </a:ext>
          </a:extLst>
        </xdr:cNvPr>
        <xdr:cNvSpPr txBox="1"/>
      </xdr:nvSpPr>
      <xdr:spPr>
        <a:xfrm>
          <a:off x="135096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1231900</xdr:colOff>
      <xdr:row>0</xdr:row>
      <xdr:rowOff>101600</xdr:rowOff>
    </xdr:from>
    <xdr:ext cx="184731" cy="264560"/>
    <xdr:sp macro="" textlink="">
      <xdr:nvSpPr>
        <xdr:cNvPr id="5" name="TextBox 4">
          <a:extLst>
            <a:ext uri="{FF2B5EF4-FFF2-40B4-BE49-F238E27FC236}">
              <a16:creationId xmlns:a16="http://schemas.microsoft.com/office/drawing/2014/main" id="{00000000-0008-0000-0200-000002000000}"/>
            </a:ext>
          </a:extLst>
        </xdr:cNvPr>
        <xdr:cNvSpPr txBox="1"/>
      </xdr:nvSpPr>
      <xdr:spPr>
        <a:xfrm>
          <a:off x="125190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6" name="TextBox 5">
          <a:extLst>
            <a:ext uri="{FF2B5EF4-FFF2-40B4-BE49-F238E27FC236}">
              <a16:creationId xmlns:a16="http://schemas.microsoft.com/office/drawing/2014/main" id="{00000000-0008-0000-0200-000003000000}"/>
            </a:ext>
          </a:extLst>
        </xdr:cNvPr>
        <xdr:cNvSpPr txBox="1"/>
      </xdr:nvSpPr>
      <xdr:spPr>
        <a:xfrm>
          <a:off x="125190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7" name="TextBox 6">
          <a:extLst>
            <a:ext uri="{FF2B5EF4-FFF2-40B4-BE49-F238E27FC236}">
              <a16:creationId xmlns:a16="http://schemas.microsoft.com/office/drawing/2014/main" id="{00000000-0008-0000-0200-000004000000}"/>
            </a:ext>
          </a:extLst>
        </xdr:cNvPr>
        <xdr:cNvSpPr txBox="1"/>
      </xdr:nvSpPr>
      <xdr:spPr>
        <a:xfrm>
          <a:off x="12519025" y="10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1231900</xdr:colOff>
      <xdr:row>0</xdr:row>
      <xdr:rowOff>101600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1231900</xdr:colOff>
      <xdr:row>0</xdr:row>
      <xdr:rowOff>101600</xdr:rowOff>
    </xdr:from>
    <xdr:ext cx="184731" cy="26456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2862560" y="1041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114301</xdr:colOff>
      <xdr:row>1</xdr:row>
      <xdr:rowOff>57150</xdr:rowOff>
    </xdr:from>
    <xdr:to>
      <xdr:col>6</xdr:col>
      <xdr:colOff>409575</xdr:colOff>
      <xdr:row>5</xdr:row>
      <xdr:rowOff>81084</xdr:rowOff>
    </xdr:to>
    <xdr:sp macro="" textlink="">
      <xdr:nvSpPr>
        <xdr:cNvPr id="2" name="TextBox 1"/>
        <xdr:cNvSpPr txBox="1"/>
      </xdr:nvSpPr>
      <xdr:spPr>
        <a:xfrm>
          <a:off x="3343276" y="295275"/>
          <a:ext cx="5286374" cy="671634"/>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latin typeface="+mn-lt"/>
            </a:rPr>
            <a:t>Enter accounting period (Proposer FY) data below and name</a:t>
          </a:r>
          <a:r>
            <a:rPr lang="en-US" sz="1600" b="1" i="1" baseline="0">
              <a:latin typeface="+mn-lt"/>
            </a:rPr>
            <a:t> each period if prefer to use if different than below.</a:t>
          </a:r>
          <a:endParaRPr lang="en-US" sz="1600" b="1" i="1">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288054</xdr:colOff>
      <xdr:row>0</xdr:row>
      <xdr:rowOff>158751</xdr:rowOff>
    </xdr:from>
    <xdr:to>
      <xdr:col>5</xdr:col>
      <xdr:colOff>3126153</xdr:colOff>
      <xdr:row>4</xdr:row>
      <xdr:rowOff>0</xdr:rowOff>
    </xdr:to>
    <xdr:sp macro="" textlink="">
      <xdr:nvSpPr>
        <xdr:cNvPr id="2" name="TextBox 1"/>
        <xdr:cNvSpPr txBox="1"/>
      </xdr:nvSpPr>
      <xdr:spPr>
        <a:xfrm>
          <a:off x="4330073" y="158751"/>
          <a:ext cx="10726753" cy="671634"/>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latin typeface="+mn-lt"/>
            </a:rPr>
            <a:t>Provide labor category title and narrative description of related qualifications, duties, and responsibilities that category will perform. Identify major concrete tasks that relate to overall phase objectives identified in Technical Proposal and SOW.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1</xdr:row>
      <xdr:rowOff>66675</xdr:rowOff>
    </xdr:from>
    <xdr:to>
      <xdr:col>9</xdr:col>
      <xdr:colOff>1933575</xdr:colOff>
      <xdr:row>6</xdr:row>
      <xdr:rowOff>9526</xdr:rowOff>
    </xdr:to>
    <xdr:sp macro="" textlink="">
      <xdr:nvSpPr>
        <xdr:cNvPr id="2" name="TextBox 1"/>
        <xdr:cNvSpPr txBox="1"/>
      </xdr:nvSpPr>
      <xdr:spPr>
        <a:xfrm>
          <a:off x="3105150" y="304800"/>
          <a:ext cx="7981950" cy="942976"/>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latin typeface="+mn-lt"/>
            </a:rPr>
            <a:t>Identify</a:t>
          </a:r>
          <a:r>
            <a:rPr lang="en-US" sz="1600" b="1" i="1" baseline="0">
              <a:latin typeface="+mn-lt"/>
            </a:rPr>
            <a:t> </a:t>
          </a:r>
          <a:r>
            <a:rPr lang="en-US" sz="1600" b="1" i="1">
              <a:latin typeface="+mn-lt"/>
            </a:rPr>
            <a:t>each Indirect</a:t>
          </a:r>
          <a:r>
            <a:rPr lang="en-US" sz="1600" b="1" i="1" baseline="0">
              <a:latin typeface="+mn-lt"/>
            </a:rPr>
            <a:t> Rate category that applies to this proposal, then list the rates used within each of the accounting periods below (that correspond to the Proposer Acct. Data tab entries).  Also complete remaining columns per amplification in further instructions below.</a:t>
          </a:r>
          <a:endParaRPr lang="en-US" sz="1600" b="1" i="1">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130969</xdr:colOff>
      <xdr:row>0</xdr:row>
      <xdr:rowOff>47625</xdr:rowOff>
    </xdr:from>
    <xdr:to>
      <xdr:col>20</xdr:col>
      <xdr:colOff>762000</xdr:colOff>
      <xdr:row>1</xdr:row>
      <xdr:rowOff>119062</xdr:rowOff>
    </xdr:to>
    <xdr:sp macro="" textlink="">
      <xdr:nvSpPr>
        <xdr:cNvPr id="2" name="TextBox 1"/>
        <xdr:cNvSpPr txBox="1"/>
      </xdr:nvSpPr>
      <xdr:spPr>
        <a:xfrm>
          <a:off x="3107532" y="47625"/>
          <a:ext cx="11572874" cy="297656"/>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latin typeface="+mn-lt"/>
            </a:rPr>
            <a:t>Enter requested</a:t>
          </a:r>
          <a:r>
            <a:rPr lang="en-US" sz="1600" b="1" i="1" baseline="0">
              <a:latin typeface="+mn-lt"/>
            </a:rPr>
            <a:t> data in yellow cells. Annotate per convention if formulas are added for indirect rates.  See further instructions below</a:t>
          </a:r>
          <a:endParaRPr lang="en-US" sz="1600" b="1" i="1">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123265</xdr:colOff>
      <xdr:row>0</xdr:row>
      <xdr:rowOff>44823</xdr:rowOff>
    </xdr:from>
    <xdr:to>
      <xdr:col>21</xdr:col>
      <xdr:colOff>89646</xdr:colOff>
      <xdr:row>2</xdr:row>
      <xdr:rowOff>201705</xdr:rowOff>
    </xdr:to>
    <xdr:sp macro="" textlink="">
      <xdr:nvSpPr>
        <xdr:cNvPr id="2" name="TextBox 1"/>
        <xdr:cNvSpPr txBox="1"/>
      </xdr:nvSpPr>
      <xdr:spPr>
        <a:xfrm>
          <a:off x="6499412" y="44823"/>
          <a:ext cx="7944969" cy="593911"/>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latin typeface="+mn-lt"/>
            </a:rPr>
            <a:t>DO NOT enter</a:t>
          </a:r>
          <a:r>
            <a:rPr lang="en-US" sz="1600" b="1" i="1" baseline="0">
              <a:latin typeface="+mn-lt"/>
            </a:rPr>
            <a:t> ANY data on this tab.  All cells are formulas from other tabs. This tab is not protected to enable adding rows if necessary per the 'Workbook Change Instructions' tab.</a:t>
          </a:r>
          <a:endParaRPr lang="en-US" sz="1600" b="1" i="1">
            <a:latin typeface="+mn-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84667</xdr:colOff>
      <xdr:row>0</xdr:row>
      <xdr:rowOff>85725</xdr:rowOff>
    </xdr:from>
    <xdr:to>
      <xdr:col>18</xdr:col>
      <xdr:colOff>1217082</xdr:colOff>
      <xdr:row>7</xdr:row>
      <xdr:rowOff>63500</xdr:rowOff>
    </xdr:to>
    <xdr:sp macro="" textlink="">
      <xdr:nvSpPr>
        <xdr:cNvPr id="2" name="TextBox 1"/>
        <xdr:cNvSpPr txBox="1"/>
      </xdr:nvSpPr>
      <xdr:spPr>
        <a:xfrm>
          <a:off x="2825750" y="85725"/>
          <a:ext cx="12477749" cy="1332442"/>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600" b="1" i="1"/>
            <a:t>All cells are locked except </a:t>
          </a:r>
          <a:r>
            <a:rPr lang="en-US" sz="1600" b="1" i="1">
              <a:solidFill>
                <a:srgbClr val="FFFF00"/>
              </a:solidFill>
            </a:rPr>
            <a:t>Yellow</a:t>
          </a:r>
          <a:r>
            <a:rPr lang="en-US" sz="1600" b="1" i="1" baseline="0">
              <a:solidFill>
                <a:srgbClr val="FFFF00"/>
              </a:solidFill>
            </a:rPr>
            <a:t> </a:t>
          </a:r>
          <a:r>
            <a:rPr lang="en-US" sz="1600" b="1" i="1" baseline="0"/>
            <a:t>cells, when conditionally shown</a:t>
          </a:r>
          <a:r>
            <a:rPr lang="en-US" sz="1600" b="1" i="1"/>
            <a:t>.</a:t>
          </a:r>
          <a:r>
            <a:rPr lang="en-US" sz="1600" b="1" i="1" baseline="0"/>
            <a:t> These cells must contain a whole number (and will be rounded, if not) &gt;0.  The "Month # within Phase" column should auto-populate based on number of months entered in the "Submission Info" tab.  Enter projected Phase expenditures for each month in </a:t>
          </a:r>
          <a:r>
            <a:rPr lang="en-US" sz="1600" b="1" i="1" baseline="0">
              <a:solidFill>
                <a:srgbClr val="FFFF00"/>
              </a:solidFill>
            </a:rPr>
            <a:t>Yellow </a:t>
          </a:r>
          <a:r>
            <a:rPr lang="en-US" sz="1600" b="1" i="1" baseline="0">
              <a:solidFill>
                <a:sysClr val="windowText" lastClr="000000"/>
              </a:solidFill>
            </a:rPr>
            <a:t>cells only.  </a:t>
          </a:r>
          <a:r>
            <a:rPr lang="en-US" sz="1600" b="1" i="1" baseline="0"/>
            <a:t>An error message will be generated if the number of </a:t>
          </a:r>
          <a:r>
            <a:rPr lang="en-US" sz="1600" b="1" i="1" baseline="0">
              <a:solidFill>
                <a:srgbClr val="FFFF00"/>
              </a:solidFill>
            </a:rPr>
            <a:t>Yellow </a:t>
          </a:r>
          <a:r>
            <a:rPr lang="en-US" sz="1600" b="1" i="1" baseline="0"/>
            <a:t> cells and number of entries do not match. An error message will also be generated if the total spend plan for each phase does not match the total  Phase cost on the "Project Cost Summary" tab.</a:t>
          </a:r>
          <a:r>
            <a:rPr lang="en-US" sz="1600" b="1" i="1">
              <a:solidFill>
                <a:schemeClr val="dk1"/>
              </a:solidFill>
              <a:effectLst/>
              <a:latin typeface="+mn-lt"/>
              <a:ea typeface="+mn-ea"/>
              <a:cs typeface="+mn-cs"/>
            </a:rPr>
            <a:t>  Rounding</a:t>
          </a:r>
          <a:r>
            <a:rPr lang="en-US" sz="1600" b="1" i="1" baseline="0">
              <a:solidFill>
                <a:schemeClr val="dk1"/>
              </a:solidFill>
              <a:effectLst/>
              <a:latin typeface="+mn-lt"/>
              <a:ea typeface="+mn-ea"/>
              <a:cs typeface="+mn-cs"/>
            </a:rPr>
            <a:t> errors may require minor adjustments to monthly entries. </a:t>
          </a:r>
          <a:endParaRPr lang="en-US" sz="1600" b="1" i="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494393</xdr:colOff>
      <xdr:row>0</xdr:row>
      <xdr:rowOff>98084</xdr:rowOff>
    </xdr:from>
    <xdr:to>
      <xdr:col>12</xdr:col>
      <xdr:colOff>1460500</xdr:colOff>
      <xdr:row>5</xdr:row>
      <xdr:rowOff>158749</xdr:rowOff>
    </xdr:to>
    <xdr:sp macro="" textlink="">
      <xdr:nvSpPr>
        <xdr:cNvPr id="3" name="TextBox 2"/>
        <xdr:cNvSpPr txBox="1"/>
      </xdr:nvSpPr>
      <xdr:spPr>
        <a:xfrm>
          <a:off x="6320518" y="98084"/>
          <a:ext cx="13412107" cy="1854540"/>
        </a:xfrm>
        <a:prstGeom prst="rect">
          <a:avLst/>
        </a:prstGeom>
        <a:solidFill>
          <a:srgbClr val="9FE6FF"/>
        </a:solidFill>
        <a:ln w="25400" cmpd="sng">
          <a:solidFill>
            <a:srgbClr val="C00000"/>
          </a:solidFill>
        </a:ln>
        <a:effectLst>
          <a:outerShdw blurRad="292100" dist="127000" dir="5400000" sx="102000" sy="102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n-US" sz="1600" b="1" i="1">
              <a:solidFill>
                <a:sysClr val="windowText" lastClr="000000"/>
              </a:solidFill>
              <a:latin typeface="+mn-lt"/>
            </a:rPr>
            <a:t>When required,</a:t>
          </a:r>
          <a:r>
            <a:rPr lang="en-US" sz="1600" b="1" i="1" baseline="0">
              <a:solidFill>
                <a:sysClr val="windowText" lastClr="000000"/>
              </a:solidFill>
              <a:latin typeface="+mn-lt"/>
            </a:rPr>
            <a:t> this tab is designed to allow the sub-tasks that comprise a task to be enumerated/expounded upon per the column designations below.  The task cost is a subtotaled value of the subtasks under it. Note that each task has a sequential numbering scheme within a Phase. Also note that column C is shown with an EXAMPLE color-coding scheme that should be updated per the requirements of the Proposer's entries. The color-coding applies to the Proposer FY that the work is planned for execution. Because  the Phase Cost tables  require entries by Performer FY within each Phase, the Data Validation Table in this workbook below the Task Entry Table allows for easy summing of all the common color-coded sub-task costs within a Phase. This allows for cross-referencing entries made in the Phase Cost Tables from other entries. See Notes discussions below for more amplification. </a:t>
          </a:r>
          <a:endParaRPr lang="en-US" sz="1600" b="1" i="1">
            <a:solidFill>
              <a:sysClr val="windowText" lastClr="000000"/>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lc-files\Shared\Documents%20and%20Settings\cam38238\Local%20Settings\Temporary%20Internet%20Files\OLKE8\4182%20PEO%20STRI%20S&amp;T%20200708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r1\cmo-guest\Cost_Proposal_Spreadsheet\Current_Baseline\DARPA%20Standard%20Cost%20Proposal%20Spreadsheet%20(Multiple%20TAs)_07-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ler1\cmo_homes\CMO_Guest\dbreen\Documents\Cost%20Proposal%20Standards\Source%20of%20new%20Travel%20ta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iler1\cmo-guest\Cost_Proposal_Spreadsheet\Developing\DARPA%20Standard%20Cost%20Proposal%20Spreadsheet%20(Single%20TA)_DRAF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ouglas.e.weatherfor/Desktop/BAA%20IPT%20Mtg%20Docs/Encl+Annexes%20in%20progress/Cost.Prop.Template_AmSys-v27.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douglas.e.weatherfor/Desktop/BAA%20IPT%20Mtg%20Docs/Encl+Annexes%20in%20progress/BAA_Cost_Tables_v27_SAMPLE.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hristopher.c.shelle/AppData/Local/Microsoft/Windows/INetCache/Content.Outlook/KPASSMV1/Cost.Prop.Template_3rd.draft.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saic.com\ics\0484-Contracts\Users\DonohueL\Proposals%202010\AFOTEC%20Fighter%20OTES\Pricing%20Files\OTES%20Fighter%20Rev%20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Checklist"/>
      <sheetName val="Review"/>
      <sheetName val="Cash Position-NPV"/>
      <sheetName val="Review (2)"/>
      <sheetName val="Title Page"/>
      <sheetName val="Proposal Cover"/>
      <sheetName val="Table 15-2"/>
      <sheetName val="Schedule 1"/>
      <sheetName val="Labor Mapping"/>
      <sheetName val="EOC"/>
      <sheetName val="WBS PM-COTR Summary"/>
      <sheetName val="WBS Summary"/>
      <sheetName val="WBS PM Summary"/>
      <sheetName val="WBS"/>
      <sheetName val="SF 26"/>
      <sheetName val="SF 33"/>
      <sheetName val="SF 1447"/>
      <sheetName val="WBS Customer Summary"/>
      <sheetName val="Price"/>
      <sheetName val="Cost"/>
      <sheetName val="T&amp;M Rates"/>
      <sheetName val="Hours by Month"/>
      <sheetName val="Price by Month"/>
      <sheetName val="Cost Detail"/>
      <sheetName val="Cost Detail by CY"/>
      <sheetName val="EOC Detail"/>
      <sheetName val="Proposed"/>
      <sheetName val="Labor"/>
      <sheetName val="ODC"/>
      <sheetName val="Sub"/>
      <sheetName val="Matl"/>
      <sheetName val="GSA Price"/>
      <sheetName val="GSA comparison"/>
      <sheetName val="DD1861 Phase 1"/>
      <sheetName val="DD1547"/>
      <sheetName val="WGL min-mid-max"/>
      <sheetName val="DD1861 Phase 2"/>
      <sheetName val="DD1861 Phase 3"/>
      <sheetName val="Travel "/>
      <sheetName val="Direct Rate Detail"/>
      <sheetName val="Indirect Rate Detail"/>
      <sheetName val="Travel  (burdened)"/>
      <sheetName val="ODC List"/>
      <sheetName val="Matl List"/>
      <sheetName val="DATA"/>
      <sheetName val="GSA Option Period Rates"/>
      <sheetName val="Empl"/>
      <sheetName val="Disciplines"/>
      <sheetName val="Burden Template"/>
      <sheetName val="RATES"/>
      <sheetName val="Schedule 1 Phase 1"/>
      <sheetName val="Schedule 1 Phase 2"/>
      <sheetName val="Schedule 1 Phase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7">
          <cell r="O7" t="str">
            <v>ABADIE,CLAIRE E</v>
          </cell>
        </row>
        <row r="8">
          <cell r="O8" t="str">
            <v>ABADIE,LAUREN L</v>
          </cell>
        </row>
        <row r="9">
          <cell r="O9" t="str">
            <v>ABADIE,MICHAEL M</v>
          </cell>
        </row>
        <row r="10">
          <cell r="O10" t="str">
            <v>ABARBANEL,DAVID I</v>
          </cell>
        </row>
        <row r="11">
          <cell r="O11" t="str">
            <v>ABEITA,LEONA D</v>
          </cell>
        </row>
        <row r="12">
          <cell r="O12" t="str">
            <v>ABEL,JAMES B</v>
          </cell>
        </row>
        <row r="13">
          <cell r="O13" t="str">
            <v>ABHYANKAR,KEDAR</v>
          </cell>
        </row>
        <row r="14">
          <cell r="O14" t="str">
            <v>ACKERMAN,DENELL J</v>
          </cell>
        </row>
        <row r="15">
          <cell r="O15" t="str">
            <v>ACOSTA,JAMES J</v>
          </cell>
        </row>
        <row r="16">
          <cell r="O16" t="str">
            <v>ADAMS,ALETA M</v>
          </cell>
        </row>
        <row r="17">
          <cell r="O17" t="str">
            <v>ADEYIGA,ADELEKE O</v>
          </cell>
        </row>
        <row r="18">
          <cell r="O18" t="str">
            <v>AFZAL,YOUSEF M</v>
          </cell>
        </row>
        <row r="19">
          <cell r="O19" t="str">
            <v>AHERN,SEAN M</v>
          </cell>
        </row>
        <row r="20">
          <cell r="O20" t="str">
            <v>AHMED,FAHEEM</v>
          </cell>
        </row>
        <row r="21">
          <cell r="O21" t="str">
            <v>AHOLA,MICHAEL P</v>
          </cell>
        </row>
        <row r="22">
          <cell r="O22" t="str">
            <v>AILES-SENGERS,LYNN H</v>
          </cell>
        </row>
        <row r="23">
          <cell r="O23" t="str">
            <v>AKER,LESLIE L</v>
          </cell>
        </row>
        <row r="24">
          <cell r="O24" t="str">
            <v>ALBERTSON,CLAYTON M</v>
          </cell>
        </row>
        <row r="25">
          <cell r="O25" t="str">
            <v>ALBRIGHT,ANTHONY W</v>
          </cell>
        </row>
        <row r="26">
          <cell r="O26" t="str">
            <v>ALCORN,JOSHUA</v>
          </cell>
        </row>
        <row r="27">
          <cell r="O27" t="str">
            <v>ALEXANDER,ROBERT</v>
          </cell>
        </row>
        <row r="28">
          <cell r="O28" t="str">
            <v>ALFORD,WILLIAM J</v>
          </cell>
        </row>
        <row r="29">
          <cell r="O29" t="str">
            <v>ALLEN,JR,JAMES L</v>
          </cell>
        </row>
        <row r="30">
          <cell r="O30" t="str">
            <v>ALMASSY,ROBERT J</v>
          </cell>
        </row>
        <row r="31">
          <cell r="O31" t="str">
            <v>ALMEIDA,STEVEN M</v>
          </cell>
        </row>
        <row r="32">
          <cell r="O32" t="str">
            <v>ALPHIN,DONNA</v>
          </cell>
        </row>
        <row r="33">
          <cell r="O33" t="str">
            <v>ALTHOFF,DEBORAH L</v>
          </cell>
        </row>
        <row r="34">
          <cell r="O34" t="str">
            <v>ALZIME,ALINE</v>
          </cell>
        </row>
        <row r="35">
          <cell r="O35" t="str">
            <v>AMOS,BEVERLY J</v>
          </cell>
        </row>
        <row r="36">
          <cell r="O36" t="str">
            <v>AMOS,EUNICE I</v>
          </cell>
        </row>
        <row r="37">
          <cell r="O37" t="str">
            <v>ANDERSON,KAREN E</v>
          </cell>
        </row>
        <row r="38">
          <cell r="O38" t="str">
            <v>ANDERSON,LAURA B</v>
          </cell>
        </row>
        <row r="39">
          <cell r="O39" t="str">
            <v>ANDERSON,RICHARD W</v>
          </cell>
        </row>
        <row r="40">
          <cell r="O40" t="str">
            <v>ANDERSON,TERESA A</v>
          </cell>
        </row>
        <row r="41">
          <cell r="O41" t="str">
            <v>ANDREWS,PHILLIP B</v>
          </cell>
        </row>
        <row r="42">
          <cell r="O42" t="str">
            <v>ANDREWS,ROBERT</v>
          </cell>
        </row>
        <row r="43">
          <cell r="O43" t="str">
            <v>ANGELBECK,JOHN J</v>
          </cell>
        </row>
        <row r="44">
          <cell r="O44" t="str">
            <v>ANTONIAK,MICHAEL K</v>
          </cell>
        </row>
        <row r="45">
          <cell r="O45" t="str">
            <v>ANTONIAZZI,BAMBY L</v>
          </cell>
        </row>
        <row r="46">
          <cell r="O46" t="str">
            <v>ARI,NASIT C</v>
          </cell>
        </row>
        <row r="47">
          <cell r="O47" t="str">
            <v>ARMSTRONG,MICHAEL K</v>
          </cell>
        </row>
        <row r="48">
          <cell r="O48" t="str">
            <v>ARMSTRONG,WAYNE T</v>
          </cell>
        </row>
        <row r="49">
          <cell r="O49" t="str">
            <v>ARNOLD,THOMAS</v>
          </cell>
        </row>
        <row r="50">
          <cell r="O50" t="str">
            <v>ARRINGTON,MARCUS G</v>
          </cell>
        </row>
        <row r="51">
          <cell r="O51" t="str">
            <v>ASHCRAFT,KEITH R</v>
          </cell>
        </row>
        <row r="52">
          <cell r="O52" t="str">
            <v>ASHWORTH,STEPHEN</v>
          </cell>
        </row>
        <row r="53">
          <cell r="O53" t="str">
            <v>ATCHERSON,CORINA R</v>
          </cell>
        </row>
        <row r="54">
          <cell r="O54" t="str">
            <v>ATTKISSON,ROGER D</v>
          </cell>
        </row>
        <row r="55">
          <cell r="O55" t="str">
            <v>AURAND,JOHN F</v>
          </cell>
        </row>
        <row r="56">
          <cell r="O56" t="str">
            <v>AURAND,MATTHEW A</v>
          </cell>
        </row>
        <row r="57">
          <cell r="O57" t="str">
            <v>AUSTIN,CHARLES R</v>
          </cell>
        </row>
        <row r="58">
          <cell r="O58" t="str">
            <v>AUSTIN,EMILIE M</v>
          </cell>
        </row>
        <row r="59">
          <cell r="O59" t="str">
            <v>AZAROWSKI,CHERYL</v>
          </cell>
        </row>
        <row r="60">
          <cell r="O60" t="str">
            <v>BABER,DANIEL L</v>
          </cell>
        </row>
        <row r="61">
          <cell r="O61" t="str">
            <v>BABNICK,ROBERT D</v>
          </cell>
        </row>
        <row r="62">
          <cell r="O62" t="str">
            <v>BAILEY,ANN H</v>
          </cell>
        </row>
        <row r="63">
          <cell r="O63" t="str">
            <v>BAILEY,RAHSAAN D</v>
          </cell>
        </row>
        <row r="64">
          <cell r="O64" t="str">
            <v>BAILEY,WILLIAM S</v>
          </cell>
        </row>
        <row r="65">
          <cell r="O65" t="str">
            <v>BAILLOT,YOHAN</v>
          </cell>
        </row>
        <row r="66">
          <cell r="O66" t="str">
            <v>BAIN,SEAN</v>
          </cell>
        </row>
        <row r="67">
          <cell r="O67" t="str">
            <v>BAIR,JOHN A</v>
          </cell>
        </row>
        <row r="68">
          <cell r="O68" t="str">
            <v>BAIR,JR,THOMAS A</v>
          </cell>
        </row>
        <row r="69">
          <cell r="O69" t="str">
            <v>BAKER,BOBBY W</v>
          </cell>
        </row>
        <row r="70">
          <cell r="O70" t="str">
            <v>BAKER,COLEMAN L</v>
          </cell>
        </row>
        <row r="71">
          <cell r="O71" t="str">
            <v>BAKER,DUANE L</v>
          </cell>
        </row>
        <row r="72">
          <cell r="O72" t="str">
            <v>BAKER,PATRICK T</v>
          </cell>
        </row>
        <row r="73">
          <cell r="O73" t="str">
            <v>BAKER,ROBERT D</v>
          </cell>
        </row>
        <row r="74">
          <cell r="O74" t="str">
            <v>BAKER,SUSAN C</v>
          </cell>
        </row>
        <row r="75">
          <cell r="O75" t="str">
            <v>BALDERSON,GERALD</v>
          </cell>
        </row>
        <row r="76">
          <cell r="O76" t="str">
            <v>BALIDES,VICTORIA L</v>
          </cell>
        </row>
        <row r="77">
          <cell r="O77" t="str">
            <v>BALL,DAVID G</v>
          </cell>
        </row>
        <row r="78">
          <cell r="O78" t="str">
            <v>BALLE,CHRISTOPHER J</v>
          </cell>
        </row>
        <row r="79">
          <cell r="O79" t="str">
            <v>BANKSTON-GLOVER,LAKESHA D</v>
          </cell>
        </row>
        <row r="80">
          <cell r="O80" t="str">
            <v>BARB,RICHARD J</v>
          </cell>
        </row>
        <row r="81">
          <cell r="O81" t="str">
            <v>BARBACCIA,JOSEPH</v>
          </cell>
        </row>
        <row r="82">
          <cell r="O82" t="str">
            <v>BARBER,THOMAS</v>
          </cell>
        </row>
        <row r="83">
          <cell r="O83" t="str">
            <v>BARGLOWSKI,JENNIFER R</v>
          </cell>
        </row>
        <row r="84">
          <cell r="O84" t="str">
            <v>BARKER,DOUGLAS</v>
          </cell>
        </row>
        <row r="85">
          <cell r="O85" t="str">
            <v>BARLOW,JAMES M</v>
          </cell>
        </row>
        <row r="86">
          <cell r="O86" t="str">
            <v>BARMER,MIA M</v>
          </cell>
        </row>
        <row r="87">
          <cell r="O87" t="str">
            <v>BARNETT,DIANE V</v>
          </cell>
        </row>
        <row r="88">
          <cell r="O88" t="str">
            <v>BARNEY,GEORGE A</v>
          </cell>
        </row>
        <row r="89">
          <cell r="O89" t="str">
            <v>BARNIDGE,JENNIFER</v>
          </cell>
        </row>
        <row r="90">
          <cell r="O90" t="str">
            <v>BARRETT-FETTERS,JAMIE L</v>
          </cell>
        </row>
        <row r="91">
          <cell r="O91" t="str">
            <v>BARRY,JOHN</v>
          </cell>
        </row>
        <row r="92">
          <cell r="O92" t="str">
            <v>BARTLETT,JR,WILLARD E</v>
          </cell>
        </row>
        <row r="93">
          <cell r="O93" t="str">
            <v>BASINGER-ZIMMERMAN,BRENDA L</v>
          </cell>
        </row>
        <row r="94">
          <cell r="O94" t="str">
            <v>BASS,ERIC T</v>
          </cell>
        </row>
        <row r="95">
          <cell r="O95" t="str">
            <v>BATRA,MONTY</v>
          </cell>
        </row>
        <row r="96">
          <cell r="O96" t="str">
            <v>BAUGHMAN,DAVID W</v>
          </cell>
        </row>
        <row r="97">
          <cell r="O97" t="str">
            <v>BAUSHER,PETER M</v>
          </cell>
        </row>
        <row r="98">
          <cell r="O98" t="str">
            <v>BEAM-JONES,TINA A</v>
          </cell>
        </row>
        <row r="99">
          <cell r="O99" t="str">
            <v>BEAN,TIA M</v>
          </cell>
        </row>
        <row r="100">
          <cell r="O100" t="str">
            <v>BEECHER,BETH A</v>
          </cell>
        </row>
        <row r="101">
          <cell r="O101" t="str">
            <v>BEEKER,SCOTT A</v>
          </cell>
        </row>
        <row r="102">
          <cell r="O102" t="str">
            <v>BEGLEY,LISA H</v>
          </cell>
        </row>
        <row r="103">
          <cell r="O103" t="str">
            <v>BEHREND,RICHARD D</v>
          </cell>
        </row>
        <row r="104">
          <cell r="O104" t="str">
            <v>BELAND,RICHARD</v>
          </cell>
        </row>
        <row r="105">
          <cell r="O105" t="str">
            <v>BELANGER,RYAN C</v>
          </cell>
        </row>
        <row r="106">
          <cell r="O106" t="str">
            <v>BELL,JIMMY L</v>
          </cell>
        </row>
        <row r="107">
          <cell r="O107" t="str">
            <v>BENHALIM,HANAA F</v>
          </cell>
        </row>
        <row r="108">
          <cell r="O108" t="str">
            <v>BENHAM,VINCENT N</v>
          </cell>
        </row>
        <row r="109">
          <cell r="O109" t="str">
            <v>BENJAMIN,TEDDY W</v>
          </cell>
        </row>
        <row r="110">
          <cell r="O110" t="str">
            <v>BENNETT,KEVIN C</v>
          </cell>
        </row>
        <row r="111">
          <cell r="O111" t="str">
            <v>BERGER,CHRISTOPHER</v>
          </cell>
        </row>
        <row r="112">
          <cell r="O112" t="str">
            <v>BERGIN,KIMBERLY R</v>
          </cell>
        </row>
        <row r="113">
          <cell r="O113" t="str">
            <v>BERMAN,THEODORE E</v>
          </cell>
        </row>
        <row r="114">
          <cell r="O114" t="str">
            <v>BERNET,ROBERT E</v>
          </cell>
        </row>
        <row r="115">
          <cell r="O115" t="str">
            <v>BERRY,PEGGY A</v>
          </cell>
        </row>
        <row r="116">
          <cell r="O116" t="str">
            <v>BETHEA,ROBERT</v>
          </cell>
        </row>
        <row r="117">
          <cell r="O117" t="str">
            <v>BETTS,GINA R</v>
          </cell>
        </row>
        <row r="118">
          <cell r="O118" t="str">
            <v>BETZ,JOHN F</v>
          </cell>
        </row>
        <row r="119">
          <cell r="O119" t="str">
            <v>BILLADO,WILLIAM O</v>
          </cell>
        </row>
        <row r="120">
          <cell r="O120" t="str">
            <v>BILLER,ROBERT P</v>
          </cell>
        </row>
        <row r="121">
          <cell r="O121" t="str">
            <v>BILLONES,JEREMY L</v>
          </cell>
        </row>
        <row r="122">
          <cell r="O122" t="str">
            <v>BLACKERT,ROBERT G</v>
          </cell>
        </row>
        <row r="123">
          <cell r="O123" t="str">
            <v>BLAIR,THOMAS P</v>
          </cell>
        </row>
        <row r="124">
          <cell r="O124" t="str">
            <v>BLAKE,JEFFREY H</v>
          </cell>
        </row>
        <row r="125">
          <cell r="O125" t="str">
            <v>BLAKELY,JR,ROBERT G</v>
          </cell>
        </row>
        <row r="126">
          <cell r="O126" t="str">
            <v>BLUME,NATHAN J</v>
          </cell>
        </row>
        <row r="127">
          <cell r="O127" t="str">
            <v>BLYTHE,PAUL D</v>
          </cell>
        </row>
        <row r="128">
          <cell r="O128" t="str">
            <v>BOBBITT,ISABELL</v>
          </cell>
        </row>
        <row r="129">
          <cell r="O129" t="str">
            <v>BOCI,ERTON</v>
          </cell>
        </row>
        <row r="130">
          <cell r="O130" t="str">
            <v>BOEDEKER,ELLEN M</v>
          </cell>
        </row>
        <row r="131">
          <cell r="O131" t="str">
            <v>BOETTCHER,SARAH M</v>
          </cell>
        </row>
        <row r="132">
          <cell r="O132" t="str">
            <v>BOLDEN,IVA P</v>
          </cell>
        </row>
        <row r="133">
          <cell r="O133" t="str">
            <v>BONTZOS,KONSTANTINOS</v>
          </cell>
        </row>
        <row r="134">
          <cell r="O134" t="str">
            <v>BOOK,PHILIP S</v>
          </cell>
        </row>
        <row r="135">
          <cell r="O135" t="str">
            <v>BOOTHE,KENNETH E</v>
          </cell>
        </row>
        <row r="136">
          <cell r="O136" t="str">
            <v>BORDERS,SCOTT</v>
          </cell>
        </row>
        <row r="137">
          <cell r="O137" t="str">
            <v>BORSANI,DONNA E</v>
          </cell>
        </row>
        <row r="138">
          <cell r="O138" t="str">
            <v>BOS,HARVEY D</v>
          </cell>
        </row>
        <row r="139">
          <cell r="O139" t="str">
            <v>BOSTICK,LORENZO</v>
          </cell>
        </row>
        <row r="140">
          <cell r="O140" t="str">
            <v>BOTTIGER,MAXWELL P</v>
          </cell>
        </row>
        <row r="141">
          <cell r="O141" t="str">
            <v>BOUDREAUX,GLENN S</v>
          </cell>
        </row>
        <row r="142">
          <cell r="O142" t="str">
            <v>BOULAND,JENNIFER L</v>
          </cell>
        </row>
        <row r="143">
          <cell r="O143" t="str">
            <v>BOWDEN,WILLIAM C</v>
          </cell>
        </row>
        <row r="144">
          <cell r="O144" t="str">
            <v>BOWEN,MATTHEW A</v>
          </cell>
        </row>
        <row r="145">
          <cell r="O145" t="str">
            <v>BOWLES,BETTY A</v>
          </cell>
        </row>
        <row r="146">
          <cell r="O146" t="str">
            <v>BOWLES,SAMANTHA L</v>
          </cell>
        </row>
        <row r="147">
          <cell r="O147" t="str">
            <v>BOWMAN,PATRICK M</v>
          </cell>
        </row>
        <row r="148">
          <cell r="O148" t="str">
            <v>BOYCE-LEWIS,ANDREW E</v>
          </cell>
        </row>
        <row r="149">
          <cell r="O149" t="str">
            <v>BOYLE,GREGORY M</v>
          </cell>
        </row>
        <row r="150">
          <cell r="O150" t="str">
            <v>BOYSWORTH,MARC K</v>
          </cell>
        </row>
        <row r="151">
          <cell r="O151" t="str">
            <v>BOZZUTO,MARIA A</v>
          </cell>
        </row>
        <row r="152">
          <cell r="O152" t="str">
            <v>BRADY,JILL R</v>
          </cell>
        </row>
        <row r="153">
          <cell r="O153" t="str">
            <v>BRAHMSTEDT,CHRISTIAN A</v>
          </cell>
        </row>
        <row r="154">
          <cell r="O154" t="str">
            <v>BRANKER,JONATHAN M</v>
          </cell>
        </row>
        <row r="155">
          <cell r="O155" t="str">
            <v>BRANT,KARL P</v>
          </cell>
        </row>
        <row r="156">
          <cell r="O156" t="str">
            <v>BRASE,JAMES</v>
          </cell>
        </row>
        <row r="157">
          <cell r="O157" t="str">
            <v>BRAUNSTEIN,MARK D</v>
          </cell>
        </row>
        <row r="158">
          <cell r="O158" t="str">
            <v>BRENINGER,RONALD L</v>
          </cell>
        </row>
        <row r="159">
          <cell r="O159" t="str">
            <v>BREWER,BRENDA A</v>
          </cell>
        </row>
        <row r="160">
          <cell r="O160" t="str">
            <v>BRISCOE,DERRICK</v>
          </cell>
        </row>
        <row r="161">
          <cell r="O161" t="str">
            <v>BRITTON,HOLLEY L</v>
          </cell>
        </row>
        <row r="162">
          <cell r="O162" t="str">
            <v>BROCK,GARY L</v>
          </cell>
        </row>
        <row r="163">
          <cell r="O163" t="str">
            <v>BROCKDORFF,RONNA B</v>
          </cell>
        </row>
        <row r="164">
          <cell r="O164" t="str">
            <v>BROCKWAY,STANLEY J</v>
          </cell>
        </row>
        <row r="165">
          <cell r="O165" t="str">
            <v>BRONOWICZ,PETER N</v>
          </cell>
        </row>
        <row r="166">
          <cell r="O166" t="str">
            <v>BROOKS,SHAROLYN R</v>
          </cell>
        </row>
        <row r="167">
          <cell r="O167" t="str">
            <v>BROOMANDAN,RICHARD S</v>
          </cell>
        </row>
        <row r="168">
          <cell r="O168" t="str">
            <v>BROWN,BENITA</v>
          </cell>
        </row>
        <row r="169">
          <cell r="O169" t="str">
            <v>BROWN,EBONNE L</v>
          </cell>
        </row>
        <row r="170">
          <cell r="O170" t="str">
            <v>BROWN,VERNARD S</v>
          </cell>
        </row>
        <row r="171">
          <cell r="O171" t="str">
            <v>BROWN,WILLIAM J</v>
          </cell>
        </row>
        <row r="172">
          <cell r="O172" t="str">
            <v>BRUCE,TIMOTHY H</v>
          </cell>
        </row>
        <row r="173">
          <cell r="O173" t="str">
            <v>BRUEGGEN,VANNAH Z</v>
          </cell>
        </row>
        <row r="174">
          <cell r="O174" t="str">
            <v>BRUNO,RONALD</v>
          </cell>
        </row>
        <row r="175">
          <cell r="O175" t="str">
            <v>BRYANT,JASON R</v>
          </cell>
        </row>
        <row r="176">
          <cell r="O176" t="str">
            <v>BRYANT,KAYWIN</v>
          </cell>
        </row>
        <row r="177">
          <cell r="O177" t="str">
            <v>BRYANT,PHILLIP M</v>
          </cell>
        </row>
        <row r="178">
          <cell r="O178" t="str">
            <v>BUCHANAN,DAVID P</v>
          </cell>
        </row>
        <row r="179">
          <cell r="O179" t="str">
            <v>BUCHANAN,KIMBERLY A</v>
          </cell>
        </row>
        <row r="180">
          <cell r="O180" t="str">
            <v>BUCHANAN,MARVIN D</v>
          </cell>
        </row>
        <row r="181">
          <cell r="O181" t="str">
            <v>BUCHOLZ,KIRSTEN M</v>
          </cell>
        </row>
        <row r="182">
          <cell r="O182" t="str">
            <v>BUENGER,DOUGLAS L</v>
          </cell>
        </row>
        <row r="183">
          <cell r="O183" t="str">
            <v>BUERGER,RICH K</v>
          </cell>
        </row>
        <row r="184">
          <cell r="O184" t="str">
            <v>BUI,KHANH B</v>
          </cell>
        </row>
        <row r="185">
          <cell r="O185" t="str">
            <v>BUI,QUANG D</v>
          </cell>
        </row>
        <row r="186">
          <cell r="O186" t="str">
            <v>BULLOCK,JO ANN</v>
          </cell>
        </row>
        <row r="187">
          <cell r="O187" t="str">
            <v>BURAND,CHARLES R</v>
          </cell>
        </row>
        <row r="188">
          <cell r="O188" t="str">
            <v>BUREAU,REGINALD D</v>
          </cell>
        </row>
        <row r="189">
          <cell r="O189" t="str">
            <v>BURKE,JAMES D</v>
          </cell>
        </row>
        <row r="190">
          <cell r="O190" t="str">
            <v>BURKHARD,DARIAN B</v>
          </cell>
        </row>
        <row r="191">
          <cell r="O191" t="str">
            <v>BURMAN,STUART D</v>
          </cell>
        </row>
        <row r="192">
          <cell r="O192" t="str">
            <v>BURNS,BRADLEY J</v>
          </cell>
        </row>
        <row r="193">
          <cell r="O193" t="str">
            <v>BURNS,MARK F</v>
          </cell>
        </row>
        <row r="194">
          <cell r="O194" t="str">
            <v>BURRELL,JAMES L</v>
          </cell>
        </row>
        <row r="195">
          <cell r="O195" t="str">
            <v>BURROWS,DONALD A</v>
          </cell>
        </row>
        <row r="196">
          <cell r="O196" t="str">
            <v>BURTON,EARL T</v>
          </cell>
        </row>
        <row r="197">
          <cell r="O197" t="str">
            <v>BURTON,RAYMOND L</v>
          </cell>
        </row>
        <row r="198">
          <cell r="O198" t="str">
            <v>BUTLER,DREW P</v>
          </cell>
        </row>
        <row r="199">
          <cell r="O199" t="str">
            <v>BUTLER,JOHN J</v>
          </cell>
        </row>
        <row r="200">
          <cell r="O200" t="str">
            <v>BYCZYNSKI,FRANCES A</v>
          </cell>
        </row>
        <row r="201">
          <cell r="O201" t="str">
            <v>BYRNE,DOUGLAS P</v>
          </cell>
        </row>
        <row r="202">
          <cell r="O202" t="str">
            <v>CACCIVIO-JONES,MICHELLE L</v>
          </cell>
        </row>
        <row r="203">
          <cell r="O203" t="str">
            <v>CAI,BILL B</v>
          </cell>
        </row>
        <row r="204">
          <cell r="O204" t="str">
            <v>CALLAGHAN,DANIEL</v>
          </cell>
        </row>
        <row r="205">
          <cell r="O205" t="str">
            <v>CALLEN,LINDA E</v>
          </cell>
        </row>
        <row r="206">
          <cell r="O206" t="str">
            <v>CAMP,CHRIS S</v>
          </cell>
        </row>
        <row r="207">
          <cell r="O207" t="str">
            <v>CAMPBELL,BRYAN E</v>
          </cell>
        </row>
        <row r="208">
          <cell r="O208" t="str">
            <v>CAMPBELL,JR,WARREN</v>
          </cell>
        </row>
        <row r="209">
          <cell r="O209" t="str">
            <v>CAMPBELL,LAKYETTA S</v>
          </cell>
        </row>
        <row r="210">
          <cell r="O210" t="str">
            <v>CAMPBELL,STEPHEN K</v>
          </cell>
        </row>
        <row r="211">
          <cell r="O211" t="str">
            <v>CANCIENNE,PETER E</v>
          </cell>
        </row>
        <row r="212">
          <cell r="O212" t="str">
            <v>CAPLAN,WILLIAM L</v>
          </cell>
        </row>
        <row r="213">
          <cell r="O213" t="str">
            <v>CARDILLO,RAYMOND A</v>
          </cell>
        </row>
        <row r="214">
          <cell r="O214" t="str">
            <v>CARDONA,SARAH</v>
          </cell>
        </row>
        <row r="215">
          <cell r="O215" t="str">
            <v>CARIGNAN,JUDITH A</v>
          </cell>
        </row>
        <row r="216">
          <cell r="O216" t="str">
            <v>CARLTON,OSCAR J</v>
          </cell>
        </row>
        <row r="217">
          <cell r="O217" t="str">
            <v>CARMACK,ALAN D</v>
          </cell>
        </row>
        <row r="218">
          <cell r="O218" t="str">
            <v>CARMAN,JAMES N</v>
          </cell>
        </row>
        <row r="219">
          <cell r="O219" t="str">
            <v>CARR,ANDREW D</v>
          </cell>
        </row>
        <row r="220">
          <cell r="O220" t="str">
            <v>CARRINGTON,CRYSTAL</v>
          </cell>
        </row>
        <row r="221">
          <cell r="O221" t="str">
            <v>CARROLL,KARLTON</v>
          </cell>
        </row>
        <row r="222">
          <cell r="O222" t="str">
            <v>CARSTENS,JEFFREY</v>
          </cell>
        </row>
        <row r="223">
          <cell r="O223" t="str">
            <v>CARTER,BRIAN S</v>
          </cell>
        </row>
        <row r="224">
          <cell r="O224" t="str">
            <v>CARTER,JOEL B</v>
          </cell>
        </row>
        <row r="225">
          <cell r="O225" t="str">
            <v>CARUSO,MICHAEL</v>
          </cell>
        </row>
        <row r="226">
          <cell r="O226" t="str">
            <v>CASH,ALLISON C</v>
          </cell>
        </row>
        <row r="227">
          <cell r="O227" t="str">
            <v>CASTILLO,JAMES A</v>
          </cell>
        </row>
        <row r="228">
          <cell r="O228" t="str">
            <v>CATALDI,PHILLIP</v>
          </cell>
        </row>
        <row r="229">
          <cell r="O229" t="str">
            <v>CAVERLY,ROBERT</v>
          </cell>
        </row>
        <row r="230">
          <cell r="O230" t="str">
            <v>CHAN,KIN C</v>
          </cell>
        </row>
        <row r="231">
          <cell r="O231" t="str">
            <v>CHANG,SUSAN M</v>
          </cell>
        </row>
        <row r="232">
          <cell r="O232" t="str">
            <v>CHANG,WEISHY R</v>
          </cell>
        </row>
        <row r="233">
          <cell r="O233" t="str">
            <v>CHARLTON,RONALD R</v>
          </cell>
        </row>
        <row r="234">
          <cell r="O234" t="str">
            <v>CHASE,ALAN L</v>
          </cell>
        </row>
        <row r="235">
          <cell r="O235" t="str">
            <v>CHEN,YAN</v>
          </cell>
        </row>
        <row r="236">
          <cell r="O236" t="str">
            <v>CHESHARECK,PAUL R</v>
          </cell>
        </row>
        <row r="237">
          <cell r="O237" t="str">
            <v>CHESHIER,WANDA F</v>
          </cell>
        </row>
        <row r="238">
          <cell r="O238" t="str">
            <v>CHEUNG,LEONARD Y</v>
          </cell>
        </row>
        <row r="239">
          <cell r="O239" t="str">
            <v>CHHUT,RAVINN</v>
          </cell>
        </row>
        <row r="240">
          <cell r="O240" t="str">
            <v>CHILDS,TARITA L</v>
          </cell>
        </row>
        <row r="241">
          <cell r="O241" t="str">
            <v>CHIVERS,DANIEL M</v>
          </cell>
        </row>
        <row r="242">
          <cell r="O242" t="str">
            <v>CHOEUN,AMANDA</v>
          </cell>
        </row>
        <row r="243">
          <cell r="O243" t="str">
            <v>CHOFFY,DIANA</v>
          </cell>
        </row>
        <row r="244">
          <cell r="O244" t="str">
            <v>CHOO,VICTOR K</v>
          </cell>
        </row>
        <row r="245">
          <cell r="O245" t="str">
            <v>CHRISTESEN,BRIEN L</v>
          </cell>
        </row>
        <row r="246">
          <cell r="O246" t="str">
            <v>CHRISTMANN JR,CHARLES E</v>
          </cell>
        </row>
        <row r="247">
          <cell r="O247" t="str">
            <v>CHUNG,JAMES C</v>
          </cell>
        </row>
        <row r="248">
          <cell r="O248" t="str">
            <v>CHYBA,THOMAS H</v>
          </cell>
        </row>
        <row r="249">
          <cell r="O249" t="str">
            <v>CISNEROS,MONICA M</v>
          </cell>
        </row>
        <row r="250">
          <cell r="O250" t="str">
            <v>CLARK,CHARLES</v>
          </cell>
        </row>
        <row r="251">
          <cell r="O251" t="str">
            <v>CLARK,III,ARTHUR L</v>
          </cell>
        </row>
        <row r="252">
          <cell r="O252" t="str">
            <v>CLARK,JOSEPH</v>
          </cell>
        </row>
        <row r="253">
          <cell r="O253" t="str">
            <v>CLARK,MICHELLE A</v>
          </cell>
        </row>
        <row r="254">
          <cell r="O254" t="str">
            <v>CLARK,WELLING S</v>
          </cell>
        </row>
        <row r="255">
          <cell r="O255" t="str">
            <v>CLARKE,MARY JO A</v>
          </cell>
        </row>
        <row r="256">
          <cell r="O256" t="str">
            <v>CLARNER,DAVID L</v>
          </cell>
        </row>
        <row r="257">
          <cell r="O257" t="str">
            <v>CLOUGHLEY,JEANNE M</v>
          </cell>
        </row>
        <row r="258">
          <cell r="O258" t="str">
            <v>CLOVER,ROBERT L</v>
          </cell>
        </row>
        <row r="259">
          <cell r="O259" t="str">
            <v>COCA,ELIZABETH</v>
          </cell>
        </row>
        <row r="260">
          <cell r="O260" t="str">
            <v>COCHRELL,KERRY N</v>
          </cell>
        </row>
        <row r="261">
          <cell r="O261" t="str">
            <v>CODD,PAT</v>
          </cell>
        </row>
        <row r="262">
          <cell r="O262" t="str">
            <v>COHEN,AARON Y</v>
          </cell>
        </row>
        <row r="263">
          <cell r="O263" t="str">
            <v>COHEN,JOEL A</v>
          </cell>
        </row>
        <row r="264">
          <cell r="O264" t="str">
            <v>COLAW,JEFFREY L</v>
          </cell>
        </row>
        <row r="265">
          <cell r="O265" t="str">
            <v>COLEMAN,FRANK L</v>
          </cell>
        </row>
        <row r="266">
          <cell r="O266" t="str">
            <v>COLEMAN,MICHAEL E</v>
          </cell>
        </row>
        <row r="267">
          <cell r="O267" t="str">
            <v>COLEMAN-RAGLAND,MYRA L</v>
          </cell>
        </row>
        <row r="268">
          <cell r="O268" t="str">
            <v>COLLINS,DANIEL L</v>
          </cell>
        </row>
        <row r="269">
          <cell r="O269" t="str">
            <v>COLLUMS,WHITNEY L</v>
          </cell>
        </row>
        <row r="270">
          <cell r="O270" t="str">
            <v>COLQUETT,TONY D</v>
          </cell>
        </row>
        <row r="271">
          <cell r="O271" t="str">
            <v>COMBS,GYEONG</v>
          </cell>
        </row>
        <row r="272">
          <cell r="O272" t="str">
            <v>COMER,ROBERTA</v>
          </cell>
        </row>
        <row r="273">
          <cell r="O273" t="str">
            <v>CONNER,JERRY R</v>
          </cell>
        </row>
        <row r="274">
          <cell r="O274" t="str">
            <v>CONNOR,MICHELE M</v>
          </cell>
        </row>
        <row r="275">
          <cell r="O275" t="str">
            <v>CONRAD,BRIAN T</v>
          </cell>
        </row>
        <row r="276">
          <cell r="O276" t="str">
            <v>CONRAD,EDWARD E</v>
          </cell>
        </row>
        <row r="277">
          <cell r="O277" t="str">
            <v>CONTE,BRIAN H</v>
          </cell>
        </row>
        <row r="278">
          <cell r="O278" t="str">
            <v>COOPER,DANA L</v>
          </cell>
        </row>
        <row r="279">
          <cell r="O279" t="str">
            <v>COOPER,GLEN</v>
          </cell>
        </row>
        <row r="280">
          <cell r="O280" t="str">
            <v>COOPER,IVY</v>
          </cell>
        </row>
        <row r="281">
          <cell r="O281" t="str">
            <v>COPELAND,BRIAN J</v>
          </cell>
        </row>
        <row r="282">
          <cell r="O282" t="str">
            <v>COPELAND,LLOYD L</v>
          </cell>
        </row>
        <row r="283">
          <cell r="O283" t="str">
            <v>COPPENBARGER,ROBERT E</v>
          </cell>
        </row>
        <row r="284">
          <cell r="O284" t="str">
            <v>CORBETT,MITCHELL J</v>
          </cell>
        </row>
        <row r="285">
          <cell r="O285" t="str">
            <v>CORLISS,WALTER</v>
          </cell>
        </row>
        <row r="286">
          <cell r="O286" t="str">
            <v>CORNEJO,KRISTOPHER B</v>
          </cell>
        </row>
        <row r="287">
          <cell r="O287" t="str">
            <v>COTTEN,MCLOYD F</v>
          </cell>
        </row>
        <row r="288">
          <cell r="O288" t="str">
            <v>COTTEN,TOBY G</v>
          </cell>
        </row>
        <row r="289">
          <cell r="O289" t="str">
            <v>COTTONGIM,DENNIS K</v>
          </cell>
        </row>
        <row r="290">
          <cell r="O290" t="str">
            <v>COURY,JOSEPH</v>
          </cell>
        </row>
        <row r="291">
          <cell r="O291" t="str">
            <v>COX,KENNETH J</v>
          </cell>
        </row>
        <row r="292">
          <cell r="O292" t="str">
            <v>COX,SUZANNE</v>
          </cell>
        </row>
        <row r="293">
          <cell r="O293" t="str">
            <v>CRABTREE,JAMES D</v>
          </cell>
        </row>
        <row r="294">
          <cell r="O294" t="str">
            <v>CRAIG,ELIZABETH A</v>
          </cell>
        </row>
        <row r="295">
          <cell r="O295" t="str">
            <v>CRANDELL,KEVIN</v>
          </cell>
        </row>
        <row r="296">
          <cell r="O296" t="str">
            <v>CRAWFORD,MICHAEL L</v>
          </cell>
        </row>
        <row r="297">
          <cell r="O297" t="str">
            <v>CRESSMAN,BROOKS G</v>
          </cell>
        </row>
        <row r="298">
          <cell r="O298" t="str">
            <v>CREWS,CHARLES J</v>
          </cell>
        </row>
        <row r="299">
          <cell r="O299" t="str">
            <v>CRIDER,SAMUEL D</v>
          </cell>
        </row>
        <row r="300">
          <cell r="O300" t="str">
            <v>CRISPELL,LEROY G</v>
          </cell>
        </row>
        <row r="301">
          <cell r="O301" t="str">
            <v>CROCHAN,VERNELL</v>
          </cell>
        </row>
        <row r="302">
          <cell r="O302" t="str">
            <v>CROCOLL,WILLIAM M</v>
          </cell>
        </row>
        <row r="303">
          <cell r="O303" t="str">
            <v>CROSS,GARY T</v>
          </cell>
        </row>
        <row r="304">
          <cell r="O304" t="str">
            <v>CROWE,WILLIAM D</v>
          </cell>
        </row>
        <row r="305">
          <cell r="O305" t="str">
            <v>CROWELL,TERRANCE A</v>
          </cell>
        </row>
        <row r="306">
          <cell r="O306" t="str">
            <v>CRUZ-LAPORTE,LUZ</v>
          </cell>
        </row>
        <row r="307">
          <cell r="O307" t="str">
            <v>CULP,JOE C</v>
          </cell>
        </row>
        <row r="308">
          <cell r="O308" t="str">
            <v>CUMTI,DAVID A</v>
          </cell>
        </row>
        <row r="309">
          <cell r="O309" t="str">
            <v>CUNNINGHAM,JAMES A</v>
          </cell>
        </row>
        <row r="310">
          <cell r="O310" t="str">
            <v>CUNNINGHAM,KENNETH</v>
          </cell>
        </row>
        <row r="311">
          <cell r="O311" t="str">
            <v>CURRIE,TODD M</v>
          </cell>
        </row>
        <row r="312">
          <cell r="O312" t="str">
            <v>CURTISS,DWAYNE H</v>
          </cell>
        </row>
        <row r="313">
          <cell r="O313" t="str">
            <v>CUTLER,SHERYL S</v>
          </cell>
        </row>
        <row r="314">
          <cell r="O314" t="str">
            <v>DA RE,RYAN E</v>
          </cell>
        </row>
        <row r="315">
          <cell r="O315" t="str">
            <v>DAETWYLER,MICHAEL B</v>
          </cell>
        </row>
        <row r="316">
          <cell r="O316" t="str">
            <v>DALTON,AMY L</v>
          </cell>
        </row>
        <row r="317">
          <cell r="O317" t="str">
            <v>D'ALTORIO,ROSEMARY</v>
          </cell>
        </row>
        <row r="318">
          <cell r="O318" t="str">
            <v>D'AMBROGIO,ROBERTA</v>
          </cell>
        </row>
        <row r="319">
          <cell r="O319" t="str">
            <v>D'AMBROGIO,WILLIAM R</v>
          </cell>
        </row>
        <row r="320">
          <cell r="O320" t="str">
            <v>DANIELS,ERIC G</v>
          </cell>
        </row>
        <row r="321">
          <cell r="O321" t="str">
            <v>D'ANTIGNAC-BELL,DOMINIQUE L</v>
          </cell>
        </row>
        <row r="322">
          <cell r="O322" t="str">
            <v>DAVENPORT,BETTY M</v>
          </cell>
        </row>
        <row r="323">
          <cell r="O323" t="str">
            <v>DAVID,MAHEEP</v>
          </cell>
        </row>
        <row r="324">
          <cell r="O324" t="str">
            <v>DAVIS,ALONZO</v>
          </cell>
        </row>
        <row r="325">
          <cell r="O325" t="str">
            <v>DAVIS,DANIELLE D</v>
          </cell>
        </row>
        <row r="326">
          <cell r="O326" t="str">
            <v>DAVIS,GEORGE A</v>
          </cell>
        </row>
        <row r="327">
          <cell r="O327" t="str">
            <v>DAVIS,JOANNE M</v>
          </cell>
        </row>
        <row r="328">
          <cell r="O328" t="str">
            <v>DAY,CURT E</v>
          </cell>
        </row>
        <row r="329">
          <cell r="O329" t="str">
            <v>DE HALAS,SHARON K</v>
          </cell>
        </row>
        <row r="330">
          <cell r="O330" t="str">
            <v>DEAL,JAMES L</v>
          </cell>
        </row>
        <row r="331">
          <cell r="O331" t="str">
            <v>DEAN,ELIZABETH A</v>
          </cell>
        </row>
        <row r="332">
          <cell r="O332" t="str">
            <v>DEAN,GENE W</v>
          </cell>
        </row>
        <row r="333">
          <cell r="O333" t="str">
            <v>DECKER,AMSTELINA M</v>
          </cell>
        </row>
        <row r="334">
          <cell r="O334" t="str">
            <v>DEHAVEN,JESSE W</v>
          </cell>
        </row>
        <row r="335">
          <cell r="O335" t="str">
            <v>DELCASTILLO,RICARDO</v>
          </cell>
        </row>
        <row r="336">
          <cell r="O336" t="str">
            <v>DELPERDANGE,OLIVIER</v>
          </cell>
        </row>
        <row r="337">
          <cell r="O337" t="str">
            <v>DEMASE,MICHAEL</v>
          </cell>
        </row>
        <row r="338">
          <cell r="O338" t="str">
            <v>DEMOULIN,DAVID J</v>
          </cell>
        </row>
        <row r="339">
          <cell r="O339" t="str">
            <v>DEMUTH,GARY E</v>
          </cell>
        </row>
        <row r="340">
          <cell r="O340" t="str">
            <v>DENLEY,SHEILA</v>
          </cell>
        </row>
        <row r="341">
          <cell r="O341" t="str">
            <v>DERY,DANIEL R</v>
          </cell>
        </row>
        <row r="342">
          <cell r="O342" t="str">
            <v>DETTMAR,HANS P</v>
          </cell>
        </row>
        <row r="343">
          <cell r="O343" t="str">
            <v>DETULLIO,KENNETH</v>
          </cell>
        </row>
        <row r="344">
          <cell r="O344" t="str">
            <v>DIAMOND,BRETT R</v>
          </cell>
        </row>
        <row r="345">
          <cell r="O345" t="str">
            <v>DIAMOND,RICHARD</v>
          </cell>
        </row>
        <row r="346">
          <cell r="O346" t="str">
            <v>DICKERT,BACIL F</v>
          </cell>
        </row>
        <row r="347">
          <cell r="O347" t="str">
            <v>DICKMAN,COREY J</v>
          </cell>
        </row>
        <row r="348">
          <cell r="O348" t="str">
            <v>DIEHL,STEVE R</v>
          </cell>
        </row>
        <row r="349">
          <cell r="O349" t="str">
            <v>DIGNAZIO,ANTHONY J</v>
          </cell>
        </row>
        <row r="350">
          <cell r="O350" t="str">
            <v>DINGMAN,MICHAEL H</v>
          </cell>
        </row>
        <row r="351">
          <cell r="O351" t="str">
            <v>DIOLAZO,PRISCILLA V</v>
          </cell>
        </row>
        <row r="352">
          <cell r="O352" t="str">
            <v>DISSANAYAKE,ASOKA W</v>
          </cell>
        </row>
        <row r="353">
          <cell r="O353" t="str">
            <v>DIXON,TERESA A</v>
          </cell>
        </row>
        <row r="354">
          <cell r="O354" t="str">
            <v>DOANE,WILLIAM S</v>
          </cell>
        </row>
        <row r="355">
          <cell r="O355" t="str">
            <v>DOBOGA,FLAVIA I</v>
          </cell>
        </row>
        <row r="356">
          <cell r="O356" t="str">
            <v>DONALESKI,KEVIN G</v>
          </cell>
        </row>
        <row r="357">
          <cell r="O357" t="str">
            <v>DORSEY,AVONN B</v>
          </cell>
        </row>
        <row r="358">
          <cell r="O358" t="str">
            <v>DORVEE,KENNETH N</v>
          </cell>
        </row>
        <row r="359">
          <cell r="O359" t="str">
            <v>DOUCETTE,PETER J</v>
          </cell>
        </row>
        <row r="360">
          <cell r="O360" t="str">
            <v>DOUGHERTY,JAMIE S</v>
          </cell>
        </row>
        <row r="361">
          <cell r="O361" t="str">
            <v>DOUGLAS,LYNN E</v>
          </cell>
        </row>
        <row r="362">
          <cell r="O362" t="str">
            <v>DOYEN,DAHLAN G</v>
          </cell>
        </row>
        <row r="363">
          <cell r="O363" t="str">
            <v>DREON,NATHAN J</v>
          </cell>
        </row>
        <row r="364">
          <cell r="O364" t="str">
            <v>DRIGGERS,MILTON V</v>
          </cell>
        </row>
        <row r="365">
          <cell r="O365" t="str">
            <v>DRISCOLL,EUGENE J</v>
          </cell>
        </row>
        <row r="366">
          <cell r="O366" t="str">
            <v>D'SOUZA,RODNEY K</v>
          </cell>
        </row>
        <row r="367">
          <cell r="O367" t="str">
            <v>DUMCUM,NANCY S</v>
          </cell>
        </row>
        <row r="368">
          <cell r="O368" t="str">
            <v>DUNBAR,RICHARD</v>
          </cell>
        </row>
        <row r="369">
          <cell r="O369" t="str">
            <v>DUNCAN,MATTHEW P</v>
          </cell>
        </row>
        <row r="370">
          <cell r="O370" t="str">
            <v>DUNN,RYAN M</v>
          </cell>
        </row>
        <row r="371">
          <cell r="O371" t="str">
            <v>DUPRE,SEAN N</v>
          </cell>
        </row>
        <row r="372">
          <cell r="O372" t="str">
            <v>DWYER,JOSEPH</v>
          </cell>
        </row>
        <row r="373">
          <cell r="O373" t="str">
            <v>DYER,WILLIAM G</v>
          </cell>
        </row>
        <row r="374">
          <cell r="O374" t="str">
            <v>EAKIN,GENE A</v>
          </cell>
        </row>
        <row r="375">
          <cell r="O375" t="str">
            <v>EAMON,JAMES C</v>
          </cell>
        </row>
        <row r="376">
          <cell r="O376" t="str">
            <v>EBER,ROBERT</v>
          </cell>
        </row>
        <row r="377">
          <cell r="O377" t="str">
            <v>EBERT,DAVID</v>
          </cell>
        </row>
        <row r="378">
          <cell r="O378" t="str">
            <v>EDARA,CHANDRASEKHAR</v>
          </cell>
        </row>
        <row r="379">
          <cell r="O379" t="str">
            <v>EDELIN,SEAN C</v>
          </cell>
        </row>
        <row r="380">
          <cell r="O380" t="str">
            <v>EDICK,VIELKA E</v>
          </cell>
        </row>
        <row r="381">
          <cell r="O381" t="str">
            <v>EICHERS,KRISTAL L</v>
          </cell>
        </row>
        <row r="382">
          <cell r="O382" t="str">
            <v>ELLCESSOR,LARRY</v>
          </cell>
        </row>
        <row r="383">
          <cell r="O383" t="str">
            <v>ELLIS,ELEANOR D</v>
          </cell>
        </row>
        <row r="384">
          <cell r="O384" t="str">
            <v>ELLIS,KATHRYN</v>
          </cell>
        </row>
        <row r="385">
          <cell r="O385" t="str">
            <v>ELLIS,STEPHEN</v>
          </cell>
        </row>
        <row r="386">
          <cell r="O386" t="str">
            <v>ELWOOD III,FRANK G</v>
          </cell>
        </row>
        <row r="387">
          <cell r="O387" t="str">
            <v>ELWOOD,JOHNNY</v>
          </cell>
        </row>
        <row r="388">
          <cell r="O388" t="str">
            <v>EMENY,SUSAN G</v>
          </cell>
        </row>
        <row r="389">
          <cell r="O389" t="str">
            <v>EMERSON,RICKY</v>
          </cell>
        </row>
        <row r="390">
          <cell r="O390" t="str">
            <v>EMERY,ADEENA M</v>
          </cell>
        </row>
        <row r="391">
          <cell r="O391" t="str">
            <v>EMERY,SUSAN H</v>
          </cell>
        </row>
        <row r="392">
          <cell r="O392" t="str">
            <v>ENDO,KEVIN J</v>
          </cell>
        </row>
        <row r="393">
          <cell r="O393" t="str">
            <v>EPPS,GLORIA D</v>
          </cell>
        </row>
        <row r="394">
          <cell r="O394" t="str">
            <v>EPPS,JAMES</v>
          </cell>
        </row>
        <row r="395">
          <cell r="O395" t="str">
            <v>ESTAL,JERRY A</v>
          </cell>
        </row>
        <row r="396">
          <cell r="O396" t="str">
            <v>ESTES,HANNAH E</v>
          </cell>
        </row>
        <row r="397">
          <cell r="O397" t="str">
            <v>ESTEVE,JASON C</v>
          </cell>
        </row>
        <row r="398">
          <cell r="O398" t="str">
            <v>EVANS,CLESLIE H</v>
          </cell>
        </row>
        <row r="399">
          <cell r="O399" t="str">
            <v>EWALD,TERRENCE L</v>
          </cell>
        </row>
        <row r="400">
          <cell r="O400" t="str">
            <v>EWEN,DONALD C</v>
          </cell>
        </row>
        <row r="401">
          <cell r="O401" t="str">
            <v>FAGO,MATTHEW J</v>
          </cell>
        </row>
        <row r="402">
          <cell r="O402" t="str">
            <v>FALCI,CRAIG M</v>
          </cell>
        </row>
        <row r="403">
          <cell r="O403" t="str">
            <v>FANN,JOSEPH D</v>
          </cell>
        </row>
        <row r="404">
          <cell r="O404" t="str">
            <v>FARKAS,JOEL D</v>
          </cell>
        </row>
        <row r="405">
          <cell r="O405" t="str">
            <v>FARLEY,HEATHER L</v>
          </cell>
        </row>
        <row r="406">
          <cell r="O406" t="str">
            <v>FARWELL,MARK L</v>
          </cell>
        </row>
        <row r="407">
          <cell r="O407" t="str">
            <v>FEDCHAK,M ELAINE</v>
          </cell>
        </row>
        <row r="408">
          <cell r="O408" t="str">
            <v>FEGAN,WILLIAM</v>
          </cell>
        </row>
        <row r="409">
          <cell r="O409" t="str">
            <v>FELTMAN,ANDREW</v>
          </cell>
        </row>
        <row r="410">
          <cell r="O410" t="str">
            <v>FELTMAN,ANTHONY J</v>
          </cell>
        </row>
        <row r="411">
          <cell r="O411" t="str">
            <v>FELTON,JAMES D</v>
          </cell>
        </row>
        <row r="412">
          <cell r="O412" t="str">
            <v>FERENS,DANIEL V</v>
          </cell>
        </row>
        <row r="413">
          <cell r="O413" t="str">
            <v>FERGUSON,FRANCES M</v>
          </cell>
        </row>
        <row r="414">
          <cell r="O414" t="str">
            <v>FERGUSON,SUZANNE K</v>
          </cell>
        </row>
        <row r="415">
          <cell r="O415" t="str">
            <v>FETTERS,JEFF N</v>
          </cell>
        </row>
        <row r="416">
          <cell r="O416" t="str">
            <v>FIELD,JAMES</v>
          </cell>
        </row>
        <row r="417">
          <cell r="O417" t="str">
            <v>FIGUEROA,ANGEL M</v>
          </cell>
        </row>
        <row r="418">
          <cell r="O418" t="str">
            <v>FINGERMAN,JASON E</v>
          </cell>
        </row>
        <row r="419">
          <cell r="O419" t="str">
            <v>FINLEY,GWENDOLYN A</v>
          </cell>
        </row>
        <row r="420">
          <cell r="O420" t="str">
            <v>FIORINO,FACUNDO</v>
          </cell>
        </row>
        <row r="421">
          <cell r="O421" t="str">
            <v>FISHER,RICHARD</v>
          </cell>
        </row>
        <row r="422">
          <cell r="O422" t="str">
            <v>FISHER,STEVEN K</v>
          </cell>
        </row>
        <row r="423">
          <cell r="O423" t="str">
            <v>FISK,BRIAN J</v>
          </cell>
        </row>
        <row r="424">
          <cell r="O424" t="str">
            <v>FITZGERALD,DENNIS J</v>
          </cell>
        </row>
        <row r="425">
          <cell r="O425" t="str">
            <v>FITZGERALD,ROBERT S</v>
          </cell>
        </row>
        <row r="426">
          <cell r="O426" t="str">
            <v>FLANDERS,BRUCE S</v>
          </cell>
        </row>
        <row r="427">
          <cell r="O427" t="str">
            <v>FLEMING,ERIC</v>
          </cell>
        </row>
        <row r="428">
          <cell r="O428" t="str">
            <v>FLETCHER,THOMAS M</v>
          </cell>
        </row>
        <row r="429">
          <cell r="O429" t="str">
            <v>FLOYD,MARGARET S</v>
          </cell>
        </row>
        <row r="430">
          <cell r="O430" t="str">
            <v>FLYNN,JAMES</v>
          </cell>
        </row>
        <row r="431">
          <cell r="O431" t="str">
            <v>FOECHTERLE,SARIAH</v>
          </cell>
        </row>
        <row r="432">
          <cell r="O432" t="str">
            <v>FONG,DONALD</v>
          </cell>
        </row>
        <row r="433">
          <cell r="O433" t="str">
            <v>FONG,GEORGE</v>
          </cell>
        </row>
        <row r="434">
          <cell r="O434" t="str">
            <v>FOOTE,JOHN I</v>
          </cell>
        </row>
        <row r="435">
          <cell r="O435" t="str">
            <v>FORD,BOBBY J</v>
          </cell>
        </row>
        <row r="436">
          <cell r="O436" t="str">
            <v>FORD,GEORGE H</v>
          </cell>
        </row>
        <row r="437">
          <cell r="O437" t="str">
            <v>FORD,MARK W</v>
          </cell>
        </row>
        <row r="438">
          <cell r="O438" t="str">
            <v>FORE,CLAUDE H</v>
          </cell>
        </row>
        <row r="439">
          <cell r="O439" t="str">
            <v>FORST,BENJAMIN R</v>
          </cell>
        </row>
        <row r="440">
          <cell r="O440" t="str">
            <v>FOSTER,THOMAS F</v>
          </cell>
        </row>
        <row r="441">
          <cell r="O441" t="str">
            <v>FOULKE,DENNIS L</v>
          </cell>
        </row>
        <row r="442">
          <cell r="O442" t="str">
            <v>FOUNDOS,DORENE E</v>
          </cell>
        </row>
        <row r="443">
          <cell r="O443" t="str">
            <v>FOX,JR.,CHESTER B</v>
          </cell>
        </row>
        <row r="444">
          <cell r="O444" t="str">
            <v>FOXX-TOMLINSON,ALLISON</v>
          </cell>
        </row>
        <row r="445">
          <cell r="O445" t="str">
            <v>FRANCISCO,RICARDO</v>
          </cell>
        </row>
        <row r="446">
          <cell r="O446" t="str">
            <v>FRANKLIN,KEMULA D</v>
          </cell>
        </row>
        <row r="447">
          <cell r="O447" t="str">
            <v>FRAZIER,KEITH D</v>
          </cell>
        </row>
        <row r="448">
          <cell r="O448" t="str">
            <v>FREDERICK,JOHN</v>
          </cell>
        </row>
        <row r="449">
          <cell r="O449" t="str">
            <v>FREELAND,PETER C</v>
          </cell>
        </row>
        <row r="450">
          <cell r="O450" t="str">
            <v>FRENETTE,KEVIN P</v>
          </cell>
        </row>
        <row r="451">
          <cell r="O451" t="str">
            <v>FREUND,SAMUEL J</v>
          </cell>
        </row>
        <row r="452">
          <cell r="O452" t="str">
            <v>FRICANO,DANIEL H</v>
          </cell>
        </row>
        <row r="453">
          <cell r="O453" t="str">
            <v>FRIEDRICH,KENNETH P</v>
          </cell>
        </row>
        <row r="454">
          <cell r="O454" t="str">
            <v>FROME,DOUGLAS</v>
          </cell>
        </row>
        <row r="455">
          <cell r="O455" t="str">
            <v>FUDALLY,ROBERT W</v>
          </cell>
        </row>
        <row r="456">
          <cell r="O456" t="str">
            <v>FUDGE,MICHAEL L</v>
          </cell>
        </row>
        <row r="457">
          <cell r="O457" t="str">
            <v>FULLER,DAWN L</v>
          </cell>
        </row>
        <row r="458">
          <cell r="O458" t="str">
            <v>FULP,JEFFREY A</v>
          </cell>
        </row>
        <row r="459">
          <cell r="O459" t="str">
            <v>GADDY,ALAN K</v>
          </cell>
        </row>
        <row r="460">
          <cell r="O460" t="str">
            <v>GALYEAN,BRET N</v>
          </cell>
        </row>
        <row r="461">
          <cell r="O461" t="str">
            <v>GALYEN,AMY L</v>
          </cell>
        </row>
        <row r="462">
          <cell r="O462" t="str">
            <v>GANDHI,NARENDRA</v>
          </cell>
        </row>
        <row r="463">
          <cell r="O463" t="str">
            <v>GANGL,MICHAEL E</v>
          </cell>
        </row>
        <row r="464">
          <cell r="O464" t="str">
            <v>GANOW,DAVID C</v>
          </cell>
        </row>
        <row r="465">
          <cell r="O465" t="str">
            <v>GARRISON,CATHLEEN J</v>
          </cell>
        </row>
        <row r="466">
          <cell r="O466" t="str">
            <v>GASLIGHTWALA,IMTIAZ</v>
          </cell>
        </row>
        <row r="467">
          <cell r="O467" t="str">
            <v>GAUMOND,ANNE C</v>
          </cell>
        </row>
        <row r="468">
          <cell r="O468" t="str">
            <v>GEARY,JANE A</v>
          </cell>
        </row>
        <row r="469">
          <cell r="O469" t="str">
            <v>GEBREMEDHIN,MEKONEN W</v>
          </cell>
        </row>
        <row r="470">
          <cell r="O470" t="str">
            <v>GENTER,WAYNE L</v>
          </cell>
        </row>
        <row r="471">
          <cell r="O471" t="str">
            <v>GEORGE,NICHOLAS E</v>
          </cell>
        </row>
        <row r="472">
          <cell r="O472" t="str">
            <v>GERENSKI,EDWIN L</v>
          </cell>
        </row>
        <row r="473">
          <cell r="O473" t="str">
            <v>GERVASIO,PATRICK C</v>
          </cell>
        </row>
        <row r="474">
          <cell r="O474" t="str">
            <v>GHOSH,SWATI</v>
          </cell>
        </row>
        <row r="475">
          <cell r="O475" t="str">
            <v>GIANG,THANH N</v>
          </cell>
        </row>
        <row r="476">
          <cell r="O476" t="str">
            <v>GIBBONS,JR,JOHN J</v>
          </cell>
        </row>
        <row r="477">
          <cell r="O477" t="str">
            <v>GIGUERE,TRACY L</v>
          </cell>
        </row>
        <row r="478">
          <cell r="O478" t="str">
            <v>GILBERT,JANET LYNN R</v>
          </cell>
        </row>
        <row r="479">
          <cell r="O479" t="str">
            <v>GILBERT,TRICIA</v>
          </cell>
        </row>
        <row r="480">
          <cell r="O480" t="str">
            <v>GILKES,MIRIAM N</v>
          </cell>
        </row>
        <row r="481">
          <cell r="O481" t="str">
            <v>GILKES,SHANNON R</v>
          </cell>
        </row>
        <row r="482">
          <cell r="O482" t="str">
            <v>GILLESPIE,JR,JAMES M</v>
          </cell>
        </row>
        <row r="483">
          <cell r="O483" t="str">
            <v>GILLILAND,DENISE E</v>
          </cell>
        </row>
        <row r="484">
          <cell r="O484" t="str">
            <v>GLADDEN,JERRELL W</v>
          </cell>
        </row>
        <row r="485">
          <cell r="O485" t="str">
            <v>GLEESON,BRIAN R</v>
          </cell>
        </row>
        <row r="486">
          <cell r="O486" t="str">
            <v>GODWIN,DONALD</v>
          </cell>
        </row>
        <row r="487">
          <cell r="O487" t="str">
            <v>GONZALEZ,ARMANDO C</v>
          </cell>
        </row>
        <row r="488">
          <cell r="O488" t="str">
            <v>GONZALEZ,CHRISTOPHER</v>
          </cell>
        </row>
        <row r="489">
          <cell r="O489" t="str">
            <v>GOOD,DOUGLAS N</v>
          </cell>
        </row>
        <row r="490">
          <cell r="O490" t="str">
            <v>GOODE,TIMOTHY E</v>
          </cell>
        </row>
        <row r="491">
          <cell r="O491" t="str">
            <v>GOODWYN,GEORGE W</v>
          </cell>
        </row>
        <row r="492">
          <cell r="O492" t="str">
            <v>GORDON,EDWARD O</v>
          </cell>
        </row>
        <row r="493">
          <cell r="O493" t="str">
            <v>GORTON,CHANDRA D</v>
          </cell>
        </row>
        <row r="494">
          <cell r="O494" t="str">
            <v>GOUGH,AARON</v>
          </cell>
        </row>
        <row r="495">
          <cell r="O495" t="str">
            <v>GOULD,JR,ROBERT</v>
          </cell>
        </row>
        <row r="496">
          <cell r="O496" t="str">
            <v>GRADER,MATTHEW D</v>
          </cell>
        </row>
        <row r="497">
          <cell r="O497" t="str">
            <v>GRANGE,GERILYN M</v>
          </cell>
        </row>
        <row r="498">
          <cell r="O498" t="str">
            <v>GRANT,ROBERT C</v>
          </cell>
        </row>
        <row r="499">
          <cell r="O499" t="str">
            <v>GRATZER,TONYA R</v>
          </cell>
        </row>
        <row r="500">
          <cell r="O500" t="str">
            <v>GRAVATT,PATRICIA J</v>
          </cell>
        </row>
        <row r="501">
          <cell r="O501" t="str">
            <v>GRAVES,MARILEA</v>
          </cell>
        </row>
        <row r="502">
          <cell r="O502" t="str">
            <v>GRAVES,RICK E</v>
          </cell>
        </row>
        <row r="503">
          <cell r="O503" t="str">
            <v>GREEN,CYNTHIA E</v>
          </cell>
        </row>
        <row r="504">
          <cell r="O504" t="str">
            <v>GREEN,ERIK R</v>
          </cell>
        </row>
        <row r="505">
          <cell r="O505" t="str">
            <v>GREEN,KATHERINE L</v>
          </cell>
        </row>
        <row r="506">
          <cell r="O506" t="str">
            <v>GREENBERG,STEVEN</v>
          </cell>
        </row>
        <row r="507">
          <cell r="O507" t="str">
            <v>GREER,KIMBERLY M</v>
          </cell>
        </row>
        <row r="508">
          <cell r="O508" t="str">
            <v>GREER,RODGER D</v>
          </cell>
        </row>
        <row r="509">
          <cell r="O509" t="str">
            <v>GREGORY,MERCEDES D</v>
          </cell>
        </row>
        <row r="510">
          <cell r="O510" t="str">
            <v>GREY,PEGGY L</v>
          </cell>
        </row>
        <row r="511">
          <cell r="O511" t="str">
            <v>GRIBBLE,BRUCE J</v>
          </cell>
        </row>
        <row r="512">
          <cell r="O512" t="str">
            <v>GRICE,STEVEN</v>
          </cell>
        </row>
        <row r="513">
          <cell r="O513" t="str">
            <v>GRIECO,MARY A</v>
          </cell>
        </row>
        <row r="514">
          <cell r="O514" t="str">
            <v>GRIFFIN,ALBERTA</v>
          </cell>
        </row>
        <row r="515">
          <cell r="O515" t="str">
            <v>GRIFFIN,MATTHEW J</v>
          </cell>
        </row>
        <row r="516">
          <cell r="O516" t="str">
            <v>GRIFFITH,DIANE F</v>
          </cell>
        </row>
        <row r="517">
          <cell r="O517" t="str">
            <v>GRIFFITH,PHILIP K</v>
          </cell>
        </row>
        <row r="518">
          <cell r="O518" t="str">
            <v>GRINCH,DEAN S</v>
          </cell>
        </row>
        <row r="519">
          <cell r="O519" t="str">
            <v>GRISSOM,IRA W</v>
          </cell>
        </row>
        <row r="520">
          <cell r="O520" t="str">
            <v>GUDGEN,AARON J</v>
          </cell>
        </row>
        <row r="521">
          <cell r="O521" t="str">
            <v>GUENTHER,RANDOLPH K</v>
          </cell>
        </row>
        <row r="522">
          <cell r="O522" t="str">
            <v>GULEYUPOGLU,SULEYMAN</v>
          </cell>
        </row>
        <row r="523">
          <cell r="O523" t="str">
            <v>GULEYUPOGLU,WENDY L</v>
          </cell>
        </row>
        <row r="524">
          <cell r="O524" t="str">
            <v>GUY,ROBERT P</v>
          </cell>
        </row>
        <row r="525">
          <cell r="O525" t="str">
            <v>HADI SICHANI,HAMID</v>
          </cell>
        </row>
        <row r="526">
          <cell r="O526" t="str">
            <v>HAEGELE,JOHN J</v>
          </cell>
        </row>
        <row r="527">
          <cell r="O527" t="str">
            <v>HAFER,RYAN R</v>
          </cell>
        </row>
        <row r="528">
          <cell r="O528" t="str">
            <v>HAGIN,RYAN T</v>
          </cell>
        </row>
        <row r="529">
          <cell r="O529" t="str">
            <v>HAILEMARIAM,ERMIAS M</v>
          </cell>
        </row>
        <row r="530">
          <cell r="O530" t="str">
            <v>HALL,ANTOINETTE</v>
          </cell>
        </row>
        <row r="531">
          <cell r="O531" t="str">
            <v>HALL,CARLETON Q</v>
          </cell>
        </row>
        <row r="532">
          <cell r="O532" t="str">
            <v>HALL,CHARLES J</v>
          </cell>
        </row>
        <row r="533">
          <cell r="O533" t="str">
            <v>HAMILTON,PATRICK A</v>
          </cell>
        </row>
        <row r="534">
          <cell r="O534" t="str">
            <v>HAMRIC,CLAY</v>
          </cell>
        </row>
        <row r="535">
          <cell r="O535" t="str">
            <v>HANSEN,PHILIP B</v>
          </cell>
        </row>
        <row r="536">
          <cell r="O536" t="str">
            <v>HANSON,RAY L</v>
          </cell>
        </row>
        <row r="537">
          <cell r="O537" t="str">
            <v>HARDEN,PATRICIA J</v>
          </cell>
        </row>
        <row r="538">
          <cell r="O538" t="str">
            <v>HARDWICK,WALTER H</v>
          </cell>
        </row>
        <row r="539">
          <cell r="O539" t="str">
            <v>HARMAN,III,RALPH C</v>
          </cell>
        </row>
        <row r="540">
          <cell r="O540" t="str">
            <v>HARPER,AMY M</v>
          </cell>
        </row>
        <row r="541">
          <cell r="O541" t="str">
            <v>HARPER,GORDON R</v>
          </cell>
        </row>
        <row r="542">
          <cell r="O542" t="str">
            <v>HARRELL,PAMELA</v>
          </cell>
        </row>
        <row r="543">
          <cell r="O543" t="str">
            <v>HARRINGTON,PATRICIA P</v>
          </cell>
        </row>
        <row r="544">
          <cell r="O544" t="str">
            <v>HARRIS,ALYCIA L</v>
          </cell>
        </row>
        <row r="545">
          <cell r="O545" t="str">
            <v>HARRIS,JL</v>
          </cell>
        </row>
        <row r="546">
          <cell r="O546" t="str">
            <v>HART,JAY F</v>
          </cell>
        </row>
        <row r="547">
          <cell r="O547" t="str">
            <v>HART,MARVIN B</v>
          </cell>
        </row>
        <row r="548">
          <cell r="O548" t="str">
            <v>HARVEY,III,HUGH</v>
          </cell>
        </row>
        <row r="549">
          <cell r="O549" t="str">
            <v>HASLINGER,ERIN C</v>
          </cell>
        </row>
        <row r="550">
          <cell r="O550" t="str">
            <v>HATFIELD,MATTHEW C</v>
          </cell>
        </row>
        <row r="551">
          <cell r="O551" t="str">
            <v>HAUSCHILDT,CRAIG A</v>
          </cell>
        </row>
        <row r="552">
          <cell r="O552" t="str">
            <v>HAWKINS,III,WILLIAM H</v>
          </cell>
        </row>
        <row r="553">
          <cell r="O553" t="str">
            <v>HAWKINS,SHARON J</v>
          </cell>
        </row>
        <row r="554">
          <cell r="O554" t="str">
            <v>HAYES,MICHAEL</v>
          </cell>
        </row>
        <row r="555">
          <cell r="O555" t="str">
            <v>HEBEL,RICHARD</v>
          </cell>
        </row>
        <row r="556">
          <cell r="O556" t="str">
            <v>HEFNER,ELMER A</v>
          </cell>
        </row>
        <row r="557">
          <cell r="O557" t="str">
            <v>HEIMANN,RICHARD N</v>
          </cell>
        </row>
        <row r="558">
          <cell r="O558" t="str">
            <v>HELLSTERN,BRUCE K</v>
          </cell>
        </row>
        <row r="559">
          <cell r="O559" t="str">
            <v>HELMER,STEVEN A</v>
          </cell>
        </row>
        <row r="560">
          <cell r="O560" t="str">
            <v>HEMBREE,WALTON W</v>
          </cell>
        </row>
        <row r="561">
          <cell r="O561" t="str">
            <v>HENDERSON,JAMES S</v>
          </cell>
        </row>
        <row r="562">
          <cell r="O562" t="str">
            <v>HENDERSON,RICHARD P</v>
          </cell>
        </row>
        <row r="563">
          <cell r="O563" t="str">
            <v>HENDRICKS,ERIC</v>
          </cell>
        </row>
        <row r="564">
          <cell r="O564" t="str">
            <v>HENDRICKS,RODNEY R</v>
          </cell>
        </row>
        <row r="565">
          <cell r="O565" t="str">
            <v>HENNING,MARK D</v>
          </cell>
        </row>
        <row r="566">
          <cell r="O566" t="str">
            <v>HENRIKSEN,STEPHEN J</v>
          </cell>
        </row>
        <row r="567">
          <cell r="O567" t="str">
            <v>HENSEL,KENNETH J</v>
          </cell>
        </row>
        <row r="568">
          <cell r="O568" t="str">
            <v>HENSON,WILLIAM N</v>
          </cell>
        </row>
        <row r="569">
          <cell r="O569" t="str">
            <v>HENSTOCK,JESSE L</v>
          </cell>
        </row>
        <row r="570">
          <cell r="O570" t="str">
            <v>HENSTOCK,MARK T</v>
          </cell>
        </row>
        <row r="571">
          <cell r="O571" t="str">
            <v>HERARD,RICHARD</v>
          </cell>
        </row>
        <row r="572">
          <cell r="O572" t="str">
            <v>HERDER,LELAND E</v>
          </cell>
        </row>
        <row r="573">
          <cell r="O573" t="str">
            <v>HERKERT,PAMELA A</v>
          </cell>
        </row>
        <row r="574">
          <cell r="O574" t="str">
            <v>HICKS,GUADALUPE</v>
          </cell>
        </row>
        <row r="575">
          <cell r="O575" t="str">
            <v>HIENER,DOUGLAS C</v>
          </cell>
        </row>
        <row r="576">
          <cell r="O576" t="str">
            <v>HIGDON,NOAH S</v>
          </cell>
        </row>
        <row r="577">
          <cell r="O577" t="str">
            <v>HILL,III,HERMAN J</v>
          </cell>
        </row>
        <row r="578">
          <cell r="O578" t="str">
            <v>HILL,JOLINDA T</v>
          </cell>
        </row>
        <row r="579">
          <cell r="O579" t="str">
            <v>HILL,STEPHANIE K</v>
          </cell>
        </row>
        <row r="580">
          <cell r="O580" t="str">
            <v>HOBSON,ROBERT K</v>
          </cell>
        </row>
        <row r="581">
          <cell r="O581" t="str">
            <v>HOFFMAN,WILLIAM S</v>
          </cell>
        </row>
        <row r="582">
          <cell r="O582" t="str">
            <v>HOLCOMB,DON D</v>
          </cell>
        </row>
        <row r="583">
          <cell r="O583" t="str">
            <v>HOLDAWAY,VIRGINIA R</v>
          </cell>
        </row>
        <row r="584">
          <cell r="O584" t="str">
            <v>HOLLAR,MICHELLE L</v>
          </cell>
        </row>
        <row r="585">
          <cell r="O585" t="str">
            <v>HOLMGREN,DAVID W</v>
          </cell>
        </row>
        <row r="586">
          <cell r="O586" t="str">
            <v>HOLT,CLIFFORD D</v>
          </cell>
        </row>
        <row r="587">
          <cell r="O587" t="str">
            <v>HOLTZ,RONALD A</v>
          </cell>
        </row>
        <row r="588">
          <cell r="O588" t="str">
            <v>HOOVER,CRAIG R</v>
          </cell>
        </row>
        <row r="589">
          <cell r="O589" t="str">
            <v>HORNSTEIN,HEIDI B</v>
          </cell>
        </row>
        <row r="590">
          <cell r="O590" t="str">
            <v>HORNSTEIN,KENNETH A</v>
          </cell>
        </row>
        <row r="591">
          <cell r="O591" t="str">
            <v>HORTON,STEVE J</v>
          </cell>
        </row>
        <row r="592">
          <cell r="O592" t="str">
            <v>HOU,YI</v>
          </cell>
        </row>
        <row r="593">
          <cell r="O593" t="str">
            <v>HOUSH,JOYCE L</v>
          </cell>
        </row>
        <row r="594">
          <cell r="O594" t="str">
            <v>HOWELL,BETH A</v>
          </cell>
        </row>
        <row r="595">
          <cell r="O595" t="str">
            <v>HOWINGTON,MICHAEL L</v>
          </cell>
        </row>
        <row r="596">
          <cell r="O596" t="str">
            <v>HOY,SCOTT D</v>
          </cell>
        </row>
        <row r="597">
          <cell r="O597" t="str">
            <v>HRBACEK,DONNA S</v>
          </cell>
        </row>
        <row r="598">
          <cell r="O598" t="str">
            <v>HSU,AN-YU</v>
          </cell>
        </row>
        <row r="599">
          <cell r="O599" t="str">
            <v>HUANG,CHRISTOPHER A</v>
          </cell>
        </row>
        <row r="600">
          <cell r="O600" t="str">
            <v>HUDSON,BRADLEY J</v>
          </cell>
        </row>
        <row r="601">
          <cell r="O601" t="str">
            <v>HUDSON,BRIAN R</v>
          </cell>
        </row>
        <row r="602">
          <cell r="O602" t="str">
            <v>HUGGINS,JONATHAN D</v>
          </cell>
        </row>
        <row r="603">
          <cell r="O603" t="str">
            <v>HUGHES,ERIN M</v>
          </cell>
        </row>
        <row r="604">
          <cell r="O604" t="str">
            <v>HULL,CYNTHIA L</v>
          </cell>
        </row>
        <row r="605">
          <cell r="O605" t="str">
            <v>HULL,RICHARD</v>
          </cell>
        </row>
        <row r="606">
          <cell r="O606" t="str">
            <v>HUMMELL,DANIEL W</v>
          </cell>
        </row>
        <row r="607">
          <cell r="O607" t="str">
            <v>HUNSICKER,JOHN J</v>
          </cell>
        </row>
        <row r="608">
          <cell r="O608" t="str">
            <v>HUNT,DEA A</v>
          </cell>
        </row>
        <row r="609">
          <cell r="O609" t="str">
            <v>HUNTER,CRAIG</v>
          </cell>
        </row>
        <row r="610">
          <cell r="O610" t="str">
            <v>HUNTLEY,JOHN R</v>
          </cell>
        </row>
        <row r="611">
          <cell r="O611" t="str">
            <v>HUPKA,KEITH</v>
          </cell>
        </row>
        <row r="612">
          <cell r="O612" t="str">
            <v>HURT,JENNIFER L</v>
          </cell>
        </row>
        <row r="613">
          <cell r="O613" t="str">
            <v>HUSSEY,RICHARD V</v>
          </cell>
        </row>
        <row r="614">
          <cell r="O614" t="str">
            <v>HUYNH,NANCY</v>
          </cell>
        </row>
        <row r="615">
          <cell r="O615" t="str">
            <v>HUYNH,TUOC A</v>
          </cell>
        </row>
        <row r="616">
          <cell r="O616" t="str">
            <v>IPPOLITO,JR,LOUIS J</v>
          </cell>
        </row>
        <row r="617">
          <cell r="O617" t="str">
            <v>IRELAND,JAMES R</v>
          </cell>
        </row>
        <row r="618">
          <cell r="O618" t="str">
            <v>IRION,HENRY G</v>
          </cell>
        </row>
        <row r="619">
          <cell r="O619" t="str">
            <v>ISAHAQ,MOHAMUD F</v>
          </cell>
        </row>
        <row r="620">
          <cell r="O620" t="str">
            <v>ISBELL,LACEY A</v>
          </cell>
        </row>
        <row r="621">
          <cell r="O621" t="str">
            <v>IVEY,RICHARD</v>
          </cell>
        </row>
        <row r="622">
          <cell r="O622" t="str">
            <v>IYER,SHANKAR A</v>
          </cell>
        </row>
        <row r="623">
          <cell r="O623" t="str">
            <v>IZZI,GREGORY R</v>
          </cell>
        </row>
        <row r="624">
          <cell r="O624" t="str">
            <v>JACINTO,BARBARA C</v>
          </cell>
        </row>
        <row r="625">
          <cell r="O625" t="str">
            <v>JACOBS,ROBERT L</v>
          </cell>
        </row>
        <row r="626">
          <cell r="O626" t="str">
            <v>JAMES,BRANDON A</v>
          </cell>
        </row>
        <row r="627">
          <cell r="O627" t="str">
            <v>JARRETT,ARDITH W</v>
          </cell>
        </row>
        <row r="628">
          <cell r="O628" t="str">
            <v>JAYASUNDERA,SRINATH P</v>
          </cell>
        </row>
        <row r="629">
          <cell r="O629" t="str">
            <v>JEFFERSON,LAURIE E</v>
          </cell>
        </row>
        <row r="630">
          <cell r="O630" t="str">
            <v>JENKINS,PAUL E</v>
          </cell>
        </row>
        <row r="631">
          <cell r="O631" t="str">
            <v>JENNIER,GWEN C</v>
          </cell>
        </row>
        <row r="632">
          <cell r="O632" t="str">
            <v>JERI,DAVE</v>
          </cell>
        </row>
        <row r="633">
          <cell r="O633" t="str">
            <v>JEWELL,STEVEN C</v>
          </cell>
        </row>
        <row r="634">
          <cell r="O634" t="str">
            <v>JIN,ZHENYI</v>
          </cell>
        </row>
        <row r="635">
          <cell r="O635" t="str">
            <v>JOCHAM,GARRY</v>
          </cell>
        </row>
        <row r="636">
          <cell r="O636" t="str">
            <v>JOHANSON,CLAYTON J</v>
          </cell>
        </row>
        <row r="637">
          <cell r="O637" t="str">
            <v>JOHNS,MILTON C</v>
          </cell>
        </row>
        <row r="638">
          <cell r="O638" t="str">
            <v>JOHNSON,DAVID W</v>
          </cell>
        </row>
        <row r="639">
          <cell r="O639" t="str">
            <v>JOHNSON,JESSICA L</v>
          </cell>
        </row>
        <row r="640">
          <cell r="O640" t="str">
            <v>JOHNSON,JOAN E</v>
          </cell>
        </row>
        <row r="641">
          <cell r="O641" t="str">
            <v>JOHNSON,JR,MELVIN E</v>
          </cell>
        </row>
        <row r="642">
          <cell r="O642" t="str">
            <v>JOHNSON,KELVIN B</v>
          </cell>
        </row>
        <row r="643">
          <cell r="O643" t="str">
            <v>JOHNSON,LAUREN C</v>
          </cell>
        </row>
        <row r="644">
          <cell r="O644" t="str">
            <v>JOHNSON,LEANN K</v>
          </cell>
        </row>
        <row r="645">
          <cell r="O645" t="str">
            <v>JOHNSON,MAUREEN A</v>
          </cell>
        </row>
        <row r="646">
          <cell r="O646" t="str">
            <v>JOHNSON,MICHAEL</v>
          </cell>
        </row>
        <row r="647">
          <cell r="O647" t="str">
            <v>JOHNSON,PAMELA L</v>
          </cell>
        </row>
        <row r="648">
          <cell r="O648" t="str">
            <v>JOHNSON,RYAN K</v>
          </cell>
        </row>
        <row r="649">
          <cell r="O649" t="str">
            <v>JONES,DENNIS L</v>
          </cell>
        </row>
        <row r="650">
          <cell r="O650" t="str">
            <v>JONES,DUSTIN J</v>
          </cell>
        </row>
        <row r="651">
          <cell r="O651" t="str">
            <v>JONES,HARRY S</v>
          </cell>
        </row>
        <row r="652">
          <cell r="O652" t="str">
            <v>JONES,LINDSAY</v>
          </cell>
        </row>
        <row r="653">
          <cell r="O653" t="str">
            <v>JONES,NINA J</v>
          </cell>
        </row>
        <row r="654">
          <cell r="O654" t="str">
            <v>JONES,ROBERT M</v>
          </cell>
        </row>
        <row r="655">
          <cell r="O655" t="str">
            <v>JONES,SHELDON R</v>
          </cell>
        </row>
        <row r="656">
          <cell r="O656" t="str">
            <v>JONES,SHERRY L</v>
          </cell>
        </row>
        <row r="657">
          <cell r="O657" t="str">
            <v>JORDAN,THOMAS W</v>
          </cell>
        </row>
        <row r="658">
          <cell r="O658" t="str">
            <v>JOSEPH,JANE C</v>
          </cell>
        </row>
        <row r="659">
          <cell r="O659" t="str">
            <v>JURGELEIT,ERIC F</v>
          </cell>
        </row>
        <row r="660">
          <cell r="O660" t="str">
            <v>KADRMAS,LYNDA A</v>
          </cell>
        </row>
        <row r="661">
          <cell r="O661" t="str">
            <v>KALKBRENNER,JAMES F</v>
          </cell>
        </row>
        <row r="662">
          <cell r="O662" t="str">
            <v>KALKBRENNER,MATTHEW J</v>
          </cell>
        </row>
        <row r="663">
          <cell r="O663" t="str">
            <v>KAMINARIS,STYLIANOS</v>
          </cell>
        </row>
        <row r="664">
          <cell r="O664" t="str">
            <v>KANTNER,STEVEN J</v>
          </cell>
        </row>
        <row r="665">
          <cell r="O665" t="str">
            <v>KARCH,LAWRENCE G</v>
          </cell>
        </row>
        <row r="666">
          <cell r="O666" t="str">
            <v>KARHUSE,CHRISTOPHER D</v>
          </cell>
        </row>
        <row r="667">
          <cell r="O667" t="str">
            <v>KARR,GABRIEL</v>
          </cell>
        </row>
        <row r="668">
          <cell r="O668" t="str">
            <v>KASSA,ABBY</v>
          </cell>
        </row>
        <row r="669">
          <cell r="O669" t="str">
            <v>KAUFMAN,DAVID R</v>
          </cell>
        </row>
        <row r="670">
          <cell r="O670" t="str">
            <v>KAYE,ANTHONY B</v>
          </cell>
        </row>
        <row r="671">
          <cell r="O671" t="str">
            <v>KEELING,KEITH A</v>
          </cell>
        </row>
        <row r="672">
          <cell r="O672" t="str">
            <v>KEENE,NANCY M</v>
          </cell>
        </row>
        <row r="673">
          <cell r="O673" t="str">
            <v>KEITH,ROBERT E</v>
          </cell>
        </row>
        <row r="674">
          <cell r="O674" t="str">
            <v>KELLAR,GERMAINE F</v>
          </cell>
        </row>
        <row r="675">
          <cell r="O675" t="str">
            <v>KELLER,JAMES M</v>
          </cell>
        </row>
        <row r="676">
          <cell r="O676" t="str">
            <v>KELLY,BRIAN T</v>
          </cell>
        </row>
        <row r="677">
          <cell r="O677" t="str">
            <v>KELLY,KEITH K</v>
          </cell>
        </row>
        <row r="678">
          <cell r="O678" t="str">
            <v>KELLY,STEPHEN T</v>
          </cell>
        </row>
        <row r="679">
          <cell r="O679" t="str">
            <v>KEMP,NAKISHA M</v>
          </cell>
        </row>
        <row r="680">
          <cell r="O680" t="str">
            <v>KENNEDY,CHARLES J</v>
          </cell>
        </row>
        <row r="681">
          <cell r="O681" t="str">
            <v>KENNEDY,GEORGE</v>
          </cell>
        </row>
        <row r="682">
          <cell r="O682" t="str">
            <v>KHALEK,DAVID N</v>
          </cell>
        </row>
        <row r="683">
          <cell r="O683" t="str">
            <v>KHAN,BILAL A</v>
          </cell>
        </row>
        <row r="684">
          <cell r="O684" t="str">
            <v>KHAN,SHER</v>
          </cell>
        </row>
        <row r="685">
          <cell r="O685" t="str">
            <v>KIBEL,EDMOND E</v>
          </cell>
        </row>
        <row r="686">
          <cell r="O686" t="str">
            <v>KIDWELL,ROBIN L</v>
          </cell>
        </row>
        <row r="687">
          <cell r="O687" t="str">
            <v>KILLOUGH,GRAHAM C</v>
          </cell>
        </row>
        <row r="688">
          <cell r="O688" t="str">
            <v>KILLOUGH,THERESA N</v>
          </cell>
        </row>
        <row r="689">
          <cell r="O689" t="str">
            <v>KILPATRICK,JON M</v>
          </cell>
        </row>
        <row r="690">
          <cell r="O690" t="str">
            <v>KILROE,MATTHEW P</v>
          </cell>
        </row>
        <row r="691">
          <cell r="O691" t="str">
            <v>KIM,BRIAN M</v>
          </cell>
        </row>
        <row r="692">
          <cell r="O692" t="str">
            <v>KINDLER,CARRIE E</v>
          </cell>
        </row>
        <row r="693">
          <cell r="O693" t="str">
            <v>KING,BELINDA D</v>
          </cell>
        </row>
        <row r="694">
          <cell r="O694" t="str">
            <v>KING,CONNIE L</v>
          </cell>
        </row>
        <row r="695">
          <cell r="O695" t="str">
            <v>KING,MICHAEL A</v>
          </cell>
        </row>
        <row r="696">
          <cell r="O696" t="str">
            <v>KING,PHILIP L</v>
          </cell>
        </row>
        <row r="697">
          <cell r="O697" t="str">
            <v>KING,SCOTT E</v>
          </cell>
        </row>
        <row r="698">
          <cell r="O698" t="str">
            <v>KINSLOW,BARBARA A</v>
          </cell>
        </row>
        <row r="699">
          <cell r="O699" t="str">
            <v>KINZIE,ERIC H</v>
          </cell>
        </row>
        <row r="700">
          <cell r="O700" t="str">
            <v>KIRK,WALTER E</v>
          </cell>
        </row>
        <row r="701">
          <cell r="O701" t="str">
            <v>KISELICH,JEANETTE A</v>
          </cell>
        </row>
        <row r="702">
          <cell r="O702" t="str">
            <v>KISKIRAS,CHARLES J</v>
          </cell>
        </row>
        <row r="703">
          <cell r="O703" t="str">
            <v>KLEIN,GABRIEL</v>
          </cell>
        </row>
        <row r="704">
          <cell r="O704" t="str">
            <v>KLETECKA,CHRISTOPHER S</v>
          </cell>
        </row>
        <row r="705">
          <cell r="O705" t="str">
            <v>KNIGHT,JONATHAN K</v>
          </cell>
        </row>
        <row r="706">
          <cell r="O706" t="str">
            <v>KNIGHT,ROBBY L</v>
          </cell>
        </row>
        <row r="707">
          <cell r="O707" t="str">
            <v>KOEHNLEIN,PAUL W</v>
          </cell>
        </row>
        <row r="708">
          <cell r="O708" t="str">
            <v>KOEPKE,JASON M</v>
          </cell>
        </row>
        <row r="709">
          <cell r="O709" t="str">
            <v>KOOP,JR,LEONARD V</v>
          </cell>
        </row>
        <row r="710">
          <cell r="O710" t="str">
            <v>KORNKE,WILLIAM T</v>
          </cell>
        </row>
        <row r="711">
          <cell r="O711" t="str">
            <v>KORPAN,MERRY ELLEN</v>
          </cell>
        </row>
        <row r="712">
          <cell r="O712" t="str">
            <v>KOURI,JEFFREY V</v>
          </cell>
        </row>
        <row r="713">
          <cell r="O713" t="str">
            <v>KOZAK,JERILYN L</v>
          </cell>
        </row>
        <row r="714">
          <cell r="O714" t="str">
            <v>KOZIUK,FRANCIS M</v>
          </cell>
        </row>
        <row r="715">
          <cell r="O715" t="str">
            <v>KRICK,CHAD W</v>
          </cell>
        </row>
        <row r="716">
          <cell r="O716" t="str">
            <v>KRISSEL,KORTNEY J</v>
          </cell>
        </row>
        <row r="717">
          <cell r="O717" t="str">
            <v>KROM,PAUL A</v>
          </cell>
        </row>
        <row r="718">
          <cell r="O718" t="str">
            <v>KRUPA,GERALD T</v>
          </cell>
        </row>
        <row r="719">
          <cell r="O719" t="str">
            <v>KUBE,ROBERT M</v>
          </cell>
        </row>
        <row r="720">
          <cell r="O720" t="str">
            <v>KUKUCKA,ADAM W</v>
          </cell>
        </row>
        <row r="721">
          <cell r="O721" t="str">
            <v>KWADRAT,CARL F</v>
          </cell>
        </row>
        <row r="722">
          <cell r="O722" t="str">
            <v>LABORDE,DIANE S</v>
          </cell>
        </row>
        <row r="723">
          <cell r="O723" t="str">
            <v>LADEWIG,ROBERT D</v>
          </cell>
        </row>
        <row r="724">
          <cell r="O724" t="str">
            <v>LAFONTAINE,RICHARD L</v>
          </cell>
        </row>
        <row r="725">
          <cell r="O725" t="str">
            <v>LAGON,KAREN D</v>
          </cell>
        </row>
        <row r="726">
          <cell r="O726" t="str">
            <v>LAKE,ERIC J</v>
          </cell>
        </row>
        <row r="727">
          <cell r="O727" t="str">
            <v>LAMB,GEORGE C</v>
          </cell>
        </row>
        <row r="728">
          <cell r="O728" t="str">
            <v>LAMB,PAMELA</v>
          </cell>
        </row>
        <row r="729">
          <cell r="O729" t="str">
            <v>LAMBALOT,WILLIAM</v>
          </cell>
        </row>
        <row r="730">
          <cell r="O730" t="str">
            <v>LAMBERT,RICHARD P</v>
          </cell>
        </row>
        <row r="731">
          <cell r="O731" t="str">
            <v>LAND,THOMAS</v>
          </cell>
        </row>
        <row r="732">
          <cell r="O732" t="str">
            <v>LANDRY,SHARON K</v>
          </cell>
        </row>
        <row r="733">
          <cell r="O733" t="str">
            <v>LANE,JOHN E</v>
          </cell>
        </row>
        <row r="734">
          <cell r="O734" t="str">
            <v>LANGFORD,LEE</v>
          </cell>
        </row>
        <row r="735">
          <cell r="O735" t="str">
            <v>LANNING,THERESA D</v>
          </cell>
        </row>
        <row r="736">
          <cell r="O736" t="str">
            <v>LANZAGORTA,MARCO</v>
          </cell>
        </row>
        <row r="737">
          <cell r="O737" t="str">
            <v>LAO-NGUYEN,CATHY Y</v>
          </cell>
        </row>
        <row r="738">
          <cell r="O738" t="str">
            <v>LAPOINTE,DANIEL G</v>
          </cell>
        </row>
        <row r="739">
          <cell r="O739" t="str">
            <v>LAPORA,BONNIE M</v>
          </cell>
        </row>
        <row r="740">
          <cell r="O740" t="str">
            <v>LARIVIERE,SHAWN D</v>
          </cell>
        </row>
        <row r="741">
          <cell r="O741" t="str">
            <v>LARKIN,STEPHEN D</v>
          </cell>
        </row>
        <row r="742">
          <cell r="O742" t="str">
            <v>LARSEN,KIMBERLY L</v>
          </cell>
        </row>
        <row r="743">
          <cell r="O743" t="str">
            <v>LARSEN,SHIREEN</v>
          </cell>
        </row>
        <row r="744">
          <cell r="O744" t="str">
            <v>LARSEN,WILLIS R</v>
          </cell>
        </row>
        <row r="745">
          <cell r="O745" t="str">
            <v>LARSON,ROBERT E</v>
          </cell>
        </row>
        <row r="746">
          <cell r="O746" t="str">
            <v>LARUE,II,LOWELL G</v>
          </cell>
        </row>
        <row r="747">
          <cell r="O747" t="str">
            <v>LATHE,PAUL G</v>
          </cell>
        </row>
        <row r="748">
          <cell r="O748" t="str">
            <v>LATHROP,KIRK A</v>
          </cell>
        </row>
        <row r="749">
          <cell r="O749" t="str">
            <v>LATIMER,GUY B</v>
          </cell>
        </row>
        <row r="750">
          <cell r="O750" t="str">
            <v>LAUGHLIN,ROBERT O</v>
          </cell>
        </row>
        <row r="751">
          <cell r="O751" t="str">
            <v>LAUGHTON,MARYANN M</v>
          </cell>
        </row>
        <row r="752">
          <cell r="O752" t="str">
            <v>LAURENO,KRISTEN J</v>
          </cell>
        </row>
        <row r="753">
          <cell r="O753" t="str">
            <v>LAUTURE,GUIVARD</v>
          </cell>
        </row>
        <row r="754">
          <cell r="O754" t="str">
            <v>LAVALLEY,HOWARD N</v>
          </cell>
        </row>
        <row r="755">
          <cell r="O755" t="str">
            <v>LAYMAN,RICHARD L</v>
          </cell>
        </row>
        <row r="756">
          <cell r="O756" t="str">
            <v>LE,NAM H</v>
          </cell>
        </row>
        <row r="757">
          <cell r="O757" t="str">
            <v>LEARNER,ROBERT B</v>
          </cell>
        </row>
        <row r="758">
          <cell r="O758" t="str">
            <v>LECH,GARRY</v>
          </cell>
        </row>
        <row r="759">
          <cell r="O759" t="str">
            <v>LEE,JAMAR A</v>
          </cell>
        </row>
        <row r="760">
          <cell r="O760" t="str">
            <v>LEHMAN,PATRICK J</v>
          </cell>
        </row>
        <row r="761">
          <cell r="O761" t="str">
            <v>LEIVESTAD,DONNA L</v>
          </cell>
        </row>
        <row r="762">
          <cell r="O762" t="str">
            <v>LEMKE,MICHAEL A</v>
          </cell>
        </row>
        <row r="763">
          <cell r="O763" t="str">
            <v>LEONARD,WILLIAM J</v>
          </cell>
        </row>
        <row r="764">
          <cell r="O764" t="str">
            <v>LEONOR,JOSE A</v>
          </cell>
        </row>
        <row r="765">
          <cell r="O765" t="str">
            <v>LEPKOWSKI,RONALD J</v>
          </cell>
        </row>
        <row r="766">
          <cell r="O766" t="str">
            <v>LEVERING,JAMES R</v>
          </cell>
        </row>
        <row r="767">
          <cell r="O767" t="str">
            <v>LEVY,BETH M</v>
          </cell>
        </row>
        <row r="768">
          <cell r="O768" t="str">
            <v>LEWIS,WILLIAM J</v>
          </cell>
        </row>
        <row r="769">
          <cell r="O769" t="str">
            <v>LI,EUNICE X</v>
          </cell>
        </row>
        <row r="770">
          <cell r="O770" t="str">
            <v>LIAO,YAPING</v>
          </cell>
        </row>
        <row r="771">
          <cell r="O771" t="str">
            <v>LIEB,ERICA N</v>
          </cell>
        </row>
        <row r="772">
          <cell r="O772" t="str">
            <v>LIEBERMANN,THERESE A</v>
          </cell>
        </row>
        <row r="773">
          <cell r="O773" t="str">
            <v>LIETZKE,CHRISTOPHER E</v>
          </cell>
        </row>
        <row r="774">
          <cell r="O774" t="str">
            <v>LIFSEY,JR,FRANK B</v>
          </cell>
        </row>
        <row r="775">
          <cell r="O775" t="str">
            <v>LILIENTHAL,SCOTT E</v>
          </cell>
        </row>
        <row r="776">
          <cell r="O776" t="str">
            <v>LIND,JOHN P</v>
          </cell>
        </row>
        <row r="777">
          <cell r="O777" t="str">
            <v>LINDSTEN,ERIC L</v>
          </cell>
        </row>
        <row r="778">
          <cell r="O778" t="str">
            <v>LINDSTROM,IMA R</v>
          </cell>
        </row>
        <row r="779">
          <cell r="O779" t="str">
            <v>LINNSTAEDT,DAVID J</v>
          </cell>
        </row>
        <row r="780">
          <cell r="O780" t="str">
            <v>LIPPS,RONDEL L</v>
          </cell>
        </row>
        <row r="781">
          <cell r="O781" t="str">
            <v>LIRA,JOSE</v>
          </cell>
        </row>
        <row r="782">
          <cell r="O782" t="str">
            <v>LITTLE,WILLIAM L</v>
          </cell>
        </row>
        <row r="783">
          <cell r="O783" t="str">
            <v>LITWHILER,III,DANIEL W</v>
          </cell>
        </row>
        <row r="784">
          <cell r="O784" t="str">
            <v>LOBB,CLARENCE T</v>
          </cell>
        </row>
        <row r="785">
          <cell r="O785" t="str">
            <v>LOCKE,DEBRA A</v>
          </cell>
        </row>
        <row r="786">
          <cell r="O786" t="str">
            <v>LONGDON,GARTH E</v>
          </cell>
        </row>
        <row r="787">
          <cell r="O787" t="str">
            <v>LOPEZ,JANET G</v>
          </cell>
        </row>
        <row r="788">
          <cell r="O788" t="str">
            <v>LORENCE,ROBERT J</v>
          </cell>
        </row>
        <row r="789">
          <cell r="O789" t="str">
            <v>LORENZ,MARK A</v>
          </cell>
        </row>
        <row r="790">
          <cell r="O790" t="str">
            <v>LOUGHLIN,SR,WILLIAM F</v>
          </cell>
        </row>
        <row r="791">
          <cell r="O791" t="str">
            <v>LOWENTHAL,CRAIG</v>
          </cell>
        </row>
        <row r="792">
          <cell r="O792" t="str">
            <v>LOWERY,SHEILA M</v>
          </cell>
        </row>
        <row r="793">
          <cell r="O793" t="str">
            <v>LUCAS,MARK A</v>
          </cell>
        </row>
        <row r="794">
          <cell r="O794" t="str">
            <v>LUCE,JAMES M</v>
          </cell>
        </row>
        <row r="795">
          <cell r="O795" t="str">
            <v>LUCZKA,JAMES</v>
          </cell>
        </row>
        <row r="796">
          <cell r="O796" t="str">
            <v>LUGARDO,HELEN R</v>
          </cell>
        </row>
        <row r="797">
          <cell r="O797" t="str">
            <v>LUMPKIN,VICTORIA P</v>
          </cell>
        </row>
        <row r="798">
          <cell r="O798" t="str">
            <v>LY,MADINA B</v>
          </cell>
        </row>
        <row r="799">
          <cell r="O799" t="str">
            <v>LYBARGER,MICHAEL T</v>
          </cell>
        </row>
        <row r="800">
          <cell r="O800" t="str">
            <v>LYNCH,MICHAEL T</v>
          </cell>
        </row>
        <row r="801">
          <cell r="O801" t="str">
            <v>MA,LIQING</v>
          </cell>
        </row>
        <row r="802">
          <cell r="O802" t="str">
            <v>MACDONALD,JOSEPH R</v>
          </cell>
        </row>
        <row r="803">
          <cell r="O803" t="str">
            <v>MACDONALD,KATHLEEN D</v>
          </cell>
        </row>
        <row r="804">
          <cell r="O804" t="str">
            <v>MACDONALD,STEVEN A</v>
          </cell>
        </row>
        <row r="805">
          <cell r="O805" t="str">
            <v>MACERA,ANTHONY R</v>
          </cell>
        </row>
        <row r="806">
          <cell r="O806" t="str">
            <v>MACIOLEK,MICHAEL J</v>
          </cell>
        </row>
        <row r="807">
          <cell r="O807" t="str">
            <v>MACKINTOSH,LISA D</v>
          </cell>
        </row>
        <row r="808">
          <cell r="O808" t="str">
            <v>MACZUGOWSKI,MIECZYSLAW M</v>
          </cell>
        </row>
        <row r="809">
          <cell r="O809" t="str">
            <v>MADARI,FATIMAH D</v>
          </cell>
        </row>
        <row r="810">
          <cell r="O810" t="str">
            <v>MAHER,ROBERT L</v>
          </cell>
        </row>
        <row r="811">
          <cell r="O811" t="str">
            <v>MAHLE,GARY G</v>
          </cell>
        </row>
        <row r="812">
          <cell r="O812" t="str">
            <v>MAJCHRZAK,DAVID E</v>
          </cell>
        </row>
        <row r="813">
          <cell r="O813" t="str">
            <v>MAJORS,BRYAN D</v>
          </cell>
        </row>
        <row r="814">
          <cell r="O814" t="str">
            <v>MAJORS,JOSHUA L</v>
          </cell>
        </row>
        <row r="815">
          <cell r="O815" t="str">
            <v>MALLON,PAUL M</v>
          </cell>
        </row>
        <row r="816">
          <cell r="O816" t="str">
            <v>MANDUJANO,FLOR G</v>
          </cell>
        </row>
        <row r="817">
          <cell r="O817" t="str">
            <v>MANELLI,JOANNE L</v>
          </cell>
        </row>
        <row r="818">
          <cell r="O818" t="str">
            <v>MANN,CARY W</v>
          </cell>
        </row>
        <row r="819">
          <cell r="O819" t="str">
            <v>MANN,DINAH C</v>
          </cell>
        </row>
        <row r="820">
          <cell r="O820" t="str">
            <v>MANN,LESLIE A</v>
          </cell>
        </row>
        <row r="821">
          <cell r="O821" t="str">
            <v>MANN,MICHAEL K</v>
          </cell>
        </row>
        <row r="822">
          <cell r="O822" t="str">
            <v>MANTELL,LEE R</v>
          </cell>
        </row>
        <row r="823">
          <cell r="O823" t="str">
            <v>MANTICA,SR,PETER M</v>
          </cell>
        </row>
        <row r="824">
          <cell r="O824" t="str">
            <v>MARCELLA,DANIEL C</v>
          </cell>
        </row>
        <row r="825">
          <cell r="O825" t="str">
            <v>MARCH,DON D</v>
          </cell>
        </row>
        <row r="826">
          <cell r="O826" t="str">
            <v>MARDIGUIAN,ARMEN E</v>
          </cell>
        </row>
        <row r="827">
          <cell r="O827" t="str">
            <v>MARINKO,THOMAS G</v>
          </cell>
        </row>
        <row r="828">
          <cell r="O828" t="str">
            <v>MARSH,WAVERLY D</v>
          </cell>
        </row>
        <row r="829">
          <cell r="O829" t="str">
            <v>MARTIN,EDWIN J</v>
          </cell>
        </row>
        <row r="830">
          <cell r="O830" t="str">
            <v>MARTIN,JONATHAN D</v>
          </cell>
        </row>
        <row r="831">
          <cell r="O831" t="str">
            <v>MARTINEZ,ANTHONY A</v>
          </cell>
        </row>
        <row r="832">
          <cell r="O832" t="str">
            <v>MASCARO,CHRISTIAN F</v>
          </cell>
        </row>
        <row r="833">
          <cell r="O833" t="str">
            <v>MAWHAR,RYAN J</v>
          </cell>
        </row>
        <row r="834">
          <cell r="O834" t="str">
            <v>MAYHEW,KEVIN J</v>
          </cell>
        </row>
        <row r="835">
          <cell r="O835" t="str">
            <v>MAYNARD,KENYON</v>
          </cell>
        </row>
        <row r="836">
          <cell r="O836" t="str">
            <v>MAZZELLA,MICHAEL J</v>
          </cell>
        </row>
        <row r="837">
          <cell r="O837" t="str">
            <v>MC ALEER,ROBERT E</v>
          </cell>
        </row>
        <row r="838">
          <cell r="O838" t="str">
            <v>MC GEE,LISA A</v>
          </cell>
        </row>
        <row r="839">
          <cell r="O839" t="str">
            <v>MCBRIDE,CYNTHIA K</v>
          </cell>
        </row>
        <row r="840">
          <cell r="O840" t="str">
            <v>MCCARTHY,JESSIE J</v>
          </cell>
        </row>
        <row r="841">
          <cell r="O841" t="str">
            <v>MCCASLIN,MARY E</v>
          </cell>
        </row>
        <row r="842">
          <cell r="O842" t="str">
            <v>MCCAULEY,TIM J</v>
          </cell>
        </row>
        <row r="843">
          <cell r="O843" t="str">
            <v>MCCLARY,DANA L</v>
          </cell>
        </row>
        <row r="844">
          <cell r="O844" t="str">
            <v>MCCORMICK,LORINDA N</v>
          </cell>
        </row>
        <row r="845">
          <cell r="O845" t="str">
            <v>MCCOY,TERRY S</v>
          </cell>
        </row>
        <row r="846">
          <cell r="O846" t="str">
            <v>MCCRAW,PEGGY A</v>
          </cell>
        </row>
        <row r="847">
          <cell r="O847" t="str">
            <v>MCCUNE,DIANNE S</v>
          </cell>
        </row>
        <row r="848">
          <cell r="O848" t="str">
            <v>MCCUNE,JUSTIN A</v>
          </cell>
        </row>
        <row r="849">
          <cell r="O849" t="str">
            <v>MCCURRY,JOHN M</v>
          </cell>
        </row>
        <row r="850">
          <cell r="O850" t="str">
            <v>MCDANIEL,JERALD R</v>
          </cell>
        </row>
        <row r="851">
          <cell r="O851" t="str">
            <v>MCDERMOTT,GREG R</v>
          </cell>
        </row>
        <row r="852">
          <cell r="O852" t="str">
            <v>MCELROY,SEAN C</v>
          </cell>
        </row>
        <row r="853">
          <cell r="O853" t="str">
            <v>MCFARLIN,SUSAN</v>
          </cell>
        </row>
        <row r="854">
          <cell r="O854" t="str">
            <v>MCGEE,DANIEL</v>
          </cell>
        </row>
        <row r="855">
          <cell r="O855" t="str">
            <v>MCGEEHAN,JONATHAN R</v>
          </cell>
        </row>
        <row r="856">
          <cell r="O856" t="str">
            <v>MCGIBBON,THOMAS L</v>
          </cell>
        </row>
        <row r="857">
          <cell r="O857" t="str">
            <v>MCGONNELL,FENTON T</v>
          </cell>
        </row>
        <row r="858">
          <cell r="O858" t="str">
            <v>MCGUIRK,ASHLEY L</v>
          </cell>
        </row>
        <row r="859">
          <cell r="O859" t="str">
            <v>MCHALE,MICHAEL E</v>
          </cell>
        </row>
        <row r="860">
          <cell r="O860" t="str">
            <v>MCKECHNIE,THOMAS S</v>
          </cell>
        </row>
        <row r="861">
          <cell r="O861" t="str">
            <v>MCLAIN,ANGELA D</v>
          </cell>
        </row>
        <row r="862">
          <cell r="O862" t="str">
            <v>MCLEAN,SAUNDRA</v>
          </cell>
        </row>
        <row r="863">
          <cell r="O863" t="str">
            <v>MCLEMORE,DONALD P</v>
          </cell>
        </row>
        <row r="864">
          <cell r="O864" t="str">
            <v>MELODY,PATRICK J</v>
          </cell>
        </row>
        <row r="865">
          <cell r="O865" t="str">
            <v>MELVILLE,ROBERT C</v>
          </cell>
        </row>
        <row r="866">
          <cell r="O866" t="str">
            <v>MENDIOLA,BRYAN T</v>
          </cell>
        </row>
        <row r="867">
          <cell r="O867" t="str">
            <v>MENDOLERA,RONALD M</v>
          </cell>
        </row>
        <row r="868">
          <cell r="O868" t="str">
            <v>MERGLER,MATHEW S</v>
          </cell>
        </row>
        <row r="869">
          <cell r="O869" t="str">
            <v>MERICA,DINAH H</v>
          </cell>
        </row>
        <row r="870">
          <cell r="O870" t="str">
            <v>METZLER,CHRISTOPHER A</v>
          </cell>
        </row>
        <row r="871">
          <cell r="O871" t="str">
            <v>MEYER,PETER A</v>
          </cell>
        </row>
        <row r="872">
          <cell r="O872" t="str">
            <v>MIAN,AISHA N</v>
          </cell>
        </row>
        <row r="873">
          <cell r="O873" t="str">
            <v>MICHAUD,ANTHONY J</v>
          </cell>
        </row>
        <row r="874">
          <cell r="O874" t="str">
            <v>MICHEL,KENNETH A</v>
          </cell>
        </row>
        <row r="875">
          <cell r="O875" t="str">
            <v>MIKLOVIC,THOMAS</v>
          </cell>
        </row>
        <row r="876">
          <cell r="O876" t="str">
            <v>MILLER,CHARLOTTE T</v>
          </cell>
        </row>
        <row r="877">
          <cell r="O877" t="str">
            <v>MILLER,CHERIE L</v>
          </cell>
        </row>
        <row r="878">
          <cell r="O878" t="str">
            <v>MILLER,DAVID</v>
          </cell>
        </row>
        <row r="879">
          <cell r="O879" t="str">
            <v>MILLER,DORIS J</v>
          </cell>
        </row>
        <row r="880">
          <cell r="O880" t="str">
            <v>MILLER,ERIC F</v>
          </cell>
        </row>
        <row r="881">
          <cell r="O881" t="str">
            <v>MILLER,JASON C</v>
          </cell>
        </row>
        <row r="882">
          <cell r="O882" t="str">
            <v>MILLER,JOHN E</v>
          </cell>
        </row>
        <row r="883">
          <cell r="O883" t="str">
            <v>MILLER,LISA R</v>
          </cell>
        </row>
        <row r="884">
          <cell r="O884" t="str">
            <v>MILLER,MARK C</v>
          </cell>
        </row>
        <row r="885">
          <cell r="O885" t="str">
            <v>MILLER,RANDY S</v>
          </cell>
        </row>
        <row r="886">
          <cell r="O886" t="str">
            <v>MILLER,ROBERT G</v>
          </cell>
        </row>
        <row r="887">
          <cell r="O887" t="str">
            <v>MILLER,ROLF W</v>
          </cell>
        </row>
        <row r="888">
          <cell r="O888" t="str">
            <v>MILLMAN,DAVID B</v>
          </cell>
        </row>
        <row r="889">
          <cell r="O889" t="str">
            <v>MILLOY,ROBERT P</v>
          </cell>
        </row>
        <row r="890">
          <cell r="O890" t="str">
            <v>MINCK,JR,DAVID P</v>
          </cell>
        </row>
        <row r="891">
          <cell r="O891" t="str">
            <v>MINNIX,JAY I</v>
          </cell>
        </row>
        <row r="892">
          <cell r="O892" t="str">
            <v>MIRESTEAN,MONICA</v>
          </cell>
        </row>
        <row r="893">
          <cell r="O893" t="str">
            <v>MITCHELL,KEVIN</v>
          </cell>
        </row>
        <row r="894">
          <cell r="O894" t="str">
            <v>MITCHELL,SCOTT A</v>
          </cell>
        </row>
        <row r="895">
          <cell r="O895" t="str">
            <v>MITCHKE,JANNA</v>
          </cell>
        </row>
        <row r="896">
          <cell r="O896" t="str">
            <v>MOFFETT,KIMBERLY</v>
          </cell>
        </row>
        <row r="897">
          <cell r="O897" t="str">
            <v>MOLINA,DANA L</v>
          </cell>
        </row>
        <row r="898">
          <cell r="O898" t="str">
            <v>MONK,KRISTINA B</v>
          </cell>
        </row>
        <row r="899">
          <cell r="O899" t="str">
            <v>MONROE,LINDA D</v>
          </cell>
        </row>
        <row r="900">
          <cell r="O900" t="str">
            <v>MONTIGNY,MARIAN E</v>
          </cell>
        </row>
        <row r="901">
          <cell r="O901" t="str">
            <v>MOOG,ERIC A</v>
          </cell>
        </row>
        <row r="902">
          <cell r="O902" t="str">
            <v>MOORE,ANDRE R</v>
          </cell>
        </row>
        <row r="903">
          <cell r="O903" t="str">
            <v>MOORE,ANGELA R</v>
          </cell>
        </row>
        <row r="904">
          <cell r="O904" t="str">
            <v>MOORE,DEDRA</v>
          </cell>
        </row>
        <row r="905">
          <cell r="O905" t="str">
            <v>MOORE,MICHAEL J</v>
          </cell>
        </row>
        <row r="906">
          <cell r="O906" t="str">
            <v>MOORE,THOMAS B</v>
          </cell>
        </row>
        <row r="907">
          <cell r="O907" t="str">
            <v>MOOSAKHANIAN,JULIA</v>
          </cell>
        </row>
        <row r="908">
          <cell r="O908" t="str">
            <v>MORAN,STEPHEN J</v>
          </cell>
        </row>
        <row r="909">
          <cell r="O909" t="str">
            <v>MORLEY,FRED E</v>
          </cell>
        </row>
        <row r="910">
          <cell r="O910" t="str">
            <v>MORNINGSTAR,MICHAEL S</v>
          </cell>
        </row>
        <row r="911">
          <cell r="O911" t="str">
            <v>MORRISON,CATHERINE A</v>
          </cell>
        </row>
        <row r="912">
          <cell r="O912" t="str">
            <v>MORSEY,CHARLES</v>
          </cell>
        </row>
        <row r="913">
          <cell r="O913" t="str">
            <v>MORSEY,WILLIAM D</v>
          </cell>
        </row>
        <row r="914">
          <cell r="O914" t="str">
            <v>MOSS,EBONY Y</v>
          </cell>
        </row>
        <row r="915">
          <cell r="O915" t="str">
            <v>MUFFOLETTO,JAMES</v>
          </cell>
        </row>
        <row r="916">
          <cell r="O916" t="str">
            <v>MULAUSKI,MICHAEL R</v>
          </cell>
        </row>
        <row r="917">
          <cell r="O917" t="str">
            <v>MULLUR,SANTHANAM V</v>
          </cell>
        </row>
        <row r="918">
          <cell r="O918" t="str">
            <v>MURPHY,CIARAN J</v>
          </cell>
        </row>
        <row r="919">
          <cell r="O919" t="str">
            <v>MURPHY,DARRYL J</v>
          </cell>
        </row>
        <row r="920">
          <cell r="O920" t="str">
            <v>MURPHY,JAMES F</v>
          </cell>
        </row>
        <row r="921">
          <cell r="O921" t="str">
            <v>MURPHY,KENNETH L</v>
          </cell>
        </row>
        <row r="922">
          <cell r="O922" t="str">
            <v>MURPHY,LARRY R</v>
          </cell>
        </row>
        <row r="923">
          <cell r="O923" t="str">
            <v>MURRAY,STEPHEN M</v>
          </cell>
        </row>
        <row r="924">
          <cell r="O924" t="str">
            <v>MURREL,DORIS E</v>
          </cell>
        </row>
        <row r="925">
          <cell r="O925" t="str">
            <v>MURTHY,KRIS</v>
          </cell>
        </row>
        <row r="926">
          <cell r="O926" t="str">
            <v>MUTH,DAVID P</v>
          </cell>
        </row>
        <row r="927">
          <cell r="O927" t="str">
            <v>MYERS,GRIFFIN K</v>
          </cell>
        </row>
        <row r="928">
          <cell r="O928" t="str">
            <v>MYERS,SUSAN G</v>
          </cell>
        </row>
        <row r="929">
          <cell r="O929" t="str">
            <v>NASSER,RAAFAT S</v>
          </cell>
        </row>
        <row r="930">
          <cell r="O930" t="str">
            <v>NEALL,MARGARET L</v>
          </cell>
        </row>
        <row r="931">
          <cell r="O931" t="str">
            <v>NEEB,KURT P</v>
          </cell>
        </row>
        <row r="932">
          <cell r="O932" t="str">
            <v>NEVILLE,STEVEN M</v>
          </cell>
        </row>
        <row r="933">
          <cell r="O933" t="str">
            <v>NEVIUS,JANET N</v>
          </cell>
        </row>
        <row r="934">
          <cell r="O934" t="str">
            <v>NEVIUS-SURETTE,PATRICK D</v>
          </cell>
        </row>
        <row r="935">
          <cell r="O935" t="str">
            <v>NEWCOMER,KENNETH E</v>
          </cell>
        </row>
        <row r="936">
          <cell r="O936" t="str">
            <v>NEWGENT,KEVIN P</v>
          </cell>
        </row>
        <row r="937">
          <cell r="O937" t="str">
            <v>NGO,JOHN T</v>
          </cell>
        </row>
        <row r="938">
          <cell r="O938" t="str">
            <v>NGUYEN,ANH-THU T</v>
          </cell>
        </row>
        <row r="939">
          <cell r="O939" t="str">
            <v>NGUYEN,PHUONG</v>
          </cell>
        </row>
        <row r="940">
          <cell r="O940" t="str">
            <v>NGUYEN,TAN</v>
          </cell>
        </row>
        <row r="941">
          <cell r="O941" t="str">
            <v>NICKEL,DONNA L</v>
          </cell>
        </row>
        <row r="942">
          <cell r="O942" t="str">
            <v>NJIE,WILLIAM A</v>
          </cell>
        </row>
        <row r="943">
          <cell r="O943" t="str">
            <v>NMORKA,ONYEKA R</v>
          </cell>
        </row>
        <row r="944">
          <cell r="O944" t="str">
            <v>NONIES,KAREN S</v>
          </cell>
        </row>
        <row r="945">
          <cell r="O945" t="str">
            <v>NORTHEDGE,ERIC</v>
          </cell>
        </row>
        <row r="946">
          <cell r="O946" t="str">
            <v>NOVITSKY,BRUCE</v>
          </cell>
        </row>
        <row r="947">
          <cell r="O947" t="str">
            <v>NUCKOLS,JOHN E</v>
          </cell>
        </row>
        <row r="948">
          <cell r="O948" t="str">
            <v>O'BRYAN,CHRISTOPHER B</v>
          </cell>
        </row>
        <row r="949">
          <cell r="O949" t="str">
            <v>OBUCHON,DANIELLE R</v>
          </cell>
        </row>
        <row r="950">
          <cell r="O950" t="str">
            <v>O'CONNOR,MICHAEL J</v>
          </cell>
        </row>
        <row r="951">
          <cell r="O951" t="str">
            <v>O'DONOGHUE,KIMBERLY K</v>
          </cell>
        </row>
        <row r="952">
          <cell r="O952" t="str">
            <v>OEHME,ELLEN D</v>
          </cell>
        </row>
        <row r="953">
          <cell r="O953" t="str">
            <v>OGILVIE,KENDAL M</v>
          </cell>
        </row>
        <row r="954">
          <cell r="O954" t="str">
            <v>O'HAVER,LAWRENCE E</v>
          </cell>
        </row>
        <row r="955">
          <cell r="O955" t="str">
            <v>OLIVERI,PETER G</v>
          </cell>
        </row>
        <row r="956">
          <cell r="O956" t="str">
            <v>OLSON,DAVID S</v>
          </cell>
        </row>
        <row r="957">
          <cell r="O957" t="str">
            <v>OLSON,GARY</v>
          </cell>
        </row>
        <row r="958">
          <cell r="O958" t="str">
            <v>ONG,IRWIN C</v>
          </cell>
        </row>
        <row r="959">
          <cell r="O959" t="str">
            <v>OPPERMANN,ERIC P</v>
          </cell>
        </row>
        <row r="960">
          <cell r="O960" t="str">
            <v>ORTIZ,JANET L</v>
          </cell>
        </row>
        <row r="961">
          <cell r="O961" t="str">
            <v>OSTMAN,ANDREW W</v>
          </cell>
        </row>
        <row r="962">
          <cell r="O962" t="str">
            <v>OSURI,VAYNU J</v>
          </cell>
        </row>
        <row r="963">
          <cell r="O963" t="str">
            <v>OUDERKIRK,LAURA A</v>
          </cell>
        </row>
        <row r="964">
          <cell r="O964" t="str">
            <v>OURS,ADAM</v>
          </cell>
        </row>
        <row r="965">
          <cell r="O965" t="str">
            <v>OUTRAM,BERNHARDT J</v>
          </cell>
        </row>
        <row r="966">
          <cell r="O966" t="str">
            <v>PACE,JOHN C</v>
          </cell>
        </row>
        <row r="967">
          <cell r="O967" t="str">
            <v>PADEREWSKI,GARY L</v>
          </cell>
        </row>
        <row r="968">
          <cell r="O968" t="str">
            <v>PAGE,GREGORY S</v>
          </cell>
        </row>
        <row r="969">
          <cell r="O969" t="str">
            <v>PAIGE,SANDRA D</v>
          </cell>
        </row>
        <row r="970">
          <cell r="O970" t="str">
            <v>PAINUMKAL,AJITHAMOL J</v>
          </cell>
        </row>
        <row r="971">
          <cell r="O971" t="str">
            <v>PALUMBO,ELIZABETH A</v>
          </cell>
        </row>
        <row r="972">
          <cell r="O972" t="str">
            <v>PANJALA,RAGNI</v>
          </cell>
        </row>
        <row r="973">
          <cell r="O973" t="str">
            <v>PAPPAS,EUGENE T</v>
          </cell>
        </row>
        <row r="974">
          <cell r="O974" t="str">
            <v>PAQUETTE,DENNIS J</v>
          </cell>
        </row>
        <row r="975">
          <cell r="O975" t="str">
            <v>PARISI,DONNA M</v>
          </cell>
        </row>
        <row r="976">
          <cell r="O976" t="str">
            <v>PARMENTER,CHRISTOPHER J</v>
          </cell>
        </row>
        <row r="977">
          <cell r="O977" t="str">
            <v>PARNES,JEFFREY M</v>
          </cell>
        </row>
        <row r="978">
          <cell r="O978" t="str">
            <v>PARNIANI,TOOFAN</v>
          </cell>
        </row>
        <row r="979">
          <cell r="O979" t="str">
            <v>PAROSKIE,CHARLES</v>
          </cell>
        </row>
        <row r="980">
          <cell r="O980" t="str">
            <v>PARRA,MARK G</v>
          </cell>
        </row>
        <row r="981">
          <cell r="O981" t="str">
            <v>PARSONS,ARON W</v>
          </cell>
        </row>
        <row r="982">
          <cell r="O982" t="str">
            <v>PARSONS,DAVID</v>
          </cell>
        </row>
        <row r="983">
          <cell r="O983" t="str">
            <v>PARTCHEY,ERIC C</v>
          </cell>
        </row>
        <row r="984">
          <cell r="O984" t="str">
            <v>PARTELLO,STEVE</v>
          </cell>
        </row>
        <row r="985">
          <cell r="O985" t="str">
            <v>PASCHKE,KENNETH E</v>
          </cell>
        </row>
        <row r="986">
          <cell r="O986" t="str">
            <v>PATEL,CHITRA</v>
          </cell>
        </row>
        <row r="987">
          <cell r="O987" t="str">
            <v>PATTERSON,LASHONNA D</v>
          </cell>
        </row>
        <row r="988">
          <cell r="O988" t="str">
            <v>PAVLAK,ALISON C</v>
          </cell>
        </row>
        <row r="989">
          <cell r="O989" t="str">
            <v>PAVON,BARBARA E</v>
          </cell>
        </row>
        <row r="990">
          <cell r="O990" t="str">
            <v>PELOQUIN,BRIAN K</v>
          </cell>
        </row>
        <row r="991">
          <cell r="O991" t="str">
            <v>PENDELL-JONES,JAMES E</v>
          </cell>
        </row>
        <row r="992">
          <cell r="O992" t="str">
            <v>PENNELL,ALBERT R</v>
          </cell>
        </row>
        <row r="993">
          <cell r="O993" t="str">
            <v>PENROSE,KIM R</v>
          </cell>
        </row>
        <row r="994">
          <cell r="O994" t="str">
            <v>PEOPLES,CATHERINE M</v>
          </cell>
        </row>
        <row r="995">
          <cell r="O995" t="str">
            <v>PEOPLES,GLEN A</v>
          </cell>
        </row>
        <row r="996">
          <cell r="O996" t="str">
            <v>PEPE,KENNETH R</v>
          </cell>
        </row>
        <row r="997">
          <cell r="O997" t="str">
            <v>PERDUE,DONALD B</v>
          </cell>
        </row>
        <row r="998">
          <cell r="O998" t="str">
            <v>PERDUE,RYAN E</v>
          </cell>
        </row>
        <row r="999">
          <cell r="O999" t="str">
            <v>PERE,DAVID</v>
          </cell>
        </row>
        <row r="1000">
          <cell r="O1000" t="str">
            <v>PEREDO,EDUARDO M</v>
          </cell>
        </row>
        <row r="1001">
          <cell r="O1001" t="str">
            <v>PERKINS,ANGELIQUE Y</v>
          </cell>
        </row>
        <row r="1002">
          <cell r="O1002" t="str">
            <v>PERRY,ALBERT S</v>
          </cell>
        </row>
        <row r="1003">
          <cell r="O1003" t="str">
            <v>PERRY,MARGARET A</v>
          </cell>
        </row>
        <row r="1004">
          <cell r="O1004" t="str">
            <v>PERRY,NORMAN H</v>
          </cell>
        </row>
        <row r="1005">
          <cell r="O1005" t="str">
            <v>PERRY,RICHARD T</v>
          </cell>
        </row>
        <row r="1006">
          <cell r="O1006" t="str">
            <v>PETERMAN,WILLIAM C</v>
          </cell>
        </row>
        <row r="1007">
          <cell r="O1007" t="str">
            <v>PETERSON,DOUGLAS A</v>
          </cell>
        </row>
        <row r="1008">
          <cell r="O1008" t="str">
            <v>PHELPS,YOLANDA A</v>
          </cell>
        </row>
        <row r="1009">
          <cell r="O1009" t="str">
            <v>PHILBIN,ANNETTE M</v>
          </cell>
        </row>
        <row r="1010">
          <cell r="O1010" t="str">
            <v>PHILLIPS,KELLIE P</v>
          </cell>
        </row>
        <row r="1011">
          <cell r="O1011" t="str">
            <v>PIERCE,DAVID A</v>
          </cell>
        </row>
        <row r="1012">
          <cell r="O1012" t="str">
            <v>PIERCE,JOSEPH D</v>
          </cell>
        </row>
        <row r="1013">
          <cell r="O1013" t="str">
            <v>PILONE,TRACEY C</v>
          </cell>
        </row>
        <row r="1014">
          <cell r="O1014" t="str">
            <v>PIPENBERG,STEPHEN J</v>
          </cell>
        </row>
        <row r="1015">
          <cell r="O1015" t="str">
            <v>PIPER,NICOLE R</v>
          </cell>
        </row>
        <row r="1016">
          <cell r="O1016" t="str">
            <v>PIXLER,JERRY L</v>
          </cell>
        </row>
        <row r="1017">
          <cell r="O1017" t="str">
            <v>PIXTON,SHANE W</v>
          </cell>
        </row>
        <row r="1018">
          <cell r="O1018" t="str">
            <v>PIZARRO,SR,HERNANDO J</v>
          </cell>
        </row>
        <row r="1019">
          <cell r="O1019" t="str">
            <v>PLUTE,JR,EDWARD J</v>
          </cell>
        </row>
        <row r="1020">
          <cell r="O1020" t="str">
            <v>POARCH,JAMES W</v>
          </cell>
        </row>
        <row r="1021">
          <cell r="O1021" t="str">
            <v>POGAR,STEPHEN P</v>
          </cell>
        </row>
        <row r="1022">
          <cell r="O1022" t="str">
            <v>POGORELC,PATRICIA M</v>
          </cell>
        </row>
        <row r="1023">
          <cell r="O1023" t="str">
            <v>POLAK-DINGELS,PENELOPE M</v>
          </cell>
        </row>
        <row r="1024">
          <cell r="O1024" t="str">
            <v>POLLARD,JESSE I</v>
          </cell>
        </row>
        <row r="1025">
          <cell r="O1025" t="str">
            <v>POMPEA,DANIEL J</v>
          </cell>
        </row>
        <row r="1026">
          <cell r="O1026" t="str">
            <v>PONSARDIN,PATRICK L</v>
          </cell>
        </row>
        <row r="1027">
          <cell r="O1027" t="str">
            <v>POWELL,HARRY N</v>
          </cell>
        </row>
        <row r="1028">
          <cell r="O1028" t="str">
            <v>POWELL,JEFFREY S</v>
          </cell>
        </row>
        <row r="1029">
          <cell r="O1029" t="str">
            <v>PREDMORE,BARBARA K</v>
          </cell>
        </row>
        <row r="1030">
          <cell r="O1030" t="str">
            <v>PRENTISS,DEAN M</v>
          </cell>
        </row>
        <row r="1031">
          <cell r="O1031" t="str">
            <v>PRESLEY,CASSIE N</v>
          </cell>
        </row>
        <row r="1032">
          <cell r="O1032" t="str">
            <v>PRESTON,ERIC F</v>
          </cell>
        </row>
        <row r="1033">
          <cell r="O1033" t="str">
            <v>PRICE,LEONARD L</v>
          </cell>
        </row>
        <row r="1034">
          <cell r="O1034" t="str">
            <v>PROCITA,THEODORE J</v>
          </cell>
        </row>
        <row r="1035">
          <cell r="O1035" t="str">
            <v>PROPP,KEITH E</v>
          </cell>
        </row>
        <row r="1036">
          <cell r="O1036" t="str">
            <v>PRUITT,JEFFREY D</v>
          </cell>
        </row>
        <row r="1037">
          <cell r="O1037" t="str">
            <v>PRUSAITIS,FRANCIS X</v>
          </cell>
        </row>
        <row r="1038">
          <cell r="O1038" t="str">
            <v>PRYDE,CHARLES D</v>
          </cell>
        </row>
        <row r="1039">
          <cell r="O1039" t="str">
            <v>PUCKETT,BRYAN L</v>
          </cell>
        </row>
        <row r="1040">
          <cell r="O1040" t="str">
            <v>PYNE,DAVID S</v>
          </cell>
        </row>
        <row r="1041">
          <cell r="O1041" t="str">
            <v>PYNE,TIMOTHY</v>
          </cell>
        </row>
        <row r="1042">
          <cell r="O1042" t="str">
            <v>QADRI,FUAD A</v>
          </cell>
        </row>
        <row r="1043">
          <cell r="O1043" t="str">
            <v>QUILLEN,WILLIAM E</v>
          </cell>
        </row>
        <row r="1044">
          <cell r="O1044" t="str">
            <v>RADER,JASON</v>
          </cell>
        </row>
        <row r="1045">
          <cell r="O1045" t="str">
            <v>RADER,PEGGY J</v>
          </cell>
        </row>
        <row r="1046">
          <cell r="O1046" t="str">
            <v>RAFFERTY,JAMES M</v>
          </cell>
        </row>
        <row r="1047">
          <cell r="O1047" t="str">
            <v>RAGER,WILLIAM J</v>
          </cell>
        </row>
        <row r="1048">
          <cell r="O1048" t="str">
            <v>RAHE,THERESA A</v>
          </cell>
        </row>
        <row r="1049">
          <cell r="O1049" t="str">
            <v>RAKERS,ROBERT J</v>
          </cell>
        </row>
        <row r="1050">
          <cell r="O1050" t="str">
            <v>RAMEY,TIMOTHY B</v>
          </cell>
        </row>
        <row r="1051">
          <cell r="O1051" t="str">
            <v>RAMSAY,DOUGLAS</v>
          </cell>
        </row>
        <row r="1052">
          <cell r="O1052" t="str">
            <v>RAMSEY,DARRELL L</v>
          </cell>
        </row>
        <row r="1053">
          <cell r="O1053" t="str">
            <v>RANAGHAN,DAVID A</v>
          </cell>
        </row>
        <row r="1054">
          <cell r="O1054" t="str">
            <v>RANDALL,RONALD N</v>
          </cell>
        </row>
        <row r="1055">
          <cell r="O1055" t="str">
            <v>RANDOLPH,CLAUDIA L</v>
          </cell>
        </row>
        <row r="1056">
          <cell r="O1056" t="str">
            <v>RAPAGNA,DARREN R</v>
          </cell>
        </row>
        <row r="1057">
          <cell r="O1057" t="str">
            <v>RATEY,SHARI L</v>
          </cell>
        </row>
        <row r="1058">
          <cell r="O1058" t="str">
            <v>RATH,TROY R</v>
          </cell>
        </row>
        <row r="1059">
          <cell r="O1059" t="str">
            <v>RAYMOND,JOSEPH B</v>
          </cell>
        </row>
        <row r="1060">
          <cell r="O1060" t="str">
            <v>REBAR,JR,JOSEPH</v>
          </cell>
        </row>
        <row r="1061">
          <cell r="O1061" t="str">
            <v>RECCO,REGINA M</v>
          </cell>
        </row>
        <row r="1062">
          <cell r="O1062" t="str">
            <v>REED,ADAM V</v>
          </cell>
        </row>
        <row r="1063">
          <cell r="O1063" t="str">
            <v>REED,HARRY J</v>
          </cell>
        </row>
        <row r="1064">
          <cell r="O1064" t="str">
            <v>REED,WILLIAM E</v>
          </cell>
        </row>
        <row r="1065">
          <cell r="O1065" t="str">
            <v>REEVES,ROBERT</v>
          </cell>
        </row>
        <row r="1066">
          <cell r="O1066" t="str">
            <v>REICHOW,GREER A</v>
          </cell>
        </row>
        <row r="1067">
          <cell r="O1067" t="str">
            <v>REMBERT,ELIZABETH</v>
          </cell>
        </row>
        <row r="1068">
          <cell r="O1068" t="str">
            <v>REMBERT,KEITH R</v>
          </cell>
        </row>
        <row r="1069">
          <cell r="O1069" t="str">
            <v>REMBERT,MICHAEL B</v>
          </cell>
        </row>
        <row r="1070">
          <cell r="O1070" t="str">
            <v>RENAUD,STUART A</v>
          </cell>
        </row>
        <row r="1071">
          <cell r="O1071" t="str">
            <v>REYNOLDS,DAVID</v>
          </cell>
        </row>
        <row r="1072">
          <cell r="O1072" t="str">
            <v>REYNOLDS,JONATHAN L</v>
          </cell>
        </row>
        <row r="1073">
          <cell r="O1073" t="str">
            <v>REZAC,JEROMY P</v>
          </cell>
        </row>
        <row r="1074">
          <cell r="O1074" t="str">
            <v>RICE,JAMES H</v>
          </cell>
        </row>
        <row r="1075">
          <cell r="O1075" t="str">
            <v>RICHARD,JERRY</v>
          </cell>
        </row>
        <row r="1076">
          <cell r="O1076" t="str">
            <v>RICHARDS,ADAM</v>
          </cell>
        </row>
        <row r="1077">
          <cell r="O1077" t="str">
            <v>RICHTER,DALE A</v>
          </cell>
        </row>
        <row r="1078">
          <cell r="O1078" t="str">
            <v>RIEBMAN,GARY S</v>
          </cell>
        </row>
        <row r="1079">
          <cell r="O1079" t="str">
            <v>RINGLER,TIMOTHY</v>
          </cell>
        </row>
        <row r="1080">
          <cell r="O1080" t="str">
            <v>RIPKA,MARGARET E</v>
          </cell>
        </row>
        <row r="1081">
          <cell r="O1081" t="str">
            <v>RIVERA,WALDESKIEV K</v>
          </cell>
        </row>
        <row r="1082">
          <cell r="O1082" t="str">
            <v>ROACH,RENEE</v>
          </cell>
        </row>
        <row r="1083">
          <cell r="O1083" t="str">
            <v>ROBERTS,ANDREW M</v>
          </cell>
        </row>
        <row r="1084">
          <cell r="O1084" t="str">
            <v>ROBERTS,KENNETH K</v>
          </cell>
        </row>
        <row r="1085">
          <cell r="O1085" t="str">
            <v>ROBICHAUD,PAULINE A</v>
          </cell>
        </row>
        <row r="1086">
          <cell r="O1086" t="str">
            <v>ROBINETTE,DAVID K</v>
          </cell>
        </row>
        <row r="1087">
          <cell r="O1087" t="str">
            <v>ROBINSON,AARON</v>
          </cell>
        </row>
        <row r="1088">
          <cell r="O1088" t="str">
            <v>ROBINSON,REBECCA A</v>
          </cell>
        </row>
        <row r="1089">
          <cell r="O1089" t="str">
            <v>RODGERS,JOSEPH</v>
          </cell>
        </row>
        <row r="1090">
          <cell r="O1090" t="str">
            <v>RODRIGUEZ,GLENDA P</v>
          </cell>
        </row>
        <row r="1091">
          <cell r="O1091" t="str">
            <v>ROEMER,DAVID</v>
          </cell>
        </row>
        <row r="1092">
          <cell r="O1092" t="str">
            <v>ROESSLER,FRITZ J</v>
          </cell>
        </row>
        <row r="1093">
          <cell r="O1093" t="str">
            <v>ROMBERGER,GARY</v>
          </cell>
        </row>
        <row r="1094">
          <cell r="O1094" t="str">
            <v>ROMESBURG,RICHARD N</v>
          </cell>
        </row>
        <row r="1095">
          <cell r="O1095" t="str">
            <v>RONEY,JASON A</v>
          </cell>
        </row>
        <row r="1096">
          <cell r="O1096" t="str">
            <v>ROSE,PATRICK C</v>
          </cell>
        </row>
        <row r="1097">
          <cell r="O1097" t="str">
            <v>ROSSI,BRUCE A</v>
          </cell>
        </row>
        <row r="1098">
          <cell r="O1098" t="str">
            <v>ROSSI,JR,WILLIAM</v>
          </cell>
        </row>
        <row r="1099">
          <cell r="O1099" t="str">
            <v>ROTH,JONATHAN P</v>
          </cell>
        </row>
        <row r="1100">
          <cell r="O1100" t="str">
            <v>ROUNDTREE,LEE A</v>
          </cell>
        </row>
        <row r="1101">
          <cell r="O1101" t="str">
            <v>ROUSH,DONALD</v>
          </cell>
        </row>
        <row r="1102">
          <cell r="O1102" t="str">
            <v>ROWAN,WILLIAM H</v>
          </cell>
        </row>
        <row r="1103">
          <cell r="O1103" t="str">
            <v>ROWZEE,SELISA K</v>
          </cell>
        </row>
        <row r="1104">
          <cell r="O1104" t="str">
            <v>RUSEAU,CATHERINE A</v>
          </cell>
        </row>
        <row r="1105">
          <cell r="O1105" t="str">
            <v>RUSH,JOHN E</v>
          </cell>
        </row>
        <row r="1106">
          <cell r="O1106" t="str">
            <v>RUSSELL,MITCHELL S</v>
          </cell>
        </row>
        <row r="1107">
          <cell r="O1107" t="str">
            <v>RUSSELL,PATRICK R</v>
          </cell>
        </row>
        <row r="1108">
          <cell r="O1108" t="str">
            <v>RUTEMILLER,JR,OREN G</v>
          </cell>
        </row>
        <row r="1109">
          <cell r="O1109" t="str">
            <v>RUTHERFORD,ROYDEN R</v>
          </cell>
        </row>
        <row r="1110">
          <cell r="O1110" t="str">
            <v>RYAN,GRACE</v>
          </cell>
        </row>
        <row r="1111">
          <cell r="O1111" t="str">
            <v>RYAN,ROBERT F</v>
          </cell>
        </row>
        <row r="1112">
          <cell r="O1112" t="str">
            <v>SAKISAT,GERALDINE P</v>
          </cell>
        </row>
        <row r="1113">
          <cell r="O1113" t="str">
            <v>SALADA,DUNCAN S</v>
          </cell>
        </row>
        <row r="1114">
          <cell r="O1114" t="str">
            <v>SALA-DAVIS,ROSEMARY M</v>
          </cell>
        </row>
        <row r="1115">
          <cell r="O1115" t="str">
            <v>SALAMA,ASSEM Y</v>
          </cell>
        </row>
        <row r="1116">
          <cell r="O1116" t="str">
            <v>SALAMA,YASSIR</v>
          </cell>
        </row>
        <row r="1117">
          <cell r="O1117" t="str">
            <v>SALESKY,MARK E</v>
          </cell>
        </row>
        <row r="1118">
          <cell r="O1118" t="str">
            <v>SALINAS,PAUL A</v>
          </cell>
        </row>
        <row r="1119">
          <cell r="O1119" t="str">
            <v>SALUS,CONNIE J</v>
          </cell>
        </row>
        <row r="1120">
          <cell r="O1120" t="str">
            <v>SAMUEL,GARY R</v>
          </cell>
        </row>
        <row r="1121">
          <cell r="O1121" t="str">
            <v>SANCHEZ,DAVID M</v>
          </cell>
        </row>
        <row r="1122">
          <cell r="O1122" t="str">
            <v>SANDERS,DEBORAH L</v>
          </cell>
        </row>
        <row r="1123">
          <cell r="O1123" t="str">
            <v>SANDERS,MARK S</v>
          </cell>
        </row>
        <row r="1124">
          <cell r="O1124" t="str">
            <v>SANDHU,NABIL</v>
          </cell>
        </row>
        <row r="1125">
          <cell r="O1125" t="str">
            <v>SANTROCK,MICHELLE M</v>
          </cell>
        </row>
        <row r="1126">
          <cell r="O1126" t="str">
            <v>SAPERSTEIN,JEFFREY L</v>
          </cell>
        </row>
        <row r="1127">
          <cell r="O1127" t="str">
            <v>SASU,PATRICK M</v>
          </cell>
        </row>
        <row r="1128">
          <cell r="O1128" t="str">
            <v>SAWYER,DAVID</v>
          </cell>
        </row>
        <row r="1129">
          <cell r="O1129" t="str">
            <v>SAWYER,STEPHEN D</v>
          </cell>
        </row>
        <row r="1130">
          <cell r="O1130" t="str">
            <v>SAYADIAN,EDWARD V</v>
          </cell>
        </row>
        <row r="1131">
          <cell r="O1131" t="str">
            <v>SAYED,SAIR H</v>
          </cell>
        </row>
        <row r="1132">
          <cell r="O1132" t="str">
            <v>SCARDINA,MICHAEL T</v>
          </cell>
        </row>
        <row r="1133">
          <cell r="O1133" t="str">
            <v>SCHAEFER,PRISCILLA A</v>
          </cell>
        </row>
        <row r="1134">
          <cell r="O1134" t="str">
            <v>SCHEIDT,MICHAEL P</v>
          </cell>
        </row>
        <row r="1135">
          <cell r="O1135" t="str">
            <v>SCHEMMEL,DONALD D</v>
          </cell>
        </row>
        <row r="1136">
          <cell r="O1136" t="str">
            <v>SCHLICHTER,DALE A</v>
          </cell>
        </row>
        <row r="1137">
          <cell r="O1137" t="str">
            <v>SCHLUTER,WALTER F</v>
          </cell>
        </row>
        <row r="1138">
          <cell r="O1138" t="str">
            <v>SCHMIDT,MICHAEL M</v>
          </cell>
        </row>
        <row r="1139">
          <cell r="O1139" t="str">
            <v>SCHMITT,GEORGE A</v>
          </cell>
        </row>
        <row r="1140">
          <cell r="O1140" t="str">
            <v>SCHMITZ,WOLFRAM M</v>
          </cell>
        </row>
        <row r="1141">
          <cell r="O1141" t="str">
            <v>SCHNEIDER,THOMAS</v>
          </cell>
        </row>
        <row r="1142">
          <cell r="O1142" t="str">
            <v>SCHRAML,WILLIAM V</v>
          </cell>
        </row>
        <row r="1143">
          <cell r="O1143" t="str">
            <v>SCHROEDER,ALAN L</v>
          </cell>
        </row>
        <row r="1144">
          <cell r="O1144" t="str">
            <v>SCHUCHMAN,DAVID</v>
          </cell>
        </row>
        <row r="1145">
          <cell r="O1145" t="str">
            <v>SCHWANTES,KARL R</v>
          </cell>
        </row>
        <row r="1146">
          <cell r="O1146" t="str">
            <v>SCHWENK,BRIAN K</v>
          </cell>
        </row>
        <row r="1147">
          <cell r="O1147" t="str">
            <v>SCIGAJ,RICHARD D</v>
          </cell>
        </row>
        <row r="1148">
          <cell r="O1148" t="str">
            <v>SCOGLIETTI,DANIEL J</v>
          </cell>
        </row>
        <row r="1149">
          <cell r="O1149" t="str">
            <v>SCONION,DANEILLA</v>
          </cell>
        </row>
        <row r="1150">
          <cell r="O1150" t="str">
            <v>SCOTT,GEORGE H</v>
          </cell>
        </row>
        <row r="1151">
          <cell r="O1151" t="str">
            <v>SCOTT,III,JAMES P</v>
          </cell>
        </row>
        <row r="1152">
          <cell r="O1152" t="str">
            <v>SCOTT,MARSHALL T</v>
          </cell>
        </row>
        <row r="1153">
          <cell r="O1153" t="str">
            <v>SECOR,SAMANTHA J</v>
          </cell>
        </row>
        <row r="1154">
          <cell r="O1154" t="str">
            <v>SEDEHI,JAVAD</v>
          </cell>
        </row>
        <row r="1155">
          <cell r="O1155" t="str">
            <v>SEDILLO,VIRGINIA P</v>
          </cell>
        </row>
        <row r="1156">
          <cell r="O1156" t="str">
            <v>SEIF,JOEL F</v>
          </cell>
        </row>
        <row r="1157">
          <cell r="O1157" t="str">
            <v>SEITZ,DAVID H</v>
          </cell>
        </row>
        <row r="1158">
          <cell r="O1158" t="str">
            <v>SENGERS,ADRIAAN</v>
          </cell>
        </row>
        <row r="1159">
          <cell r="O1159" t="str">
            <v>SERAFIN,DARYL J</v>
          </cell>
        </row>
        <row r="1160">
          <cell r="O1160" t="str">
            <v>SETNOR,MICHAEL P</v>
          </cell>
        </row>
        <row r="1161">
          <cell r="O1161" t="str">
            <v>SHANKS,DALE E</v>
          </cell>
        </row>
        <row r="1162">
          <cell r="O1162" t="str">
            <v>SHANNON,LARRY R</v>
          </cell>
        </row>
        <row r="1163">
          <cell r="O1163" t="str">
            <v>SHEETZ,VINCENT</v>
          </cell>
        </row>
        <row r="1164">
          <cell r="O1164" t="str">
            <v>SHEKARCHI,JOHN A</v>
          </cell>
        </row>
        <row r="1165">
          <cell r="O1165" t="str">
            <v>SHEKARCHI,THOMAS W</v>
          </cell>
        </row>
        <row r="1166">
          <cell r="O1166" t="str">
            <v>SHELTON,E DAWN</v>
          </cell>
        </row>
        <row r="1167">
          <cell r="O1167" t="str">
            <v>SHELVOCK,BRANDON P</v>
          </cell>
        </row>
        <row r="1168">
          <cell r="O1168" t="str">
            <v>SHERMAN,ELIZABETH J</v>
          </cell>
        </row>
        <row r="1169">
          <cell r="O1169" t="str">
            <v>SHIPLETT,DANIEL D</v>
          </cell>
        </row>
        <row r="1170">
          <cell r="O1170" t="str">
            <v>SHIRAZI,ALI</v>
          </cell>
        </row>
        <row r="1171">
          <cell r="O1171" t="str">
            <v>SHIRROD,TERRY S</v>
          </cell>
        </row>
        <row r="1172">
          <cell r="O1172" t="str">
            <v>SHMILEVICH,MARIA M</v>
          </cell>
        </row>
        <row r="1173">
          <cell r="O1173" t="str">
            <v>SHOPE,TODD S</v>
          </cell>
        </row>
        <row r="1174">
          <cell r="O1174" t="str">
            <v>SHOUCAIR,TANYA M</v>
          </cell>
        </row>
        <row r="1175">
          <cell r="O1175" t="str">
            <v>SHOUP,ROY W</v>
          </cell>
        </row>
        <row r="1176">
          <cell r="O1176" t="str">
            <v>SHUMAN,TIMOTHY</v>
          </cell>
        </row>
        <row r="1177">
          <cell r="O1177" t="str">
            <v>SHUMWAY,ELWIN K</v>
          </cell>
        </row>
        <row r="1178">
          <cell r="O1178" t="str">
            <v>SIERACKI,VEVA M</v>
          </cell>
        </row>
        <row r="1179">
          <cell r="O1179" t="str">
            <v>SIKKA,NEIL</v>
          </cell>
        </row>
        <row r="1180">
          <cell r="O1180" t="str">
            <v>SILVERS,ATASHA N</v>
          </cell>
        </row>
        <row r="1181">
          <cell r="O1181" t="str">
            <v>SIMHAN,NARA</v>
          </cell>
        </row>
        <row r="1182">
          <cell r="O1182" t="str">
            <v>SIMMONS,GLENN</v>
          </cell>
        </row>
        <row r="1183">
          <cell r="O1183" t="str">
            <v>SIMON,CHRISTINA M</v>
          </cell>
        </row>
        <row r="1184">
          <cell r="O1184" t="str">
            <v>SINES,LYLE E</v>
          </cell>
        </row>
        <row r="1185">
          <cell r="O1185" t="str">
            <v>SINES,MARIA A</v>
          </cell>
        </row>
        <row r="1186">
          <cell r="O1186" t="str">
            <v>SINK,DANIEL W</v>
          </cell>
        </row>
        <row r="1187">
          <cell r="O1187" t="str">
            <v>SINKIAT,MARK</v>
          </cell>
        </row>
        <row r="1188">
          <cell r="O1188" t="str">
            <v>SINZ,DONALD B</v>
          </cell>
        </row>
        <row r="1189">
          <cell r="O1189" t="str">
            <v>SLADE,SHERMAN R</v>
          </cell>
        </row>
        <row r="1190">
          <cell r="O1190" t="str">
            <v>SLAMANI,AHMED A</v>
          </cell>
        </row>
        <row r="1191">
          <cell r="O1191" t="str">
            <v>SLAMANI,MOHAMED-ADEL</v>
          </cell>
        </row>
        <row r="1192">
          <cell r="O1192" t="str">
            <v>SLAMANI,MOUNIR A</v>
          </cell>
        </row>
        <row r="1193">
          <cell r="O1193" t="str">
            <v>SLIWINSKI,AARON C</v>
          </cell>
        </row>
        <row r="1194">
          <cell r="O1194" t="str">
            <v>SMALLWOOD,JESSICA N</v>
          </cell>
        </row>
        <row r="1195">
          <cell r="O1195" t="str">
            <v>SMITH,ANDREW M</v>
          </cell>
        </row>
        <row r="1196">
          <cell r="O1196" t="str">
            <v>SMITH,ARTHUR Z</v>
          </cell>
        </row>
        <row r="1197">
          <cell r="O1197" t="str">
            <v>SMITH,BRONDON G</v>
          </cell>
        </row>
        <row r="1198">
          <cell r="O1198" t="str">
            <v>SMITH,III,DAVID R</v>
          </cell>
        </row>
        <row r="1199">
          <cell r="O1199" t="str">
            <v>SMITH,JASON E</v>
          </cell>
        </row>
        <row r="1200">
          <cell r="O1200" t="str">
            <v>SMITH,JESSICA N</v>
          </cell>
        </row>
        <row r="1201">
          <cell r="O1201" t="str">
            <v>SMITH,JOHN E</v>
          </cell>
        </row>
        <row r="1202">
          <cell r="O1202" t="str">
            <v>SMITH,LINDA J</v>
          </cell>
        </row>
        <row r="1203">
          <cell r="O1203" t="str">
            <v>SMITH,LUZ M</v>
          </cell>
        </row>
        <row r="1204">
          <cell r="O1204" t="str">
            <v>SMITH,MARY JANE</v>
          </cell>
        </row>
        <row r="1205">
          <cell r="O1205" t="str">
            <v>SMITH,MICHAEL J</v>
          </cell>
        </row>
        <row r="1206">
          <cell r="O1206" t="str">
            <v>SMITH,ROBERT R</v>
          </cell>
        </row>
        <row r="1207">
          <cell r="O1207" t="str">
            <v>SMITH,THOMAS J</v>
          </cell>
        </row>
        <row r="1208">
          <cell r="O1208" t="str">
            <v>SMITH,VERNON M</v>
          </cell>
        </row>
        <row r="1209">
          <cell r="O1209" t="str">
            <v>SMOUSE,DANIEL H</v>
          </cell>
        </row>
        <row r="1210">
          <cell r="O1210" t="str">
            <v>SNELL,DANIEL J</v>
          </cell>
        </row>
        <row r="1211">
          <cell r="O1211" t="str">
            <v>SNODGRASS,GREGORY P</v>
          </cell>
        </row>
        <row r="1212">
          <cell r="O1212" t="str">
            <v>SNYDER,STEVEN R</v>
          </cell>
        </row>
        <row r="1213">
          <cell r="O1213" t="str">
            <v>SOKOLIK,JAMES O</v>
          </cell>
        </row>
        <row r="1214">
          <cell r="O1214" t="str">
            <v>SOLOS,KATHLEEN L</v>
          </cell>
        </row>
        <row r="1215">
          <cell r="O1215" t="str">
            <v>SOMERS,EASTON E</v>
          </cell>
        </row>
        <row r="1216">
          <cell r="O1216" t="str">
            <v>SOMERS,JOHN R</v>
          </cell>
        </row>
        <row r="1217">
          <cell r="O1217" t="str">
            <v>SOMERVILLE,MICHAEL E</v>
          </cell>
        </row>
        <row r="1218">
          <cell r="O1218" t="str">
            <v>SOMMERMAN,GEORGE H</v>
          </cell>
        </row>
        <row r="1219">
          <cell r="O1219" t="str">
            <v>SORENSON,JANIS A</v>
          </cell>
        </row>
        <row r="1220">
          <cell r="O1220" t="str">
            <v>SOS,III,ANDREW</v>
          </cell>
        </row>
        <row r="1221">
          <cell r="O1221" t="str">
            <v>SPAHR,PHYLLIS</v>
          </cell>
        </row>
        <row r="1222">
          <cell r="O1222" t="str">
            <v>SPARKS,LINDA</v>
          </cell>
        </row>
        <row r="1223">
          <cell r="O1223" t="str">
            <v>SPEIGEL,JAY E</v>
          </cell>
        </row>
        <row r="1224">
          <cell r="O1224" t="str">
            <v>SPENGLER,BRADLEY A</v>
          </cell>
        </row>
        <row r="1225">
          <cell r="O1225" t="str">
            <v>SPERRY,CHRISTOPHER R</v>
          </cell>
        </row>
        <row r="1226">
          <cell r="O1226" t="str">
            <v>SPETKA,SCOTT E</v>
          </cell>
        </row>
        <row r="1227">
          <cell r="O1227" t="str">
            <v>SPEULSTRA,KENNETH R</v>
          </cell>
        </row>
        <row r="1228">
          <cell r="O1228" t="str">
            <v>SPRADLIN,BRETT M</v>
          </cell>
        </row>
        <row r="1229">
          <cell r="O1229" t="str">
            <v>SPRINGER,BRIAN C</v>
          </cell>
        </row>
        <row r="1230">
          <cell r="O1230" t="str">
            <v>SPRINGER,MARY E</v>
          </cell>
        </row>
        <row r="1231">
          <cell r="O1231" t="str">
            <v>SPROUSE,GREGORY</v>
          </cell>
        </row>
        <row r="1232">
          <cell r="O1232" t="str">
            <v>SPURRIER,SAMUEL C</v>
          </cell>
        </row>
        <row r="1233">
          <cell r="O1233" t="str">
            <v>SRAMEK,KURT W</v>
          </cell>
        </row>
        <row r="1234">
          <cell r="O1234" t="str">
            <v>STAFFORD,BEVERLIE T</v>
          </cell>
        </row>
        <row r="1235">
          <cell r="O1235" t="str">
            <v>STAFFORD,SCOTT A</v>
          </cell>
        </row>
        <row r="1236">
          <cell r="O1236" t="str">
            <v>STAGLIANO,THOMAS R</v>
          </cell>
        </row>
        <row r="1237">
          <cell r="O1237" t="str">
            <v>STANCHAK,ROMAN</v>
          </cell>
        </row>
        <row r="1238">
          <cell r="O1238" t="str">
            <v>STANTON,DONNA M</v>
          </cell>
        </row>
        <row r="1239">
          <cell r="O1239" t="str">
            <v>STARK,WILLIAM</v>
          </cell>
        </row>
        <row r="1240">
          <cell r="O1240" t="str">
            <v>STATNICK,JOSEPH V</v>
          </cell>
        </row>
        <row r="1241">
          <cell r="O1241" t="str">
            <v>STEARNS,JEREMY A</v>
          </cell>
        </row>
        <row r="1242">
          <cell r="O1242" t="str">
            <v>STEELE,LEONARD A</v>
          </cell>
        </row>
        <row r="1243">
          <cell r="O1243" t="str">
            <v>STEIN,JENNIFER</v>
          </cell>
        </row>
        <row r="1244">
          <cell r="O1244" t="str">
            <v>STELMASZEK,ROBERT L</v>
          </cell>
        </row>
        <row r="1245">
          <cell r="O1245" t="str">
            <v>STETLER,AARON M</v>
          </cell>
        </row>
        <row r="1246">
          <cell r="O1246" t="str">
            <v>STEVENS,DANIEL L</v>
          </cell>
        </row>
        <row r="1247">
          <cell r="O1247" t="str">
            <v>STEVENS,SUZANNE M</v>
          </cell>
        </row>
        <row r="1248">
          <cell r="O1248" t="str">
            <v>STEWART,RODNEY K</v>
          </cell>
        </row>
        <row r="1249">
          <cell r="O1249" t="str">
            <v>STOCKTON,JERRY R</v>
          </cell>
        </row>
        <row r="1250">
          <cell r="O1250" t="str">
            <v>STOHLER,ROBERT L</v>
          </cell>
        </row>
        <row r="1251">
          <cell r="O1251" t="str">
            <v>STOKES,STEVEN</v>
          </cell>
        </row>
        <row r="1252">
          <cell r="O1252" t="str">
            <v>STONE,III,HOWARD S</v>
          </cell>
        </row>
        <row r="1253">
          <cell r="O1253" t="str">
            <v>STONE,JOHN T</v>
          </cell>
        </row>
        <row r="1254">
          <cell r="O1254" t="str">
            <v>STORER,ARTHUR E</v>
          </cell>
        </row>
        <row r="1255">
          <cell r="O1255" t="str">
            <v>STOVER,JOAN E</v>
          </cell>
        </row>
        <row r="1256">
          <cell r="O1256" t="str">
            <v>STRAIN,JEFF A</v>
          </cell>
        </row>
        <row r="1257">
          <cell r="O1257" t="str">
            <v>STRINGER,THOMAS A</v>
          </cell>
        </row>
        <row r="1258">
          <cell r="O1258" t="str">
            <v>STROBEL,FORREST A</v>
          </cell>
        </row>
        <row r="1259">
          <cell r="O1259" t="str">
            <v>STROBELL,TIMOTHY C</v>
          </cell>
        </row>
        <row r="1260">
          <cell r="O1260" t="str">
            <v>STROBLE,SCOTT T</v>
          </cell>
        </row>
        <row r="1261">
          <cell r="O1261" t="str">
            <v>STRODTMAN,PAUL L</v>
          </cell>
        </row>
        <row r="1262">
          <cell r="O1262" t="str">
            <v>STUART,DANTON D</v>
          </cell>
        </row>
        <row r="1263">
          <cell r="O1263" t="str">
            <v>STUART,ROWENA P</v>
          </cell>
        </row>
        <row r="1264">
          <cell r="O1264" t="str">
            <v>STUKEY,TERRENCE E</v>
          </cell>
        </row>
        <row r="1265">
          <cell r="O1265" t="str">
            <v>STUTZ,MATTHEW D</v>
          </cell>
        </row>
        <row r="1266">
          <cell r="O1266" t="str">
            <v>SUGERMEYER,EVELYN M</v>
          </cell>
        </row>
        <row r="1267">
          <cell r="O1267" t="str">
            <v>SUHOSKY,ROBERT D</v>
          </cell>
        </row>
        <row r="1268">
          <cell r="O1268" t="str">
            <v>SUNDERHAFT,NANCY L</v>
          </cell>
        </row>
        <row r="1269">
          <cell r="O1269" t="str">
            <v>SUNKES,III,JAMES A</v>
          </cell>
        </row>
        <row r="1270">
          <cell r="O1270" t="str">
            <v>SUNKES,JAMES A</v>
          </cell>
        </row>
        <row r="1271">
          <cell r="O1271" t="str">
            <v>SUTTON,RICHARD A</v>
          </cell>
        </row>
        <row r="1272">
          <cell r="O1272" t="str">
            <v>SUTTON,SHANNA L</v>
          </cell>
        </row>
        <row r="1273">
          <cell r="O1273" t="str">
            <v>SVITAK,ANDREW J</v>
          </cell>
        </row>
        <row r="1274">
          <cell r="O1274" t="str">
            <v>SWIFT,VERNA</v>
          </cell>
        </row>
        <row r="1275">
          <cell r="O1275" t="str">
            <v>SZYMANSKI,JR,THEODORE L</v>
          </cell>
        </row>
        <row r="1276">
          <cell r="O1276" t="str">
            <v>TAFOYA,EDWARD A</v>
          </cell>
        </row>
        <row r="1277">
          <cell r="O1277" t="str">
            <v>TALMAGE,DAVID W</v>
          </cell>
        </row>
        <row r="1278">
          <cell r="O1278" t="str">
            <v>TANCREDI,DAVID P</v>
          </cell>
        </row>
        <row r="1279">
          <cell r="O1279" t="str">
            <v>TANG,NANSHENG</v>
          </cell>
        </row>
        <row r="1280">
          <cell r="O1280" t="str">
            <v>TAPP,DARLENE</v>
          </cell>
        </row>
        <row r="1281">
          <cell r="O1281" t="str">
            <v>TARDOGNO,DOMINICK</v>
          </cell>
        </row>
        <row r="1282">
          <cell r="O1282" t="str">
            <v>TAYLOR,JULIUS L</v>
          </cell>
        </row>
        <row r="1283">
          <cell r="O1283" t="str">
            <v>TAYLOR,KATHLEEN W</v>
          </cell>
        </row>
        <row r="1284">
          <cell r="O1284" t="str">
            <v>TAYLOR,ROBERT</v>
          </cell>
        </row>
        <row r="1285">
          <cell r="O1285" t="str">
            <v>TAYLOR,SCOTT T</v>
          </cell>
        </row>
        <row r="1286">
          <cell r="O1286" t="str">
            <v>TAYLOR,SHARON J</v>
          </cell>
        </row>
        <row r="1287">
          <cell r="O1287" t="str">
            <v>TEDERS,DENNIS E</v>
          </cell>
        </row>
        <row r="1288">
          <cell r="O1288" t="str">
            <v>TELLIER,PAUL R</v>
          </cell>
        </row>
        <row r="1289">
          <cell r="O1289" t="str">
            <v>TEROSKY,JASON E</v>
          </cell>
        </row>
        <row r="1290">
          <cell r="O1290" t="str">
            <v>TERRIL,NATHANIEL</v>
          </cell>
        </row>
        <row r="1291">
          <cell r="O1291" t="str">
            <v>TERRY,DERRICK S</v>
          </cell>
        </row>
        <row r="1292">
          <cell r="O1292" t="str">
            <v>THACKER,HUGH D</v>
          </cell>
        </row>
        <row r="1293">
          <cell r="O1293" t="str">
            <v>THACKER,TERRELL W</v>
          </cell>
        </row>
        <row r="1294">
          <cell r="O1294" t="str">
            <v>THANYAWATPOKIN,THEODORE</v>
          </cell>
        </row>
        <row r="1295">
          <cell r="O1295" t="str">
            <v>THEOBALD,SHARON L</v>
          </cell>
        </row>
        <row r="1296">
          <cell r="O1296" t="str">
            <v>THISTLETHWAITE,SUSAN L</v>
          </cell>
        </row>
        <row r="1297">
          <cell r="O1297" t="str">
            <v>THIVENER,STEPHANIE L</v>
          </cell>
        </row>
        <row r="1298">
          <cell r="O1298" t="str">
            <v>THOMAS,ALAN S</v>
          </cell>
        </row>
        <row r="1299">
          <cell r="O1299" t="str">
            <v>THOMAS,CHARLES E</v>
          </cell>
        </row>
        <row r="1300">
          <cell r="O1300" t="str">
            <v>THOMAS,DOUGLAS W</v>
          </cell>
        </row>
        <row r="1301">
          <cell r="O1301" t="str">
            <v>THOMAS,KEVIN A</v>
          </cell>
        </row>
        <row r="1302">
          <cell r="O1302" t="str">
            <v>THOMAS,PAMELA J</v>
          </cell>
        </row>
        <row r="1303">
          <cell r="O1303" t="str">
            <v>THOMAS,ROBERT</v>
          </cell>
        </row>
        <row r="1304">
          <cell r="O1304" t="str">
            <v>THOMPSON,ALONSO O</v>
          </cell>
        </row>
        <row r="1305">
          <cell r="O1305" t="str">
            <v>THOMPSON,DAVID W</v>
          </cell>
        </row>
        <row r="1306">
          <cell r="O1306" t="str">
            <v>THOMPSON,JOHN A</v>
          </cell>
        </row>
        <row r="1307">
          <cell r="O1307" t="str">
            <v>THOMPSON,LAURIE</v>
          </cell>
        </row>
        <row r="1308">
          <cell r="O1308" t="str">
            <v>THOMPSON,RAYMOND W</v>
          </cell>
        </row>
        <row r="1309">
          <cell r="O1309" t="str">
            <v>THORNLEY,PAUL D</v>
          </cell>
        </row>
        <row r="1310">
          <cell r="O1310" t="str">
            <v>TILLMAN,STEVEN T</v>
          </cell>
        </row>
        <row r="1311">
          <cell r="O1311" t="str">
            <v>TIMKO,GREGORY D</v>
          </cell>
        </row>
        <row r="1312">
          <cell r="O1312" t="str">
            <v>TINCH,LATONYA</v>
          </cell>
        </row>
        <row r="1313">
          <cell r="O1313" t="str">
            <v>TITTLER,JULIE M</v>
          </cell>
        </row>
        <row r="1314">
          <cell r="O1314" t="str">
            <v>TOBIN,CHARLES E</v>
          </cell>
        </row>
        <row r="1315">
          <cell r="O1315" t="str">
            <v>TOLER,T D</v>
          </cell>
        </row>
        <row r="1316">
          <cell r="O1316" t="str">
            <v>TOMITA,RUSSELL M</v>
          </cell>
        </row>
        <row r="1317">
          <cell r="O1317" t="str">
            <v>TOMLINSON,TIMOTHY J</v>
          </cell>
        </row>
        <row r="1318">
          <cell r="O1318" t="str">
            <v>TONG,MARLA M</v>
          </cell>
        </row>
        <row r="1319">
          <cell r="O1319" t="str">
            <v>TONINI,SHERRY</v>
          </cell>
        </row>
        <row r="1320">
          <cell r="O1320" t="str">
            <v>TONKS,RICHARD J</v>
          </cell>
        </row>
        <row r="1321">
          <cell r="O1321" t="str">
            <v>TOTTENHAM,LANITA L</v>
          </cell>
        </row>
        <row r="1322">
          <cell r="O1322" t="str">
            <v>TOTTY,J.BRUCE B</v>
          </cell>
        </row>
        <row r="1323">
          <cell r="O1323" t="str">
            <v>TOWNS,CONNIE S</v>
          </cell>
        </row>
        <row r="1324">
          <cell r="O1324" t="str">
            <v>TOWNSEND,DARREN</v>
          </cell>
        </row>
        <row r="1325">
          <cell r="O1325" t="str">
            <v>TRAN,LEONARDI</v>
          </cell>
        </row>
        <row r="1326">
          <cell r="O1326" t="str">
            <v>TRAN,SANG M</v>
          </cell>
        </row>
        <row r="1327">
          <cell r="O1327" t="str">
            <v>TRANAVITCH,JR,WILLIAM</v>
          </cell>
        </row>
        <row r="1328">
          <cell r="O1328" t="str">
            <v>TREASTER,J THOMAS</v>
          </cell>
        </row>
        <row r="1329">
          <cell r="O1329" t="str">
            <v>TRIGGS,LAURENCE H</v>
          </cell>
        </row>
        <row r="1330">
          <cell r="O1330" t="str">
            <v>TROBAUGH,ROBERT</v>
          </cell>
        </row>
        <row r="1331">
          <cell r="O1331" t="str">
            <v>TROTMAN,ERNEST O</v>
          </cell>
        </row>
        <row r="1332">
          <cell r="O1332" t="str">
            <v>TROYER,LELDON E</v>
          </cell>
        </row>
        <row r="1333">
          <cell r="O1333" t="str">
            <v>TRUSNER,TIMOTHY S</v>
          </cell>
        </row>
        <row r="1334">
          <cell r="O1334" t="str">
            <v>TSIAO,SUNNY</v>
          </cell>
        </row>
        <row r="1335">
          <cell r="O1335" t="str">
            <v>TUCKER,SCOT N</v>
          </cell>
        </row>
        <row r="1336">
          <cell r="O1336" t="str">
            <v>TUNSTALL,BRIAN</v>
          </cell>
        </row>
        <row r="1337">
          <cell r="O1337" t="str">
            <v>TURLEY,ELIZABETH A</v>
          </cell>
        </row>
        <row r="1338">
          <cell r="O1338" t="str">
            <v>TURNER,JAMES S</v>
          </cell>
        </row>
        <row r="1339">
          <cell r="O1339" t="str">
            <v>TYLER,MELISSA H</v>
          </cell>
        </row>
        <row r="1340">
          <cell r="O1340" t="str">
            <v>TYLER,MYONG H</v>
          </cell>
        </row>
        <row r="1341">
          <cell r="O1341" t="str">
            <v>UDY,CHERYL J</v>
          </cell>
        </row>
        <row r="1342">
          <cell r="O1342" t="str">
            <v>UFFELMAN,JON W</v>
          </cell>
        </row>
        <row r="1343">
          <cell r="O1343" t="str">
            <v>ULLIMAN,JAMES C</v>
          </cell>
        </row>
        <row r="1344">
          <cell r="O1344" t="str">
            <v>UM,KEITH K</v>
          </cell>
        </row>
        <row r="1345">
          <cell r="O1345" t="str">
            <v>UPADHAYA,SURENDRA</v>
          </cell>
        </row>
        <row r="1346">
          <cell r="O1346" t="str">
            <v>VALDEZ,THERESA A</v>
          </cell>
        </row>
        <row r="1347">
          <cell r="O1347" t="str">
            <v>VALENTINE,JOY L</v>
          </cell>
        </row>
        <row r="1348">
          <cell r="O1348" t="str">
            <v>VANDE BRAKE,TODD E</v>
          </cell>
        </row>
        <row r="1349">
          <cell r="O1349" t="str">
            <v>VANDERHYDE,JEANNE M</v>
          </cell>
        </row>
        <row r="1350">
          <cell r="O1350" t="str">
            <v>VANDUSEN,KYLE G</v>
          </cell>
        </row>
        <row r="1351">
          <cell r="O1351" t="str">
            <v>VANTUIL,VIRGINIA A</v>
          </cell>
        </row>
        <row r="1352">
          <cell r="O1352" t="str">
            <v>VAZQUEZ,TONYA L</v>
          </cell>
        </row>
        <row r="1353">
          <cell r="O1353" t="str">
            <v>VECE,THOMAS W</v>
          </cell>
        </row>
        <row r="1354">
          <cell r="O1354" t="str">
            <v>VEITH,KARL F</v>
          </cell>
        </row>
        <row r="1355">
          <cell r="O1355" t="str">
            <v>VELTRI,BENEDICT C</v>
          </cell>
        </row>
        <row r="1356">
          <cell r="O1356" t="str">
            <v>VESTAL,THOMAS N</v>
          </cell>
        </row>
        <row r="1357">
          <cell r="O1357" t="str">
            <v>VEYTSMAN,BORIS A</v>
          </cell>
        </row>
        <row r="1358">
          <cell r="O1358" t="str">
            <v>VIENNEAU,ROBERT L</v>
          </cell>
        </row>
        <row r="1359">
          <cell r="O1359" t="str">
            <v>VINCELETTE,CHRISTOPHER</v>
          </cell>
        </row>
        <row r="1360">
          <cell r="O1360" t="str">
            <v>VIOLA,CYNTHIA</v>
          </cell>
        </row>
        <row r="1361">
          <cell r="O1361" t="str">
            <v>VIRGILIO,BRIAN D</v>
          </cell>
        </row>
        <row r="1362">
          <cell r="O1362" t="str">
            <v>VIRGILIO,PAUL A</v>
          </cell>
        </row>
        <row r="1363">
          <cell r="O1363" t="str">
            <v>VOLKENING,FRED</v>
          </cell>
        </row>
        <row r="1364">
          <cell r="O1364" t="str">
            <v>VOLTMER,ALLEN D</v>
          </cell>
        </row>
        <row r="1365">
          <cell r="O1365" t="str">
            <v>VORCE,JEANETTE</v>
          </cell>
        </row>
        <row r="1366">
          <cell r="O1366" t="str">
            <v>VREELAND,MICHAEL T</v>
          </cell>
        </row>
        <row r="1367">
          <cell r="O1367" t="str">
            <v>WAGNER,JAMES W</v>
          </cell>
        </row>
        <row r="1368">
          <cell r="O1368" t="str">
            <v>WAGNER,SARAH F</v>
          </cell>
        </row>
        <row r="1369">
          <cell r="O1369" t="str">
            <v>WALDEN,CHARLES B</v>
          </cell>
        </row>
        <row r="1370">
          <cell r="O1370" t="str">
            <v>WALKER,ELLEN</v>
          </cell>
        </row>
        <row r="1371">
          <cell r="O1371" t="str">
            <v>WALLACE,CHRISTINE Y</v>
          </cell>
        </row>
        <row r="1372">
          <cell r="O1372" t="str">
            <v>WALLACE,GARY A</v>
          </cell>
        </row>
        <row r="1373">
          <cell r="O1373" t="str">
            <v>WALLNER,RICHARD A</v>
          </cell>
        </row>
        <row r="1374">
          <cell r="O1374" t="str">
            <v>WAMPLER,DAVID L</v>
          </cell>
        </row>
        <row r="1375">
          <cell r="O1375" t="str">
            <v>WANDLER,ADAM T</v>
          </cell>
        </row>
        <row r="1376">
          <cell r="O1376" t="str">
            <v>WANG,ROBERT L</v>
          </cell>
        </row>
        <row r="1377">
          <cell r="O1377" t="str">
            <v>WARD,STEPHEN L</v>
          </cell>
        </row>
        <row r="1378">
          <cell r="O1378" t="str">
            <v>WARREN,DANIEL E</v>
          </cell>
        </row>
        <row r="1379">
          <cell r="O1379" t="str">
            <v>WASHINGTON,ALBERT G</v>
          </cell>
        </row>
        <row r="1380">
          <cell r="O1380" t="str">
            <v>WASKEY,WENDY L</v>
          </cell>
        </row>
        <row r="1381">
          <cell r="O1381" t="str">
            <v>WATKINS,JEFFERY R</v>
          </cell>
        </row>
        <row r="1382">
          <cell r="O1382" t="str">
            <v>WATSON,BILLY G</v>
          </cell>
        </row>
        <row r="1383">
          <cell r="O1383" t="str">
            <v>WATSON,III,JOHN W</v>
          </cell>
        </row>
        <row r="1384">
          <cell r="O1384" t="str">
            <v>WAYNERT,JOSEPH A</v>
          </cell>
        </row>
        <row r="1385">
          <cell r="O1385" t="str">
            <v>WEAVER,MATTHEW D</v>
          </cell>
        </row>
        <row r="1386">
          <cell r="O1386" t="str">
            <v>WEBER,JOHN M</v>
          </cell>
        </row>
        <row r="1387">
          <cell r="O1387" t="str">
            <v>WEEDON,STEPHANIE L</v>
          </cell>
        </row>
        <row r="1388">
          <cell r="O1388" t="str">
            <v>WEINBERG,AARON</v>
          </cell>
        </row>
        <row r="1389">
          <cell r="O1389" t="str">
            <v>WEINGART,LEE J</v>
          </cell>
        </row>
        <row r="1390">
          <cell r="O1390" t="str">
            <v>WELBORN,RICHARD P</v>
          </cell>
        </row>
        <row r="1391">
          <cell r="O1391" t="str">
            <v>WELLER,GLADYS M</v>
          </cell>
        </row>
        <row r="1392">
          <cell r="O1392" t="str">
            <v>WELLS,DANA R</v>
          </cell>
        </row>
        <row r="1393">
          <cell r="O1393" t="str">
            <v>WELLS,PHILIP B</v>
          </cell>
        </row>
        <row r="1394">
          <cell r="O1394" t="str">
            <v>WELLS,THOMAS G</v>
          </cell>
        </row>
        <row r="1395">
          <cell r="O1395" t="str">
            <v>WERNETH,STEVE M</v>
          </cell>
        </row>
        <row r="1396">
          <cell r="O1396" t="str">
            <v>WERTH,DENNIS W</v>
          </cell>
        </row>
        <row r="1397">
          <cell r="O1397" t="str">
            <v>WESDOCK,JOHN M</v>
          </cell>
        </row>
        <row r="1398">
          <cell r="O1398" t="str">
            <v>WEST,DAVID L</v>
          </cell>
        </row>
        <row r="1399">
          <cell r="O1399" t="str">
            <v>WESTERHOFF,MATTHEW S</v>
          </cell>
        </row>
        <row r="1400">
          <cell r="O1400" t="str">
            <v>WESTLAKE,WALLACE D</v>
          </cell>
        </row>
        <row r="1401">
          <cell r="O1401" t="str">
            <v>WEYNA,LISA L</v>
          </cell>
        </row>
        <row r="1402">
          <cell r="O1402" t="str">
            <v>WHALEN,TIMOTHY H</v>
          </cell>
        </row>
        <row r="1403">
          <cell r="O1403" t="str">
            <v>WHITE,DALE A</v>
          </cell>
        </row>
        <row r="1404">
          <cell r="O1404" t="str">
            <v>WHITE,JEFFREY S</v>
          </cell>
        </row>
        <row r="1405">
          <cell r="O1405" t="str">
            <v>WHITE,MARK H</v>
          </cell>
        </row>
        <row r="1406">
          <cell r="O1406" t="str">
            <v>WHITE,MICHAEL S</v>
          </cell>
        </row>
        <row r="1407">
          <cell r="O1407" t="str">
            <v>WHITE,RONALD D</v>
          </cell>
        </row>
        <row r="1408">
          <cell r="O1408" t="str">
            <v>WHITED,LEAH ANN</v>
          </cell>
        </row>
        <row r="1409">
          <cell r="O1409" t="str">
            <v>WHITESIDES,GREGORY N</v>
          </cell>
        </row>
        <row r="1410">
          <cell r="O1410" t="str">
            <v>WHITMER,RICHARD A</v>
          </cell>
        </row>
        <row r="1411">
          <cell r="O1411" t="str">
            <v>WHITMIRE,JUANITA</v>
          </cell>
        </row>
        <row r="1412">
          <cell r="O1412" t="str">
            <v>WICKELL,AMBER M</v>
          </cell>
        </row>
        <row r="1413">
          <cell r="O1413" t="str">
            <v>WICKHAM,ROBERT E</v>
          </cell>
        </row>
        <row r="1414">
          <cell r="O1414" t="str">
            <v>WICKHOLM,DAVID R</v>
          </cell>
        </row>
        <row r="1415">
          <cell r="O1415" t="str">
            <v>WILBECK,JAMES S</v>
          </cell>
        </row>
        <row r="1416">
          <cell r="O1416" t="str">
            <v>WILDE,JUSTIN L</v>
          </cell>
        </row>
        <row r="1417">
          <cell r="O1417" t="str">
            <v>WILEY,GARRY</v>
          </cell>
        </row>
        <row r="1418">
          <cell r="O1418" t="str">
            <v>WILKINSON,BARRY L</v>
          </cell>
        </row>
        <row r="1419">
          <cell r="O1419" t="str">
            <v>WILKS,DAVID E</v>
          </cell>
        </row>
        <row r="1420">
          <cell r="O1420" t="str">
            <v>WILLIAMS,BERNARD J</v>
          </cell>
        </row>
        <row r="1421">
          <cell r="O1421" t="str">
            <v>WILLIAMS,CHARLES</v>
          </cell>
        </row>
        <row r="1422">
          <cell r="O1422" t="str">
            <v>WILLIAMS,III,CHARLES J</v>
          </cell>
        </row>
        <row r="1423">
          <cell r="O1423" t="str">
            <v>WILLIAMS,JEFFREY S</v>
          </cell>
        </row>
        <row r="1424">
          <cell r="O1424" t="str">
            <v>WILLIAMS,RALPH M</v>
          </cell>
        </row>
        <row r="1425">
          <cell r="O1425" t="str">
            <v>WILLIAMS,RICHARD</v>
          </cell>
        </row>
        <row r="1426">
          <cell r="O1426" t="str">
            <v>WILLIAMS,SHARON A</v>
          </cell>
        </row>
        <row r="1427">
          <cell r="O1427" t="str">
            <v>WILLIAMS,SUSAN M</v>
          </cell>
        </row>
        <row r="1428">
          <cell r="O1428" t="str">
            <v>WILLIAMS-MILLER,TONI M</v>
          </cell>
        </row>
        <row r="1429">
          <cell r="O1429" t="str">
            <v>WILSON,CHARLES</v>
          </cell>
        </row>
        <row r="1430">
          <cell r="O1430" t="str">
            <v>WILSON,GEORGE A</v>
          </cell>
        </row>
        <row r="1431">
          <cell r="O1431" t="str">
            <v>WILSON,JON Q</v>
          </cell>
        </row>
        <row r="1432">
          <cell r="O1432" t="str">
            <v>WILSON,MICHAEL R</v>
          </cell>
        </row>
        <row r="1433">
          <cell r="O1433" t="str">
            <v>WINSOR,ROBERT S</v>
          </cell>
        </row>
        <row r="1434">
          <cell r="O1434" t="str">
            <v>WITZIG,ANDREW J</v>
          </cell>
        </row>
        <row r="1435">
          <cell r="O1435" t="str">
            <v>WOLD,SUZAN R</v>
          </cell>
        </row>
        <row r="1436">
          <cell r="O1436" t="str">
            <v>WOLFE,TED M</v>
          </cell>
        </row>
        <row r="1437">
          <cell r="O1437" t="str">
            <v>WOMBLE,JENNIE A</v>
          </cell>
        </row>
        <row r="1438">
          <cell r="O1438" t="str">
            <v>WOOD,JESSICA R</v>
          </cell>
        </row>
        <row r="1439">
          <cell r="O1439" t="str">
            <v>WOOD,RICHARD M</v>
          </cell>
        </row>
        <row r="1440">
          <cell r="O1440" t="str">
            <v>WOODEN,KEVIN M</v>
          </cell>
        </row>
        <row r="1441">
          <cell r="O1441" t="str">
            <v>WOODHOUSE,CHARLES A</v>
          </cell>
        </row>
        <row r="1442">
          <cell r="O1442" t="str">
            <v>WOSOOGH,BEHROOZ</v>
          </cell>
        </row>
        <row r="1443">
          <cell r="O1443" t="str">
            <v>WRIGHT,DEBORAH E</v>
          </cell>
        </row>
        <row r="1444">
          <cell r="O1444" t="str">
            <v>WRIGHT,JR,CHESTER A</v>
          </cell>
        </row>
        <row r="1445">
          <cell r="O1445" t="str">
            <v>WU,DORIS D</v>
          </cell>
        </row>
        <row r="1446">
          <cell r="O1446" t="str">
            <v>WU,JIMMY X</v>
          </cell>
        </row>
        <row r="1447">
          <cell r="O1447" t="str">
            <v>WU,YIDONG</v>
          </cell>
        </row>
        <row r="1448">
          <cell r="O1448" t="str">
            <v>WURDINGER,STEPHANIE R</v>
          </cell>
        </row>
        <row r="1449">
          <cell r="O1449" t="str">
            <v>WYCHULIS,WILLIAM C</v>
          </cell>
        </row>
        <row r="1450">
          <cell r="O1450" t="str">
            <v>XAVIER,JOSEPH F</v>
          </cell>
        </row>
        <row r="1451">
          <cell r="O1451" t="str">
            <v>YABAR,WILLI</v>
          </cell>
        </row>
        <row r="1452">
          <cell r="O1452" t="str">
            <v>YANEY,BRIAN L</v>
          </cell>
        </row>
        <row r="1453">
          <cell r="O1453" t="str">
            <v>YAO,STEVE K</v>
          </cell>
        </row>
        <row r="1454">
          <cell r="O1454" t="str">
            <v>YATES,ALAN</v>
          </cell>
        </row>
        <row r="1455">
          <cell r="O1455" t="str">
            <v>YEAGER,II,WILLIAM E</v>
          </cell>
        </row>
        <row r="1456">
          <cell r="O1456" t="str">
            <v>YOUNG,JOHN M</v>
          </cell>
        </row>
        <row r="1457">
          <cell r="O1457" t="str">
            <v>YOUNG,REBEKAH S</v>
          </cell>
        </row>
        <row r="1458">
          <cell r="O1458" t="str">
            <v>YOUNGS,ANDY J</v>
          </cell>
        </row>
        <row r="1459">
          <cell r="O1459" t="str">
            <v>YURKO,CHERYL A</v>
          </cell>
        </row>
        <row r="1460">
          <cell r="O1460" t="str">
            <v>ZAKI,BASHAER E</v>
          </cell>
        </row>
        <row r="1461">
          <cell r="O1461" t="str">
            <v>ZAKRZEWSKI,EDWIN J</v>
          </cell>
        </row>
        <row r="1462">
          <cell r="O1462" t="str">
            <v>ZALESKI,PHILIP J</v>
          </cell>
        </row>
        <row r="1463">
          <cell r="O1463" t="str">
            <v>ZEE,LAYNE</v>
          </cell>
        </row>
        <row r="1464">
          <cell r="O1464" t="str">
            <v>ZEIHER,WILLIAM</v>
          </cell>
        </row>
        <row r="1465">
          <cell r="O1465" t="str">
            <v>ZEIRD,WILLIAM</v>
          </cell>
        </row>
        <row r="1466">
          <cell r="O1466" t="str">
            <v>ZELTNER,MARIE A</v>
          </cell>
        </row>
        <row r="1467">
          <cell r="O1467" t="str">
            <v>ZHANG,YUWEN</v>
          </cell>
        </row>
        <row r="1468">
          <cell r="O1468" t="str">
            <v>ZHOU,YIRU</v>
          </cell>
        </row>
        <row r="1469">
          <cell r="O1469" t="str">
            <v>ZIEGLER,HOLLY A</v>
          </cell>
        </row>
        <row r="1470">
          <cell r="O1470" t="str">
            <v>ZIMMERMAN,WILLIAM R</v>
          </cell>
        </row>
        <row r="1471">
          <cell r="O1471" t="str">
            <v>ZIMMERMANN,JERAMIAH D</v>
          </cell>
        </row>
        <row r="1472">
          <cell r="O1472" t="str">
            <v>ZOERNER,DAWN M</v>
          </cell>
        </row>
        <row r="1473">
          <cell r="O1473" t="str">
            <v>ZOLLER,JULIE N</v>
          </cell>
        </row>
        <row r="1474">
          <cell r="O1474" t="str">
            <v>ZOMBOLA,RANDALL R</v>
          </cell>
        </row>
        <row r="1475">
          <cell r="O1475" t="str">
            <v>ZUCKERMAN,HELEN L</v>
          </cell>
        </row>
        <row r="1476">
          <cell r="O1476" t="str">
            <v>(blank)</v>
          </cell>
        </row>
      </sheetData>
      <sheetData sheetId="48"/>
      <sheetData sheetId="49"/>
      <sheetData sheetId="50"/>
      <sheetData sheetId="51"/>
      <sheetData sheetId="52"/>
      <sheetData sheetId="5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row r="2">
          <cell r="C2" t="str">
            <v>Proposer's Name</v>
          </cell>
        </row>
      </sheetData>
      <sheetData sheetId="1"/>
      <sheetData sheetId="2">
        <row r="5">
          <cell r="A5"/>
        </row>
        <row r="7">
          <cell r="A7" t="str">
            <v>General, I2, Picklist of Offeror Business Types</v>
          </cell>
        </row>
        <row r="8">
          <cell r="A8" t="str">
            <v>Large Business</v>
          </cell>
        </row>
        <row r="9">
          <cell r="A9" t="str">
            <v>Small Business</v>
          </cell>
        </row>
        <row r="12">
          <cell r="A12" t="str">
            <v>Lab/FFRDC</v>
          </cell>
        </row>
        <row r="15">
          <cell r="A15" t="str">
            <v/>
          </cell>
        </row>
        <row r="18">
          <cell r="A18" t="str">
            <v>First select a Business Type</v>
          </cell>
        </row>
        <row r="19">
          <cell r="A19"/>
        </row>
        <row r="20">
          <cell r="A20" t="str">
            <v>Academia Labor Groups</v>
          </cell>
        </row>
        <row r="21">
          <cell r="A21" t="str">
            <v>Project Management</v>
          </cell>
        </row>
        <row r="24">
          <cell r="A24" t="str">
            <v>Administrative Support</v>
          </cell>
        </row>
        <row r="25">
          <cell r="A25"/>
        </row>
        <row r="26">
          <cell r="A26" t="str">
            <v>General Labor Groups</v>
          </cell>
        </row>
        <row r="27">
          <cell r="A27" t="str">
            <v>Project Management</v>
          </cell>
        </row>
        <row r="28">
          <cell r="A28" t="str">
            <v>Science and Engineering</v>
          </cell>
        </row>
        <row r="29">
          <cell r="A29" t="str">
            <v>Software Development</v>
          </cell>
        </row>
        <row r="109">
          <cell r="A109"/>
        </row>
        <row r="110">
          <cell r="A110"/>
        </row>
        <row r="111">
          <cell r="A111" t="str">
            <v>Indirect Rate Categories</v>
          </cell>
        </row>
        <row r="112">
          <cell r="A112" t="str">
            <v>Fringe</v>
          </cell>
        </row>
        <row r="113">
          <cell r="A113" t="str">
            <v>Overhead (Labor)</v>
          </cell>
        </row>
        <row r="114">
          <cell r="A114" t="str">
            <v>General and Administrative (Labor)</v>
          </cell>
        </row>
        <row r="115">
          <cell r="A115" t="str">
            <v>Facilities and Administrative Cost Rate (Labor)</v>
          </cell>
        </row>
        <row r="116">
          <cell r="A116" t="str">
            <v>Material Handling</v>
          </cell>
        </row>
        <row r="117">
          <cell r="A117" t="str">
            <v>General and Administrative (non-Labor)</v>
          </cell>
        </row>
        <row r="118">
          <cell r="A118" t="str">
            <v>Facilities and Administrative Cost Rate (non-Labor)</v>
          </cell>
        </row>
        <row r="119">
          <cell r="A119" t="str">
            <v>Procurement Overhead</v>
          </cell>
        </row>
        <row r="120">
          <cell r="A120" t="str">
            <v>Subcontract Overhead</v>
          </cell>
        </row>
        <row r="121">
          <cell r="A121" t="str">
            <v>Business Operating Support Overhead</v>
          </cell>
        </row>
        <row r="122">
          <cell r="A122" t="str">
            <v>Information Technology Support Overhead</v>
          </cell>
        </row>
        <row r="123">
          <cell r="A123" t="str">
            <v>Other Direct Cost (ODC) Overhead</v>
          </cell>
        </row>
        <row r="124">
          <cell r="A124" t="str">
            <v>Facilities Cost of Money: Procurement COM</v>
          </cell>
        </row>
      </sheetData>
      <sheetData sheetId="3">
        <row r="4">
          <cell r="A4"/>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Notes"/>
      <sheetName val="Drop-Down Values"/>
      <sheetName val="General Instructions"/>
      <sheetName val="Workbook Change Instructions"/>
      <sheetName val="Submission Info"/>
      <sheetName val="Proposer Acct. Data"/>
      <sheetName val="Direct Labor Categories"/>
      <sheetName val="Indirect Rates"/>
      <sheetName val="Labor Rates"/>
      <sheetName val="Summary Check Sum"/>
      <sheetName val="Project Cost Summary"/>
      <sheetName val="Base (Ph1)"/>
      <sheetName val="O-I (Ph2) "/>
      <sheetName val="O-II (Ph3)"/>
      <sheetName val="O-III (Ph3)"/>
      <sheetName val="O-IV (Ph4)"/>
      <sheetName val="O-V (Ph5)"/>
      <sheetName val="Flex 1"/>
      <sheetName val="Flex 2"/>
      <sheetName val="Subcontractors"/>
      <sheetName val="Consultants"/>
      <sheetName val="Materials-Supplies"/>
      <sheetName val="Equipment"/>
      <sheetName val="Travel"/>
      <sheetName val="ODC Details"/>
      <sheetName val="Project Spend Plan"/>
      <sheetName val="Cost by Task"/>
      <sheetName val="Proposer Custom"/>
      <sheetName val="Constants"/>
      <sheetName val="General"/>
      <sheetName val="Proposer Constant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Animal-Human Use Y-N"/>
      <sheetName val="Animal Related"/>
      <sheetName val="Human Subjects Research"/>
      <sheetName val="Expenditures by Month"/>
      <sheetName val="Milestones and Deliverables"/>
    </sheetNames>
    <sheetDataSet>
      <sheetData sheetId="0" refreshError="1"/>
      <sheetData sheetId="1"/>
      <sheetData sheetId="2"/>
      <sheetData sheetId="3"/>
      <sheetData sheetId="4">
        <row r="9">
          <cell r="B9" t="str">
            <v>SBIR/STTR Phase:</v>
          </cell>
        </row>
      </sheetData>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sheetData sheetId="24" refreshError="1"/>
      <sheetData sheetId="25"/>
      <sheetData sheetId="26"/>
      <sheetData sheetId="27"/>
      <sheetData sheetId="28">
        <row r="8">
          <cell r="A8" t="str">
            <v>Large Business</v>
          </cell>
        </row>
        <row r="9">
          <cell r="A9" t="str">
            <v>Small Business</v>
          </cell>
        </row>
        <row r="10">
          <cell r="A10" t="str">
            <v>Non-Profit</v>
          </cell>
        </row>
        <row r="11">
          <cell r="A11" t="str">
            <v>Academia</v>
          </cell>
        </row>
        <row r="12">
          <cell r="A12" t="str">
            <v>Lab/FFRDC</v>
          </cell>
        </row>
        <row r="15">
          <cell r="A15" t="str">
            <v>General</v>
          </cell>
        </row>
        <row r="18">
          <cell r="A18" t="str">
            <v>First select a Business Type</v>
          </cell>
        </row>
        <row r="21">
          <cell r="A21" t="str">
            <v>Project Management</v>
          </cell>
        </row>
        <row r="22">
          <cell r="A22" t="str">
            <v>Research</v>
          </cell>
        </row>
        <row r="23">
          <cell r="A23" t="str">
            <v>Consultant</v>
          </cell>
        </row>
        <row r="24">
          <cell r="A24" t="str">
            <v>Administrative Support</v>
          </cell>
        </row>
        <row r="27">
          <cell r="A27" t="str">
            <v>Project Management</v>
          </cell>
        </row>
        <row r="28">
          <cell r="A28" t="str">
            <v>Science and Engineering</v>
          </cell>
        </row>
        <row r="29">
          <cell r="A29" t="str">
            <v>Software Development</v>
          </cell>
        </row>
        <row r="30">
          <cell r="A30" t="str">
            <v>Manufacturing</v>
          </cell>
        </row>
        <row r="31">
          <cell r="A31" t="str">
            <v>Consultant</v>
          </cell>
        </row>
        <row r="32">
          <cell r="A32" t="str">
            <v>Support</v>
          </cell>
        </row>
        <row r="113">
          <cell r="A113" t="str">
            <v>Fringe</v>
          </cell>
        </row>
        <row r="114">
          <cell r="A114" t="str">
            <v>Overhead (Labor)</v>
          </cell>
        </row>
        <row r="115">
          <cell r="A115" t="str">
            <v>General and Administrative</v>
          </cell>
        </row>
        <row r="116">
          <cell r="A116" t="str">
            <v>Facilities and Administrative Cost Rate</v>
          </cell>
        </row>
        <row r="117">
          <cell r="A117" t="str">
            <v>Material Handling</v>
          </cell>
        </row>
        <row r="118">
          <cell r="A118" t="str">
            <v>Procurement Overhead</v>
          </cell>
        </row>
        <row r="119">
          <cell r="A119" t="str">
            <v>Subcontract Overhead</v>
          </cell>
        </row>
        <row r="120">
          <cell r="A120" t="str">
            <v>Business Operating Support Overhead</v>
          </cell>
        </row>
        <row r="121">
          <cell r="A121" t="str">
            <v>Information Technology Support Overhead</v>
          </cell>
        </row>
        <row r="122">
          <cell r="A122" t="str">
            <v>Other Direct Cost (ODC) Overhead</v>
          </cell>
        </row>
        <row r="123">
          <cell r="A123" t="str">
            <v>Facilities Cost of Money: Procurement COM</v>
          </cell>
        </row>
        <row r="124">
          <cell r="A124" t="str">
            <v>Facilities Cost of Money: G&amp;A COM</v>
          </cell>
        </row>
        <row r="125">
          <cell r="A125" t="str">
            <v>Facilities Cost of Money: Labor/Engineering COM</v>
          </cell>
        </row>
        <row r="126">
          <cell r="A126" t="str">
            <v>Other Overhead/Cost Factors</v>
          </cell>
        </row>
        <row r="127">
          <cell r="A127" t="str">
            <v>Profit (Fixed Price Awards)</v>
          </cell>
        </row>
        <row r="128">
          <cell r="A128" t="str">
            <v>Fee (Cost Type Awards)</v>
          </cell>
        </row>
      </sheetData>
      <sheetData sheetId="29" refreshError="1"/>
      <sheetData sheetId="30">
        <row r="4">
          <cell r="A4" t="str">
            <v>Non-Profit</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Travel"/>
      <sheetName val="General"/>
      <sheetName val="Change Notes"/>
      <sheetName val="Constants"/>
      <sheetName val="Instructions"/>
      <sheetName val="Proposer Constants"/>
      <sheetName val="Labor Rates"/>
      <sheetName val="Summary Cost Table"/>
      <sheetName val="Indirect Rates and Profit_Fee"/>
      <sheetName val="Total Amount"/>
      <sheetName val="Base"/>
      <sheetName val="O-I"/>
      <sheetName val="O-II"/>
      <sheetName val="O-III"/>
      <sheetName val="O-IV"/>
      <sheetName val="O-V"/>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 val="Task 1"/>
      <sheetName val="Task 2"/>
    </sheetNames>
    <sheetDataSet>
      <sheetData sheetId="0"/>
      <sheetData sheetId="1"/>
      <sheetData sheetId="2" refreshError="1"/>
      <sheetData sheetId="3">
        <row r="8">
          <cell r="A8" t="str">
            <v>Large Business</v>
          </cell>
        </row>
        <row r="9">
          <cell r="A9" t="str">
            <v>Small Business</v>
          </cell>
        </row>
        <row r="10">
          <cell r="A10" t="str">
            <v>Non-Profit</v>
          </cell>
        </row>
        <row r="11">
          <cell r="A11" t="str">
            <v>Academia</v>
          </cell>
        </row>
        <row r="12">
          <cell r="A12" t="str">
            <v>Lab/FFRDC</v>
          </cell>
        </row>
        <row r="15">
          <cell r="A15" t="str">
            <v>General</v>
          </cell>
        </row>
        <row r="18">
          <cell r="A18" t="str">
            <v>First select a Business Type</v>
          </cell>
        </row>
        <row r="21">
          <cell r="A21" t="str">
            <v>Project Management</v>
          </cell>
        </row>
        <row r="22">
          <cell r="A22" t="str">
            <v>Research</v>
          </cell>
        </row>
        <row r="23">
          <cell r="A23" t="str">
            <v>Consultant</v>
          </cell>
        </row>
        <row r="24">
          <cell r="A24" t="str">
            <v>Administrative Support</v>
          </cell>
        </row>
        <row r="27">
          <cell r="A27" t="str">
            <v>Project Management</v>
          </cell>
        </row>
        <row r="28">
          <cell r="A28" t="str">
            <v>Science and Engineering</v>
          </cell>
        </row>
        <row r="29">
          <cell r="A29" t="str">
            <v>Software Development</v>
          </cell>
        </row>
        <row r="30">
          <cell r="A30" t="str">
            <v>Manufacturing</v>
          </cell>
        </row>
        <row r="31">
          <cell r="A31" t="str">
            <v>Consultant</v>
          </cell>
        </row>
        <row r="32">
          <cell r="A32" t="str">
            <v>Support</v>
          </cell>
        </row>
        <row r="121">
          <cell r="A121" t="str">
            <v>Fringe</v>
          </cell>
        </row>
        <row r="122">
          <cell r="A122" t="str">
            <v>Fringe (Students)</v>
          </cell>
        </row>
        <row r="123">
          <cell r="A123" t="str">
            <v>Fringe (Faculty/Staff)</v>
          </cell>
        </row>
        <row r="124">
          <cell r="A124" t="str">
            <v>Overhead (Labor)</v>
          </cell>
        </row>
        <row r="125">
          <cell r="A125" t="str">
            <v>General and Administrative</v>
          </cell>
        </row>
        <row r="126">
          <cell r="A126" t="str">
            <v>Facilities and Administrative Cost Rate</v>
          </cell>
        </row>
        <row r="127">
          <cell r="A127" t="str">
            <v>Material Handling</v>
          </cell>
        </row>
        <row r="128">
          <cell r="A128" t="str">
            <v>Procurement Overhead</v>
          </cell>
        </row>
        <row r="129">
          <cell r="A129" t="str">
            <v>Subcontract Overhead</v>
          </cell>
        </row>
        <row r="130">
          <cell r="A130" t="str">
            <v>Business Operating Support Overhead</v>
          </cell>
        </row>
        <row r="131">
          <cell r="A131" t="str">
            <v>Information Technology Support Overhead</v>
          </cell>
        </row>
        <row r="132">
          <cell r="A132" t="str">
            <v>Other Direct Cost (ODC) Overhead</v>
          </cell>
        </row>
        <row r="133">
          <cell r="A133" t="str">
            <v>Facilities Cost of Money: Procurement COM</v>
          </cell>
        </row>
        <row r="134">
          <cell r="A134" t="str">
            <v>Facilities Cost of Money: G&amp;A COM</v>
          </cell>
        </row>
        <row r="135">
          <cell r="A135" t="str">
            <v>Facilities Cost of Money: Labor/Engineering COM</v>
          </cell>
        </row>
        <row r="136">
          <cell r="A136" t="str">
            <v>Other Overhead/Cost Factors</v>
          </cell>
        </row>
        <row r="137">
          <cell r="A137" t="str">
            <v>Profit (Fixed Price Awards)</v>
          </cell>
        </row>
        <row r="138">
          <cell r="A138" t="str">
            <v>Fee (Cost Type Awards)</v>
          </cell>
        </row>
      </sheetData>
      <sheetData sheetId="4" refreshError="1"/>
      <sheetData sheetId="5">
        <row r="4">
          <cell r="A4" t="str">
            <v>Large Business</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Analysis"/>
      <sheetName val="Instructions"/>
      <sheetName val="Project Cover Sheet"/>
      <sheetName val="Project Cost Summary"/>
      <sheetName val="Project Direct Labor Descrip"/>
      <sheetName val="Project Indirect Cost Cats"/>
      <sheetName val="Project Mat, Trav, ODCs"/>
      <sheetName val="Project MIPR"/>
      <sheetName val="Project COM"/>
      <sheetName val="Project Other Charges"/>
      <sheetName val="Phase Labor+Indirects--Unused 1"/>
      <sheetName val="Phase Labor+Indirects--Unused 2"/>
      <sheetName val="Phase Labor+Indirects--Unused 3"/>
      <sheetName val="Phase Labor+Indirects--Unused 4"/>
      <sheetName val="Phase Labor+Indirects--Unused 5"/>
      <sheetName val="Phase Labor+Indirects--Unused 6"/>
      <sheetName val="Project Spend Plan"/>
      <sheetName val="Contractor Explanatory Use"/>
    </sheetNames>
    <sheetDataSet>
      <sheetData sheetId="0"/>
      <sheetData sheetId="1"/>
      <sheetData sheetId="2">
        <row r="59">
          <cell r="B59" t="str">
            <v>Subcontractor / Interoffice Transfers / Consultant / CRADA Title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Analysis"/>
      <sheetName val="Instructions"/>
      <sheetName val="Project Cover Sheet"/>
      <sheetName val="Project Cost Summary"/>
      <sheetName val="Project Direct Labor Descrip"/>
      <sheetName val="Project Indirect Cost Cats"/>
      <sheetName val="Project Mat, Trav, ODCs"/>
      <sheetName val="Project MIPR"/>
      <sheetName val="Project COM"/>
      <sheetName val="Project Other Charges"/>
      <sheetName val="Phase 1 Labor+Indirects"/>
      <sheetName val="Phase 2 Labor+Indirects"/>
      <sheetName val="Phase 3 Labor+Indirects"/>
      <sheetName val="Phase Labor+Indirects--Unused 1"/>
      <sheetName val="Phase Labor+Indirects--Unused 2"/>
      <sheetName val="Phase Labor+Indirects--Unused 3"/>
      <sheetName val="Project Spend Plan"/>
      <sheetName val="Contractor Explanatory Use"/>
    </sheetNames>
    <sheetDataSet>
      <sheetData sheetId="0" refreshError="1"/>
      <sheetData sheetId="1" refreshError="1"/>
      <sheetData sheetId="2">
        <row r="32">
          <cell r="B32">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Notes"/>
      <sheetName val="Drop-Down Values"/>
      <sheetName val="General Instructions"/>
      <sheetName val="Workbook Change Instructions"/>
      <sheetName val="Submission Info"/>
      <sheetName val="Proposer Acct. Data"/>
      <sheetName val="Direct Labor Categories"/>
      <sheetName val="Indirect Rates"/>
      <sheetName val="Labor Rates"/>
      <sheetName val="Summary Check Sum"/>
      <sheetName val="Project Cost Summary"/>
      <sheetName val="Base (Ph1)"/>
      <sheetName val="O-I (Ph2) "/>
      <sheetName val="O-II (Ph3)"/>
      <sheetName val="O-III"/>
      <sheetName val="O-IV"/>
      <sheetName val="O-V"/>
      <sheetName val="Flex 1"/>
      <sheetName val="Flex 2"/>
      <sheetName val="Subcontractors"/>
      <sheetName val="Consultants"/>
      <sheetName val="Materials-Supplies"/>
      <sheetName val="Equipment"/>
      <sheetName val="Travel"/>
      <sheetName val="ODC Details"/>
      <sheetName val="Project Spend Plan"/>
      <sheetName val="Expenditure Plan by Month"/>
      <sheetName val="Cost by Task"/>
      <sheetName val="Proposer Custom"/>
    </sheetNames>
    <sheetDataSet>
      <sheetData sheetId="0"/>
      <sheetData sheetId="1">
        <row r="3">
          <cell r="B3" t="str">
            <v>1.00.00</v>
          </cell>
        </row>
        <row r="21">
          <cell r="B21" t="str">
            <v>Large Business</v>
          </cell>
        </row>
        <row r="22">
          <cell r="B22" t="str">
            <v>Small Business</v>
          </cell>
        </row>
        <row r="23">
          <cell r="B23" t="str">
            <v>Non-Profit</v>
          </cell>
        </row>
        <row r="24">
          <cell r="B24" t="str">
            <v>Academia</v>
          </cell>
        </row>
        <row r="25">
          <cell r="B25" t="str">
            <v>Lab/FFRDC</v>
          </cell>
        </row>
        <row r="46">
          <cell r="B46" t="str">
            <v/>
          </cell>
        </row>
      </sheetData>
      <sheetData sheetId="2"/>
      <sheetData sheetId="3"/>
      <sheetData sheetId="4">
        <row r="4">
          <cell r="N4">
            <v>15</v>
          </cell>
        </row>
      </sheetData>
      <sheetData sheetId="5">
        <row r="11">
          <cell r="C11" t="str">
            <v>Proposer FY 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llenges Summary"/>
      <sheetName val="Scenario Summary"/>
      <sheetName val="Salary for Presentation (2)"/>
      <sheetName val="Salary for Presentation"/>
      <sheetName val="Small Business Participation"/>
      <sheetName val="Summary TO1 and TO2 Compressed"/>
      <sheetName val="Summary TO1 and TO2"/>
      <sheetName val="CLIN Summary"/>
      <sheetName val="TO1 Summary"/>
      <sheetName val="TO1 CLIN Summary"/>
      <sheetName val="TO1 Basic"/>
      <sheetName val="TO1 Option 1"/>
      <sheetName val="TO1 Option 2"/>
      <sheetName val="TO1 Option 3"/>
      <sheetName val="TO1 Option 4"/>
      <sheetName val="TO2 Summary"/>
      <sheetName val="TO2 CLIN Summary"/>
      <sheetName val="TO2 Basic"/>
      <sheetName val="TO2 Option 1"/>
      <sheetName val="TO2 Option 2"/>
      <sheetName val="Current Staff Avg"/>
      <sheetName val="Direct Labor CFY"/>
      <sheetName val="qryPricingExtract"/>
      <sheetName val="Subcontractor Summary"/>
      <sheetName val="Subcontractor by SAIC FY"/>
      <sheetName val="Subcontractor Rates"/>
      <sheetName val="TO1 Basic FCCM "/>
      <sheetName val="TO1 Option 1 FCCM"/>
      <sheetName val="TO1 Option 2 FCCM"/>
      <sheetName val="TO1 Option 3 FCCM"/>
      <sheetName val="TO1 Option 4 FCCM"/>
      <sheetName val="TO2 Basic FCCM"/>
      <sheetName val="TO2 Option 1 FCCM"/>
      <sheetName val="TO2 Option 2 FCCM"/>
      <sheetName val="Travel and ODC"/>
      <sheetName val="Variable Escalation Factors"/>
      <sheetName val="Variable Escalation Profitabilt"/>
      <sheetName val="Table L-2"/>
      <sheetName val="GI 2010 Q3"/>
      <sheetName val="Hours Summary"/>
      <sheetName val="General Information"/>
      <sheetName val="Rate Tables"/>
      <sheetName val="HE&amp;CS - 117"/>
      <sheetName val="DLBR-Locality Schedule"/>
      <sheetName val="Bid Rate Lookups"/>
      <sheetName val=" Current Staff Salary"/>
      <sheetName val="Sheet1"/>
      <sheetName val="Cash Flow"/>
      <sheetName val="Labor Category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ow r="47">
          <cell r="A47">
            <v>3.2500000000000001E-2</v>
          </cell>
        </row>
      </sheetData>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FFCCCC"/>
  </sheetPr>
  <dimension ref="A1:D19"/>
  <sheetViews>
    <sheetView workbookViewId="0">
      <selection activeCell="B1" sqref="B1"/>
    </sheetView>
  </sheetViews>
  <sheetFormatPr defaultRowHeight="14.25" x14ac:dyDescent="0.2"/>
  <cols>
    <col min="1" max="1" width="0.85546875" customWidth="1"/>
    <col min="2" max="2" width="12.28515625" style="131" customWidth="1"/>
    <col min="3" max="3" width="27.42578125" style="131" customWidth="1"/>
    <col min="4" max="4" width="128.85546875" style="131" customWidth="1"/>
  </cols>
  <sheetData>
    <row r="1" spans="1:4" s="28" customFormat="1" ht="19.5" thickBot="1" x14ac:dyDescent="0.35">
      <c r="B1" s="863" t="s">
        <v>383</v>
      </c>
      <c r="C1" s="337"/>
      <c r="D1" s="337"/>
    </row>
    <row r="3" spans="1:4" s="130" customFormat="1" ht="15" x14ac:dyDescent="0.25">
      <c r="A3" s="134"/>
      <c r="B3" s="393" t="s">
        <v>260</v>
      </c>
      <c r="C3" s="393" t="s">
        <v>266</v>
      </c>
      <c r="D3" s="393" t="s">
        <v>261</v>
      </c>
    </row>
    <row r="4" spans="1:4" x14ac:dyDescent="0.2">
      <c r="B4" s="131" t="s">
        <v>346</v>
      </c>
      <c r="C4" s="131" t="s">
        <v>347</v>
      </c>
      <c r="D4" s="131" t="s">
        <v>349</v>
      </c>
    </row>
    <row r="18" spans="2:2" x14ac:dyDescent="0.2">
      <c r="B18" s="133"/>
    </row>
    <row r="19" spans="2:2" x14ac:dyDescent="0.2">
      <c r="B19" s="133"/>
    </row>
  </sheetData>
  <sheetProtection algorithmName="SHA-512" hashValue="4UT6nn5QCGLpfeJvexeOalHWiZfuH4hlo1EkyqzPl74fZ9cJIrIAzw3hZ70wCEaibLvsQRgI13bpCTEnWrNpLw==" saltValue="gb7voXGhkEBABYHMOaKn5w=="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C00000"/>
  </sheetPr>
  <dimension ref="B1:L194"/>
  <sheetViews>
    <sheetView zoomScale="98" zoomScaleNormal="98" workbookViewId="0">
      <selection activeCell="B4" sqref="B4"/>
    </sheetView>
  </sheetViews>
  <sheetFormatPr defaultRowHeight="12.75" x14ac:dyDescent="0.2"/>
  <cols>
    <col min="1" max="1" width="0.85546875" style="35" customWidth="1"/>
    <col min="2" max="2" width="33.42578125" style="35" customWidth="1"/>
    <col min="3" max="3" width="24.42578125" style="35" customWidth="1"/>
    <col min="4" max="4" width="9.140625" style="35"/>
    <col min="5" max="5" width="29" style="35" bestFit="1" customWidth="1"/>
    <col min="6" max="6" width="23.28515625" style="35" bestFit="1" customWidth="1"/>
    <col min="7" max="7" width="9.140625" style="35"/>
    <col min="8" max="8" width="9.140625" style="938"/>
    <col min="9" max="16384" width="9.140625" style="35"/>
  </cols>
  <sheetData>
    <row r="1" spans="2:12" s="516" customFormat="1" ht="19.5" thickBot="1" x14ac:dyDescent="0.35">
      <c r="B1" s="865" t="s">
        <v>384</v>
      </c>
      <c r="C1" s="864"/>
      <c r="D1" s="864"/>
      <c r="E1" s="864"/>
      <c r="F1" s="864"/>
      <c r="G1" s="864"/>
      <c r="H1" s="1009"/>
      <c r="I1" s="864"/>
      <c r="J1" s="864"/>
      <c r="K1" s="864"/>
      <c r="L1" s="864"/>
    </row>
    <row r="3" spans="2:12" x14ac:dyDescent="0.2">
      <c r="B3" s="390" t="s">
        <v>346</v>
      </c>
      <c r="C3" s="35" t="s">
        <v>353</v>
      </c>
    </row>
    <row r="5" spans="2:12" x14ac:dyDescent="0.2">
      <c r="B5" s="134" t="s">
        <v>385</v>
      </c>
      <c r="D5" s="134" t="s">
        <v>589</v>
      </c>
      <c r="E5" s="134" t="s">
        <v>674</v>
      </c>
      <c r="H5" s="954" t="s">
        <v>567</v>
      </c>
    </row>
    <row r="6" spans="2:12" x14ac:dyDescent="0.2">
      <c r="B6" s="392"/>
      <c r="D6" s="1012" t="s">
        <v>71</v>
      </c>
      <c r="E6" s="392" t="s">
        <v>675</v>
      </c>
      <c r="H6" s="1012" t="s">
        <v>315</v>
      </c>
    </row>
    <row r="7" spans="2:12" x14ac:dyDescent="0.2">
      <c r="D7" s="1012" t="s">
        <v>72</v>
      </c>
      <c r="E7" s="392" t="s">
        <v>676</v>
      </c>
      <c r="H7" s="1012">
        <v>1</v>
      </c>
    </row>
    <row r="8" spans="2:12" x14ac:dyDescent="0.2">
      <c r="B8" s="134" t="s">
        <v>354</v>
      </c>
      <c r="E8" s="392" t="s">
        <v>677</v>
      </c>
      <c r="H8" s="1012">
        <v>2</v>
      </c>
    </row>
    <row r="9" spans="2:12" x14ac:dyDescent="0.2">
      <c r="B9" s="392" t="s">
        <v>355</v>
      </c>
      <c r="E9" s="392" t="s">
        <v>678</v>
      </c>
      <c r="H9" s="1012">
        <v>3</v>
      </c>
    </row>
    <row r="10" spans="2:12" x14ac:dyDescent="0.2">
      <c r="B10" s="392" t="s">
        <v>356</v>
      </c>
      <c r="H10" s="1012">
        <v>4</v>
      </c>
    </row>
    <row r="11" spans="2:12" x14ac:dyDescent="0.2">
      <c r="B11" s="392" t="s">
        <v>357</v>
      </c>
      <c r="H11" s="1012">
        <v>5</v>
      </c>
    </row>
    <row r="12" spans="2:12" x14ac:dyDescent="0.2">
      <c r="B12" s="392" t="s">
        <v>358</v>
      </c>
      <c r="H12" s="1012">
        <v>6</v>
      </c>
    </row>
    <row r="13" spans="2:12" x14ac:dyDescent="0.2">
      <c r="B13" s="392" t="s">
        <v>359</v>
      </c>
      <c r="H13" s="1012">
        <v>7</v>
      </c>
    </row>
    <row r="14" spans="2:12" x14ac:dyDescent="0.2">
      <c r="B14" s="392" t="s">
        <v>360</v>
      </c>
      <c r="H14" s="1012">
        <v>8</v>
      </c>
    </row>
    <row r="15" spans="2:12" x14ac:dyDescent="0.2">
      <c r="B15" s="392" t="s">
        <v>361</v>
      </c>
      <c r="H15" s="1012">
        <v>9</v>
      </c>
    </row>
    <row r="16" spans="2:12" x14ac:dyDescent="0.2">
      <c r="B16" s="392" t="s">
        <v>362</v>
      </c>
      <c r="H16" s="1012">
        <v>10</v>
      </c>
    </row>
    <row r="17" spans="2:8" x14ac:dyDescent="0.2">
      <c r="B17" s="392" t="s">
        <v>363</v>
      </c>
      <c r="H17" s="1012">
        <v>11</v>
      </c>
    </row>
    <row r="18" spans="2:8" x14ac:dyDescent="0.2">
      <c r="H18" s="1012">
        <v>12</v>
      </c>
    </row>
    <row r="19" spans="2:8" x14ac:dyDescent="0.2">
      <c r="H19" s="1012">
        <v>13</v>
      </c>
    </row>
    <row r="20" spans="2:8" x14ac:dyDescent="0.2">
      <c r="B20" s="134" t="s">
        <v>95</v>
      </c>
      <c r="E20" s="134" t="s">
        <v>187</v>
      </c>
      <c r="H20" s="1012">
        <v>14</v>
      </c>
    </row>
    <row r="21" spans="2:8" x14ac:dyDescent="0.2">
      <c r="B21" s="392" t="s">
        <v>96</v>
      </c>
      <c r="E21" s="35" t="s">
        <v>188</v>
      </c>
      <c r="H21" s="1012">
        <v>15</v>
      </c>
    </row>
    <row r="22" spans="2:8" x14ac:dyDescent="0.2">
      <c r="B22" s="392" t="s">
        <v>97</v>
      </c>
      <c r="E22" s="35" t="s">
        <v>293</v>
      </c>
      <c r="H22" s="1012">
        <v>16</v>
      </c>
    </row>
    <row r="23" spans="2:8" x14ac:dyDescent="0.2">
      <c r="B23" s="392" t="s">
        <v>98</v>
      </c>
      <c r="H23" s="1012">
        <v>17</v>
      </c>
    </row>
    <row r="24" spans="2:8" x14ac:dyDescent="0.2">
      <c r="B24" s="392" t="s">
        <v>99</v>
      </c>
      <c r="H24" s="1012">
        <v>18</v>
      </c>
    </row>
    <row r="25" spans="2:8" x14ac:dyDescent="0.2">
      <c r="B25" s="392" t="s">
        <v>110</v>
      </c>
      <c r="E25" s="134"/>
      <c r="H25" s="1012">
        <v>19</v>
      </c>
    </row>
    <row r="26" spans="2:8" x14ac:dyDescent="0.2">
      <c r="H26" s="1012">
        <v>20</v>
      </c>
    </row>
    <row r="27" spans="2:8" x14ac:dyDescent="0.2">
      <c r="B27" s="568"/>
      <c r="C27" s="569"/>
      <c r="D27" s="569"/>
      <c r="E27" s="569"/>
      <c r="F27" s="569"/>
      <c r="H27" s="1012">
        <v>21</v>
      </c>
    </row>
    <row r="28" spans="2:8" x14ac:dyDescent="0.2">
      <c r="B28" s="139"/>
      <c r="H28" s="1012">
        <v>22</v>
      </c>
    </row>
    <row r="29" spans="2:8" x14ac:dyDescent="0.2">
      <c r="B29" s="140" t="s">
        <v>321</v>
      </c>
      <c r="H29" s="1012">
        <v>23</v>
      </c>
    </row>
    <row r="30" spans="2:8" x14ac:dyDescent="0.2">
      <c r="B30" s="391" t="s">
        <v>317</v>
      </c>
      <c r="H30" s="1012">
        <v>24</v>
      </c>
    </row>
    <row r="31" spans="2:8" x14ac:dyDescent="0.2">
      <c r="B31" s="391" t="s">
        <v>322</v>
      </c>
    </row>
    <row r="32" spans="2:8" x14ac:dyDescent="0.2">
      <c r="B32" s="391" t="s">
        <v>323</v>
      </c>
    </row>
    <row r="33" spans="2:12" x14ac:dyDescent="0.2">
      <c r="B33" s="391" t="s">
        <v>324</v>
      </c>
    </row>
    <row r="34" spans="2:12" x14ac:dyDescent="0.2">
      <c r="B34" s="420"/>
    </row>
    <row r="35" spans="2:12" x14ac:dyDescent="0.2">
      <c r="B35" s="568"/>
      <c r="C35" s="569"/>
      <c r="D35" s="569"/>
      <c r="E35" s="569"/>
      <c r="F35" s="569"/>
    </row>
    <row r="36" spans="2:12" x14ac:dyDescent="0.2">
      <c r="B36" s="139"/>
    </row>
    <row r="37" spans="2:12" x14ac:dyDescent="0.2">
      <c r="B37" s="140" t="s">
        <v>316</v>
      </c>
    </row>
    <row r="38" spans="2:12" x14ac:dyDescent="0.2">
      <c r="B38" s="391" t="s">
        <v>317</v>
      </c>
    </row>
    <row r="39" spans="2:12" x14ac:dyDescent="0.2">
      <c r="B39" s="391" t="s">
        <v>318</v>
      </c>
    </row>
    <row r="40" spans="2:12" x14ac:dyDescent="0.2">
      <c r="B40" s="391" t="s">
        <v>319</v>
      </c>
    </row>
    <row r="41" spans="2:12" x14ac:dyDescent="0.2">
      <c r="B41" s="391" t="s">
        <v>320</v>
      </c>
    </row>
    <row r="42" spans="2:12" x14ac:dyDescent="0.2">
      <c r="B42" s="139"/>
    </row>
    <row r="43" spans="2:12" x14ac:dyDescent="0.2">
      <c r="B43" s="570" t="s">
        <v>472</v>
      </c>
      <c r="C43" s="48"/>
      <c r="D43" s="48"/>
      <c r="E43" s="48"/>
      <c r="F43" s="48"/>
      <c r="G43" s="48"/>
      <c r="H43" s="1010"/>
      <c r="I43" s="48"/>
      <c r="J43" s="48"/>
      <c r="K43" s="48"/>
      <c r="L43" s="48"/>
    </row>
    <row r="44" spans="2:12" x14ac:dyDescent="0.2">
      <c r="B44" s="139"/>
    </row>
    <row r="45" spans="2:12" x14ac:dyDescent="0.2">
      <c r="B45" s="47" t="s">
        <v>144</v>
      </c>
      <c r="D45" s="60" t="str">
        <f>CONCATENATE("Offeror.Bus.Type is ",Offeror.Bus.Type)</f>
        <v xml:space="preserve">Offeror.Bus.Type is </v>
      </c>
    </row>
    <row r="46" spans="2:12" ht="14.25" x14ac:dyDescent="0.2">
      <c r="B46" s="54" t="str">
        <f>IF(Offeror.Bus.Type = "", "",IF(Offeror.Bus.Type = "Academia","Academia","General"))</f>
        <v/>
      </c>
      <c r="C46" s="35" t="s">
        <v>130</v>
      </c>
      <c r="E46" s="56" t="s">
        <v>186</v>
      </c>
    </row>
    <row r="47" spans="2:12" x14ac:dyDescent="0.2">
      <c r="B47" s="47"/>
    </row>
    <row r="48" spans="2:12" x14ac:dyDescent="0.2">
      <c r="B48" s="47" t="s">
        <v>226</v>
      </c>
      <c r="C48" s="35" t="s">
        <v>227</v>
      </c>
    </row>
    <row r="49" spans="2:5" x14ac:dyDescent="0.2">
      <c r="B49" s="48" t="s">
        <v>228</v>
      </c>
      <c r="C49" s="35" t="s">
        <v>229</v>
      </c>
    </row>
    <row r="50" spans="2:5" x14ac:dyDescent="0.2">
      <c r="B50" s="47"/>
    </row>
    <row r="51" spans="2:5" ht="14.25" x14ac:dyDescent="0.2">
      <c r="B51" s="55" t="s">
        <v>131</v>
      </c>
      <c r="E51" s="56" t="s">
        <v>185</v>
      </c>
    </row>
    <row r="52" spans="2:5" x14ac:dyDescent="0.2">
      <c r="B52" s="48" t="s">
        <v>100</v>
      </c>
    </row>
    <row r="53" spans="2:5" x14ac:dyDescent="0.2">
      <c r="B53" s="48" t="s">
        <v>128</v>
      </c>
    </row>
    <row r="54" spans="2:5" x14ac:dyDescent="0.2">
      <c r="B54" s="48" t="s">
        <v>136</v>
      </c>
    </row>
    <row r="55" spans="2:5" x14ac:dyDescent="0.2">
      <c r="B55" s="48" t="s">
        <v>175</v>
      </c>
    </row>
    <row r="56" spans="2:5" x14ac:dyDescent="0.2">
      <c r="B56" s="53"/>
    </row>
    <row r="57" spans="2:5" x14ac:dyDescent="0.2">
      <c r="B57" s="55" t="s">
        <v>132</v>
      </c>
    </row>
    <row r="58" spans="2:5" x14ac:dyDescent="0.2">
      <c r="B58" s="48" t="s">
        <v>100</v>
      </c>
    </row>
    <row r="59" spans="2:5" x14ac:dyDescent="0.2">
      <c r="B59" s="48" t="s">
        <v>133</v>
      </c>
    </row>
    <row r="60" spans="2:5" x14ac:dyDescent="0.2">
      <c r="B60" s="48" t="s">
        <v>103</v>
      </c>
    </row>
    <row r="61" spans="2:5" x14ac:dyDescent="0.2">
      <c r="B61" s="48" t="s">
        <v>177</v>
      </c>
    </row>
    <row r="62" spans="2:5" x14ac:dyDescent="0.2">
      <c r="B62" s="48" t="s">
        <v>136</v>
      </c>
    </row>
    <row r="63" spans="2:5" x14ac:dyDescent="0.2">
      <c r="B63" s="48" t="s">
        <v>129</v>
      </c>
    </row>
    <row r="64" spans="2:5" x14ac:dyDescent="0.2">
      <c r="B64" s="53"/>
    </row>
    <row r="65" spans="2:2" x14ac:dyDescent="0.2">
      <c r="B65" s="47" t="s">
        <v>135</v>
      </c>
    </row>
    <row r="66" spans="2:2" x14ac:dyDescent="0.2">
      <c r="B66" s="48" t="s">
        <v>111</v>
      </c>
    </row>
    <row r="67" spans="2:2" x14ac:dyDescent="0.2">
      <c r="B67" s="48" t="s">
        <v>112</v>
      </c>
    </row>
    <row r="68" spans="2:2" x14ac:dyDescent="0.2">
      <c r="B68" s="48" t="s">
        <v>113</v>
      </c>
    </row>
    <row r="69" spans="2:2" x14ac:dyDescent="0.2">
      <c r="B69" s="48" t="s">
        <v>102</v>
      </c>
    </row>
    <row r="70" spans="2:2" x14ac:dyDescent="0.2">
      <c r="B70" s="53"/>
    </row>
    <row r="71" spans="2:2" x14ac:dyDescent="0.2">
      <c r="B71" s="47" t="s">
        <v>134</v>
      </c>
    </row>
    <row r="72" spans="2:2" x14ac:dyDescent="0.2">
      <c r="B72" s="48" t="s">
        <v>328</v>
      </c>
    </row>
    <row r="73" spans="2:2" x14ac:dyDescent="0.2">
      <c r="B73" s="48" t="s">
        <v>114</v>
      </c>
    </row>
    <row r="74" spans="2:2" x14ac:dyDescent="0.2">
      <c r="B74" s="48" t="s">
        <v>115</v>
      </c>
    </row>
    <row r="75" spans="2:2" x14ac:dyDescent="0.2">
      <c r="B75" s="48" t="s">
        <v>119</v>
      </c>
    </row>
    <row r="76" spans="2:2" x14ac:dyDescent="0.2">
      <c r="B76" s="48" t="s">
        <v>124</v>
      </c>
    </row>
    <row r="77" spans="2:2" x14ac:dyDescent="0.2">
      <c r="B77" s="48" t="s">
        <v>116</v>
      </c>
    </row>
    <row r="78" spans="2:2" x14ac:dyDescent="0.2">
      <c r="B78" s="48" t="s">
        <v>117</v>
      </c>
    </row>
    <row r="79" spans="2:2" x14ac:dyDescent="0.2">
      <c r="B79" s="48" t="s">
        <v>118</v>
      </c>
    </row>
    <row r="80" spans="2:2" x14ac:dyDescent="0.2">
      <c r="B80" s="48" t="s">
        <v>120</v>
      </c>
    </row>
    <row r="81" spans="2:2" x14ac:dyDescent="0.2">
      <c r="B81" s="48" t="s">
        <v>121</v>
      </c>
    </row>
    <row r="82" spans="2:2" x14ac:dyDescent="0.2">
      <c r="B82" s="48" t="s">
        <v>122</v>
      </c>
    </row>
    <row r="83" spans="2:2" x14ac:dyDescent="0.2">
      <c r="B83" s="48" t="s">
        <v>136</v>
      </c>
    </row>
    <row r="84" spans="2:2" x14ac:dyDescent="0.2">
      <c r="B84" s="53"/>
    </row>
    <row r="85" spans="2:2" x14ac:dyDescent="0.2">
      <c r="B85" s="47" t="s">
        <v>176</v>
      </c>
    </row>
    <row r="86" spans="2:2" x14ac:dyDescent="0.2">
      <c r="B86" s="48" t="s">
        <v>136</v>
      </c>
    </row>
    <row r="87" spans="2:2" x14ac:dyDescent="0.2">
      <c r="B87" s="53"/>
    </row>
    <row r="88" spans="2:2" x14ac:dyDescent="0.2">
      <c r="B88" s="47" t="s">
        <v>174</v>
      </c>
    </row>
    <row r="89" spans="2:2" x14ac:dyDescent="0.2">
      <c r="B89" s="48" t="s">
        <v>172</v>
      </c>
    </row>
    <row r="90" spans="2:2" x14ac:dyDescent="0.2">
      <c r="B90" s="48" t="s">
        <v>123</v>
      </c>
    </row>
    <row r="91" spans="2:2" x14ac:dyDescent="0.2">
      <c r="B91" s="53"/>
    </row>
    <row r="92" spans="2:2" x14ac:dyDescent="0.2">
      <c r="B92" s="47" t="s">
        <v>137</v>
      </c>
    </row>
    <row r="93" spans="2:2" x14ac:dyDescent="0.2">
      <c r="B93" s="48" t="s">
        <v>101</v>
      </c>
    </row>
    <row r="94" spans="2:2" x14ac:dyDescent="0.2">
      <c r="B94" s="48" t="s">
        <v>127</v>
      </c>
    </row>
    <row r="95" spans="2:2" x14ac:dyDescent="0.2">
      <c r="B95" s="48" t="s">
        <v>145</v>
      </c>
    </row>
    <row r="96" spans="2:2" x14ac:dyDescent="0.2">
      <c r="B96" s="48" t="s">
        <v>146</v>
      </c>
    </row>
    <row r="97" spans="2:2" x14ac:dyDescent="0.2">
      <c r="B97" s="53"/>
    </row>
    <row r="98" spans="2:2" x14ac:dyDescent="0.2">
      <c r="B98" s="47" t="s">
        <v>138</v>
      </c>
    </row>
    <row r="99" spans="2:2" x14ac:dyDescent="0.2">
      <c r="B99" s="48" t="s">
        <v>139</v>
      </c>
    </row>
    <row r="100" spans="2:2" x14ac:dyDescent="0.2">
      <c r="B100" s="48" t="s">
        <v>140</v>
      </c>
    </row>
    <row r="101" spans="2:2" x14ac:dyDescent="0.2">
      <c r="B101" s="48" t="s">
        <v>141</v>
      </c>
    </row>
    <row r="102" spans="2:2" x14ac:dyDescent="0.2">
      <c r="B102" s="48" t="s">
        <v>142</v>
      </c>
    </row>
    <row r="103" spans="2:2" x14ac:dyDescent="0.2">
      <c r="B103" s="48" t="s">
        <v>262</v>
      </c>
    </row>
    <row r="104" spans="2:2" x14ac:dyDescent="0.2">
      <c r="B104" s="48" t="s">
        <v>143</v>
      </c>
    </row>
    <row r="105" spans="2:2" x14ac:dyDescent="0.2">
      <c r="B105" s="53"/>
    </row>
    <row r="106" spans="2:2" x14ac:dyDescent="0.2">
      <c r="B106" s="47" t="s">
        <v>147</v>
      </c>
    </row>
    <row r="107" spans="2:2" x14ac:dyDescent="0.2">
      <c r="B107" s="48" t="s">
        <v>126</v>
      </c>
    </row>
    <row r="108" spans="2:2" x14ac:dyDescent="0.2">
      <c r="B108" s="48" t="s">
        <v>148</v>
      </c>
    </row>
    <row r="109" spans="2:2" x14ac:dyDescent="0.2">
      <c r="B109" s="48" t="s">
        <v>149</v>
      </c>
    </row>
    <row r="110" spans="2:2" x14ac:dyDescent="0.2">
      <c r="B110" s="48" t="s">
        <v>150</v>
      </c>
    </row>
    <row r="111" spans="2:2" x14ac:dyDescent="0.2">
      <c r="B111" s="48" t="s">
        <v>151</v>
      </c>
    </row>
    <row r="112" spans="2:2" x14ac:dyDescent="0.2">
      <c r="B112" s="48" t="s">
        <v>152</v>
      </c>
    </row>
    <row r="113" spans="2:2" x14ac:dyDescent="0.2">
      <c r="B113" s="53"/>
    </row>
    <row r="114" spans="2:2" x14ac:dyDescent="0.2">
      <c r="B114" s="47" t="s">
        <v>153</v>
      </c>
    </row>
    <row r="115" spans="2:2" x14ac:dyDescent="0.2">
      <c r="B115" s="48" t="s">
        <v>154</v>
      </c>
    </row>
    <row r="116" spans="2:2" x14ac:dyDescent="0.2">
      <c r="B116" s="48" t="s">
        <v>155</v>
      </c>
    </row>
    <row r="117" spans="2:2" x14ac:dyDescent="0.2">
      <c r="B117" s="48" t="s">
        <v>156</v>
      </c>
    </row>
    <row r="118" spans="2:2" x14ac:dyDescent="0.2">
      <c r="B118" s="48" t="s">
        <v>157</v>
      </c>
    </row>
    <row r="119" spans="2:2" x14ac:dyDescent="0.2">
      <c r="B119" s="48" t="s">
        <v>158</v>
      </c>
    </row>
    <row r="120" spans="2:2" x14ac:dyDescent="0.2">
      <c r="B120" s="48" t="s">
        <v>159</v>
      </c>
    </row>
    <row r="121" spans="2:2" x14ac:dyDescent="0.2">
      <c r="B121" s="53"/>
    </row>
    <row r="122" spans="2:2" x14ac:dyDescent="0.2">
      <c r="B122" s="47" t="s">
        <v>178</v>
      </c>
    </row>
    <row r="123" spans="2:2" x14ac:dyDescent="0.2">
      <c r="B123" s="48" t="s">
        <v>224</v>
      </c>
    </row>
    <row r="124" spans="2:2" x14ac:dyDescent="0.2">
      <c r="B124" s="48" t="s">
        <v>179</v>
      </c>
    </row>
    <row r="125" spans="2:2" x14ac:dyDescent="0.2">
      <c r="B125" s="48" t="s">
        <v>180</v>
      </c>
    </row>
    <row r="126" spans="2:2" x14ac:dyDescent="0.2">
      <c r="B126" s="48" t="s">
        <v>181</v>
      </c>
    </row>
    <row r="127" spans="2:2" x14ac:dyDescent="0.2">
      <c r="B127" s="48" t="s">
        <v>182</v>
      </c>
    </row>
    <row r="128" spans="2:2" x14ac:dyDescent="0.2">
      <c r="B128" s="48" t="s">
        <v>183</v>
      </c>
    </row>
    <row r="129" spans="2:12" x14ac:dyDescent="0.2">
      <c r="B129" s="48" t="s">
        <v>225</v>
      </c>
    </row>
    <row r="130" spans="2:12" x14ac:dyDescent="0.2">
      <c r="B130" s="48" t="s">
        <v>197</v>
      </c>
    </row>
    <row r="131" spans="2:12" x14ac:dyDescent="0.2">
      <c r="B131" s="48" t="s">
        <v>198</v>
      </c>
    </row>
    <row r="132" spans="2:12" x14ac:dyDescent="0.2">
      <c r="B132" s="48" t="s">
        <v>199</v>
      </c>
    </row>
    <row r="133" spans="2:12" x14ac:dyDescent="0.2">
      <c r="B133" s="48" t="s">
        <v>200</v>
      </c>
    </row>
    <row r="134" spans="2:12" x14ac:dyDescent="0.2">
      <c r="B134" s="48" t="s">
        <v>201</v>
      </c>
    </row>
    <row r="136" spans="2:12" x14ac:dyDescent="0.2">
      <c r="B136" s="53"/>
    </row>
    <row r="137" spans="2:12" x14ac:dyDescent="0.2">
      <c r="B137" s="47" t="s">
        <v>184</v>
      </c>
    </row>
    <row r="138" spans="2:12" x14ac:dyDescent="0.2">
      <c r="B138" s="48" t="s">
        <v>136</v>
      </c>
    </row>
    <row r="139" spans="2:12" x14ac:dyDescent="0.2">
      <c r="B139" s="53"/>
    </row>
    <row r="141" spans="2:12" x14ac:dyDescent="0.2">
      <c r="B141" s="568"/>
      <c r="C141" s="569"/>
      <c r="D141" s="569"/>
      <c r="E141" s="569"/>
      <c r="F141" s="569"/>
      <c r="G141" s="569"/>
      <c r="H141" s="1011"/>
      <c r="I141" s="569"/>
      <c r="J141" s="569"/>
      <c r="K141" s="569"/>
      <c r="L141" s="569"/>
    </row>
    <row r="142" spans="2:12" x14ac:dyDescent="0.2">
      <c r="B142" s="53"/>
    </row>
    <row r="143" spans="2:12" x14ac:dyDescent="0.2">
      <c r="B143" s="47" t="s">
        <v>161</v>
      </c>
    </row>
    <row r="144" spans="2:12" x14ac:dyDescent="0.2">
      <c r="B144" s="48" t="s">
        <v>264</v>
      </c>
    </row>
    <row r="145" spans="2:2" x14ac:dyDescent="0.2">
      <c r="B145" s="48" t="s">
        <v>329</v>
      </c>
    </row>
    <row r="146" spans="2:2" x14ac:dyDescent="0.2">
      <c r="B146" s="48" t="s">
        <v>265</v>
      </c>
    </row>
    <row r="147" spans="2:2" x14ac:dyDescent="0.2">
      <c r="B147" s="48" t="s">
        <v>326</v>
      </c>
    </row>
    <row r="148" spans="2:2" x14ac:dyDescent="0.2">
      <c r="B148" s="48" t="s">
        <v>327</v>
      </c>
    </row>
    <row r="149" spans="2:2" x14ac:dyDescent="0.2">
      <c r="B149" s="48" t="s">
        <v>57</v>
      </c>
    </row>
    <row r="150" spans="2:2" x14ac:dyDescent="0.2">
      <c r="B150" s="48" t="s">
        <v>166</v>
      </c>
    </row>
    <row r="151" spans="2:2" x14ac:dyDescent="0.2">
      <c r="B151" s="48" t="s">
        <v>167</v>
      </c>
    </row>
    <row r="152" spans="2:2" x14ac:dyDescent="0.2">
      <c r="B152" s="48" t="s">
        <v>168</v>
      </c>
    </row>
    <row r="153" spans="2:2" x14ac:dyDescent="0.2">
      <c r="B153" s="48" t="s">
        <v>169</v>
      </c>
    </row>
    <row r="154" spans="2:2" x14ac:dyDescent="0.2">
      <c r="B154" s="48" t="s">
        <v>170</v>
      </c>
    </row>
    <row r="155" spans="2:2" x14ac:dyDescent="0.2">
      <c r="B155" s="48" t="s">
        <v>163</v>
      </c>
    </row>
    <row r="156" spans="2:2" x14ac:dyDescent="0.2">
      <c r="B156" s="48" t="s">
        <v>164</v>
      </c>
    </row>
    <row r="157" spans="2:2" x14ac:dyDescent="0.2">
      <c r="B157" s="48" t="s">
        <v>165</v>
      </c>
    </row>
    <row r="158" spans="2:2" x14ac:dyDescent="0.2">
      <c r="B158" s="48" t="s">
        <v>171</v>
      </c>
    </row>
    <row r="159" spans="2:2" x14ac:dyDescent="0.2">
      <c r="B159" s="48" t="s">
        <v>277</v>
      </c>
    </row>
    <row r="160" spans="2:2" x14ac:dyDescent="0.2">
      <c r="B160" s="48" t="s">
        <v>278</v>
      </c>
    </row>
    <row r="161" spans="2:2" x14ac:dyDescent="0.2">
      <c r="B161" s="53"/>
    </row>
    <row r="162" spans="2:2" x14ac:dyDescent="0.2">
      <c r="B162" s="53"/>
    </row>
    <row r="163" spans="2:2" x14ac:dyDescent="0.2">
      <c r="B163" s="53"/>
    </row>
    <row r="164" spans="2:2" x14ac:dyDescent="0.2">
      <c r="B164" s="53"/>
    </row>
    <row r="165" spans="2:2" x14ac:dyDescent="0.2">
      <c r="B165" s="53"/>
    </row>
    <row r="166" spans="2:2" x14ac:dyDescent="0.2">
      <c r="B166" s="53"/>
    </row>
    <row r="167" spans="2:2" x14ac:dyDescent="0.2">
      <c r="B167" s="53"/>
    </row>
    <row r="168" spans="2:2" x14ac:dyDescent="0.2">
      <c r="B168" s="53"/>
    </row>
    <row r="169" spans="2:2" x14ac:dyDescent="0.2">
      <c r="B169" s="53"/>
    </row>
    <row r="170" spans="2:2" x14ac:dyDescent="0.2">
      <c r="B170" s="53"/>
    </row>
    <row r="171" spans="2:2" x14ac:dyDescent="0.2">
      <c r="B171" s="53"/>
    </row>
    <row r="172" spans="2:2" x14ac:dyDescent="0.2">
      <c r="B172" s="53"/>
    </row>
    <row r="194" spans="2:2" x14ac:dyDescent="0.2">
      <c r="B194" s="35" t="s">
        <v>125</v>
      </c>
    </row>
  </sheetData>
  <sheetProtection algorithmName="SHA-512" hashValue="gVZ5VMYRzXnDobawi0Q2lXL8x3D2n+F/kIOVdx0YkvuKl2pspjKs7UbBGYhupzcB6Ap9/VaEHLM+3EBenazu2Q==" saltValue="QlYOiAKdvYuXh9ZAbhlPlA=="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C00000"/>
  </sheetPr>
  <dimension ref="B1:L25"/>
  <sheetViews>
    <sheetView workbookViewId="0">
      <selection activeCell="I32" sqref="I32"/>
    </sheetView>
  </sheetViews>
  <sheetFormatPr defaultRowHeight="12.75" x14ac:dyDescent="0.2"/>
  <cols>
    <col min="1" max="1" width="0.85546875" customWidth="1"/>
    <col min="2" max="2" width="35.7109375" customWidth="1"/>
    <col min="3" max="10" width="14.7109375" customWidth="1"/>
  </cols>
  <sheetData>
    <row r="1" spans="2:12" s="28" customFormat="1" ht="18.75" x14ac:dyDescent="0.3">
      <c r="B1" s="866" t="s">
        <v>386</v>
      </c>
      <c r="C1" s="408"/>
      <c r="D1" s="408"/>
      <c r="E1" s="408"/>
      <c r="F1" s="408"/>
      <c r="G1" s="408"/>
      <c r="H1" s="408"/>
      <c r="I1" s="408"/>
      <c r="J1" s="408"/>
    </row>
    <row r="3" spans="2:12" x14ac:dyDescent="0.2">
      <c r="B3" t="s">
        <v>288</v>
      </c>
      <c r="C3" s="1173" t="str">
        <f>Period1_Label</f>
        <v>Proposer FY 1</v>
      </c>
      <c r="D3" s="1174" t="str">
        <f>Period2_Label</f>
        <v>Proposer FY 2</v>
      </c>
      <c r="E3" s="1175" t="str">
        <f>Period3_Label</f>
        <v>Proposer FY 3</v>
      </c>
      <c r="F3" s="1176" t="str">
        <f>Period4_Label</f>
        <v>Proposer FY 4</v>
      </c>
      <c r="G3" s="1177" t="str">
        <f>Period5_Label</f>
        <v>Proposer FY 5</v>
      </c>
      <c r="H3" s="1178" t="str">
        <f>Period6_Label</f>
        <v>Proposer FY 6</v>
      </c>
    </row>
    <row r="4" spans="2:12" x14ac:dyDescent="0.2">
      <c r="B4" t="s">
        <v>268</v>
      </c>
      <c r="C4" s="389">
        <f>'Base (Ph1)'!F48+'O-I (Ph2)'!F48+'O-II (Ph3)'!F48+'O-III (Ph4)'!F48+'O-IV (Ph5)'!F48+'O-V (Ph6)'!F48</f>
        <v>0</v>
      </c>
      <c r="D4" s="389">
        <f>'Base (Ph1)'!O48+'O-I (Ph2)'!O48+'O-II (Ph3)'!O48+'O-III (Ph4)'!O48+'O-IV (Ph5)'!O48+'O-V (Ph6)'!O48</f>
        <v>0</v>
      </c>
      <c r="E4" s="389">
        <f>'Base (Ph1)'!X48+'O-I (Ph2)'!X48+'O-II (Ph3)'!X48+'O-III (Ph4)'!X48+'O-IV (Ph5)'!X48+'O-V (Ph6)'!X48</f>
        <v>0</v>
      </c>
      <c r="F4" s="389">
        <f>'Base (Ph1)'!AG48+'O-I (Ph2)'!AG48+'O-II (Ph3)'!AG48+'O-III (Ph4)'!AG48+'O-IV (Ph5)'!AG48+'O-V (Ph6)'!AG48</f>
        <v>0</v>
      </c>
      <c r="G4" s="389">
        <f>'Base (Ph1)'!AP48+'O-I (Ph2)'!AP48+'O-II (Ph3)'!AP48+'O-III (Ph4)'!AP48+'O-IV (Ph5)'!AP48+'O-V (Ph6)'!AP48</f>
        <v>0</v>
      </c>
      <c r="H4" s="389">
        <f>'Base (Ph1)'!AY48+'O-I (Ph2)'!AY48+'O-II (Ph3)'!AY48+'O-III (Ph4)'!AY48+'O-IV (Ph5)'!AY48+'O-V (Ph6)'!AY48</f>
        <v>0</v>
      </c>
    </row>
    <row r="7" spans="2:12" x14ac:dyDescent="0.2">
      <c r="D7" s="1189" t="s">
        <v>49</v>
      </c>
      <c r="E7" s="1189" t="s">
        <v>203</v>
      </c>
      <c r="F7" s="1189" t="s">
        <v>204</v>
      </c>
      <c r="G7" s="1189" t="s">
        <v>205</v>
      </c>
      <c r="H7" s="1189" t="s">
        <v>206</v>
      </c>
      <c r="I7" s="1189" t="s">
        <v>207</v>
      </c>
      <c r="J7" s="1190" t="s">
        <v>221</v>
      </c>
    </row>
    <row r="8" spans="2:12" x14ac:dyDescent="0.2">
      <c r="B8" t="s">
        <v>222</v>
      </c>
      <c r="C8" t="s">
        <v>223</v>
      </c>
      <c r="D8" s="1191">
        <f t="shared" ref="D8:I20" ca="1" si="0">INDIRECT(CONCATENATE($C8,".",D$7))</f>
        <v>0</v>
      </c>
      <c r="E8" s="1191">
        <f t="shared" ca="1" si="0"/>
        <v>0</v>
      </c>
      <c r="F8" s="1191">
        <f t="shared" ca="1" si="0"/>
        <v>0</v>
      </c>
      <c r="G8" s="1191">
        <f t="shared" ca="1" si="0"/>
        <v>0</v>
      </c>
      <c r="H8" s="1191">
        <f t="shared" ca="1" si="0"/>
        <v>0</v>
      </c>
      <c r="I8" s="1191">
        <f t="shared" ca="1" si="0"/>
        <v>0</v>
      </c>
      <c r="J8" s="1191">
        <f ca="1">SUM(D8:I8)</f>
        <v>0</v>
      </c>
      <c r="L8" t="s">
        <v>35</v>
      </c>
    </row>
    <row r="9" spans="2:12" x14ac:dyDescent="0.2">
      <c r="B9" t="s">
        <v>35</v>
      </c>
      <c r="C9" t="s">
        <v>208</v>
      </c>
      <c r="D9" s="1191">
        <f t="shared" ca="1" si="0"/>
        <v>0</v>
      </c>
      <c r="E9" s="1191">
        <f t="shared" ca="1" si="0"/>
        <v>0</v>
      </c>
      <c r="F9" s="1191">
        <f t="shared" ca="1" si="0"/>
        <v>0</v>
      </c>
      <c r="G9" s="1191">
        <f t="shared" ca="1" si="0"/>
        <v>0</v>
      </c>
      <c r="H9" s="1191">
        <f t="shared" ca="1" si="0"/>
        <v>0</v>
      </c>
      <c r="I9" s="1191">
        <f t="shared" ca="1" si="0"/>
        <v>0</v>
      </c>
      <c r="J9" s="1191">
        <f ca="1">SUM(D9:I9)</f>
        <v>0</v>
      </c>
      <c r="L9" t="s">
        <v>36</v>
      </c>
    </row>
    <row r="10" spans="2:12" x14ac:dyDescent="0.2">
      <c r="B10" t="s">
        <v>36</v>
      </c>
      <c r="C10" t="s">
        <v>209</v>
      </c>
      <c r="D10" s="1191">
        <f t="shared" ca="1" si="0"/>
        <v>0</v>
      </c>
      <c r="E10" s="1191">
        <f t="shared" ca="1" si="0"/>
        <v>0</v>
      </c>
      <c r="F10" s="1191">
        <f t="shared" ca="1" si="0"/>
        <v>0</v>
      </c>
      <c r="G10" s="1191">
        <f t="shared" ca="1" si="0"/>
        <v>0</v>
      </c>
      <c r="H10" s="1191">
        <f t="shared" ca="1" si="0"/>
        <v>0</v>
      </c>
      <c r="I10" s="1191">
        <f t="shared" ca="1" si="0"/>
        <v>0</v>
      </c>
      <c r="J10" s="1191">
        <f t="shared" ref="J10:J19" ca="1" si="1">SUM(D10:I10)</f>
        <v>0</v>
      </c>
      <c r="L10" t="s">
        <v>37</v>
      </c>
    </row>
    <row r="11" spans="2:12" x14ac:dyDescent="0.2">
      <c r="B11" t="s">
        <v>37</v>
      </c>
      <c r="C11" t="s">
        <v>210</v>
      </c>
      <c r="D11" s="1191">
        <f t="shared" ca="1" si="0"/>
        <v>0</v>
      </c>
      <c r="E11" s="1191">
        <f t="shared" ca="1" si="0"/>
        <v>0</v>
      </c>
      <c r="F11" s="1191">
        <f t="shared" ca="1" si="0"/>
        <v>0</v>
      </c>
      <c r="G11" s="1191">
        <f t="shared" ca="1" si="0"/>
        <v>0</v>
      </c>
      <c r="H11" s="1191">
        <f t="shared" ca="1" si="0"/>
        <v>0</v>
      </c>
      <c r="I11" s="1191">
        <f t="shared" ca="1" si="0"/>
        <v>0</v>
      </c>
      <c r="J11" s="1191">
        <f t="shared" ca="1" si="1"/>
        <v>0</v>
      </c>
      <c r="L11" t="s">
        <v>62</v>
      </c>
    </row>
    <row r="12" spans="2:12" x14ac:dyDescent="0.2">
      <c r="B12" t="s">
        <v>62</v>
      </c>
      <c r="C12" t="s">
        <v>211</v>
      </c>
      <c r="D12" s="1191">
        <f t="shared" ca="1" si="0"/>
        <v>0</v>
      </c>
      <c r="E12" s="1191">
        <f t="shared" ca="1" si="0"/>
        <v>0</v>
      </c>
      <c r="F12" s="1191">
        <f t="shared" ca="1" si="0"/>
        <v>0</v>
      </c>
      <c r="G12" s="1191">
        <f t="shared" ca="1" si="0"/>
        <v>0</v>
      </c>
      <c r="H12" s="1191">
        <f t="shared" ca="1" si="0"/>
        <v>0</v>
      </c>
      <c r="I12" s="1191">
        <f t="shared" ca="1" si="0"/>
        <v>0</v>
      </c>
      <c r="J12" s="1191">
        <f t="shared" ca="1" si="1"/>
        <v>0</v>
      </c>
      <c r="L12" t="s">
        <v>63</v>
      </c>
    </row>
    <row r="13" spans="2:12" x14ac:dyDescent="0.2">
      <c r="B13" t="s">
        <v>63</v>
      </c>
      <c r="C13" t="s">
        <v>212</v>
      </c>
      <c r="D13" s="1191">
        <f t="shared" ca="1" si="0"/>
        <v>0</v>
      </c>
      <c r="E13" s="1191">
        <f t="shared" ca="1" si="0"/>
        <v>0</v>
      </c>
      <c r="F13" s="1191">
        <f t="shared" ca="1" si="0"/>
        <v>0</v>
      </c>
      <c r="G13" s="1191">
        <f t="shared" ca="1" si="0"/>
        <v>0</v>
      </c>
      <c r="H13" s="1191">
        <f t="shared" ca="1" si="0"/>
        <v>0</v>
      </c>
      <c r="I13" s="1191">
        <f t="shared" ca="1" si="0"/>
        <v>0</v>
      </c>
      <c r="J13" s="1191">
        <f t="shared" ca="1" si="1"/>
        <v>0</v>
      </c>
      <c r="L13" t="s">
        <v>38</v>
      </c>
    </row>
    <row r="14" spans="2:12" x14ac:dyDescent="0.2">
      <c r="B14" t="s">
        <v>38</v>
      </c>
      <c r="C14" t="s">
        <v>213</v>
      </c>
      <c r="D14" s="1191">
        <f t="shared" ca="1" si="0"/>
        <v>0</v>
      </c>
      <c r="E14" s="1191">
        <f t="shared" ca="1" si="0"/>
        <v>0</v>
      </c>
      <c r="F14" s="1191">
        <f t="shared" ca="1" si="0"/>
        <v>0</v>
      </c>
      <c r="G14" s="1191">
        <f t="shared" ca="1" si="0"/>
        <v>0</v>
      </c>
      <c r="H14" s="1191">
        <f t="shared" ca="1" si="0"/>
        <v>0</v>
      </c>
      <c r="I14" s="1191">
        <f t="shared" ca="1" si="0"/>
        <v>0</v>
      </c>
      <c r="J14" s="1191">
        <f t="shared" ca="1" si="1"/>
        <v>0</v>
      </c>
      <c r="L14" t="s">
        <v>34</v>
      </c>
    </row>
    <row r="15" spans="2:12" x14ac:dyDescent="0.2">
      <c r="B15" t="s">
        <v>34</v>
      </c>
      <c r="C15" t="s">
        <v>214</v>
      </c>
      <c r="D15" s="1191">
        <f t="shared" ca="1" si="0"/>
        <v>0</v>
      </c>
      <c r="E15" s="1191">
        <f t="shared" ca="1" si="0"/>
        <v>0</v>
      </c>
      <c r="F15" s="1191">
        <f t="shared" ca="1" si="0"/>
        <v>0</v>
      </c>
      <c r="G15" s="1191">
        <f t="shared" ca="1" si="0"/>
        <v>0</v>
      </c>
      <c r="H15" s="1191">
        <f t="shared" ca="1" si="0"/>
        <v>0</v>
      </c>
      <c r="I15" s="1191">
        <f t="shared" ca="1" si="0"/>
        <v>0</v>
      </c>
      <c r="J15" s="1191">
        <f t="shared" ca="1" si="1"/>
        <v>0</v>
      </c>
      <c r="L15" t="s">
        <v>18</v>
      </c>
    </row>
    <row r="16" spans="2:12" x14ac:dyDescent="0.2">
      <c r="B16" t="s">
        <v>18</v>
      </c>
      <c r="C16" t="s">
        <v>215</v>
      </c>
      <c r="D16" s="1191">
        <f t="shared" ca="1" si="0"/>
        <v>0</v>
      </c>
      <c r="E16" s="1191">
        <f t="shared" ca="1" si="0"/>
        <v>0</v>
      </c>
      <c r="F16" s="1191">
        <f t="shared" ca="1" si="0"/>
        <v>0</v>
      </c>
      <c r="G16" s="1191">
        <f t="shared" ca="1" si="0"/>
        <v>0</v>
      </c>
      <c r="H16" s="1191">
        <f t="shared" ca="1" si="0"/>
        <v>0</v>
      </c>
      <c r="I16" s="1191">
        <f t="shared" ca="1" si="0"/>
        <v>0</v>
      </c>
      <c r="J16" s="1191">
        <f t="shared" ca="1" si="1"/>
        <v>0</v>
      </c>
      <c r="L16" t="s">
        <v>39</v>
      </c>
    </row>
    <row r="17" spans="2:12" x14ac:dyDescent="0.2">
      <c r="B17" t="s">
        <v>39</v>
      </c>
      <c r="C17" t="s">
        <v>216</v>
      </c>
      <c r="D17" s="1191">
        <f t="shared" ca="1" si="0"/>
        <v>0</v>
      </c>
      <c r="E17" s="1191">
        <f t="shared" ca="1" si="0"/>
        <v>0</v>
      </c>
      <c r="F17" s="1191">
        <f t="shared" ca="1" si="0"/>
        <v>0</v>
      </c>
      <c r="G17" s="1191">
        <f t="shared" ca="1" si="0"/>
        <v>0</v>
      </c>
      <c r="H17" s="1191">
        <f t="shared" ca="1" si="0"/>
        <v>0</v>
      </c>
      <c r="I17" s="1191">
        <f t="shared" ca="1" si="0"/>
        <v>0</v>
      </c>
      <c r="J17" s="1191">
        <f t="shared" ca="1" si="1"/>
        <v>0</v>
      </c>
      <c r="L17" t="s">
        <v>18</v>
      </c>
    </row>
    <row r="18" spans="2:12" x14ac:dyDescent="0.2">
      <c r="B18" t="s">
        <v>20</v>
      </c>
      <c r="C18" t="s">
        <v>217</v>
      </c>
      <c r="D18" s="1191">
        <f t="shared" ca="1" si="0"/>
        <v>0</v>
      </c>
      <c r="E18" s="1191">
        <f t="shared" ca="1" si="0"/>
        <v>0</v>
      </c>
      <c r="F18" s="1191">
        <f t="shared" ca="1" si="0"/>
        <v>0</v>
      </c>
      <c r="G18" s="1191">
        <f t="shared" ca="1" si="0"/>
        <v>0</v>
      </c>
      <c r="H18" s="1191">
        <f t="shared" ca="1" si="0"/>
        <v>0</v>
      </c>
      <c r="I18" s="1191">
        <f t="shared" ca="1" si="0"/>
        <v>0</v>
      </c>
      <c r="J18" s="1191">
        <f t="shared" ca="1" si="1"/>
        <v>0</v>
      </c>
      <c r="L18" t="s">
        <v>20</v>
      </c>
    </row>
    <row r="19" spans="2:12" x14ac:dyDescent="0.2">
      <c r="B19" t="s">
        <v>218</v>
      </c>
      <c r="C19" t="s">
        <v>219</v>
      </c>
      <c r="D19" s="1191">
        <f t="shared" ca="1" si="0"/>
        <v>0</v>
      </c>
      <c r="E19" s="1191">
        <f t="shared" ca="1" si="0"/>
        <v>0</v>
      </c>
      <c r="F19" s="1191">
        <f t="shared" ca="1" si="0"/>
        <v>0</v>
      </c>
      <c r="G19" s="1191">
        <f t="shared" ca="1" si="0"/>
        <v>0</v>
      </c>
      <c r="H19" s="1191">
        <f t="shared" ca="1" si="0"/>
        <v>0</v>
      </c>
      <c r="I19" s="1191">
        <f t="shared" ca="1" si="0"/>
        <v>0</v>
      </c>
      <c r="J19" s="1191">
        <f t="shared" ca="1" si="1"/>
        <v>0</v>
      </c>
      <c r="L19" t="s">
        <v>19</v>
      </c>
    </row>
    <row r="20" spans="2:12" x14ac:dyDescent="0.2">
      <c r="B20" t="s">
        <v>28</v>
      </c>
      <c r="C20" t="s">
        <v>220</v>
      </c>
      <c r="D20" s="1192">
        <f ca="1">INDIRECT(CONCATENATE($C20,".",D$7))</f>
        <v>0</v>
      </c>
      <c r="E20" s="1192">
        <f t="shared" ca="1" si="0"/>
        <v>0</v>
      </c>
      <c r="F20" s="1192">
        <f t="shared" ca="1" si="0"/>
        <v>0</v>
      </c>
      <c r="G20" s="1192">
        <f t="shared" ca="1" si="0"/>
        <v>0</v>
      </c>
      <c r="H20" s="1192">
        <f t="shared" ca="1" si="0"/>
        <v>0</v>
      </c>
      <c r="I20" s="1192">
        <f t="shared" ca="1" si="0"/>
        <v>0</v>
      </c>
      <c r="J20" s="1193"/>
      <c r="L20" t="s">
        <v>258</v>
      </c>
    </row>
    <row r="21" spans="2:12" x14ac:dyDescent="0.2">
      <c r="B21" s="59" t="s">
        <v>276</v>
      </c>
      <c r="D21" s="1192">
        <f ca="1">SUM(D9:D15)+SUM(D17:D19)</f>
        <v>0</v>
      </c>
      <c r="E21" s="1192">
        <f t="shared" ref="E21:J21" ca="1" si="2">SUM(E9:E15)+SUM(E17:E19)</f>
        <v>0</v>
      </c>
      <c r="F21" s="1192">
        <f t="shared" ca="1" si="2"/>
        <v>0</v>
      </c>
      <c r="G21" s="1192">
        <f t="shared" ca="1" si="2"/>
        <v>0</v>
      </c>
      <c r="H21" s="1192">
        <f t="shared" ca="1" si="2"/>
        <v>0</v>
      </c>
      <c r="I21" s="1192">
        <f t="shared" ca="1" si="2"/>
        <v>0</v>
      </c>
      <c r="J21" s="1194">
        <f t="shared" ca="1" si="2"/>
        <v>0</v>
      </c>
      <c r="L21" t="s">
        <v>28</v>
      </c>
    </row>
    <row r="23" spans="2:12" x14ac:dyDescent="0.2">
      <c r="E23" s="135" t="s">
        <v>272</v>
      </c>
      <c r="F23" s="1192">
        <f ca="1">SUM(D21:I21)</f>
        <v>0</v>
      </c>
    </row>
    <row r="24" spans="2:12" x14ac:dyDescent="0.2">
      <c r="E24" s="135" t="s">
        <v>273</v>
      </c>
      <c r="F24" s="1662">
        <f ca="1">J21</f>
        <v>0</v>
      </c>
    </row>
    <row r="25" spans="2:12" x14ac:dyDescent="0.2">
      <c r="E25" s="137" t="s">
        <v>274</v>
      </c>
      <c r="F25" s="1663">
        <f ca="1">F23-F24</f>
        <v>0</v>
      </c>
      <c r="G25" s="136" t="s">
        <v>275</v>
      </c>
    </row>
  </sheetData>
  <sheetProtection algorithmName="SHA-512" hashValue="f53R1pzaLv359wivuahpZ1ru6FHydV3koZ+XTEMKmVsXbhurDizbzyhmpI8yk10pyHuLpbJXCwmzZY0jUaN1rg==" saltValue="RaA1spj5MfZoOIARDqoexg=="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92D050"/>
    <pageSetUpPr fitToPage="1"/>
  </sheetPr>
  <dimension ref="B1:V49"/>
  <sheetViews>
    <sheetView showGridLines="0" tabSelected="1" showRuler="0" zoomScaleNormal="100" workbookViewId="0">
      <pane ySplit="13" topLeftCell="A14" activePane="bottomLeft" state="frozen"/>
      <selection pane="bottomLeft" activeCell="B12" sqref="B12"/>
    </sheetView>
  </sheetViews>
  <sheetFormatPr defaultColWidth="8.7109375" defaultRowHeight="12.75" x14ac:dyDescent="0.2"/>
  <cols>
    <col min="1" max="1" width="0.85546875" style="35" customWidth="1"/>
    <col min="2" max="2" width="22.42578125" style="637" customWidth="1"/>
    <col min="3" max="3" width="25.85546875" style="35" customWidth="1"/>
    <col min="4" max="4" width="21.7109375" style="35" customWidth="1"/>
    <col min="5" max="5" width="17" style="35" customWidth="1"/>
    <col min="6" max="6" width="10.28515625" style="35" customWidth="1"/>
    <col min="7" max="7" width="10.5703125" style="35" customWidth="1"/>
    <col min="8" max="8" width="5.140625" style="35" customWidth="1"/>
    <col min="9" max="9" width="8.7109375" style="35" customWidth="1"/>
    <col min="10" max="10" width="9.85546875" style="35" customWidth="1"/>
    <col min="11" max="11" width="6.28515625" style="35" customWidth="1"/>
    <col min="12" max="12" width="9.42578125" style="35" customWidth="1"/>
    <col min="13" max="13" width="6.140625" style="35" customWidth="1"/>
    <col min="14" max="14" width="9.5703125" style="35" customWidth="1"/>
    <col min="15" max="15" width="8.7109375" style="35"/>
    <col min="16" max="16" width="12.28515625" style="35" customWidth="1"/>
    <col min="17" max="16384" width="8.7109375" style="35"/>
  </cols>
  <sheetData>
    <row r="1" spans="2:22" s="524" customFormat="1" ht="18.75" x14ac:dyDescent="0.3">
      <c r="B1" s="1080" t="s">
        <v>595</v>
      </c>
      <c r="C1" s="522"/>
      <c r="D1" s="523"/>
      <c r="E1" s="523"/>
      <c r="F1" s="523"/>
      <c r="G1" s="523"/>
      <c r="H1" s="523"/>
      <c r="I1" s="523"/>
      <c r="J1" s="523"/>
      <c r="K1" s="523"/>
      <c r="L1" s="523"/>
      <c r="M1" s="523"/>
      <c r="N1" s="35"/>
      <c r="O1" s="35"/>
      <c r="P1" s="35"/>
      <c r="Q1" s="35"/>
      <c r="R1" s="35"/>
      <c r="S1" s="143"/>
      <c r="T1" s="143"/>
      <c r="U1" s="143"/>
      <c r="V1" s="143"/>
    </row>
    <row r="2" spans="2:22" ht="15" x14ac:dyDescent="0.2">
      <c r="B2" s="1081"/>
      <c r="C2" s="143"/>
      <c r="D2" s="143"/>
      <c r="E2" s="143"/>
      <c r="F2" s="143"/>
      <c r="G2" s="143"/>
      <c r="H2" s="143"/>
      <c r="I2" s="525" t="s">
        <v>596</v>
      </c>
      <c r="J2" s="143"/>
      <c r="K2" s="143"/>
      <c r="L2" s="143"/>
    </row>
    <row r="3" spans="2:22" s="143" customFormat="1" ht="15.75" x14ac:dyDescent="0.25">
      <c r="B3" s="536"/>
      <c r="C3" s="406" t="s">
        <v>601</v>
      </c>
      <c r="H3" s="526"/>
      <c r="I3" s="525" t="s">
        <v>594</v>
      </c>
    </row>
    <row r="4" spans="2:22" s="143" customFormat="1" ht="15.75" x14ac:dyDescent="0.25">
      <c r="B4" s="536"/>
      <c r="C4" s="525" t="s">
        <v>593</v>
      </c>
      <c r="D4" s="526"/>
      <c r="E4" s="526"/>
      <c r="F4" s="526"/>
      <c r="G4" s="526"/>
      <c r="I4" s="575" t="s">
        <v>444</v>
      </c>
      <c r="J4" s="576" t="s">
        <v>445</v>
      </c>
      <c r="K4" s="573" t="s">
        <v>567</v>
      </c>
      <c r="L4" s="574"/>
    </row>
    <row r="5" spans="2:22" s="143" customFormat="1" ht="15" x14ac:dyDescent="0.2">
      <c r="B5" s="142" t="s">
        <v>269</v>
      </c>
      <c r="C5" s="1650" t="s">
        <v>366</v>
      </c>
      <c r="D5" s="1651"/>
      <c r="E5" s="1075" t="s">
        <v>352</v>
      </c>
      <c r="F5" s="1652" t="s">
        <v>270</v>
      </c>
      <c r="I5" s="886" t="s">
        <v>49</v>
      </c>
      <c r="J5" s="887" t="s">
        <v>402</v>
      </c>
      <c r="K5" s="1655"/>
      <c r="L5" s="143" t="s">
        <v>453</v>
      </c>
    </row>
    <row r="6" spans="2:22" s="143" customFormat="1" ht="15" x14ac:dyDescent="0.2">
      <c r="B6" s="142" t="s">
        <v>279</v>
      </c>
      <c r="C6" s="1650" t="s">
        <v>190</v>
      </c>
      <c r="D6" s="1651"/>
      <c r="E6" s="1075" t="s">
        <v>352</v>
      </c>
      <c r="F6" s="1653" t="s">
        <v>263</v>
      </c>
      <c r="I6" s="888" t="s">
        <v>375</v>
      </c>
      <c r="J6" s="889" t="s">
        <v>416</v>
      </c>
      <c r="K6" s="1655"/>
      <c r="L6" s="143" t="s">
        <v>453</v>
      </c>
    </row>
    <row r="7" spans="2:22" s="143" customFormat="1" ht="15" x14ac:dyDescent="0.2">
      <c r="B7" s="142" t="s">
        <v>341</v>
      </c>
      <c r="C7" s="1650" t="s">
        <v>590</v>
      </c>
      <c r="D7" s="1651"/>
      <c r="E7" s="1075" t="s">
        <v>365</v>
      </c>
      <c r="F7" s="1654" t="s">
        <v>355</v>
      </c>
      <c r="G7" s="1076" t="s">
        <v>364</v>
      </c>
      <c r="I7" s="894" t="s">
        <v>376</v>
      </c>
      <c r="J7" s="895" t="s">
        <v>400</v>
      </c>
      <c r="K7" s="1655"/>
      <c r="L7" s="143" t="s">
        <v>453</v>
      </c>
    </row>
    <row r="8" spans="2:22" s="143" customFormat="1" ht="15" x14ac:dyDescent="0.2">
      <c r="B8" s="142" t="s">
        <v>342</v>
      </c>
      <c r="C8" s="1650" t="s">
        <v>440</v>
      </c>
      <c r="D8" s="1651"/>
      <c r="I8" s="890" t="s">
        <v>377</v>
      </c>
      <c r="J8" s="891" t="s">
        <v>417</v>
      </c>
      <c r="K8" s="1655"/>
      <c r="L8" s="143" t="s">
        <v>453</v>
      </c>
    </row>
    <row r="9" spans="2:22" s="143" customFormat="1" ht="15" x14ac:dyDescent="0.2">
      <c r="B9" s="142"/>
      <c r="C9" s="1650" t="s">
        <v>759</v>
      </c>
      <c r="D9" s="1651"/>
      <c r="I9" s="892" t="s">
        <v>378</v>
      </c>
      <c r="J9" s="893" t="s">
        <v>418</v>
      </c>
      <c r="K9" s="1655"/>
      <c r="L9" s="143" t="s">
        <v>453</v>
      </c>
    </row>
    <row r="10" spans="2:22" ht="15" x14ac:dyDescent="0.2">
      <c r="C10" s="143"/>
      <c r="D10" s="143"/>
      <c r="E10" s="143"/>
      <c r="F10" s="143"/>
      <c r="G10" s="143"/>
      <c r="H10" s="143"/>
      <c r="I10" s="896" t="s">
        <v>379</v>
      </c>
      <c r="J10" s="897" t="s">
        <v>419</v>
      </c>
      <c r="K10" s="1655"/>
      <c r="L10" s="143" t="s">
        <v>453</v>
      </c>
      <c r="M10" s="143"/>
    </row>
    <row r="11" spans="2:22" ht="15.75" x14ac:dyDescent="0.25">
      <c r="B11" s="537" t="s">
        <v>94</v>
      </c>
      <c r="C11" s="143"/>
      <c r="D11" s="537" t="s">
        <v>325</v>
      </c>
      <c r="E11" s="143"/>
      <c r="F11" s="143"/>
      <c r="G11" s="143"/>
      <c r="H11" s="143"/>
      <c r="I11" s="143"/>
      <c r="J11" s="898" t="s">
        <v>15</v>
      </c>
      <c r="K11" s="1102">
        <f>SUM(K5:K10)</f>
        <v>0</v>
      </c>
      <c r="L11" s="143" t="s">
        <v>453</v>
      </c>
    </row>
    <row r="12" spans="2:22" s="143" customFormat="1" ht="15.75" x14ac:dyDescent="0.25">
      <c r="B12" s="1656"/>
      <c r="C12" s="144" t="s">
        <v>173</v>
      </c>
      <c r="D12" s="147" t="s">
        <v>317</v>
      </c>
      <c r="E12" s="144" t="s">
        <v>173</v>
      </c>
    </row>
    <row r="13" spans="2:22" s="143" customFormat="1" ht="15" x14ac:dyDescent="0.2">
      <c r="B13" s="35" t="s">
        <v>390</v>
      </c>
    </row>
    <row r="14" spans="2:22" s="143" customFormat="1" ht="15" x14ac:dyDescent="0.2"/>
    <row r="15" spans="2:22" s="143" customFormat="1" ht="15.75" customHeight="1" x14ac:dyDescent="0.25">
      <c r="B15" s="537" t="s">
        <v>591</v>
      </c>
      <c r="C15" s="900"/>
      <c r="D15" s="900"/>
      <c r="E15" s="900"/>
      <c r="F15" s="900"/>
      <c r="G15" s="900"/>
      <c r="H15" s="900"/>
      <c r="I15" s="900"/>
      <c r="J15" s="900"/>
      <c r="K15" s="900"/>
      <c r="L15" s="900"/>
      <c r="M15" s="900"/>
      <c r="N15" s="900"/>
      <c r="O15" s="900"/>
      <c r="P15" s="900"/>
      <c r="Q15" s="900"/>
    </row>
    <row r="16" spans="2:22" s="143" customFormat="1" ht="113.25" customHeight="1" x14ac:dyDescent="0.2">
      <c r="B16" s="1416" t="s">
        <v>597</v>
      </c>
      <c r="C16" s="1416"/>
      <c r="D16" s="1416"/>
      <c r="E16" s="1416"/>
      <c r="F16" s="1416"/>
      <c r="G16" s="1416"/>
      <c r="H16" s="1416"/>
      <c r="I16" s="1416"/>
      <c r="J16" s="1416"/>
      <c r="K16" s="1416"/>
      <c r="L16" s="1416"/>
      <c r="M16" s="1416"/>
      <c r="N16" s="900"/>
      <c r="O16" s="900"/>
      <c r="P16" s="900"/>
      <c r="Q16" s="900"/>
    </row>
    <row r="17" spans="2:20" s="143" customFormat="1" ht="42.75" customHeight="1" x14ac:dyDescent="0.2">
      <c r="B17" s="1417" t="s">
        <v>592</v>
      </c>
      <c r="C17" s="1417"/>
      <c r="D17" s="1417"/>
      <c r="E17" s="1417"/>
      <c r="F17" s="1417"/>
      <c r="G17" s="1417"/>
      <c r="H17" s="1417"/>
      <c r="I17" s="1417"/>
      <c r="J17" s="1417"/>
      <c r="K17" s="1417"/>
      <c r="L17" s="1417"/>
      <c r="M17" s="1417"/>
      <c r="N17" s="1416"/>
      <c r="O17" s="1416"/>
      <c r="P17" s="1416"/>
      <c r="Q17" s="1416"/>
    </row>
    <row r="18" spans="2:20" s="143" customFormat="1" ht="45.75" customHeight="1" x14ac:dyDescent="0.2">
      <c r="B18" s="1418" t="s">
        <v>714</v>
      </c>
      <c r="C18" s="1416"/>
      <c r="D18" s="1416"/>
      <c r="E18" s="1416"/>
      <c r="F18" s="1416"/>
      <c r="G18" s="1416"/>
      <c r="H18" s="1416"/>
      <c r="I18" s="1416"/>
      <c r="J18" s="1416"/>
      <c r="K18" s="1416"/>
      <c r="L18" s="1416"/>
      <c r="M18" s="1416"/>
      <c r="N18" s="1416"/>
      <c r="O18" s="1416"/>
      <c r="P18" s="1416"/>
      <c r="Q18" s="1416"/>
    </row>
    <row r="19" spans="2:20" s="143" customFormat="1" ht="11.25" customHeight="1" x14ac:dyDescent="0.2">
      <c r="B19" s="536"/>
      <c r="C19" s="146"/>
      <c r="D19" s="146"/>
      <c r="E19" s="146"/>
      <c r="F19" s="146"/>
      <c r="G19" s="146"/>
      <c r="H19" s="146"/>
      <c r="I19" s="146"/>
      <c r="J19" s="146"/>
      <c r="K19" s="146"/>
      <c r="L19" s="146"/>
      <c r="M19" s="146"/>
      <c r="N19" s="146"/>
      <c r="O19" s="146"/>
    </row>
    <row r="20" spans="2:20" s="143" customFormat="1" ht="18" customHeight="1" x14ac:dyDescent="0.25">
      <c r="B20" s="1419" t="s">
        <v>231</v>
      </c>
      <c r="C20" s="1419"/>
      <c r="D20" s="1419"/>
      <c r="E20" s="1419"/>
      <c r="F20" s="1419"/>
      <c r="G20" s="1419"/>
      <c r="H20" s="1419"/>
      <c r="I20" s="1419"/>
      <c r="J20" s="1419"/>
      <c r="K20" s="1419"/>
      <c r="L20" s="1419"/>
      <c r="M20" s="1419"/>
      <c r="N20" s="1416"/>
      <c r="O20" s="1416"/>
      <c r="P20" s="1416"/>
      <c r="Q20" s="1416"/>
    </row>
    <row r="21" spans="2:20" s="143" customFormat="1" ht="16.149999999999999" customHeight="1" x14ac:dyDescent="0.2">
      <c r="B21" s="536"/>
      <c r="C21" s="146"/>
      <c r="D21" s="146"/>
      <c r="E21" s="146"/>
      <c r="F21" s="146"/>
      <c r="G21" s="146"/>
      <c r="H21" s="146"/>
      <c r="I21" s="146"/>
      <c r="J21" s="146"/>
      <c r="K21" s="146"/>
      <c r="L21" s="146"/>
      <c r="M21" s="146"/>
      <c r="N21" s="146"/>
      <c r="O21" s="146"/>
    </row>
    <row r="22" spans="2:20" s="147" customFormat="1" ht="33" customHeight="1" x14ac:dyDescent="0.2">
      <c r="B22" s="1415" t="s">
        <v>603</v>
      </c>
      <c r="C22" s="1415"/>
      <c r="D22" s="1415"/>
      <c r="E22" s="1415"/>
      <c r="F22" s="1415"/>
      <c r="G22" s="1415"/>
      <c r="H22" s="1415"/>
      <c r="I22" s="1415"/>
      <c r="J22" s="1415"/>
      <c r="K22" s="1415"/>
      <c r="L22" s="1415"/>
      <c r="M22" s="1415"/>
      <c r="N22" s="1077"/>
      <c r="O22" s="1077"/>
    </row>
    <row r="23" spans="2:20" s="147" customFormat="1" ht="15" x14ac:dyDescent="0.2">
      <c r="B23" s="1079"/>
      <c r="C23" s="1077"/>
      <c r="D23" s="1077"/>
      <c r="E23" s="1077"/>
      <c r="F23" s="1077"/>
      <c r="G23" s="1077"/>
      <c r="H23" s="1077"/>
      <c r="I23" s="1077"/>
      <c r="J23" s="1077"/>
      <c r="K23" s="1077"/>
      <c r="L23" s="1077"/>
      <c r="M23" s="1077"/>
      <c r="N23" s="1077"/>
      <c r="O23" s="1077"/>
    </row>
    <row r="24" spans="2:20" s="147" customFormat="1" ht="15.75" x14ac:dyDescent="0.2">
      <c r="B24" s="1313" t="s">
        <v>602</v>
      </c>
      <c r="C24" s="1314"/>
      <c r="D24" s="1314"/>
      <c r="E24" s="1314"/>
      <c r="F24" s="1077"/>
      <c r="G24" s="1077"/>
      <c r="H24" s="1077"/>
      <c r="I24" s="1077"/>
      <c r="J24" s="1077"/>
      <c r="K24" s="1077"/>
      <c r="L24" s="1077"/>
      <c r="M24" s="1077"/>
      <c r="N24" s="1077"/>
      <c r="O24" s="1077"/>
    </row>
    <row r="25" spans="2:20" s="147" customFormat="1" ht="15" x14ac:dyDescent="0.2">
      <c r="B25" s="1079" t="s">
        <v>87</v>
      </c>
      <c r="C25" s="1077"/>
      <c r="D25" s="1077"/>
      <c r="E25" s="1077"/>
      <c r="F25" s="1077"/>
      <c r="G25" s="1077"/>
      <c r="H25" s="1077"/>
      <c r="I25" s="1077"/>
      <c r="J25" s="1077"/>
      <c r="K25" s="1077"/>
      <c r="L25" s="1077"/>
      <c r="M25" s="1077"/>
      <c r="N25" s="1077"/>
      <c r="O25" s="1077"/>
    </row>
    <row r="26" spans="2:20" s="147" customFormat="1" ht="15" x14ac:dyDescent="0.2">
      <c r="B26" s="1079" t="s">
        <v>88</v>
      </c>
      <c r="C26" s="1077"/>
      <c r="D26" s="1077"/>
      <c r="E26" s="1077"/>
      <c r="F26" s="1077"/>
      <c r="G26" s="1077"/>
      <c r="H26" s="1077"/>
      <c r="I26" s="1077"/>
      <c r="J26" s="1077"/>
      <c r="K26" s="1077"/>
      <c r="L26" s="1077"/>
      <c r="M26" s="1077"/>
      <c r="N26" s="1077"/>
      <c r="O26" s="1077"/>
    </row>
    <row r="27" spans="2:20" s="147" customFormat="1" ht="15" x14ac:dyDescent="0.2">
      <c r="B27" s="1079" t="s">
        <v>255</v>
      </c>
      <c r="C27" s="1077"/>
      <c r="D27" s="1077"/>
      <c r="E27" s="1077"/>
      <c r="F27" s="1077"/>
      <c r="G27" s="1077"/>
      <c r="H27" s="1077"/>
      <c r="I27" s="1077"/>
      <c r="J27" s="1077"/>
      <c r="K27" s="1077"/>
      <c r="L27" s="1077"/>
      <c r="M27" s="1077"/>
      <c r="N27" s="1077"/>
      <c r="O27" s="1077"/>
    </row>
    <row r="28" spans="2:20" ht="5.25" customHeight="1" x14ac:dyDescent="0.2"/>
    <row r="29" spans="2:20" ht="15.75" x14ac:dyDescent="0.25">
      <c r="C29" s="1078" t="s">
        <v>606</v>
      </c>
      <c r="G29" s="145" t="s">
        <v>607</v>
      </c>
    </row>
    <row r="30" spans="2:20" s="143" customFormat="1" ht="15.75" thickBot="1" x14ac:dyDescent="0.25">
      <c r="B30" s="637"/>
      <c r="C30" s="35" t="s">
        <v>608</v>
      </c>
      <c r="G30" s="35" t="s">
        <v>608</v>
      </c>
      <c r="H30" s="147"/>
      <c r="I30" s="519"/>
      <c r="J30" s="519"/>
      <c r="K30" s="35"/>
      <c r="L30" s="519"/>
      <c r="M30" s="519"/>
      <c r="N30" s="519"/>
      <c r="O30" s="519"/>
      <c r="P30" s="519"/>
      <c r="Q30" s="519"/>
      <c r="R30" s="519"/>
      <c r="S30" s="147"/>
      <c r="T30" s="147"/>
    </row>
    <row r="31" spans="2:20" ht="15" x14ac:dyDescent="0.2">
      <c r="C31" s="1086" t="str">
        <f>'Project Cost Summary'!C48</f>
        <v>Total Direct Labor Costs</v>
      </c>
      <c r="D31" s="1087"/>
      <c r="E31" s="1088">
        <f>'Project Cost Summary'!AE48</f>
        <v>0</v>
      </c>
      <c r="G31" s="53"/>
      <c r="H31" s="53"/>
      <c r="I31" s="886" t="s">
        <v>49</v>
      </c>
      <c r="J31" s="887" t="s">
        <v>402</v>
      </c>
      <c r="K31" s="1411">
        <f>'Project Cost Summary'!H90</f>
        <v>0</v>
      </c>
      <c r="L31" s="1412"/>
      <c r="M31" s="830"/>
      <c r="N31" s="830"/>
      <c r="O31" s="830"/>
      <c r="P31" s="828"/>
      <c r="Q31" s="827"/>
      <c r="R31" s="828"/>
      <c r="S31" s="53"/>
      <c r="T31" s="53"/>
    </row>
    <row r="32" spans="2:20" ht="12.75" customHeight="1" x14ac:dyDescent="0.2">
      <c r="C32" s="1089" t="str">
        <f>'Project Cost Summary'!C51</f>
        <v>Total Fringe Benefit Costs</v>
      </c>
      <c r="D32" s="1090"/>
      <c r="E32" s="1091">
        <f>'Project Cost Summary'!AE51</f>
        <v>0</v>
      </c>
      <c r="G32" s="53"/>
      <c r="H32" s="53"/>
      <c r="I32" s="888" t="s">
        <v>375</v>
      </c>
      <c r="J32" s="889" t="s">
        <v>416</v>
      </c>
      <c r="K32" s="1411">
        <f>'Project Cost Summary'!L90</f>
        <v>0</v>
      </c>
      <c r="L32" s="1412"/>
      <c r="M32" s="827"/>
      <c r="N32" s="827"/>
      <c r="O32" s="827"/>
      <c r="P32" s="827"/>
      <c r="Q32" s="827"/>
      <c r="R32" s="828"/>
      <c r="S32" s="53"/>
      <c r="T32" s="53"/>
    </row>
    <row r="33" spans="2:20" ht="12.75" customHeight="1" x14ac:dyDescent="0.2">
      <c r="C33" s="1089" t="str">
        <f>'Project Cost Summary'!C54</f>
        <v>Total Labor Overhead Costs</v>
      </c>
      <c r="D33" s="1090"/>
      <c r="E33" s="1091">
        <f>'Project Cost Summary'!AE54</f>
        <v>0</v>
      </c>
      <c r="G33" s="53"/>
      <c r="H33" s="53"/>
      <c r="I33" s="894" t="s">
        <v>376</v>
      </c>
      <c r="J33" s="895" t="s">
        <v>400</v>
      </c>
      <c r="K33" s="1411">
        <f>'Project Cost Summary'!P90</f>
        <v>0</v>
      </c>
      <c r="L33" s="1412"/>
      <c r="M33" s="828"/>
      <c r="N33" s="828"/>
      <c r="O33" s="828"/>
      <c r="P33" s="828"/>
      <c r="Q33" s="827"/>
      <c r="R33" s="828"/>
      <c r="S33" s="53"/>
      <c r="T33" s="53"/>
    </row>
    <row r="34" spans="2:20" ht="15" x14ac:dyDescent="0.2">
      <c r="C34" s="1089" t="str">
        <f>'Project Cost Summary'!C60</f>
        <v>Total Subcontract Costs</v>
      </c>
      <c r="D34" s="1090"/>
      <c r="E34" s="1091">
        <f>'Project Cost Summary'!AE60</f>
        <v>0</v>
      </c>
      <c r="G34" s="53"/>
      <c r="H34" s="53"/>
      <c r="I34" s="890" t="s">
        <v>377</v>
      </c>
      <c r="J34" s="891" t="s">
        <v>417</v>
      </c>
      <c r="K34" s="1411">
        <f>'Project Cost Summary'!T90</f>
        <v>0</v>
      </c>
      <c r="L34" s="1412"/>
      <c r="M34" s="828"/>
      <c r="N34" s="828"/>
      <c r="O34" s="828"/>
      <c r="P34" s="828"/>
      <c r="Q34" s="827"/>
      <c r="R34" s="828"/>
      <c r="S34" s="53"/>
      <c r="T34" s="53"/>
    </row>
    <row r="35" spans="2:20" ht="15" x14ac:dyDescent="0.2">
      <c r="C35" s="1089" t="str">
        <f>'Project Cost Summary'!C66</f>
        <v>Total Consultant Costs</v>
      </c>
      <c r="D35" s="1090"/>
      <c r="E35" s="1091">
        <f>'Project Cost Summary'!AE66</f>
        <v>0</v>
      </c>
      <c r="G35" s="53"/>
      <c r="H35" s="53"/>
      <c r="I35" s="892" t="s">
        <v>378</v>
      </c>
      <c r="J35" s="893" t="s">
        <v>418</v>
      </c>
      <c r="K35" s="1411">
        <f>'Project Cost Summary'!X90</f>
        <v>0</v>
      </c>
      <c r="L35" s="1412"/>
      <c r="M35" s="828"/>
      <c r="N35" s="828"/>
      <c r="O35" s="828"/>
      <c r="P35" s="828"/>
      <c r="Q35" s="827"/>
      <c r="R35" s="828"/>
      <c r="S35" s="53"/>
      <c r="T35" s="53"/>
    </row>
    <row r="36" spans="2:20" ht="15" x14ac:dyDescent="0.2">
      <c r="C36" s="1089" t="str">
        <f>'Project Cost Summary'!C72</f>
        <v>Total Other Direct Costs</v>
      </c>
      <c r="D36" s="1090"/>
      <c r="E36" s="1091">
        <f>'Project Cost Summary'!AE72</f>
        <v>0</v>
      </c>
      <c r="G36" s="53"/>
      <c r="H36" s="53"/>
      <c r="I36" s="896" t="s">
        <v>379</v>
      </c>
      <c r="J36" s="897" t="s">
        <v>419</v>
      </c>
      <c r="K36" s="1411">
        <f>'Project Cost Summary'!AB90</f>
        <v>0</v>
      </c>
      <c r="L36" s="1412"/>
      <c r="M36" s="828"/>
      <c r="N36" s="828"/>
      <c r="O36" s="828"/>
      <c r="P36" s="828"/>
      <c r="Q36" s="827"/>
      <c r="R36" s="828"/>
      <c r="S36" s="53"/>
      <c r="T36" s="53"/>
    </row>
    <row r="37" spans="2:20" ht="12.75" customHeight="1" x14ac:dyDescent="0.2">
      <c r="C37" s="1089" t="str">
        <f>'Project Cost Summary'!C76</f>
        <v>Total Material Handling Costs</v>
      </c>
      <c r="D37" s="1090"/>
      <c r="E37" s="1091">
        <f>'Project Cost Summary'!AE76</f>
        <v>0</v>
      </c>
      <c r="G37" s="53"/>
      <c r="H37" s="53"/>
      <c r="I37" s="143"/>
      <c r="J37" s="898" t="s">
        <v>15</v>
      </c>
      <c r="K37" s="1413">
        <f>'Project Cost Summary'!AE90</f>
        <v>0</v>
      </c>
      <c r="L37" s="1414"/>
      <c r="M37" s="828"/>
      <c r="N37" s="828"/>
      <c r="O37" s="828"/>
      <c r="P37" s="828"/>
      <c r="Q37" s="827"/>
      <c r="R37" s="828"/>
      <c r="S37" s="53"/>
      <c r="T37" s="53"/>
    </row>
    <row r="38" spans="2:20" x14ac:dyDescent="0.2">
      <c r="C38" s="1092" t="str">
        <f>'Project Cost Summary'!B77</f>
        <v>Subtotal Costs</v>
      </c>
      <c r="D38" s="1093"/>
      <c r="E38" s="1094">
        <f>'Project Cost Summary'!AE77</f>
        <v>0</v>
      </c>
    </row>
    <row r="39" spans="2:20" x14ac:dyDescent="0.2">
      <c r="C39" s="1089" t="str">
        <f>'Project Cost Summary'!C81</f>
        <v>Total G&amp;A Costs</v>
      </c>
      <c r="D39" s="1090"/>
      <c r="E39" s="1091">
        <f>'Project Cost Summary'!AE81</f>
        <v>0</v>
      </c>
    </row>
    <row r="40" spans="2:20" x14ac:dyDescent="0.2">
      <c r="C40" s="1089" t="str">
        <f>'Project Cost Summary'!B82</f>
        <v>Subtotal Costs</v>
      </c>
      <c r="D40" s="1090"/>
      <c r="E40" s="1091">
        <f>'Project Cost Summary'!AE82</f>
        <v>0</v>
      </c>
    </row>
    <row r="41" spans="2:20" x14ac:dyDescent="0.2">
      <c r="C41" s="1089" t="str">
        <f>'Project Cost Summary'!C86</f>
        <v>Total Cost of Money</v>
      </c>
      <c r="D41" s="1090"/>
      <c r="E41" s="1091">
        <f>'Project Cost Summary'!AE86</f>
        <v>0</v>
      </c>
    </row>
    <row r="42" spans="2:20" x14ac:dyDescent="0.2">
      <c r="C42" s="1089" t="str">
        <f>'Project Cost Summary'!B87</f>
        <v>Total Estimated Costs</v>
      </c>
      <c r="D42" s="1090"/>
      <c r="E42" s="1091">
        <f>'Project Cost Summary'!AE87</f>
        <v>0</v>
      </c>
      <c r="F42" s="155"/>
      <c r="G42" s="1103"/>
    </row>
    <row r="43" spans="2:20" x14ac:dyDescent="0.2">
      <c r="C43" s="1089" t="str">
        <f>'Project Cost Summary'!C70</f>
        <v>Travel</v>
      </c>
      <c r="D43" s="1095" t="s">
        <v>604</v>
      </c>
      <c r="E43" s="1096">
        <f>'Project Cost Summary'!AE70</f>
        <v>0</v>
      </c>
      <c r="G43" s="53"/>
      <c r="H43" s="53"/>
      <c r="I43" s="828"/>
      <c r="J43" s="828"/>
      <c r="K43" s="829"/>
      <c r="L43" s="828"/>
      <c r="M43" s="828"/>
      <c r="O43" s="828"/>
      <c r="P43" s="828"/>
      <c r="Q43" s="827"/>
      <c r="R43" s="828"/>
      <c r="S43" s="53"/>
      <c r="T43" s="53"/>
    </row>
    <row r="44" spans="2:20" s="155" customFormat="1" ht="12.75" customHeight="1" thickBot="1" x14ac:dyDescent="0.25">
      <c r="B44" s="637"/>
      <c r="C44" s="1097" t="str">
        <f>'Project Cost Summary'!B89</f>
        <v>Fixed Fee (If proposing a CPFF contract) or Profit</v>
      </c>
      <c r="D44" s="1098"/>
      <c r="E44" s="1099">
        <f>'Project Cost Summary'!AE89</f>
        <v>0</v>
      </c>
      <c r="F44" s="60"/>
      <c r="N44" s="35"/>
    </row>
    <row r="45" spans="2:20" s="838" customFormat="1" ht="12.75" customHeight="1" thickBot="1" x14ac:dyDescent="0.25">
      <c r="B45" s="637"/>
      <c r="C45" s="1101" t="s">
        <v>605</v>
      </c>
      <c r="D45" s="1085" t="e">
        <f>'Project Cost Summary'!AD89</f>
        <v>#DIV/0!</v>
      </c>
      <c r="E45" s="1100"/>
      <c r="F45" s="60"/>
      <c r="N45" s="35"/>
    </row>
    <row r="46" spans="2:20" ht="13.5" customHeight="1" thickBot="1" x14ac:dyDescent="0.25">
      <c r="B46" s="1082"/>
      <c r="C46" s="1083" t="str">
        <f>'Project Cost Summary'!B90</f>
        <v>Total Estimated Costs Plus Fixed Fee</v>
      </c>
      <c r="D46" s="902"/>
      <c r="E46" s="1084">
        <f>'Project Cost Summary'!AE90</f>
        <v>0</v>
      </c>
    </row>
    <row r="48" spans="2:20" ht="13.5" thickBot="1" x14ac:dyDescent="0.25"/>
    <row r="49" spans="3:8" ht="52.5" customHeight="1" thickBot="1" x14ac:dyDescent="0.25">
      <c r="C49" s="1408" t="s">
        <v>760</v>
      </c>
      <c r="D49" s="1409"/>
      <c r="E49" s="1409"/>
      <c r="F49" s="1409"/>
      <c r="G49" s="1409"/>
      <c r="H49" s="1410"/>
    </row>
  </sheetData>
  <sheetProtection algorithmName="SHA-512" hashValue="BBiPA/hkzldYcGOeTVDZoGR0OYBMFb+L/jgGhvXtQbktKunvPccTEFWUuGE4l0TVfwYRX1znVDRdGYg+AAhbyA==" saltValue="TwYIEys28Hj2UNzt7FCLpg==" spinCount="100000" sheet="1" objects="1" scenarios="1" selectLockedCells="1"/>
  <mergeCells count="21">
    <mergeCell ref="C5:D5"/>
    <mergeCell ref="C6:D6"/>
    <mergeCell ref="C8:D8"/>
    <mergeCell ref="C7:D7"/>
    <mergeCell ref="B16:M16"/>
    <mergeCell ref="B17:M17"/>
    <mergeCell ref="N17:Q17"/>
    <mergeCell ref="K35:L35"/>
    <mergeCell ref="B18:M18"/>
    <mergeCell ref="N18:Q18"/>
    <mergeCell ref="B20:M20"/>
    <mergeCell ref="N20:Q20"/>
    <mergeCell ref="C9:D9"/>
    <mergeCell ref="C49:H49"/>
    <mergeCell ref="K36:L36"/>
    <mergeCell ref="K37:L37"/>
    <mergeCell ref="B22:M22"/>
    <mergeCell ref="K31:L31"/>
    <mergeCell ref="K32:L32"/>
    <mergeCell ref="K33:L33"/>
    <mergeCell ref="K34:L34"/>
  </mergeCells>
  <phoneticPr fontId="3" type="noConversion"/>
  <conditionalFormatting sqref="D11:E12">
    <cfRule type="expression" dxfId="70" priority="184">
      <formula>$B$12&lt;&gt;"Small Business"</formula>
    </cfRule>
  </conditionalFormatting>
  <dataValidations count="2">
    <dataValidation type="list" showInputMessage="1" showErrorMessage="1" sqref="D12">
      <formula1>SmallBusinessSizeChoices</formula1>
    </dataValidation>
    <dataValidation type="list" allowBlank="1" showInputMessage="1" showErrorMessage="1" sqref="B12">
      <formula1>OfferorBusinessTypes</formula1>
    </dataValidation>
  </dataValidations>
  <pageMargins left="0.75" right="0.75" top="1" bottom="1" header="0.5" footer="0.5"/>
  <pageSetup scale="74" orientation="landscape" horizontalDpi="1200" verticalDpi="1200" r:id="rId1"/>
  <headerFooter alignWithMargins="0"/>
  <drawing r:id="rId2"/>
  <extLst>
    <ext xmlns:x14="http://schemas.microsoft.com/office/spreadsheetml/2009/9/main" uri="{78C0D931-6437-407d-A8EE-F0AAD7539E65}">
      <x14:conditionalFormattings>
        <x14:conditionalFormatting xmlns:xm="http://schemas.microsoft.com/office/excel/2006/main">
          <x14:cfRule type="expression" priority="2" id="{569710C9-74FB-4A2A-BC80-626264166C1B}">
            <xm:f>'Proposer Acct. Data'!B13="Small Business"</xm:f>
            <x14:dxf>
              <fill>
                <patternFill>
                  <bgColor rgb="FFFFFF00"/>
                </patternFill>
              </fill>
            </x14:dxf>
          </x14:cfRule>
          <xm:sqref>D12</xm:sqref>
        </x14:conditionalFormatting>
      </x14:conditionalFormattings>
    </ext>
    <ext xmlns:x14="http://schemas.microsoft.com/office/spreadsheetml/2009/9/main" uri="{CCE6A557-97BC-4b89-ADB6-D9C93CAAB3DF}">
      <x14:dataValidations xmlns:xm="http://schemas.microsoft.com/office/excel/2006/main" count="2">
        <x14:dataValidation type="list" showInputMessage="1" showErrorMessage="1">
          <x14:formula1>
            <xm:f>'Drop-Down Values'!$B$9:$B$17</xm:f>
          </x14:formula1>
          <xm:sqref>F7</xm:sqref>
        </x14:dataValidation>
        <x14:dataValidation type="list" allowBlank="1" showInputMessage="1" showErrorMessage="1">
          <x14:formula1>
            <xm:f>'Drop-Down Values'!$H$6:$H$30</xm:f>
          </x14:formula1>
          <xm:sqref>K5:K10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pageSetUpPr fitToPage="1"/>
  </sheetPr>
  <dimension ref="A1:E112"/>
  <sheetViews>
    <sheetView zoomScale="90" zoomScaleNormal="90" workbookViewId="0">
      <pane xSplit="2" ySplit="1" topLeftCell="C2" activePane="bottomRight" state="frozen"/>
      <selection pane="topRight" activeCell="C1" sqref="C1"/>
      <selection pane="bottomLeft" activeCell="A2" sqref="A2"/>
      <selection pane="bottomRight" activeCell="C3" sqref="C3"/>
    </sheetView>
  </sheetViews>
  <sheetFormatPr defaultColWidth="9.140625" defaultRowHeight="12.75" x14ac:dyDescent="0.2"/>
  <cols>
    <col min="1" max="1" width="0.7109375" style="157" customWidth="1"/>
    <col min="2" max="2" width="19.140625" style="159" customWidth="1"/>
    <col min="3" max="3" width="157.28515625" style="158" customWidth="1"/>
    <col min="4" max="4" width="9.140625" style="157"/>
    <col min="5" max="16384" width="9.140625" style="156"/>
  </cols>
  <sheetData>
    <row r="1" spans="1:4" s="516" customFormat="1" ht="18.75" x14ac:dyDescent="0.3">
      <c r="B1" s="861" t="s">
        <v>382</v>
      </c>
      <c r="C1" s="527" t="s">
        <v>389</v>
      </c>
    </row>
    <row r="2" spans="1:4" ht="7.5" customHeight="1" x14ac:dyDescent="0.2">
      <c r="A2" s="156"/>
      <c r="D2" s="156"/>
    </row>
    <row r="3" spans="1:4" ht="13.5" thickBot="1" x14ac:dyDescent="0.25">
      <c r="A3" s="156"/>
      <c r="B3" s="170" t="s">
        <v>350</v>
      </c>
      <c r="D3" s="156"/>
    </row>
    <row r="4" spans="1:4" s="528" customFormat="1" ht="15.75" thickBot="1" x14ac:dyDescent="0.25">
      <c r="B4" s="529" t="str">
        <f>SpreadsheetVersionNumber</f>
        <v>1.00.00</v>
      </c>
      <c r="C4" s="530" t="s">
        <v>433</v>
      </c>
    </row>
    <row r="6" spans="1:4" x14ac:dyDescent="0.2">
      <c r="A6" s="156"/>
      <c r="B6" s="170" t="s">
        <v>368</v>
      </c>
      <c r="D6" s="156"/>
    </row>
    <row r="7" spans="1:4" s="528" customFormat="1" ht="15" x14ac:dyDescent="0.2">
      <c r="B7" s="1420" t="s">
        <v>595</v>
      </c>
      <c r="C7" s="628" t="s">
        <v>367</v>
      </c>
    </row>
    <row r="8" spans="1:4" s="528" customFormat="1" ht="15" customHeight="1" x14ac:dyDescent="0.2">
      <c r="B8" s="1421"/>
      <c r="C8" s="628" t="s">
        <v>615</v>
      </c>
    </row>
    <row r="9" spans="1:4" s="528" customFormat="1" ht="15" customHeight="1" x14ac:dyDescent="0.2">
      <c r="B9" s="1421"/>
      <c r="C9" s="628" t="s">
        <v>617</v>
      </c>
    </row>
    <row r="10" spans="1:4" s="528" customFormat="1" ht="15" customHeight="1" x14ac:dyDescent="0.2">
      <c r="B10" s="1421"/>
      <c r="C10" s="628" t="s">
        <v>618</v>
      </c>
    </row>
    <row r="11" spans="1:4" s="528" customFormat="1" ht="15" customHeight="1" x14ac:dyDescent="0.2">
      <c r="B11" s="1421"/>
      <c r="C11" s="628" t="s">
        <v>481</v>
      </c>
    </row>
    <row r="12" spans="1:4" s="528" customFormat="1" ht="15" customHeight="1" x14ac:dyDescent="0.2">
      <c r="B12" s="1421"/>
      <c r="C12" s="628" t="s">
        <v>616</v>
      </c>
    </row>
    <row r="13" spans="1:4" s="528" customFormat="1" ht="15.75" customHeight="1" x14ac:dyDescent="0.2">
      <c r="B13" s="1670"/>
      <c r="C13" s="531"/>
    </row>
    <row r="14" spans="1:4" s="528" customFormat="1" ht="30" customHeight="1" x14ac:dyDescent="0.2">
      <c r="B14" s="1422" t="s">
        <v>345</v>
      </c>
      <c r="C14" s="628" t="s">
        <v>348</v>
      </c>
    </row>
    <row r="15" spans="1:4" s="528" customFormat="1" ht="30" x14ac:dyDescent="0.2">
      <c r="B15" s="1423"/>
      <c r="C15" s="628" t="s">
        <v>609</v>
      </c>
    </row>
    <row r="16" spans="1:4" s="528" customFormat="1" ht="15" customHeight="1" x14ac:dyDescent="0.2">
      <c r="B16" s="1423"/>
      <c r="C16" s="628" t="s">
        <v>726</v>
      </c>
    </row>
    <row r="17" spans="2:4" s="528" customFormat="1" ht="30" x14ac:dyDescent="0.2">
      <c r="B17" s="1423"/>
      <c r="C17" s="628" t="s">
        <v>610</v>
      </c>
    </row>
    <row r="18" spans="2:4" s="528" customFormat="1" ht="33.75" customHeight="1" x14ac:dyDescent="0.2">
      <c r="B18" s="1423"/>
      <c r="C18" s="628" t="s">
        <v>611</v>
      </c>
    </row>
    <row r="19" spans="2:4" s="528" customFormat="1" ht="32.25" customHeight="1" x14ac:dyDescent="0.2">
      <c r="B19" s="1423"/>
      <c r="C19" s="628" t="s">
        <v>599</v>
      </c>
    </row>
    <row r="20" spans="2:4" s="528" customFormat="1" ht="30.75" customHeight="1" x14ac:dyDescent="0.2">
      <c r="B20" s="1423"/>
      <c r="C20" s="628" t="s">
        <v>612</v>
      </c>
    </row>
    <row r="21" spans="2:4" s="528" customFormat="1" ht="15.75" customHeight="1" x14ac:dyDescent="0.2">
      <c r="B21" s="1423"/>
      <c r="C21" s="628" t="s">
        <v>600</v>
      </c>
    </row>
    <row r="22" spans="2:4" s="528" customFormat="1" ht="75.75" customHeight="1" x14ac:dyDescent="0.2">
      <c r="B22" s="1423"/>
      <c r="C22" s="628" t="s">
        <v>780</v>
      </c>
    </row>
    <row r="23" spans="2:4" s="528" customFormat="1" ht="45" x14ac:dyDescent="0.2">
      <c r="B23" s="1423"/>
      <c r="C23" s="628" t="s">
        <v>351</v>
      </c>
    </row>
    <row r="24" spans="2:4" s="528" customFormat="1" ht="32.25" customHeight="1" x14ac:dyDescent="0.2">
      <c r="B24" s="1423"/>
      <c r="C24" s="628" t="s">
        <v>613</v>
      </c>
    </row>
    <row r="25" spans="2:4" s="528" customFormat="1" ht="33.75" customHeight="1" x14ac:dyDescent="0.2">
      <c r="B25" s="1423"/>
      <c r="C25" s="628" t="s">
        <v>480</v>
      </c>
    </row>
    <row r="26" spans="2:4" s="528" customFormat="1" ht="30" x14ac:dyDescent="0.2">
      <c r="B26" s="1423"/>
      <c r="C26" s="628" t="s">
        <v>614</v>
      </c>
    </row>
    <row r="27" spans="2:4" s="528" customFormat="1" ht="15" customHeight="1" x14ac:dyDescent="0.2">
      <c r="B27" s="1670"/>
      <c r="C27" s="532"/>
      <c r="D27" s="421"/>
    </row>
    <row r="28" spans="2:4" s="528" customFormat="1" ht="15" customHeight="1" x14ac:dyDescent="0.2">
      <c r="B28" s="1422" t="s">
        <v>482</v>
      </c>
      <c r="C28" s="628" t="s">
        <v>492</v>
      </c>
    </row>
    <row r="29" spans="2:4" s="528" customFormat="1" ht="15" x14ac:dyDescent="0.2">
      <c r="B29" s="1423"/>
      <c r="C29" s="628" t="s">
        <v>493</v>
      </c>
    </row>
    <row r="30" spans="2:4" s="528" customFormat="1" ht="15" customHeight="1" x14ac:dyDescent="0.2">
      <c r="B30" s="1423"/>
      <c r="C30" s="1104"/>
    </row>
    <row r="31" spans="2:4" s="528" customFormat="1" ht="15" customHeight="1" x14ac:dyDescent="0.2">
      <c r="B31" s="1670"/>
      <c r="C31" s="532"/>
    </row>
    <row r="32" spans="2:4" s="528" customFormat="1" ht="60" x14ac:dyDescent="0.2">
      <c r="B32" s="1420" t="s">
        <v>514</v>
      </c>
      <c r="C32" s="628" t="s">
        <v>483</v>
      </c>
    </row>
    <row r="33" spans="2:5" s="528" customFormat="1" ht="15" x14ac:dyDescent="0.2">
      <c r="B33" s="1421"/>
      <c r="C33" s="628" t="s">
        <v>484</v>
      </c>
    </row>
    <row r="34" spans="2:5" s="528" customFormat="1" ht="15" customHeight="1" x14ac:dyDescent="0.2">
      <c r="B34" s="1421"/>
      <c r="C34" s="628" t="s">
        <v>485</v>
      </c>
    </row>
    <row r="35" spans="2:5" s="528" customFormat="1" ht="15.75" x14ac:dyDescent="0.2">
      <c r="B35" s="1670"/>
      <c r="C35" s="531"/>
    </row>
    <row r="36" spans="2:5" s="528" customFormat="1" ht="15" x14ac:dyDescent="0.2">
      <c r="B36" s="1420" t="s">
        <v>486</v>
      </c>
      <c r="C36" s="628" t="s">
        <v>598</v>
      </c>
    </row>
    <row r="37" spans="2:5" s="528" customFormat="1" ht="15" customHeight="1" x14ac:dyDescent="0.2">
      <c r="B37" s="1421"/>
      <c r="C37" s="628" t="s">
        <v>491</v>
      </c>
    </row>
    <row r="38" spans="2:5" s="528" customFormat="1" ht="15" customHeight="1" x14ac:dyDescent="0.2">
      <c r="B38" s="1421"/>
      <c r="C38" s="628" t="s">
        <v>502</v>
      </c>
    </row>
    <row r="39" spans="2:5" s="528" customFormat="1" ht="15" x14ac:dyDescent="0.2">
      <c r="B39" s="1421"/>
      <c r="C39" s="628" t="s">
        <v>490</v>
      </c>
    </row>
    <row r="40" spans="2:5" s="528" customFormat="1" ht="15" customHeight="1" x14ac:dyDescent="0.2">
      <c r="B40" s="1670"/>
      <c r="C40" s="531"/>
    </row>
    <row r="41" spans="2:5" s="528" customFormat="1" ht="30" x14ac:dyDescent="0.2">
      <c r="B41" s="1420" t="s">
        <v>487</v>
      </c>
      <c r="C41" s="628" t="s">
        <v>620</v>
      </c>
    </row>
    <row r="42" spans="2:5" s="528" customFormat="1" ht="15" x14ac:dyDescent="0.2">
      <c r="B42" s="1421"/>
      <c r="C42" s="628" t="s">
        <v>488</v>
      </c>
    </row>
    <row r="43" spans="2:5" s="528" customFormat="1" ht="15" customHeight="1" x14ac:dyDescent="0.2">
      <c r="B43" s="1421"/>
      <c r="C43" s="628" t="s">
        <v>489</v>
      </c>
      <c r="E43" s="955"/>
    </row>
    <row r="44" spans="2:5" s="528" customFormat="1" ht="30" x14ac:dyDescent="0.2">
      <c r="B44" s="1421"/>
      <c r="C44" s="628" t="s">
        <v>621</v>
      </c>
      <c r="E44" s="955"/>
    </row>
    <row r="45" spans="2:5" s="528" customFormat="1" ht="15.75" x14ac:dyDescent="0.2">
      <c r="B45" s="1670"/>
      <c r="C45" s="531"/>
    </row>
    <row r="46" spans="2:5" s="528" customFormat="1" ht="45" customHeight="1" x14ac:dyDescent="0.2">
      <c r="B46" s="1432" t="s">
        <v>733</v>
      </c>
      <c r="C46" s="628" t="s">
        <v>619</v>
      </c>
    </row>
    <row r="47" spans="2:5" s="528" customFormat="1" ht="63" customHeight="1" x14ac:dyDescent="0.2">
      <c r="B47" s="1433"/>
      <c r="C47" s="628" t="s">
        <v>734</v>
      </c>
    </row>
    <row r="48" spans="2:5" s="528" customFormat="1" ht="45" x14ac:dyDescent="0.2">
      <c r="B48" s="1433"/>
      <c r="C48" s="628" t="s">
        <v>622</v>
      </c>
    </row>
    <row r="49" spans="1:4" s="528" customFormat="1" ht="15" customHeight="1" x14ac:dyDescent="0.2">
      <c r="B49" s="1433"/>
      <c r="C49" s="628" t="s">
        <v>623</v>
      </c>
    </row>
    <row r="50" spans="1:4" s="528" customFormat="1" ht="60" x14ac:dyDescent="0.2">
      <c r="B50" s="1433"/>
      <c r="C50" s="628" t="s">
        <v>747</v>
      </c>
    </row>
    <row r="51" spans="1:4" s="528" customFormat="1" ht="30" x14ac:dyDescent="0.2">
      <c r="B51" s="1433"/>
      <c r="C51" s="628" t="s">
        <v>626</v>
      </c>
    </row>
    <row r="52" spans="1:4" s="528" customFormat="1" ht="30" x14ac:dyDescent="0.2">
      <c r="B52" s="1433"/>
      <c r="C52" s="628" t="s">
        <v>557</v>
      </c>
    </row>
    <row r="53" spans="1:4" s="528" customFormat="1" ht="15.75" x14ac:dyDescent="0.2">
      <c r="A53" s="533"/>
      <c r="B53" s="1670"/>
      <c r="C53" s="531"/>
      <c r="D53" s="533"/>
    </row>
    <row r="54" spans="1:4" s="528" customFormat="1" ht="31.5" x14ac:dyDescent="0.2">
      <c r="B54" s="658" t="s">
        <v>344</v>
      </c>
      <c r="C54" s="628" t="s">
        <v>624</v>
      </c>
    </row>
    <row r="55" spans="1:4" s="528" customFormat="1" ht="15" customHeight="1" x14ac:dyDescent="0.2">
      <c r="B55" s="629"/>
      <c r="C55" s="531"/>
    </row>
    <row r="56" spans="1:4" s="528" customFormat="1" ht="30" x14ac:dyDescent="0.2">
      <c r="B56" s="1426" t="s">
        <v>503</v>
      </c>
      <c r="C56" s="628" t="s">
        <v>727</v>
      </c>
    </row>
    <row r="57" spans="1:4" s="528" customFormat="1" ht="45" x14ac:dyDescent="0.2">
      <c r="B57" s="1427"/>
      <c r="C57" s="628" t="s">
        <v>728</v>
      </c>
    </row>
    <row r="58" spans="1:4" s="528" customFormat="1" ht="30" x14ac:dyDescent="0.2">
      <c r="B58" s="1427"/>
      <c r="C58" s="628" t="s">
        <v>730</v>
      </c>
    </row>
    <row r="59" spans="1:4" s="528" customFormat="1" ht="15" customHeight="1" x14ac:dyDescent="0.2">
      <c r="B59" s="1427"/>
      <c r="C59" s="628" t="s">
        <v>731</v>
      </c>
    </row>
    <row r="60" spans="1:4" s="528" customFormat="1" ht="60" x14ac:dyDescent="0.2">
      <c r="B60" s="1427"/>
      <c r="C60" s="628" t="s">
        <v>627</v>
      </c>
    </row>
    <row r="61" spans="1:4" s="528" customFormat="1" ht="15" customHeight="1" x14ac:dyDescent="0.2">
      <c r="B61" s="1427"/>
      <c r="C61" s="628" t="s">
        <v>729</v>
      </c>
    </row>
    <row r="62" spans="1:4" s="528" customFormat="1" ht="45" x14ac:dyDescent="0.2">
      <c r="B62" s="1427"/>
      <c r="C62" s="628" t="s">
        <v>628</v>
      </c>
    </row>
    <row r="63" spans="1:4" s="528" customFormat="1" ht="45" x14ac:dyDescent="0.2">
      <c r="B63" s="1428"/>
      <c r="C63" s="628" t="s">
        <v>629</v>
      </c>
    </row>
    <row r="64" spans="1:4" s="528" customFormat="1" ht="15.75" x14ac:dyDescent="0.2">
      <c r="B64" s="629"/>
      <c r="C64" s="531"/>
    </row>
    <row r="65" spans="1:4" s="528" customFormat="1" ht="15" x14ac:dyDescent="0.2">
      <c r="A65" s="533"/>
      <c r="B65" s="1429" t="s">
        <v>343</v>
      </c>
      <c r="C65" s="628" t="s">
        <v>510</v>
      </c>
      <c r="D65" s="533"/>
    </row>
    <row r="66" spans="1:4" s="528" customFormat="1" ht="15" x14ac:dyDescent="0.2">
      <c r="A66" s="533"/>
      <c r="B66" s="1430"/>
      <c r="C66" s="628" t="s">
        <v>630</v>
      </c>
      <c r="D66" s="533"/>
    </row>
    <row r="67" spans="1:4" s="528" customFormat="1" ht="15" x14ac:dyDescent="0.2">
      <c r="A67" s="533"/>
      <c r="B67" s="1431"/>
      <c r="C67" s="628" t="s">
        <v>632</v>
      </c>
      <c r="D67" s="533"/>
    </row>
    <row r="68" spans="1:4" s="528" customFormat="1" ht="15.75" x14ac:dyDescent="0.2">
      <c r="B68" s="629"/>
      <c r="C68" s="531"/>
    </row>
    <row r="69" spans="1:4" s="528" customFormat="1" ht="15" x14ac:dyDescent="0.2">
      <c r="A69" s="533"/>
      <c r="B69" s="1429" t="s">
        <v>504</v>
      </c>
      <c r="C69" s="628" t="s">
        <v>633</v>
      </c>
      <c r="D69" s="533"/>
    </row>
    <row r="70" spans="1:4" s="528" customFormat="1" ht="15" x14ac:dyDescent="0.2">
      <c r="A70" s="533"/>
      <c r="B70" s="1430"/>
      <c r="C70" s="628" t="s">
        <v>635</v>
      </c>
      <c r="D70" s="533"/>
    </row>
    <row r="71" spans="1:4" s="528" customFormat="1" ht="15" x14ac:dyDescent="0.2">
      <c r="A71" s="533"/>
      <c r="B71" s="1431"/>
      <c r="C71" s="628" t="s">
        <v>634</v>
      </c>
      <c r="D71" s="533"/>
    </row>
    <row r="72" spans="1:4" s="528" customFormat="1" ht="15.75" x14ac:dyDescent="0.2">
      <c r="A72" s="533"/>
      <c r="B72" s="629"/>
      <c r="C72" s="531"/>
      <c r="D72" s="533"/>
    </row>
    <row r="73" spans="1:4" s="535" customFormat="1" ht="30" x14ac:dyDescent="0.2">
      <c r="A73" s="534"/>
      <c r="B73" s="1424" t="s">
        <v>509</v>
      </c>
      <c r="C73" s="628" t="s">
        <v>636</v>
      </c>
      <c r="D73" s="534"/>
    </row>
    <row r="74" spans="1:4" ht="15" hidden="1" x14ac:dyDescent="0.2">
      <c r="B74" s="1425"/>
      <c r="C74" s="659" t="s">
        <v>505</v>
      </c>
    </row>
    <row r="78" spans="1:4" x14ac:dyDescent="0.2">
      <c r="B78" s="166"/>
      <c r="C78" s="169"/>
    </row>
    <row r="79" spans="1:4" x14ac:dyDescent="0.2">
      <c r="B79" s="166"/>
      <c r="C79" s="169"/>
    </row>
    <row r="80" spans="1:4" x14ac:dyDescent="0.2">
      <c r="A80" s="167"/>
      <c r="B80" s="168"/>
      <c r="C80" s="169"/>
    </row>
    <row r="81" spans="1:4" x14ac:dyDescent="0.2">
      <c r="A81" s="167"/>
      <c r="B81" s="168"/>
    </row>
    <row r="82" spans="1:4" x14ac:dyDescent="0.2">
      <c r="A82" s="167"/>
      <c r="B82" s="166"/>
    </row>
    <row r="83" spans="1:4" x14ac:dyDescent="0.2">
      <c r="A83" s="167"/>
      <c r="B83" s="166"/>
    </row>
    <row r="84" spans="1:4" x14ac:dyDescent="0.2">
      <c r="A84" s="167"/>
      <c r="B84" s="166"/>
      <c r="C84" s="156"/>
      <c r="D84" s="156"/>
    </row>
    <row r="85" spans="1:4" x14ac:dyDescent="0.2">
      <c r="A85" s="167"/>
      <c r="B85" s="166"/>
      <c r="C85" s="156"/>
      <c r="D85" s="156"/>
    </row>
    <row r="86" spans="1:4" x14ac:dyDescent="0.2">
      <c r="A86" s="167"/>
      <c r="B86" s="166"/>
      <c r="C86" s="156"/>
      <c r="D86" s="156"/>
    </row>
    <row r="87" spans="1:4" x14ac:dyDescent="0.2">
      <c r="A87" s="167"/>
      <c r="B87" s="166"/>
      <c r="C87" s="156"/>
      <c r="D87" s="156"/>
    </row>
    <row r="88" spans="1:4" x14ac:dyDescent="0.2">
      <c r="A88" s="167"/>
      <c r="B88" s="166"/>
      <c r="C88" s="156"/>
      <c r="D88" s="156"/>
    </row>
    <row r="89" spans="1:4" x14ac:dyDescent="0.2">
      <c r="A89" s="167"/>
      <c r="B89" s="166"/>
      <c r="C89" s="156"/>
      <c r="D89" s="156"/>
    </row>
    <row r="90" spans="1:4" x14ac:dyDescent="0.2">
      <c r="A90" s="167"/>
      <c r="B90" s="166"/>
      <c r="C90" s="156"/>
      <c r="D90" s="156"/>
    </row>
    <row r="103" spans="1:4" s="160" customFormat="1" x14ac:dyDescent="0.2">
      <c r="A103" s="161"/>
      <c r="B103" s="163"/>
      <c r="C103" s="162"/>
      <c r="D103" s="161"/>
    </row>
    <row r="104" spans="1:4" s="160" customFormat="1" x14ac:dyDescent="0.2">
      <c r="A104" s="161"/>
      <c r="B104" s="163"/>
      <c r="C104" s="162"/>
      <c r="D104" s="161"/>
    </row>
    <row r="105" spans="1:4" s="160" customFormat="1" x14ac:dyDescent="0.2">
      <c r="A105" s="161"/>
      <c r="B105" s="163"/>
      <c r="C105" s="165"/>
      <c r="D105" s="161"/>
    </row>
    <row r="106" spans="1:4" s="160" customFormat="1" x14ac:dyDescent="0.2">
      <c r="A106" s="161"/>
      <c r="B106" s="163"/>
      <c r="C106" s="164"/>
      <c r="D106" s="161"/>
    </row>
    <row r="107" spans="1:4" s="160" customFormat="1" x14ac:dyDescent="0.2">
      <c r="A107" s="161"/>
      <c r="B107" s="163"/>
      <c r="C107" s="162"/>
      <c r="D107" s="161"/>
    </row>
    <row r="108" spans="1:4" s="160" customFormat="1" x14ac:dyDescent="0.2">
      <c r="A108" s="161"/>
      <c r="B108" s="163"/>
      <c r="C108" s="162"/>
      <c r="D108" s="161"/>
    </row>
    <row r="109" spans="1:4" s="160" customFormat="1" x14ac:dyDescent="0.2">
      <c r="A109" s="161"/>
      <c r="B109" s="163"/>
      <c r="C109" s="162"/>
      <c r="D109" s="161"/>
    </row>
    <row r="110" spans="1:4" s="160" customFormat="1" x14ac:dyDescent="0.2">
      <c r="A110" s="161"/>
      <c r="B110" s="163"/>
      <c r="C110" s="162"/>
      <c r="D110" s="161"/>
    </row>
    <row r="111" spans="1:4" s="160" customFormat="1" x14ac:dyDescent="0.2">
      <c r="A111" s="161"/>
      <c r="B111" s="163"/>
      <c r="C111" s="162"/>
      <c r="D111" s="161"/>
    </row>
    <row r="112" spans="1:4" s="160" customFormat="1" x14ac:dyDescent="0.2">
      <c r="A112" s="161"/>
      <c r="B112" s="163"/>
      <c r="C112" s="162"/>
      <c r="D112" s="161"/>
    </row>
  </sheetData>
  <sheetProtection algorithmName="SHA-512" hashValue="rhLmzlSWVWPB86G6HyDmbMiFV1kRFt6i9HVMNr3Vbo42PoL4ScjqxhHoM4aH8SXOIjoPslYB9jX++44leVV0IQ==" saltValue="hy25YT0Vb0q+N38jNGrtDw==" spinCount="100000" sheet="1" formatColumns="0" formatRows="0"/>
  <dataConsolidate link="1"/>
  <mergeCells count="11">
    <mergeCell ref="B7:B12"/>
    <mergeCell ref="B14:B26"/>
    <mergeCell ref="B73:B74"/>
    <mergeCell ref="B56:B63"/>
    <mergeCell ref="B69:B71"/>
    <mergeCell ref="B65:B67"/>
    <mergeCell ref="B41:B44"/>
    <mergeCell ref="B36:B39"/>
    <mergeCell ref="B28:B30"/>
    <mergeCell ref="B32:B34"/>
    <mergeCell ref="B46:B52"/>
  </mergeCells>
  <pageMargins left="0.7" right="0.7" top="0.75" bottom="0.75" header="0.3" footer="0.3"/>
  <pageSetup scale="5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C000"/>
  </sheetPr>
  <dimension ref="B1:P36"/>
  <sheetViews>
    <sheetView workbookViewId="0">
      <selection activeCell="C2" sqref="C2"/>
    </sheetView>
  </sheetViews>
  <sheetFormatPr defaultRowHeight="12.75" x14ac:dyDescent="0.2"/>
  <cols>
    <col min="1" max="1" width="0.85546875" style="35" customWidth="1"/>
    <col min="2" max="2" width="9" style="838" customWidth="1"/>
    <col min="3" max="3" width="157.28515625" style="838" customWidth="1"/>
    <col min="4" max="4" width="148.85546875" style="35" customWidth="1"/>
    <col min="5" max="16384" width="9.140625" style="35"/>
  </cols>
  <sheetData>
    <row r="1" spans="2:16" s="53" customFormat="1" ht="19.5" thickBot="1" x14ac:dyDescent="0.25">
      <c r="B1" s="1322" t="s">
        <v>479</v>
      </c>
      <c r="C1" s="1323"/>
    </row>
    <row r="3" spans="2:16" s="53" customFormat="1" ht="63" customHeight="1" x14ac:dyDescent="0.2">
      <c r="B3" s="1415" t="s">
        <v>732</v>
      </c>
      <c r="C3" s="1415"/>
    </row>
    <row r="4" spans="2:16" s="53" customFormat="1" ht="6.75" customHeight="1" thickBot="1" x14ac:dyDescent="0.25">
      <c r="B4" s="1324"/>
      <c r="C4" s="1325"/>
    </row>
    <row r="5" spans="2:16" s="53" customFormat="1" ht="15.75" x14ac:dyDescent="0.2">
      <c r="B5" s="1326"/>
      <c r="C5" s="1327"/>
      <c r="D5" s="422"/>
    </row>
    <row r="6" spans="2:16" s="424" customFormat="1" ht="15.75" x14ac:dyDescent="0.2">
      <c r="B6" s="1326" t="s">
        <v>735</v>
      </c>
      <c r="C6" s="1328"/>
      <c r="D6" s="423"/>
      <c r="E6" s="152"/>
      <c r="F6" s="152"/>
      <c r="G6" s="152"/>
      <c r="H6" s="152"/>
      <c r="I6" s="152"/>
      <c r="J6" s="152"/>
      <c r="K6" s="152"/>
      <c r="L6" s="152"/>
      <c r="M6" s="152"/>
      <c r="N6" s="152"/>
      <c r="O6" s="152"/>
      <c r="P6" s="152"/>
    </row>
    <row r="7" spans="2:16" ht="46.5" customHeight="1" x14ac:dyDescent="0.2">
      <c r="C7" s="1077" t="s">
        <v>748</v>
      </c>
    </row>
    <row r="8" spans="2:16" ht="30" x14ac:dyDescent="0.2">
      <c r="C8" s="1077" t="s">
        <v>755</v>
      </c>
    </row>
    <row r="9" spans="2:16" ht="15" x14ac:dyDescent="0.2">
      <c r="C9" s="1077"/>
    </row>
    <row r="10" spans="2:16" ht="18.75" thickBot="1" x14ac:dyDescent="0.25">
      <c r="B10" s="1329" t="s">
        <v>330</v>
      </c>
      <c r="C10" s="1330"/>
    </row>
    <row r="11" spans="2:16" ht="30" x14ac:dyDescent="0.2">
      <c r="C11" s="1321" t="s">
        <v>736</v>
      </c>
    </row>
    <row r="12" spans="2:16" ht="30" x14ac:dyDescent="0.2">
      <c r="C12" s="1321" t="s">
        <v>756</v>
      </c>
    </row>
    <row r="14" spans="2:16" ht="17.45" customHeight="1" x14ac:dyDescent="0.2">
      <c r="B14" s="1320" t="s">
        <v>738</v>
      </c>
    </row>
    <row r="15" spans="2:16" ht="30" x14ac:dyDescent="0.2">
      <c r="C15" s="1321" t="s">
        <v>737</v>
      </c>
    </row>
    <row r="16" spans="2:16" x14ac:dyDescent="0.2">
      <c r="B16" s="882" t="s">
        <v>745</v>
      </c>
    </row>
    <row r="17" spans="2:3" ht="15" x14ac:dyDescent="0.2">
      <c r="B17" s="1319">
        <v>1</v>
      </c>
      <c r="C17" s="1321" t="s">
        <v>739</v>
      </c>
    </row>
    <row r="18" spans="2:3" ht="15" x14ac:dyDescent="0.2">
      <c r="B18" s="1319">
        <v>2</v>
      </c>
      <c r="C18" s="1321" t="s">
        <v>740</v>
      </c>
    </row>
    <row r="19" spans="2:3" ht="30" x14ac:dyDescent="0.2">
      <c r="B19" s="1319">
        <v>3</v>
      </c>
      <c r="C19" s="1321" t="s">
        <v>741</v>
      </c>
    </row>
    <row r="20" spans="2:3" ht="33.75" customHeight="1" x14ac:dyDescent="0.2">
      <c r="B20" s="1319">
        <v>4</v>
      </c>
      <c r="C20" s="1321" t="s">
        <v>742</v>
      </c>
    </row>
    <row r="21" spans="2:3" ht="15" x14ac:dyDescent="0.2">
      <c r="B21" s="1319">
        <v>5</v>
      </c>
      <c r="C21" s="1321" t="s">
        <v>743</v>
      </c>
    </row>
    <row r="22" spans="2:3" ht="30" x14ac:dyDescent="0.2">
      <c r="B22" s="1319">
        <v>6</v>
      </c>
      <c r="C22" s="1321" t="s">
        <v>744</v>
      </c>
    </row>
    <row r="23" spans="2:3" ht="15" x14ac:dyDescent="0.2">
      <c r="B23" s="1319">
        <v>7</v>
      </c>
      <c r="C23" s="1321" t="s">
        <v>746</v>
      </c>
    </row>
    <row r="24" spans="2:3" ht="15" x14ac:dyDescent="0.2">
      <c r="B24" s="1319"/>
      <c r="C24" s="1321"/>
    </row>
    <row r="25" spans="2:3" ht="15.75" x14ac:dyDescent="0.2">
      <c r="B25" s="1320" t="s">
        <v>754</v>
      </c>
    </row>
    <row r="26" spans="2:3" ht="30" x14ac:dyDescent="0.2">
      <c r="C26" s="1321" t="s">
        <v>749</v>
      </c>
    </row>
    <row r="27" spans="2:3" s="154" customFormat="1" ht="49.5" customHeight="1" x14ac:dyDescent="0.2">
      <c r="C27" s="1321" t="s">
        <v>751</v>
      </c>
    </row>
    <row r="28" spans="2:3" ht="15" x14ac:dyDescent="0.2">
      <c r="B28" s="882" t="s">
        <v>745</v>
      </c>
      <c r="C28" s="1321"/>
    </row>
    <row r="29" spans="2:3" ht="15" x14ac:dyDescent="0.2">
      <c r="B29" s="1319">
        <v>1</v>
      </c>
      <c r="C29" s="1321" t="s">
        <v>750</v>
      </c>
    </row>
    <row r="30" spans="2:3" ht="15" x14ac:dyDescent="0.2">
      <c r="B30" s="1319">
        <v>2</v>
      </c>
      <c r="C30" s="1321" t="s">
        <v>740</v>
      </c>
    </row>
    <row r="31" spans="2:3" ht="30" x14ac:dyDescent="0.2">
      <c r="B31" s="1319">
        <v>3</v>
      </c>
      <c r="C31" s="1321" t="s">
        <v>753</v>
      </c>
    </row>
    <row r="32" spans="2:3" ht="30.75" customHeight="1" x14ac:dyDescent="0.2">
      <c r="B32" s="1319">
        <v>4</v>
      </c>
      <c r="C32" s="1321" t="s">
        <v>742</v>
      </c>
    </row>
    <row r="33" spans="2:3" ht="15" x14ac:dyDescent="0.2">
      <c r="B33" s="1319">
        <v>5</v>
      </c>
      <c r="C33" s="1321" t="s">
        <v>743</v>
      </c>
    </row>
    <row r="34" spans="2:3" ht="30.75" x14ac:dyDescent="0.2">
      <c r="B34" s="1319">
        <v>6</v>
      </c>
      <c r="C34" s="1321" t="s">
        <v>752</v>
      </c>
    </row>
    <row r="35" spans="2:3" ht="14.25" x14ac:dyDescent="0.2">
      <c r="B35" s="1319"/>
    </row>
    <row r="36" spans="2:3" ht="14.25" x14ac:dyDescent="0.2">
      <c r="B36" s="1319"/>
    </row>
  </sheetData>
  <sheetProtection algorithmName="SHA-512" hashValue="37JvqheK8bidxIWroMbrO1KuQkO8KQAzta3lPAPUuBtrVm8ebLNQKBu+WG2YgJ+6vSj1xipZNQXXQb9P2I0mVQ==" saltValue="xnjY67Org1a8L2tZh5ULJw==" spinCount="100000" sheet="1" objects="1" scenarios="1"/>
  <mergeCells count="1">
    <mergeCell ref="B3:C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92D050"/>
  </sheetPr>
  <dimension ref="B1:V20"/>
  <sheetViews>
    <sheetView workbookViewId="0">
      <selection activeCell="C12" sqref="C12"/>
    </sheetView>
  </sheetViews>
  <sheetFormatPr defaultRowHeight="12.75" x14ac:dyDescent="0.2"/>
  <cols>
    <col min="1" max="1" width="0.85546875" style="35" customWidth="1"/>
    <col min="2" max="2" width="47.5703125" style="35" customWidth="1"/>
    <col min="3" max="8" width="18.7109375" style="35" customWidth="1"/>
    <col min="9" max="16384" width="9.140625" style="35"/>
  </cols>
  <sheetData>
    <row r="1" spans="2:22" s="524" customFormat="1" ht="18.75" x14ac:dyDescent="0.3">
      <c r="B1" s="862" t="s">
        <v>513</v>
      </c>
      <c r="C1" s="522"/>
      <c r="D1" s="523"/>
      <c r="E1" s="523"/>
      <c r="F1" s="523"/>
      <c r="G1" s="523"/>
      <c r="H1" s="523"/>
      <c r="I1" s="523"/>
      <c r="J1" s="523"/>
      <c r="K1" s="523"/>
      <c r="L1" s="523"/>
      <c r="M1" s="523"/>
      <c r="N1" s="523"/>
      <c r="O1" s="523"/>
      <c r="P1" s="523"/>
      <c r="Q1" s="523"/>
      <c r="R1" s="523"/>
      <c r="S1" s="523"/>
      <c r="T1" s="523"/>
      <c r="U1" s="523"/>
      <c r="V1" s="523"/>
    </row>
    <row r="2" spans="2:22" x14ac:dyDescent="0.2">
      <c r="B2" s="397" t="str">
        <f>INITIALIZATION!C5</f>
        <v>Proposer's Name (Prime or Sub)</v>
      </c>
    </row>
    <row r="6" spans="2:22" s="143" customFormat="1" ht="15" x14ac:dyDescent="0.2"/>
    <row r="7" spans="2:22" s="143" customFormat="1" ht="15.75" x14ac:dyDescent="0.25">
      <c r="B7" s="537" t="s">
        <v>280</v>
      </c>
    </row>
    <row r="8" spans="2:22" s="143" customFormat="1" ht="15" x14ac:dyDescent="0.2">
      <c r="B8" s="143" t="s">
        <v>281</v>
      </c>
    </row>
    <row r="9" spans="2:22" s="143" customFormat="1" ht="15" x14ac:dyDescent="0.2"/>
    <row r="10" spans="2:22" s="143" customFormat="1" ht="15.75" x14ac:dyDescent="0.25">
      <c r="B10" s="544" t="s">
        <v>638</v>
      </c>
      <c r="C10" s="538"/>
      <c r="D10" s="539"/>
      <c r="E10" s="540"/>
      <c r="F10" s="541"/>
      <c r="G10" s="542"/>
      <c r="H10" s="543"/>
    </row>
    <row r="11" spans="2:22" s="143" customFormat="1" ht="15.75" x14ac:dyDescent="0.25">
      <c r="B11" s="544" t="s">
        <v>639</v>
      </c>
      <c r="C11" s="1658" t="s">
        <v>282</v>
      </c>
      <c r="D11" s="1658" t="s">
        <v>283</v>
      </c>
      <c r="E11" s="1658" t="s">
        <v>284</v>
      </c>
      <c r="F11" s="1658" t="s">
        <v>285</v>
      </c>
      <c r="G11" s="1658" t="s">
        <v>286</v>
      </c>
      <c r="H11" s="1658" t="s">
        <v>287</v>
      </c>
    </row>
    <row r="12" spans="2:22" s="143" customFormat="1" ht="15.75" x14ac:dyDescent="0.25">
      <c r="B12" s="544" t="s">
        <v>640</v>
      </c>
      <c r="C12" s="1657"/>
      <c r="D12" s="411">
        <f t="shared" ref="D12:H13" si="0">EDATE(C12,12)</f>
        <v>366</v>
      </c>
      <c r="E12" s="411">
        <f t="shared" si="0"/>
        <v>731</v>
      </c>
      <c r="F12" s="411">
        <f t="shared" si="0"/>
        <v>1096</v>
      </c>
      <c r="G12" s="411">
        <f t="shared" si="0"/>
        <v>1461</v>
      </c>
      <c r="H12" s="411">
        <f t="shared" si="0"/>
        <v>1827</v>
      </c>
    </row>
    <row r="13" spans="2:22" s="143" customFormat="1" ht="15.75" x14ac:dyDescent="0.25">
      <c r="B13" s="544" t="s">
        <v>641</v>
      </c>
      <c r="C13" s="1657"/>
      <c r="D13" s="411">
        <f t="shared" si="0"/>
        <v>366</v>
      </c>
      <c r="E13" s="411">
        <f t="shared" si="0"/>
        <v>731</v>
      </c>
      <c r="F13" s="411">
        <f t="shared" si="0"/>
        <v>1096</v>
      </c>
      <c r="G13" s="411">
        <f t="shared" si="0"/>
        <v>1461</v>
      </c>
      <c r="H13" s="411">
        <f t="shared" si="0"/>
        <v>1827</v>
      </c>
    </row>
    <row r="14" spans="2:22" s="143" customFormat="1" ht="15" x14ac:dyDescent="0.2"/>
    <row r="15" spans="2:22" s="143" customFormat="1" ht="15.75" x14ac:dyDescent="0.25">
      <c r="B15" s="145" t="s">
        <v>516</v>
      </c>
    </row>
    <row r="16" spans="2:22" s="143" customFormat="1" ht="15.75" x14ac:dyDescent="0.25">
      <c r="B16" s="145" t="s">
        <v>515</v>
      </c>
    </row>
    <row r="17" spans="2:2" s="143" customFormat="1" ht="15" x14ac:dyDescent="0.2"/>
    <row r="18" spans="2:2" s="143" customFormat="1" ht="15.75" x14ac:dyDescent="0.25">
      <c r="B18" s="145" t="s">
        <v>517</v>
      </c>
    </row>
    <row r="19" spans="2:2" s="143" customFormat="1" ht="15" x14ac:dyDescent="0.2"/>
    <row r="20" spans="2:2" s="143" customFormat="1" ht="15.75" x14ac:dyDescent="0.25">
      <c r="B20" s="145" t="s">
        <v>506</v>
      </c>
    </row>
  </sheetData>
  <sheetProtection algorithmName="SHA-512" hashValue="8yuwCQOEO2sqUP7kOuutj8/ZDTm8JtgkqHQrpDaic5aOW/TfC+tCtfSVUp1+9sas3mRzlsMDOxJPQTDxwWUPYg==" saltValue="POfTJd7+O4XzBHEnsi9cxQ==" spinCount="100000" sheet="1" objects="1" scenarios="1" selectLockedCells="1"/>
  <conditionalFormatting sqref="D12:H12">
    <cfRule type="expression" dxfId="68" priority="3">
      <formula>D12&lt;&gt;C13+1</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92D050"/>
  </sheetPr>
  <dimension ref="B1:X508"/>
  <sheetViews>
    <sheetView zoomScale="78" zoomScaleNormal="78" zoomScaleSheetLayoutView="19" workbookViewId="0">
      <pane xSplit="5" ySplit="6" topLeftCell="F7" activePane="bottomRight" state="frozen"/>
      <selection pane="topRight" activeCell="F1" sqref="F1"/>
      <selection pane="bottomLeft" activeCell="A7" sqref="A7"/>
      <selection pane="bottomRight" activeCell="C3" sqref="C3"/>
    </sheetView>
  </sheetViews>
  <sheetFormatPr defaultColWidth="35.28515625" defaultRowHeight="12.75" x14ac:dyDescent="0.2"/>
  <cols>
    <col min="1" max="1" width="0.85546875" style="547" customWidth="1"/>
    <col min="2" max="2" width="17.140625" style="558" customWidth="1"/>
    <col min="3" max="3" width="42.5703125" style="547" customWidth="1"/>
    <col min="4" max="4" width="66.7109375" style="547" customWidth="1"/>
    <col min="5" max="5" width="51.7109375" style="547" customWidth="1"/>
    <col min="6" max="6" width="50" style="557" customWidth="1"/>
    <col min="7" max="7" width="12.7109375" style="557" customWidth="1"/>
    <col min="8" max="8" width="50" style="557" customWidth="1"/>
    <col min="9" max="9" width="12.7109375" style="557" customWidth="1"/>
    <col min="10" max="10" width="50" style="557" customWidth="1"/>
    <col min="11" max="11" width="12.7109375" style="557" customWidth="1"/>
    <col min="12" max="12" width="50" style="547" customWidth="1"/>
    <col min="13" max="13" width="12.7109375" style="557" customWidth="1"/>
    <col min="14" max="14" width="50" style="547" customWidth="1"/>
    <col min="15" max="15" width="12.7109375" style="557" customWidth="1"/>
    <col min="16" max="16" width="50" style="547" customWidth="1"/>
    <col min="17" max="17" width="12.7109375" style="557" customWidth="1"/>
    <col min="18" max="18" width="50" style="547" customWidth="1"/>
    <col min="19" max="252" width="9.140625" style="547" customWidth="1"/>
    <col min="253" max="16384" width="35.28515625" style="547"/>
  </cols>
  <sheetData>
    <row r="1" spans="2:24" s="524" customFormat="1" ht="18.75" x14ac:dyDescent="0.3">
      <c r="B1" s="862" t="s">
        <v>380</v>
      </c>
      <c r="C1" s="522"/>
      <c r="D1" s="523"/>
      <c r="E1" s="523"/>
      <c r="F1" s="523"/>
      <c r="G1" s="523"/>
      <c r="H1" s="523"/>
      <c r="I1" s="523"/>
      <c r="J1" s="523"/>
      <c r="K1" s="523"/>
      <c r="L1" s="523"/>
      <c r="M1" s="523"/>
      <c r="N1" s="523"/>
      <c r="O1" s="523"/>
      <c r="P1" s="523"/>
      <c r="Q1" s="523"/>
      <c r="R1" s="523"/>
      <c r="S1" s="523"/>
      <c r="T1" s="523"/>
      <c r="U1" s="523"/>
      <c r="V1" s="523"/>
      <c r="W1" s="523"/>
      <c r="X1" s="523"/>
    </row>
    <row r="2" spans="2:24" s="545" customFormat="1" ht="15.75" x14ac:dyDescent="0.2">
      <c r="B2" s="395" t="str">
        <f>INITIALIZATION!C5</f>
        <v>Proposer's Name (Prime or Sub)</v>
      </c>
      <c r="C2" s="1105"/>
      <c r="D2" s="903"/>
      <c r="G2" s="546"/>
      <c r="H2" s="546"/>
      <c r="I2" s="546"/>
      <c r="J2" s="546"/>
      <c r="K2" s="546"/>
      <c r="M2" s="546"/>
      <c r="O2" s="546"/>
      <c r="Q2" s="546"/>
    </row>
    <row r="3" spans="2:24" ht="15" x14ac:dyDescent="0.2">
      <c r="B3" s="77"/>
      <c r="C3" s="548"/>
      <c r="F3" s="549"/>
      <c r="G3" s="549"/>
      <c r="H3" s="549"/>
      <c r="I3" s="549"/>
      <c r="J3" s="549"/>
      <c r="K3" s="549"/>
      <c r="M3" s="549"/>
      <c r="O3" s="549"/>
      <c r="Q3" s="549"/>
    </row>
    <row r="4" spans="2:24" ht="15" x14ac:dyDescent="0.2">
      <c r="B4" s="77"/>
      <c r="C4" s="548"/>
      <c r="F4" s="549"/>
      <c r="G4" s="549"/>
      <c r="H4" s="549"/>
      <c r="I4" s="549"/>
      <c r="J4" s="549"/>
      <c r="K4" s="549"/>
      <c r="M4" s="549"/>
      <c r="O4" s="549"/>
      <c r="Q4" s="549"/>
    </row>
    <row r="5" spans="2:24" ht="15.75" thickBot="1" x14ac:dyDescent="0.25">
      <c r="B5" s="77"/>
      <c r="C5" s="548"/>
      <c r="F5" s="549"/>
      <c r="G5" s="549"/>
      <c r="H5" s="549"/>
      <c r="I5" s="549"/>
      <c r="J5" s="549"/>
      <c r="K5" s="549"/>
      <c r="M5" s="549"/>
      <c r="O5" s="549"/>
      <c r="Q5" s="549"/>
    </row>
    <row r="6" spans="2:24" s="559" customFormat="1" ht="25.15" customHeight="1" thickBot="1" x14ac:dyDescent="0.25">
      <c r="B6" s="1185" t="s">
        <v>369</v>
      </c>
      <c r="C6" s="1186" t="s">
        <v>648</v>
      </c>
      <c r="D6" s="1186" t="s">
        <v>370</v>
      </c>
      <c r="E6" s="1186" t="s">
        <v>371</v>
      </c>
      <c r="F6" s="1186" t="s">
        <v>642</v>
      </c>
      <c r="G6" s="1186" t="s">
        <v>474</v>
      </c>
      <c r="H6" s="1186" t="s">
        <v>643</v>
      </c>
      <c r="I6" s="1186" t="s">
        <v>478</v>
      </c>
      <c r="J6" s="1186" t="s">
        <v>644</v>
      </c>
      <c r="K6" s="1186" t="s">
        <v>761</v>
      </c>
      <c r="L6" s="1186" t="s">
        <v>645</v>
      </c>
      <c r="M6" s="1186" t="s">
        <v>762</v>
      </c>
      <c r="N6" s="1186" t="s">
        <v>646</v>
      </c>
      <c r="O6" s="1186" t="s">
        <v>766</v>
      </c>
      <c r="P6" s="1186" t="s">
        <v>763</v>
      </c>
      <c r="Q6" s="1186" t="s">
        <v>764</v>
      </c>
      <c r="R6" s="1186" t="s">
        <v>647</v>
      </c>
    </row>
    <row r="7" spans="2:24" s="545" customFormat="1" ht="54" customHeight="1" thickBot="1" x14ac:dyDescent="0.25">
      <c r="B7" s="171" t="s">
        <v>476</v>
      </c>
      <c r="C7" s="550" t="s">
        <v>372</v>
      </c>
      <c r="D7" s="550" t="s">
        <v>373</v>
      </c>
      <c r="E7" s="551" t="s">
        <v>374</v>
      </c>
      <c r="F7" s="626" t="s">
        <v>523</v>
      </c>
      <c r="G7" s="627" t="s">
        <v>524</v>
      </c>
      <c r="H7" s="626" t="s">
        <v>475</v>
      </c>
      <c r="I7" s="627" t="s">
        <v>525</v>
      </c>
      <c r="J7" s="626" t="s">
        <v>475</v>
      </c>
      <c r="K7" s="627" t="s">
        <v>526</v>
      </c>
      <c r="L7" s="626" t="s">
        <v>475</v>
      </c>
      <c r="M7" s="627" t="s">
        <v>527</v>
      </c>
      <c r="N7" s="626" t="s">
        <v>475</v>
      </c>
      <c r="O7" s="627" t="s">
        <v>528</v>
      </c>
      <c r="P7" s="626" t="s">
        <v>475</v>
      </c>
      <c r="Q7" s="627" t="s">
        <v>765</v>
      </c>
      <c r="R7" s="625" t="s">
        <v>477</v>
      </c>
    </row>
    <row r="8" spans="2:24" ht="17.25" x14ac:dyDescent="0.2">
      <c r="B8" s="172">
        <v>1</v>
      </c>
      <c r="C8" s="848"/>
      <c r="D8" s="849"/>
      <c r="E8" s="849"/>
      <c r="F8" s="850"/>
      <c r="G8" s="1659">
        <f>'Base (Ph1)'!BH8</f>
        <v>0</v>
      </c>
      <c r="H8" s="853"/>
      <c r="I8" s="1659">
        <f>'O-I (Ph2)'!BH8</f>
        <v>0</v>
      </c>
      <c r="J8" s="858"/>
      <c r="K8" s="1659">
        <f>'O-II (Ph3)'!BH8</f>
        <v>0</v>
      </c>
      <c r="L8" s="849"/>
      <c r="M8" s="1659">
        <f>'O-III (Ph4)'!BH8</f>
        <v>0</v>
      </c>
      <c r="N8" s="853"/>
      <c r="O8" s="1659">
        <f>'O-IV (Ph5)'!BH8</f>
        <v>0</v>
      </c>
      <c r="P8" s="853"/>
      <c r="Q8" s="1659">
        <f>'O-V (Ph6)'!BH8</f>
        <v>0</v>
      </c>
      <c r="R8" s="851"/>
    </row>
    <row r="9" spans="2:24" ht="22.15" customHeight="1" x14ac:dyDescent="0.2">
      <c r="B9" s="173">
        <v>2</v>
      </c>
      <c r="C9" s="848"/>
      <c r="D9" s="851"/>
      <c r="E9" s="848"/>
      <c r="F9" s="852"/>
      <c r="G9" s="1671">
        <f>'Base (Ph1)'!BH9</f>
        <v>0</v>
      </c>
      <c r="H9" s="854"/>
      <c r="I9" s="1660">
        <f>'O-I (Ph2)'!BH9</f>
        <v>0</v>
      </c>
      <c r="J9" s="851"/>
      <c r="K9" s="1660">
        <f>'O-II (Ph3)'!BH9</f>
        <v>0</v>
      </c>
      <c r="L9" s="851"/>
      <c r="M9" s="1660">
        <f>'O-III (Ph4)'!BH9</f>
        <v>0</v>
      </c>
      <c r="N9" s="851"/>
      <c r="O9" s="1660">
        <f>'O-IV (Ph5)'!BH9</f>
        <v>0</v>
      </c>
      <c r="P9" s="851"/>
      <c r="Q9" s="1660">
        <f>'O-V (Ph6)'!BH9</f>
        <v>0</v>
      </c>
      <c r="R9" s="851"/>
    </row>
    <row r="10" spans="2:24" ht="22.15" customHeight="1" x14ac:dyDescent="0.2">
      <c r="B10" s="174">
        <v>3</v>
      </c>
      <c r="C10" s="848"/>
      <c r="D10" s="848"/>
      <c r="E10" s="848"/>
      <c r="F10" s="852"/>
      <c r="G10" s="1671">
        <f>'Base (Ph1)'!BH10</f>
        <v>0</v>
      </c>
      <c r="H10" s="855"/>
      <c r="I10" s="1660">
        <f>'O-I (Ph2)'!BH10</f>
        <v>0</v>
      </c>
      <c r="J10" s="848"/>
      <c r="K10" s="1660">
        <f>'O-II (Ph3)'!BH10</f>
        <v>0</v>
      </c>
      <c r="L10" s="848"/>
      <c r="M10" s="1660">
        <f>'O-III (Ph4)'!BH10</f>
        <v>0</v>
      </c>
      <c r="N10" s="848"/>
      <c r="O10" s="1660">
        <f>'O-IV (Ph5)'!BH10</f>
        <v>0</v>
      </c>
      <c r="P10" s="848"/>
      <c r="Q10" s="1660">
        <f>'O-V (Ph6)'!BH10</f>
        <v>0</v>
      </c>
      <c r="R10" s="851"/>
    </row>
    <row r="11" spans="2:24" ht="22.15" customHeight="1" x14ac:dyDescent="0.2">
      <c r="B11" s="174">
        <v>4</v>
      </c>
      <c r="C11" s="848"/>
      <c r="D11" s="848"/>
      <c r="E11" s="848"/>
      <c r="F11" s="852"/>
      <c r="G11" s="1671">
        <f>'Base (Ph1)'!BH11</f>
        <v>0</v>
      </c>
      <c r="H11" s="855"/>
      <c r="I11" s="1660">
        <f>'O-I (Ph2)'!BH11</f>
        <v>0</v>
      </c>
      <c r="J11" s="848"/>
      <c r="K11" s="1660">
        <f>'O-II (Ph3)'!BH11</f>
        <v>0</v>
      </c>
      <c r="L11" s="848"/>
      <c r="M11" s="1660">
        <f>'O-III (Ph4)'!BH11</f>
        <v>0</v>
      </c>
      <c r="N11" s="848"/>
      <c r="O11" s="1660">
        <f>'O-IV (Ph5)'!BH11</f>
        <v>0</v>
      </c>
      <c r="P11" s="848"/>
      <c r="Q11" s="1660">
        <f>'O-V (Ph6)'!BH11</f>
        <v>0</v>
      </c>
      <c r="R11" s="851"/>
    </row>
    <row r="12" spans="2:24" ht="22.15" customHeight="1" x14ac:dyDescent="0.2">
      <c r="B12" s="174">
        <v>5</v>
      </c>
      <c r="C12" s="848"/>
      <c r="D12" s="848"/>
      <c r="E12" s="848"/>
      <c r="F12" s="852"/>
      <c r="G12" s="1671">
        <f>'Base (Ph1)'!BH12</f>
        <v>0</v>
      </c>
      <c r="H12" s="855"/>
      <c r="I12" s="1660">
        <f>'O-I (Ph2)'!BH12</f>
        <v>0</v>
      </c>
      <c r="J12" s="848"/>
      <c r="K12" s="1660">
        <f>'O-II (Ph3)'!BH12</f>
        <v>0</v>
      </c>
      <c r="L12" s="848"/>
      <c r="M12" s="1660">
        <f>'O-III (Ph4)'!BH12</f>
        <v>0</v>
      </c>
      <c r="N12" s="848"/>
      <c r="O12" s="1660">
        <f>'O-IV (Ph5)'!BH12</f>
        <v>0</v>
      </c>
      <c r="P12" s="848"/>
      <c r="Q12" s="1660">
        <f>'O-V (Ph6)'!BH12</f>
        <v>0</v>
      </c>
      <c r="R12" s="851"/>
    </row>
    <row r="13" spans="2:24" ht="22.15" customHeight="1" x14ac:dyDescent="0.2">
      <c r="B13" s="174">
        <v>6</v>
      </c>
      <c r="C13" s="848"/>
      <c r="D13" s="848"/>
      <c r="E13" s="848"/>
      <c r="F13" s="852"/>
      <c r="G13" s="1671">
        <f>'Base (Ph1)'!BH13</f>
        <v>0</v>
      </c>
      <c r="H13" s="855"/>
      <c r="I13" s="1660">
        <f>'O-I (Ph2)'!BH13</f>
        <v>0</v>
      </c>
      <c r="J13" s="848"/>
      <c r="K13" s="1660">
        <f>'O-II (Ph3)'!BH13</f>
        <v>0</v>
      </c>
      <c r="L13" s="848"/>
      <c r="M13" s="1660">
        <f>'O-III (Ph4)'!BH13</f>
        <v>0</v>
      </c>
      <c r="N13" s="848"/>
      <c r="O13" s="1660">
        <f>'O-IV (Ph5)'!BH13</f>
        <v>0</v>
      </c>
      <c r="P13" s="848"/>
      <c r="Q13" s="1660">
        <f>'O-V (Ph6)'!BH13</f>
        <v>0</v>
      </c>
      <c r="R13" s="851"/>
    </row>
    <row r="14" spans="2:24" ht="22.15" customHeight="1" x14ac:dyDescent="0.2">
      <c r="B14" s="174">
        <v>7</v>
      </c>
      <c r="C14" s="848"/>
      <c r="D14" s="848"/>
      <c r="E14" s="848"/>
      <c r="F14" s="852"/>
      <c r="G14" s="1671">
        <f>'Base (Ph1)'!BH14</f>
        <v>0</v>
      </c>
      <c r="H14" s="855"/>
      <c r="I14" s="1660">
        <f>'O-I (Ph2)'!BH14</f>
        <v>0</v>
      </c>
      <c r="J14" s="848"/>
      <c r="K14" s="1660">
        <f>'O-II (Ph3)'!BH14</f>
        <v>0</v>
      </c>
      <c r="L14" s="848"/>
      <c r="M14" s="1660">
        <f>'O-III (Ph4)'!BH14</f>
        <v>0</v>
      </c>
      <c r="N14" s="848"/>
      <c r="O14" s="1660">
        <f>'O-IV (Ph5)'!BH14</f>
        <v>0</v>
      </c>
      <c r="P14" s="848"/>
      <c r="Q14" s="1660">
        <f>'O-V (Ph6)'!BH14</f>
        <v>0</v>
      </c>
      <c r="R14" s="851"/>
    </row>
    <row r="15" spans="2:24" ht="22.15" customHeight="1" x14ac:dyDescent="0.2">
      <c r="B15" s="174">
        <v>8</v>
      </c>
      <c r="C15" s="848"/>
      <c r="D15" s="848"/>
      <c r="E15" s="848"/>
      <c r="F15" s="852"/>
      <c r="G15" s="1671">
        <f>'Base (Ph1)'!BH15</f>
        <v>0</v>
      </c>
      <c r="H15" s="855"/>
      <c r="I15" s="1660">
        <f>'O-I (Ph2)'!BH15</f>
        <v>0</v>
      </c>
      <c r="J15" s="848"/>
      <c r="K15" s="1660">
        <f>'O-II (Ph3)'!BH15</f>
        <v>0</v>
      </c>
      <c r="L15" s="848"/>
      <c r="M15" s="1660">
        <f>'O-III (Ph4)'!BH15</f>
        <v>0</v>
      </c>
      <c r="N15" s="848"/>
      <c r="O15" s="1660">
        <f>'O-IV (Ph5)'!BH15</f>
        <v>0</v>
      </c>
      <c r="P15" s="848"/>
      <c r="Q15" s="1660">
        <f>'O-V (Ph6)'!BH15</f>
        <v>0</v>
      </c>
      <c r="R15" s="851"/>
    </row>
    <row r="16" spans="2:24" ht="22.15" customHeight="1" x14ac:dyDescent="0.2">
      <c r="B16" s="174">
        <v>9</v>
      </c>
      <c r="C16" s="848"/>
      <c r="D16" s="848"/>
      <c r="E16" s="848"/>
      <c r="F16" s="852"/>
      <c r="G16" s="1671">
        <f>'Base (Ph1)'!BH16</f>
        <v>0</v>
      </c>
      <c r="H16" s="855"/>
      <c r="I16" s="1660">
        <f>'O-I (Ph2)'!BH16</f>
        <v>0</v>
      </c>
      <c r="J16" s="848"/>
      <c r="K16" s="1660">
        <f>'O-II (Ph3)'!BH16</f>
        <v>0</v>
      </c>
      <c r="L16" s="848"/>
      <c r="M16" s="1660">
        <f>'O-III (Ph4)'!BH16</f>
        <v>0</v>
      </c>
      <c r="N16" s="848"/>
      <c r="O16" s="1660">
        <f>'O-IV (Ph5)'!BH16</f>
        <v>0</v>
      </c>
      <c r="P16" s="848"/>
      <c r="Q16" s="1660">
        <f>'O-V (Ph6)'!BH16</f>
        <v>0</v>
      </c>
      <c r="R16" s="851"/>
    </row>
    <row r="17" spans="2:18" ht="22.15" customHeight="1" x14ac:dyDescent="0.2">
      <c r="B17" s="174">
        <v>10</v>
      </c>
      <c r="C17" s="848"/>
      <c r="D17" s="848"/>
      <c r="E17" s="848"/>
      <c r="F17" s="852"/>
      <c r="G17" s="1671">
        <f>'Base (Ph1)'!BH17</f>
        <v>0</v>
      </c>
      <c r="H17" s="855"/>
      <c r="I17" s="1660">
        <f>'O-I (Ph2)'!BH17</f>
        <v>0</v>
      </c>
      <c r="J17" s="848"/>
      <c r="K17" s="1660">
        <f>'O-II (Ph3)'!BH17</f>
        <v>0</v>
      </c>
      <c r="L17" s="848"/>
      <c r="M17" s="1660">
        <f>'O-III (Ph4)'!BH17</f>
        <v>0</v>
      </c>
      <c r="N17" s="848"/>
      <c r="O17" s="1660">
        <f>'O-IV (Ph5)'!BH17</f>
        <v>0</v>
      </c>
      <c r="P17" s="848"/>
      <c r="Q17" s="1660">
        <f>'O-V (Ph6)'!BH17</f>
        <v>0</v>
      </c>
      <c r="R17" s="851"/>
    </row>
    <row r="18" spans="2:18" ht="22.15" customHeight="1" x14ac:dyDescent="0.2">
      <c r="B18" s="174">
        <v>11</v>
      </c>
      <c r="C18" s="848"/>
      <c r="D18" s="848"/>
      <c r="E18" s="848"/>
      <c r="F18" s="852"/>
      <c r="G18" s="1671">
        <f>'Base (Ph1)'!BH18</f>
        <v>0</v>
      </c>
      <c r="H18" s="855"/>
      <c r="I18" s="1660">
        <f>'O-I (Ph2)'!BH18</f>
        <v>0</v>
      </c>
      <c r="J18" s="848"/>
      <c r="K18" s="1660">
        <f>'O-II (Ph3)'!BH18</f>
        <v>0</v>
      </c>
      <c r="L18" s="848"/>
      <c r="M18" s="1660">
        <f>'O-III (Ph4)'!BH18</f>
        <v>0</v>
      </c>
      <c r="N18" s="848"/>
      <c r="O18" s="1660">
        <f>'O-IV (Ph5)'!BH18</f>
        <v>0</v>
      </c>
      <c r="P18" s="848"/>
      <c r="Q18" s="1660">
        <f>'O-V (Ph6)'!BH18</f>
        <v>0</v>
      </c>
      <c r="R18" s="851"/>
    </row>
    <row r="19" spans="2:18" ht="22.15" customHeight="1" x14ac:dyDescent="0.2">
      <c r="B19" s="174">
        <v>12</v>
      </c>
      <c r="C19" s="848"/>
      <c r="D19" s="848"/>
      <c r="E19" s="848"/>
      <c r="F19" s="852"/>
      <c r="G19" s="1671">
        <f>'Base (Ph1)'!BH19</f>
        <v>0</v>
      </c>
      <c r="H19" s="855"/>
      <c r="I19" s="1660">
        <f>'O-I (Ph2)'!BH19</f>
        <v>0</v>
      </c>
      <c r="J19" s="848"/>
      <c r="K19" s="1660">
        <f>'O-II (Ph3)'!BH19</f>
        <v>0</v>
      </c>
      <c r="L19" s="848"/>
      <c r="M19" s="1660">
        <f>'O-III (Ph4)'!BH19</f>
        <v>0</v>
      </c>
      <c r="N19" s="848"/>
      <c r="O19" s="1660">
        <f>'O-IV (Ph5)'!BH19</f>
        <v>0</v>
      </c>
      <c r="P19" s="848"/>
      <c r="Q19" s="1660">
        <f>'O-V (Ph6)'!BH19</f>
        <v>0</v>
      </c>
      <c r="R19" s="851"/>
    </row>
    <row r="20" spans="2:18" ht="22.15" customHeight="1" x14ac:dyDescent="0.2">
      <c r="B20" s="174">
        <v>13</v>
      </c>
      <c r="C20" s="848"/>
      <c r="D20" s="848"/>
      <c r="E20" s="848"/>
      <c r="F20" s="852"/>
      <c r="G20" s="1671">
        <f>'Base (Ph1)'!BH20</f>
        <v>0</v>
      </c>
      <c r="H20" s="855"/>
      <c r="I20" s="1660">
        <f>'O-I (Ph2)'!BH20</f>
        <v>0</v>
      </c>
      <c r="J20" s="848"/>
      <c r="K20" s="1660">
        <f>'O-II (Ph3)'!BH20</f>
        <v>0</v>
      </c>
      <c r="L20" s="848"/>
      <c r="M20" s="1660">
        <f>'O-III (Ph4)'!BH20</f>
        <v>0</v>
      </c>
      <c r="N20" s="848"/>
      <c r="O20" s="1660">
        <f>'O-IV (Ph5)'!BH20</f>
        <v>0</v>
      </c>
      <c r="P20" s="848"/>
      <c r="Q20" s="1660">
        <f>'O-V (Ph6)'!BH20</f>
        <v>0</v>
      </c>
      <c r="R20" s="851"/>
    </row>
    <row r="21" spans="2:18" ht="22.15" customHeight="1" x14ac:dyDescent="0.2">
      <c r="B21" s="174">
        <v>14</v>
      </c>
      <c r="C21" s="848"/>
      <c r="D21" s="848"/>
      <c r="E21" s="848"/>
      <c r="F21" s="852"/>
      <c r="G21" s="1671">
        <f>'Base (Ph1)'!BH21</f>
        <v>0</v>
      </c>
      <c r="H21" s="855"/>
      <c r="I21" s="1660">
        <f>'O-I (Ph2)'!BH21</f>
        <v>0</v>
      </c>
      <c r="J21" s="848"/>
      <c r="K21" s="1660">
        <f>'O-II (Ph3)'!BH21</f>
        <v>0</v>
      </c>
      <c r="L21" s="848"/>
      <c r="M21" s="1660">
        <f>'O-III (Ph4)'!BH21</f>
        <v>0</v>
      </c>
      <c r="N21" s="848"/>
      <c r="O21" s="1660">
        <f>'O-IV (Ph5)'!BH21</f>
        <v>0</v>
      </c>
      <c r="P21" s="848"/>
      <c r="Q21" s="1660">
        <f>'O-V (Ph6)'!BH21</f>
        <v>0</v>
      </c>
      <c r="R21" s="851"/>
    </row>
    <row r="22" spans="2:18" ht="22.15" customHeight="1" x14ac:dyDescent="0.2">
      <c r="B22" s="174">
        <v>15</v>
      </c>
      <c r="C22" s="848"/>
      <c r="D22" s="848"/>
      <c r="E22" s="848"/>
      <c r="F22" s="852"/>
      <c r="G22" s="1671">
        <f>'Base (Ph1)'!BH22</f>
        <v>0</v>
      </c>
      <c r="H22" s="855"/>
      <c r="I22" s="1660">
        <f>'O-I (Ph2)'!BH22</f>
        <v>0</v>
      </c>
      <c r="J22" s="848"/>
      <c r="K22" s="1660">
        <f>'O-II (Ph3)'!BH22</f>
        <v>0</v>
      </c>
      <c r="L22" s="848"/>
      <c r="M22" s="1660">
        <f>'O-III (Ph4)'!BH22</f>
        <v>0</v>
      </c>
      <c r="N22" s="848"/>
      <c r="O22" s="1660">
        <f>'O-IV (Ph5)'!BH22</f>
        <v>0</v>
      </c>
      <c r="P22" s="848"/>
      <c r="Q22" s="1660">
        <f>'O-V (Ph6)'!BH22</f>
        <v>0</v>
      </c>
      <c r="R22" s="851"/>
    </row>
    <row r="23" spans="2:18" ht="22.15" customHeight="1" x14ac:dyDescent="0.2">
      <c r="B23" s="174">
        <v>16</v>
      </c>
      <c r="C23" s="848"/>
      <c r="D23" s="848"/>
      <c r="E23" s="848"/>
      <c r="F23" s="852"/>
      <c r="G23" s="1671">
        <f>'Base (Ph1)'!BH23</f>
        <v>0</v>
      </c>
      <c r="H23" s="855"/>
      <c r="I23" s="1660">
        <f>'O-I (Ph2)'!BH23</f>
        <v>0</v>
      </c>
      <c r="J23" s="848"/>
      <c r="K23" s="1660">
        <f>'O-II (Ph3)'!BH23</f>
        <v>0</v>
      </c>
      <c r="L23" s="848"/>
      <c r="M23" s="1660">
        <f>'O-III (Ph4)'!BH23</f>
        <v>0</v>
      </c>
      <c r="N23" s="848"/>
      <c r="O23" s="1660">
        <f>'O-IV (Ph5)'!BH23</f>
        <v>0</v>
      </c>
      <c r="P23" s="848"/>
      <c r="Q23" s="1660">
        <f>'O-V (Ph6)'!BH23</f>
        <v>0</v>
      </c>
      <c r="R23" s="851"/>
    </row>
    <row r="24" spans="2:18" ht="22.15" customHeight="1" x14ac:dyDescent="0.2">
      <c r="B24" s="174">
        <v>17</v>
      </c>
      <c r="C24" s="848"/>
      <c r="D24" s="848"/>
      <c r="E24" s="848"/>
      <c r="F24" s="852"/>
      <c r="G24" s="1671">
        <f>'Base (Ph1)'!BH24</f>
        <v>0</v>
      </c>
      <c r="H24" s="855"/>
      <c r="I24" s="1660">
        <f>'O-I (Ph2)'!BH24</f>
        <v>0</v>
      </c>
      <c r="J24" s="848"/>
      <c r="K24" s="1660">
        <f>'O-II (Ph3)'!BH24</f>
        <v>0</v>
      </c>
      <c r="L24" s="848"/>
      <c r="M24" s="1660">
        <f>'O-III (Ph4)'!BH24</f>
        <v>0</v>
      </c>
      <c r="N24" s="848"/>
      <c r="O24" s="1660">
        <f>'O-IV (Ph5)'!BH24</f>
        <v>0</v>
      </c>
      <c r="P24" s="848"/>
      <c r="Q24" s="1660">
        <f>'O-V (Ph6)'!BH24</f>
        <v>0</v>
      </c>
      <c r="R24" s="851"/>
    </row>
    <row r="25" spans="2:18" ht="22.15" customHeight="1" x14ac:dyDescent="0.2">
      <c r="B25" s="174">
        <v>18</v>
      </c>
      <c r="C25" s="848"/>
      <c r="D25" s="848"/>
      <c r="E25" s="848"/>
      <c r="F25" s="852"/>
      <c r="G25" s="1671">
        <f>'Base (Ph1)'!BH25</f>
        <v>0</v>
      </c>
      <c r="H25" s="855"/>
      <c r="I25" s="1660">
        <f>'O-I (Ph2)'!BH25</f>
        <v>0</v>
      </c>
      <c r="J25" s="848"/>
      <c r="K25" s="1660">
        <f>'O-II (Ph3)'!BH25</f>
        <v>0</v>
      </c>
      <c r="L25" s="848"/>
      <c r="M25" s="1660">
        <f>'O-III (Ph4)'!BH25</f>
        <v>0</v>
      </c>
      <c r="N25" s="848"/>
      <c r="O25" s="1660">
        <f>'O-IV (Ph5)'!BH25</f>
        <v>0</v>
      </c>
      <c r="P25" s="848"/>
      <c r="Q25" s="1660">
        <f>'O-V (Ph6)'!BH25</f>
        <v>0</v>
      </c>
      <c r="R25" s="851"/>
    </row>
    <row r="26" spans="2:18" ht="22.15" customHeight="1" x14ac:dyDescent="0.2">
      <c r="B26" s="174">
        <v>19</v>
      </c>
      <c r="C26" s="848"/>
      <c r="D26" s="848"/>
      <c r="E26" s="848"/>
      <c r="F26" s="852"/>
      <c r="G26" s="1671">
        <f>'Base (Ph1)'!BH26</f>
        <v>0</v>
      </c>
      <c r="H26" s="856"/>
      <c r="I26" s="1660">
        <f>'O-I (Ph2)'!BH26</f>
        <v>0</v>
      </c>
      <c r="J26" s="855"/>
      <c r="K26" s="1660">
        <f>'O-II (Ph3)'!BH26</f>
        <v>0</v>
      </c>
      <c r="L26" s="848"/>
      <c r="M26" s="1660">
        <f>'O-III (Ph4)'!BH26</f>
        <v>0</v>
      </c>
      <c r="N26" s="848"/>
      <c r="O26" s="1660">
        <f>'O-IV (Ph5)'!BH26</f>
        <v>0</v>
      </c>
      <c r="P26" s="848"/>
      <c r="Q26" s="1660">
        <f>'O-V (Ph6)'!BH26</f>
        <v>0</v>
      </c>
      <c r="R26" s="851"/>
    </row>
    <row r="27" spans="2:18" ht="22.15" customHeight="1" x14ac:dyDescent="0.2">
      <c r="B27" s="174">
        <v>20</v>
      </c>
      <c r="C27" s="848"/>
      <c r="D27" s="848"/>
      <c r="E27" s="848"/>
      <c r="F27" s="852"/>
      <c r="G27" s="1671">
        <f>'Base (Ph1)'!BH27</f>
        <v>0</v>
      </c>
      <c r="H27" s="856"/>
      <c r="I27" s="1660">
        <f>'O-I (Ph2)'!BH27</f>
        <v>0</v>
      </c>
      <c r="J27" s="855"/>
      <c r="K27" s="1660">
        <f>'O-II (Ph3)'!BH27</f>
        <v>0</v>
      </c>
      <c r="L27" s="848"/>
      <c r="M27" s="1660">
        <f>'O-III (Ph4)'!BH27</f>
        <v>0</v>
      </c>
      <c r="N27" s="848"/>
      <c r="O27" s="1660">
        <f>'O-IV (Ph5)'!BH27</f>
        <v>0</v>
      </c>
      <c r="P27" s="848"/>
      <c r="Q27" s="1660">
        <f>'O-V (Ph6)'!BH27</f>
        <v>0</v>
      </c>
      <c r="R27" s="851"/>
    </row>
    <row r="28" spans="2:18" ht="22.15" customHeight="1" x14ac:dyDescent="0.2">
      <c r="B28" s="174">
        <v>21</v>
      </c>
      <c r="C28" s="848"/>
      <c r="D28" s="848"/>
      <c r="E28" s="848"/>
      <c r="F28" s="852"/>
      <c r="G28" s="1671">
        <f>'Base (Ph1)'!BH28</f>
        <v>0</v>
      </c>
      <c r="H28" s="856"/>
      <c r="I28" s="1660">
        <f>'O-I (Ph2)'!BH28</f>
        <v>0</v>
      </c>
      <c r="J28" s="855"/>
      <c r="K28" s="1660">
        <f>'O-II (Ph3)'!BH28</f>
        <v>0</v>
      </c>
      <c r="L28" s="848"/>
      <c r="M28" s="1660">
        <f>'O-III (Ph4)'!BH28</f>
        <v>0</v>
      </c>
      <c r="N28" s="848"/>
      <c r="O28" s="1660">
        <f>'O-IV (Ph5)'!BH28</f>
        <v>0</v>
      </c>
      <c r="P28" s="848"/>
      <c r="Q28" s="1660">
        <f>'O-V (Ph6)'!BH28</f>
        <v>0</v>
      </c>
      <c r="R28" s="851"/>
    </row>
    <row r="29" spans="2:18" ht="22.15" customHeight="1" x14ac:dyDescent="0.2">
      <c r="B29" s="174">
        <v>22</v>
      </c>
      <c r="C29" s="848"/>
      <c r="D29" s="848"/>
      <c r="E29" s="848"/>
      <c r="F29" s="852"/>
      <c r="G29" s="1671">
        <f>'Base (Ph1)'!BH29</f>
        <v>0</v>
      </c>
      <c r="H29" s="856"/>
      <c r="I29" s="1660">
        <f>'O-I (Ph2)'!BH29</f>
        <v>0</v>
      </c>
      <c r="J29" s="855"/>
      <c r="K29" s="1660">
        <f>'O-II (Ph3)'!BH29</f>
        <v>0</v>
      </c>
      <c r="L29" s="848"/>
      <c r="M29" s="1660">
        <f>'O-III (Ph4)'!BH29</f>
        <v>0</v>
      </c>
      <c r="N29" s="848"/>
      <c r="O29" s="1660">
        <f>'O-IV (Ph5)'!BH29</f>
        <v>0</v>
      </c>
      <c r="P29" s="848"/>
      <c r="Q29" s="1660">
        <f>'O-V (Ph6)'!BH29</f>
        <v>0</v>
      </c>
      <c r="R29" s="851"/>
    </row>
    <row r="30" spans="2:18" ht="22.15" customHeight="1" x14ac:dyDescent="0.2">
      <c r="B30" s="174">
        <v>23</v>
      </c>
      <c r="C30" s="848"/>
      <c r="D30" s="848"/>
      <c r="E30" s="848"/>
      <c r="F30" s="852"/>
      <c r="G30" s="1671">
        <f>'Base (Ph1)'!BH30</f>
        <v>0</v>
      </c>
      <c r="H30" s="856"/>
      <c r="I30" s="1660">
        <f>'O-I (Ph2)'!BH30</f>
        <v>0</v>
      </c>
      <c r="J30" s="855"/>
      <c r="K30" s="1660">
        <f>'O-II (Ph3)'!BH30</f>
        <v>0</v>
      </c>
      <c r="L30" s="848"/>
      <c r="M30" s="1660">
        <f>'O-III (Ph4)'!BH30</f>
        <v>0</v>
      </c>
      <c r="N30" s="848"/>
      <c r="O30" s="1660">
        <f>'O-IV (Ph5)'!BH30</f>
        <v>0</v>
      </c>
      <c r="P30" s="848"/>
      <c r="Q30" s="1660">
        <f>'O-V (Ph6)'!BH30</f>
        <v>0</v>
      </c>
      <c r="R30" s="851"/>
    </row>
    <row r="31" spans="2:18" ht="22.15" customHeight="1" x14ac:dyDescent="0.2">
      <c r="B31" s="174">
        <v>24</v>
      </c>
      <c r="C31" s="848"/>
      <c r="D31" s="848"/>
      <c r="E31" s="848"/>
      <c r="F31" s="852"/>
      <c r="G31" s="1671">
        <f>'Base (Ph1)'!BH31</f>
        <v>0</v>
      </c>
      <c r="H31" s="857"/>
      <c r="I31" s="1660">
        <f>'O-I (Ph2)'!BH31</f>
        <v>0</v>
      </c>
      <c r="J31" s="855"/>
      <c r="K31" s="1660">
        <f>'O-II (Ph3)'!BH31</f>
        <v>0</v>
      </c>
      <c r="L31" s="848"/>
      <c r="M31" s="1660">
        <f>'O-III (Ph4)'!BH31</f>
        <v>0</v>
      </c>
      <c r="N31" s="848"/>
      <c r="O31" s="1660">
        <f>'O-IV (Ph5)'!BH31</f>
        <v>0</v>
      </c>
      <c r="P31" s="848"/>
      <c r="Q31" s="1660">
        <f>'O-V (Ph6)'!BH31</f>
        <v>0</v>
      </c>
      <c r="R31" s="851"/>
    </row>
    <row r="32" spans="2:18" ht="22.15" customHeight="1" x14ac:dyDescent="0.2">
      <c r="B32" s="174">
        <v>25</v>
      </c>
      <c r="C32" s="848"/>
      <c r="D32" s="848"/>
      <c r="E32" s="848"/>
      <c r="F32" s="852"/>
      <c r="G32" s="1671">
        <f>'Base (Ph1)'!BH32</f>
        <v>0</v>
      </c>
      <c r="H32" s="856"/>
      <c r="I32" s="1660">
        <f>'O-I (Ph2)'!BH32</f>
        <v>0</v>
      </c>
      <c r="J32" s="855"/>
      <c r="K32" s="1660">
        <f>'O-II (Ph3)'!BH32</f>
        <v>0</v>
      </c>
      <c r="L32" s="848"/>
      <c r="M32" s="1660">
        <f>'O-III (Ph4)'!BH32</f>
        <v>0</v>
      </c>
      <c r="N32" s="848"/>
      <c r="O32" s="1660">
        <f>'O-IV (Ph5)'!BH32</f>
        <v>0</v>
      </c>
      <c r="P32" s="848"/>
      <c r="Q32" s="1660">
        <f>'O-V (Ph6)'!BH32</f>
        <v>0</v>
      </c>
      <c r="R32" s="851"/>
    </row>
    <row r="33" spans="2:18" ht="22.15" customHeight="1" x14ac:dyDescent="0.2">
      <c r="B33" s="174">
        <v>26</v>
      </c>
      <c r="C33" s="848"/>
      <c r="D33" s="848"/>
      <c r="E33" s="848"/>
      <c r="F33" s="852"/>
      <c r="G33" s="1671">
        <f>'Base (Ph1)'!BH33</f>
        <v>0</v>
      </c>
      <c r="H33" s="856"/>
      <c r="I33" s="1660">
        <f>'O-I (Ph2)'!BH33</f>
        <v>0</v>
      </c>
      <c r="J33" s="855"/>
      <c r="K33" s="1660">
        <f>'O-II (Ph3)'!BH33</f>
        <v>0</v>
      </c>
      <c r="L33" s="848"/>
      <c r="M33" s="1660">
        <f>'O-III (Ph4)'!BH33</f>
        <v>0</v>
      </c>
      <c r="N33" s="848"/>
      <c r="O33" s="1660">
        <f>'O-IV (Ph5)'!BH33</f>
        <v>0</v>
      </c>
      <c r="P33" s="848"/>
      <c r="Q33" s="1660">
        <f>'O-V (Ph6)'!BH33</f>
        <v>0</v>
      </c>
      <c r="R33" s="851"/>
    </row>
    <row r="34" spans="2:18" ht="22.15" customHeight="1" x14ac:dyDescent="0.2">
      <c r="B34" s="174">
        <v>27</v>
      </c>
      <c r="C34" s="848"/>
      <c r="D34" s="848"/>
      <c r="E34" s="848"/>
      <c r="F34" s="852"/>
      <c r="G34" s="1671">
        <f>'Base (Ph1)'!BH34</f>
        <v>0</v>
      </c>
      <c r="H34" s="856"/>
      <c r="I34" s="1660">
        <f>'O-I (Ph2)'!BH34</f>
        <v>0</v>
      </c>
      <c r="J34" s="855"/>
      <c r="K34" s="1660">
        <f>'O-II (Ph3)'!BH34</f>
        <v>0</v>
      </c>
      <c r="L34" s="848"/>
      <c r="M34" s="1660">
        <f>'O-III (Ph4)'!BH34</f>
        <v>0</v>
      </c>
      <c r="N34" s="848"/>
      <c r="O34" s="1660">
        <f>'O-IV (Ph5)'!BH34</f>
        <v>0</v>
      </c>
      <c r="P34" s="848"/>
      <c r="Q34" s="1660">
        <f>'O-V (Ph6)'!BH34</f>
        <v>0</v>
      </c>
      <c r="R34" s="851"/>
    </row>
    <row r="35" spans="2:18" ht="22.15" customHeight="1" x14ac:dyDescent="0.2">
      <c r="B35" s="174">
        <v>28</v>
      </c>
      <c r="C35" s="848"/>
      <c r="D35" s="848"/>
      <c r="E35" s="848"/>
      <c r="F35" s="852"/>
      <c r="G35" s="1671">
        <f>'Base (Ph1)'!BH35</f>
        <v>0</v>
      </c>
      <c r="H35" s="856"/>
      <c r="I35" s="1660">
        <f>'O-I (Ph2)'!BH35</f>
        <v>0</v>
      </c>
      <c r="J35" s="855"/>
      <c r="K35" s="1660">
        <f>'O-II (Ph3)'!BH35</f>
        <v>0</v>
      </c>
      <c r="L35" s="848"/>
      <c r="M35" s="1660">
        <f>'O-III (Ph4)'!BH35</f>
        <v>0</v>
      </c>
      <c r="N35" s="848"/>
      <c r="O35" s="1660">
        <f>'O-IV (Ph5)'!BH35</f>
        <v>0</v>
      </c>
      <c r="P35" s="848"/>
      <c r="Q35" s="1660">
        <f>'O-V (Ph6)'!BH35</f>
        <v>0</v>
      </c>
      <c r="R35" s="851"/>
    </row>
    <row r="36" spans="2:18" ht="22.15" customHeight="1" x14ac:dyDescent="0.2">
      <c r="B36" s="174">
        <v>29</v>
      </c>
      <c r="C36" s="848"/>
      <c r="D36" s="848"/>
      <c r="E36" s="848"/>
      <c r="F36" s="852"/>
      <c r="G36" s="1671">
        <f>'Base (Ph1)'!BH36</f>
        <v>0</v>
      </c>
      <c r="H36" s="856"/>
      <c r="I36" s="1660">
        <f>'O-I (Ph2)'!BH36</f>
        <v>0</v>
      </c>
      <c r="J36" s="855"/>
      <c r="K36" s="1660">
        <f>'O-II (Ph3)'!BH36</f>
        <v>0</v>
      </c>
      <c r="L36" s="848"/>
      <c r="M36" s="1660">
        <f>'O-III (Ph4)'!BH36</f>
        <v>0</v>
      </c>
      <c r="N36" s="848"/>
      <c r="O36" s="1660">
        <f>'O-IV (Ph5)'!BH36</f>
        <v>0</v>
      </c>
      <c r="P36" s="848"/>
      <c r="Q36" s="1660">
        <f>'O-V (Ph6)'!BH36</f>
        <v>0</v>
      </c>
      <c r="R36" s="851"/>
    </row>
    <row r="37" spans="2:18" ht="22.15" customHeight="1" x14ac:dyDescent="0.2">
      <c r="B37" s="174">
        <v>30</v>
      </c>
      <c r="C37" s="848"/>
      <c r="D37" s="848"/>
      <c r="E37" s="848"/>
      <c r="F37" s="852"/>
      <c r="G37" s="1671">
        <f>'Base (Ph1)'!BH37</f>
        <v>0</v>
      </c>
      <c r="H37" s="856"/>
      <c r="I37" s="1660">
        <f>'O-I (Ph2)'!BH37</f>
        <v>0</v>
      </c>
      <c r="J37" s="855"/>
      <c r="K37" s="1660">
        <f>'O-II (Ph3)'!BH37</f>
        <v>0</v>
      </c>
      <c r="L37" s="848"/>
      <c r="M37" s="1660">
        <f>'O-III (Ph4)'!BH37</f>
        <v>0</v>
      </c>
      <c r="N37" s="848"/>
      <c r="O37" s="1660">
        <f>'O-IV (Ph5)'!BH37</f>
        <v>0</v>
      </c>
      <c r="P37" s="848"/>
      <c r="Q37" s="1660">
        <f>'O-V (Ph6)'!BH37</f>
        <v>0</v>
      </c>
      <c r="R37" s="851"/>
    </row>
    <row r="38" spans="2:18" ht="22.15" customHeight="1" x14ac:dyDescent="0.2">
      <c r="B38" s="174">
        <v>31</v>
      </c>
      <c r="C38" s="848"/>
      <c r="D38" s="848"/>
      <c r="E38" s="848"/>
      <c r="F38" s="852"/>
      <c r="G38" s="1671">
        <f>'Base (Ph1)'!BH38</f>
        <v>0</v>
      </c>
      <c r="H38" s="856"/>
      <c r="I38" s="1660">
        <f>'O-I (Ph2)'!BH38</f>
        <v>0</v>
      </c>
      <c r="J38" s="855"/>
      <c r="K38" s="1660">
        <f>'O-II (Ph3)'!BH38</f>
        <v>0</v>
      </c>
      <c r="L38" s="848"/>
      <c r="M38" s="1660">
        <f>'O-III (Ph4)'!BH38</f>
        <v>0</v>
      </c>
      <c r="N38" s="848"/>
      <c r="O38" s="1660">
        <f>'O-IV (Ph5)'!BH38</f>
        <v>0</v>
      </c>
      <c r="P38" s="848"/>
      <c r="Q38" s="1660">
        <f>'O-V (Ph6)'!BH38</f>
        <v>0</v>
      </c>
      <c r="R38" s="851"/>
    </row>
    <row r="39" spans="2:18" ht="22.15" customHeight="1" x14ac:dyDescent="0.2">
      <c r="B39" s="174">
        <v>32</v>
      </c>
      <c r="C39" s="848"/>
      <c r="D39" s="848"/>
      <c r="E39" s="848"/>
      <c r="F39" s="852"/>
      <c r="G39" s="1671">
        <f>'Base (Ph1)'!BH39</f>
        <v>0</v>
      </c>
      <c r="H39" s="856"/>
      <c r="I39" s="1660">
        <f>'O-I (Ph2)'!BH39</f>
        <v>0</v>
      </c>
      <c r="J39" s="855"/>
      <c r="K39" s="1660">
        <f>'O-II (Ph3)'!BH39</f>
        <v>0</v>
      </c>
      <c r="L39" s="848"/>
      <c r="M39" s="1660">
        <f>'O-III (Ph4)'!BH39</f>
        <v>0</v>
      </c>
      <c r="N39" s="848"/>
      <c r="O39" s="1660">
        <f>'O-IV (Ph5)'!BH39</f>
        <v>0</v>
      </c>
      <c r="P39" s="848"/>
      <c r="Q39" s="1660">
        <f>'O-V (Ph6)'!BH39</f>
        <v>0</v>
      </c>
      <c r="R39" s="851"/>
    </row>
    <row r="40" spans="2:18" ht="22.15" customHeight="1" x14ac:dyDescent="0.2">
      <c r="B40" s="174">
        <v>33</v>
      </c>
      <c r="C40" s="848"/>
      <c r="D40" s="848"/>
      <c r="E40" s="848"/>
      <c r="F40" s="852"/>
      <c r="G40" s="1671">
        <f>'Base (Ph1)'!BH40</f>
        <v>0</v>
      </c>
      <c r="H40" s="856"/>
      <c r="I40" s="1660">
        <f>'O-I (Ph2)'!BH40</f>
        <v>0</v>
      </c>
      <c r="J40" s="855"/>
      <c r="K40" s="1660">
        <f>'O-II (Ph3)'!BH40</f>
        <v>0</v>
      </c>
      <c r="L40" s="848"/>
      <c r="M40" s="1660">
        <f>'O-III (Ph4)'!BH40</f>
        <v>0</v>
      </c>
      <c r="N40" s="848"/>
      <c r="O40" s="1660">
        <f>'O-IV (Ph5)'!BH40</f>
        <v>0</v>
      </c>
      <c r="P40" s="848"/>
      <c r="Q40" s="1660">
        <f>'O-V (Ph6)'!BH40</f>
        <v>0</v>
      </c>
      <c r="R40" s="851"/>
    </row>
    <row r="41" spans="2:18" ht="22.15" customHeight="1" x14ac:dyDescent="0.2">
      <c r="B41" s="174">
        <v>34</v>
      </c>
      <c r="C41" s="848"/>
      <c r="D41" s="848"/>
      <c r="E41" s="848"/>
      <c r="F41" s="852"/>
      <c r="G41" s="1671">
        <f>'Base (Ph1)'!BH41</f>
        <v>0</v>
      </c>
      <c r="H41" s="856"/>
      <c r="I41" s="1660">
        <f>'O-I (Ph2)'!BH41</f>
        <v>0</v>
      </c>
      <c r="J41" s="855"/>
      <c r="K41" s="1660">
        <f>'O-II (Ph3)'!BH41</f>
        <v>0</v>
      </c>
      <c r="L41" s="848"/>
      <c r="M41" s="1660">
        <f>'O-III (Ph4)'!BH41</f>
        <v>0</v>
      </c>
      <c r="N41" s="848"/>
      <c r="O41" s="1660">
        <f>'O-IV (Ph5)'!BH41</f>
        <v>0</v>
      </c>
      <c r="P41" s="848"/>
      <c r="Q41" s="1660">
        <f>'O-V (Ph6)'!BH41</f>
        <v>0</v>
      </c>
      <c r="R41" s="851"/>
    </row>
    <row r="42" spans="2:18" ht="22.15" customHeight="1" x14ac:dyDescent="0.2">
      <c r="B42" s="174">
        <v>35</v>
      </c>
      <c r="C42" s="848"/>
      <c r="D42" s="848"/>
      <c r="E42" s="848"/>
      <c r="F42" s="852"/>
      <c r="G42" s="1671">
        <f>'Base (Ph1)'!BH42</f>
        <v>0</v>
      </c>
      <c r="H42" s="856"/>
      <c r="I42" s="1660">
        <f>'O-I (Ph2)'!BH42</f>
        <v>0</v>
      </c>
      <c r="J42" s="855"/>
      <c r="K42" s="1660">
        <f>'O-II (Ph3)'!BH42</f>
        <v>0</v>
      </c>
      <c r="L42" s="848"/>
      <c r="M42" s="1660">
        <f>'O-III (Ph4)'!BH42</f>
        <v>0</v>
      </c>
      <c r="N42" s="848"/>
      <c r="O42" s="1660">
        <f>'O-IV (Ph5)'!BH42</f>
        <v>0</v>
      </c>
      <c r="P42" s="848"/>
      <c r="Q42" s="1660">
        <f>'O-V (Ph6)'!BH42</f>
        <v>0</v>
      </c>
      <c r="R42" s="851"/>
    </row>
    <row r="43" spans="2:18" ht="22.15" customHeight="1" x14ac:dyDescent="0.2">
      <c r="B43" s="174">
        <v>36</v>
      </c>
      <c r="C43" s="848"/>
      <c r="D43" s="848"/>
      <c r="E43" s="848"/>
      <c r="F43" s="852"/>
      <c r="G43" s="1671">
        <f>'Base (Ph1)'!BH43</f>
        <v>0</v>
      </c>
      <c r="H43" s="856"/>
      <c r="I43" s="1660">
        <f>'O-I (Ph2)'!BH43</f>
        <v>0</v>
      </c>
      <c r="J43" s="855"/>
      <c r="K43" s="1660">
        <f>'O-II (Ph3)'!BH43</f>
        <v>0</v>
      </c>
      <c r="L43" s="848"/>
      <c r="M43" s="1660">
        <f>'O-III (Ph4)'!BH43</f>
        <v>0</v>
      </c>
      <c r="N43" s="848"/>
      <c r="O43" s="1660">
        <f>'O-IV (Ph5)'!BH43</f>
        <v>0</v>
      </c>
      <c r="P43" s="848"/>
      <c r="Q43" s="1660">
        <f>'O-V (Ph6)'!BH43</f>
        <v>0</v>
      </c>
      <c r="R43" s="851"/>
    </row>
    <row r="44" spans="2:18" ht="22.15" customHeight="1" x14ac:dyDescent="0.2">
      <c r="B44" s="174">
        <v>37</v>
      </c>
      <c r="C44" s="848"/>
      <c r="D44" s="848"/>
      <c r="E44" s="848"/>
      <c r="F44" s="852"/>
      <c r="G44" s="1671">
        <f>'Base (Ph1)'!BH44</f>
        <v>0</v>
      </c>
      <c r="H44" s="856"/>
      <c r="I44" s="1660">
        <f>'O-I (Ph2)'!BH44</f>
        <v>0</v>
      </c>
      <c r="J44" s="855"/>
      <c r="K44" s="1660">
        <f>'O-II (Ph3)'!BH44</f>
        <v>0</v>
      </c>
      <c r="L44" s="848"/>
      <c r="M44" s="1660">
        <f>'O-III (Ph4)'!BH44</f>
        <v>0</v>
      </c>
      <c r="N44" s="848"/>
      <c r="O44" s="1660">
        <f>'O-IV (Ph5)'!BH44</f>
        <v>0</v>
      </c>
      <c r="P44" s="848"/>
      <c r="Q44" s="1660">
        <f>'O-V (Ph6)'!BH44</f>
        <v>0</v>
      </c>
      <c r="R44" s="851"/>
    </row>
    <row r="45" spans="2:18" ht="22.15" customHeight="1" x14ac:dyDescent="0.2">
      <c r="B45" s="174">
        <v>38</v>
      </c>
      <c r="C45" s="848"/>
      <c r="D45" s="848"/>
      <c r="E45" s="848"/>
      <c r="F45" s="852"/>
      <c r="G45" s="1671">
        <f>'Base (Ph1)'!BH45</f>
        <v>0</v>
      </c>
      <c r="H45" s="856"/>
      <c r="I45" s="1660">
        <f>'O-I (Ph2)'!BH45</f>
        <v>0</v>
      </c>
      <c r="J45" s="855"/>
      <c r="K45" s="1660">
        <f>'O-II (Ph3)'!BH45</f>
        <v>0</v>
      </c>
      <c r="L45" s="848"/>
      <c r="M45" s="1660">
        <f>'O-III (Ph4)'!BH45</f>
        <v>0</v>
      </c>
      <c r="N45" s="848"/>
      <c r="O45" s="1660">
        <f>'O-IV (Ph5)'!BH45</f>
        <v>0</v>
      </c>
      <c r="P45" s="848"/>
      <c r="Q45" s="1660">
        <f>'O-V (Ph6)'!BH45</f>
        <v>0</v>
      </c>
      <c r="R45" s="851"/>
    </row>
    <row r="46" spans="2:18" ht="22.15" customHeight="1" x14ac:dyDescent="0.2">
      <c r="B46" s="174">
        <v>39</v>
      </c>
      <c r="C46" s="848"/>
      <c r="D46" s="848"/>
      <c r="E46" s="848"/>
      <c r="F46" s="852"/>
      <c r="G46" s="1671">
        <f>'Base (Ph1)'!BH46</f>
        <v>0</v>
      </c>
      <c r="H46" s="856"/>
      <c r="I46" s="1660">
        <f>'O-I (Ph2)'!BH46</f>
        <v>0</v>
      </c>
      <c r="J46" s="855"/>
      <c r="K46" s="1660">
        <f>'O-II (Ph3)'!BH46</f>
        <v>0</v>
      </c>
      <c r="L46" s="848"/>
      <c r="M46" s="1660">
        <f>'O-III (Ph4)'!BH46</f>
        <v>0</v>
      </c>
      <c r="N46" s="848"/>
      <c r="O46" s="1660">
        <f>'O-IV (Ph5)'!BH46</f>
        <v>0</v>
      </c>
      <c r="P46" s="848"/>
      <c r="Q46" s="1660">
        <f>'O-V (Ph6)'!BH46</f>
        <v>0</v>
      </c>
      <c r="R46" s="851"/>
    </row>
    <row r="47" spans="2:18" ht="22.15" customHeight="1" thickBot="1" x14ac:dyDescent="0.25">
      <c r="B47" s="174">
        <v>40</v>
      </c>
      <c r="C47" s="848"/>
      <c r="D47" s="848"/>
      <c r="E47" s="848"/>
      <c r="F47" s="852"/>
      <c r="G47" s="1671">
        <f>'Base (Ph1)'!BH47</f>
        <v>0</v>
      </c>
      <c r="H47" s="856"/>
      <c r="I47" s="1661">
        <f>'O-I (Ph2)'!BH47</f>
        <v>0</v>
      </c>
      <c r="J47" s="855"/>
      <c r="K47" s="1661">
        <f>'O-II (Ph3)'!BH47</f>
        <v>0</v>
      </c>
      <c r="L47" s="848"/>
      <c r="M47" s="1660">
        <f>'O-III (Ph4)'!BH47</f>
        <v>0</v>
      </c>
      <c r="N47" s="848"/>
      <c r="O47" s="1660">
        <f>'O-IV (Ph5)'!BH47</f>
        <v>0</v>
      </c>
      <c r="P47" s="848"/>
      <c r="Q47" s="1660">
        <f>'O-V (Ph6)'!BH47</f>
        <v>0</v>
      </c>
      <c r="R47" s="851"/>
    </row>
    <row r="48" spans="2:18" s="555" customFormat="1" ht="15.75" x14ac:dyDescent="0.2">
      <c r="B48" s="1107"/>
      <c r="C48" s="552"/>
      <c r="D48" s="553"/>
      <c r="E48" s="554"/>
      <c r="F48" s="552"/>
      <c r="G48" s="552"/>
      <c r="H48" s="552"/>
      <c r="I48" s="552"/>
      <c r="J48" s="552"/>
      <c r="K48" s="552"/>
      <c r="M48" s="552"/>
      <c r="O48" s="552"/>
      <c r="Q48" s="1404"/>
    </row>
    <row r="49" spans="2:17" s="555" customFormat="1" ht="15.75" customHeight="1" x14ac:dyDescent="0.2">
      <c r="B49" s="1109" t="s">
        <v>10</v>
      </c>
      <c r="C49" s="1434" t="s">
        <v>649</v>
      </c>
      <c r="D49" s="1434"/>
      <c r="E49" s="1434"/>
      <c r="F49" s="552"/>
      <c r="G49" s="552"/>
      <c r="H49" s="552"/>
      <c r="I49" s="552"/>
      <c r="J49" s="552"/>
      <c r="K49" s="552"/>
      <c r="M49" s="552"/>
      <c r="O49" s="552"/>
      <c r="Q49" s="1404"/>
    </row>
    <row r="50" spans="2:17" s="555" customFormat="1" ht="15.75" customHeight="1" x14ac:dyDescent="0.2">
      <c r="B50" s="1108"/>
      <c r="C50" s="1434"/>
      <c r="D50" s="1434"/>
      <c r="E50" s="1434"/>
      <c r="F50" s="552"/>
      <c r="G50" s="552"/>
      <c r="H50" s="552"/>
      <c r="I50" s="552"/>
      <c r="J50" s="552"/>
      <c r="K50" s="552"/>
      <c r="M50" s="552"/>
      <c r="O50" s="552"/>
      <c r="Q50" s="1404"/>
    </row>
    <row r="51" spans="2:17" s="555" customFormat="1" ht="15.75" customHeight="1" x14ac:dyDescent="0.2">
      <c r="B51" s="1108"/>
      <c r="C51" s="552"/>
      <c r="D51" s="553"/>
      <c r="E51" s="554"/>
      <c r="F51" s="552"/>
      <c r="G51" s="552"/>
      <c r="H51" s="552"/>
      <c r="I51" s="552"/>
      <c r="J51" s="552"/>
      <c r="K51" s="552"/>
      <c r="M51" s="552"/>
      <c r="O51" s="552"/>
      <c r="Q51" s="1404"/>
    </row>
    <row r="52" spans="2:17" s="555" customFormat="1" ht="15.75" customHeight="1" x14ac:dyDescent="0.2">
      <c r="B52" s="1109" t="s">
        <v>43</v>
      </c>
      <c r="C52" s="1106" t="s">
        <v>637</v>
      </c>
      <c r="D52" s="553"/>
      <c r="E52" s="554"/>
      <c r="F52" s="552"/>
      <c r="G52" s="552"/>
      <c r="H52" s="552"/>
      <c r="I52" s="552"/>
      <c r="J52" s="552"/>
      <c r="K52" s="552"/>
      <c r="M52" s="552"/>
      <c r="O52" s="552"/>
      <c r="Q52" s="1404"/>
    </row>
    <row r="53" spans="2:17" s="555" customFormat="1" ht="15.75" customHeight="1" x14ac:dyDescent="0.2">
      <c r="B53" s="1108"/>
      <c r="C53" s="552"/>
      <c r="D53" s="553"/>
      <c r="E53" s="554"/>
      <c r="F53" s="552"/>
      <c r="G53" s="552"/>
      <c r="H53" s="552"/>
      <c r="I53" s="552"/>
      <c r="J53" s="552"/>
      <c r="K53" s="552"/>
      <c r="M53" s="552"/>
      <c r="O53" s="552"/>
      <c r="Q53" s="1404"/>
    </row>
    <row r="54" spans="2:17" s="555" customFormat="1" ht="15.75" customHeight="1" x14ac:dyDescent="0.2">
      <c r="B54" s="1108"/>
      <c r="C54" s="552"/>
      <c r="D54" s="553"/>
      <c r="E54" s="554"/>
      <c r="F54" s="552"/>
      <c r="G54" s="552"/>
      <c r="H54" s="552"/>
      <c r="I54" s="552"/>
      <c r="J54" s="552"/>
      <c r="K54" s="552"/>
      <c r="M54" s="552"/>
      <c r="O54" s="552"/>
      <c r="Q54" s="1404"/>
    </row>
    <row r="55" spans="2:17" s="555" customFormat="1" ht="15.75" customHeight="1" x14ac:dyDescent="0.2">
      <c r="B55" s="1108"/>
      <c r="C55" s="552"/>
      <c r="D55" s="553"/>
      <c r="E55" s="554"/>
      <c r="F55" s="552"/>
      <c r="G55" s="552"/>
      <c r="H55" s="552"/>
      <c r="I55" s="552"/>
      <c r="J55" s="552"/>
      <c r="K55" s="552"/>
      <c r="M55" s="552"/>
      <c r="O55" s="552"/>
      <c r="Q55" s="1404"/>
    </row>
    <row r="56" spans="2:17" s="555" customFormat="1" ht="15.75" customHeight="1" x14ac:dyDescent="0.2">
      <c r="B56" s="1108"/>
      <c r="C56" s="552"/>
      <c r="D56" s="553"/>
      <c r="E56" s="554"/>
      <c r="F56" s="552"/>
      <c r="G56" s="552"/>
      <c r="H56" s="552"/>
      <c r="I56" s="552"/>
      <c r="J56" s="552"/>
      <c r="K56" s="552"/>
      <c r="M56" s="552"/>
      <c r="O56" s="552"/>
      <c r="Q56" s="1404"/>
    </row>
    <row r="57" spans="2:17" s="555" customFormat="1" ht="15.75" customHeight="1" x14ac:dyDescent="0.2">
      <c r="B57" s="1108"/>
      <c r="C57" s="552"/>
      <c r="D57" s="553"/>
      <c r="E57" s="554"/>
      <c r="F57" s="552"/>
      <c r="G57" s="552"/>
      <c r="H57" s="552"/>
      <c r="I57" s="552"/>
      <c r="J57" s="552"/>
      <c r="K57" s="552"/>
      <c r="M57" s="552"/>
      <c r="O57" s="552"/>
      <c r="Q57" s="1404"/>
    </row>
    <row r="58" spans="2:17" s="555" customFormat="1" ht="15.75" customHeight="1" x14ac:dyDescent="0.2">
      <c r="B58" s="1108"/>
      <c r="C58" s="552"/>
      <c r="D58" s="553"/>
      <c r="E58" s="554"/>
      <c r="F58" s="552"/>
      <c r="G58" s="552"/>
      <c r="H58" s="552"/>
      <c r="I58" s="552"/>
      <c r="J58" s="552"/>
      <c r="K58" s="552"/>
      <c r="M58" s="552"/>
      <c r="O58" s="552"/>
      <c r="Q58" s="1404"/>
    </row>
    <row r="59" spans="2:17" s="555" customFormat="1" ht="15.75" customHeight="1" x14ac:dyDescent="0.2">
      <c r="B59" s="1108"/>
      <c r="C59" s="552"/>
      <c r="D59" s="553"/>
      <c r="E59" s="554"/>
      <c r="F59" s="552"/>
      <c r="G59" s="552"/>
      <c r="H59" s="552"/>
      <c r="I59" s="552"/>
      <c r="J59" s="552"/>
      <c r="K59" s="552"/>
      <c r="M59" s="552"/>
      <c r="O59" s="552"/>
      <c r="Q59" s="1404"/>
    </row>
    <row r="60" spans="2:17" s="555" customFormat="1" ht="15.75" customHeight="1" x14ac:dyDescent="0.2">
      <c r="B60" s="1108"/>
      <c r="C60" s="552"/>
      <c r="D60" s="553"/>
      <c r="E60" s="554"/>
      <c r="F60" s="552"/>
      <c r="G60" s="552"/>
      <c r="H60" s="552"/>
      <c r="I60" s="552"/>
      <c r="J60" s="552"/>
      <c r="K60" s="552"/>
      <c r="M60" s="552"/>
      <c r="O60" s="552"/>
      <c r="Q60" s="1404"/>
    </row>
    <row r="61" spans="2:17" s="555" customFormat="1" ht="15.75" x14ac:dyDescent="0.2">
      <c r="B61" s="1108"/>
      <c r="C61" s="552"/>
      <c r="D61" s="553"/>
      <c r="E61" s="554"/>
      <c r="F61" s="552"/>
      <c r="G61" s="552"/>
      <c r="H61" s="552"/>
      <c r="I61" s="552"/>
      <c r="J61" s="552"/>
      <c r="K61" s="552"/>
      <c r="M61" s="552"/>
      <c r="O61" s="552"/>
      <c r="Q61" s="1404"/>
    </row>
    <row r="62" spans="2:17" s="555" customFormat="1" ht="15.75" x14ac:dyDescent="0.2">
      <c r="B62" s="1108"/>
      <c r="C62" s="552"/>
      <c r="D62" s="553"/>
      <c r="E62" s="554"/>
      <c r="F62" s="552"/>
      <c r="G62" s="552"/>
      <c r="H62" s="552"/>
      <c r="I62" s="552"/>
      <c r="J62" s="552"/>
      <c r="K62" s="552"/>
      <c r="M62" s="552"/>
      <c r="O62" s="552"/>
      <c r="Q62" s="1404"/>
    </row>
    <row r="63" spans="2:17" s="555" customFormat="1" ht="15.75" x14ac:dyDescent="0.2">
      <c r="B63" s="1108"/>
      <c r="C63" s="552"/>
      <c r="D63" s="553"/>
      <c r="E63" s="554"/>
      <c r="F63" s="552"/>
      <c r="G63" s="552"/>
      <c r="H63" s="552"/>
      <c r="I63" s="552"/>
      <c r="J63" s="552"/>
      <c r="K63" s="552"/>
      <c r="M63" s="552"/>
      <c r="O63" s="552"/>
      <c r="Q63" s="1404"/>
    </row>
    <row r="64" spans="2:17" s="555" customFormat="1" ht="15.75" x14ac:dyDescent="0.2">
      <c r="B64" s="1108"/>
      <c r="C64" s="552"/>
      <c r="D64" s="553"/>
      <c r="E64" s="554"/>
      <c r="F64" s="552"/>
      <c r="G64" s="552"/>
      <c r="H64" s="552"/>
      <c r="I64" s="552"/>
      <c r="J64" s="552"/>
      <c r="K64" s="552"/>
      <c r="M64" s="552"/>
      <c r="O64" s="552"/>
      <c r="Q64" s="1404"/>
    </row>
    <row r="65" spans="2:17" s="555" customFormat="1" ht="15.75" x14ac:dyDescent="0.2">
      <c r="B65" s="1108"/>
      <c r="C65" s="552"/>
      <c r="D65" s="553"/>
      <c r="E65" s="554"/>
      <c r="F65" s="552"/>
      <c r="G65" s="552"/>
      <c r="H65" s="552"/>
      <c r="I65" s="552"/>
      <c r="J65" s="552"/>
      <c r="K65" s="552"/>
      <c r="M65" s="552"/>
      <c r="O65" s="552"/>
      <c r="Q65" s="1404"/>
    </row>
    <row r="66" spans="2:17" s="555" customFormat="1" ht="15.75" x14ac:dyDescent="0.2">
      <c r="B66" s="1108"/>
      <c r="C66" s="552"/>
      <c r="D66" s="553"/>
      <c r="E66" s="554"/>
      <c r="F66" s="552"/>
      <c r="G66" s="552"/>
      <c r="H66" s="552"/>
      <c r="I66" s="552"/>
      <c r="J66" s="552"/>
      <c r="K66" s="552"/>
      <c r="M66" s="552"/>
      <c r="O66" s="552"/>
      <c r="Q66" s="1404"/>
    </row>
    <row r="67" spans="2:17" s="555" customFormat="1" ht="16.5" customHeight="1" x14ac:dyDescent="0.2">
      <c r="B67" s="1108"/>
      <c r="C67" s="552"/>
      <c r="D67" s="553"/>
      <c r="E67" s="554"/>
      <c r="F67" s="552"/>
      <c r="G67" s="552"/>
      <c r="H67" s="552"/>
      <c r="I67" s="552"/>
      <c r="J67" s="552"/>
      <c r="K67" s="552"/>
      <c r="M67" s="552"/>
      <c r="O67" s="552"/>
      <c r="Q67" s="1404"/>
    </row>
    <row r="68" spans="2:17" s="555" customFormat="1" ht="15.75" customHeight="1" x14ac:dyDescent="0.2">
      <c r="B68" s="1108"/>
      <c r="C68" s="552"/>
      <c r="D68" s="553"/>
      <c r="E68" s="554"/>
      <c r="F68" s="552"/>
      <c r="G68" s="552"/>
      <c r="H68" s="552"/>
      <c r="I68" s="552"/>
      <c r="J68" s="552"/>
      <c r="K68" s="552"/>
      <c r="M68" s="552"/>
      <c r="O68" s="552"/>
      <c r="Q68" s="1404"/>
    </row>
    <row r="69" spans="2:17" s="555" customFormat="1" ht="15.75" customHeight="1" x14ac:dyDescent="0.2">
      <c r="B69" s="1108"/>
      <c r="C69" s="552"/>
      <c r="D69" s="553"/>
      <c r="E69" s="554"/>
      <c r="F69" s="552"/>
      <c r="G69" s="552"/>
      <c r="H69" s="552"/>
      <c r="I69" s="552"/>
      <c r="J69" s="552"/>
      <c r="K69" s="552"/>
      <c r="M69" s="552"/>
      <c r="O69" s="552"/>
      <c r="Q69" s="1404"/>
    </row>
    <row r="70" spans="2:17" s="555" customFormat="1" ht="15.75" customHeight="1" x14ac:dyDescent="0.2">
      <c r="B70" s="1108"/>
      <c r="C70" s="552"/>
      <c r="D70" s="553"/>
      <c r="E70" s="554"/>
      <c r="F70" s="552"/>
      <c r="G70" s="552"/>
      <c r="H70" s="552"/>
      <c r="I70" s="552"/>
      <c r="J70" s="552"/>
      <c r="K70" s="552"/>
      <c r="M70" s="552"/>
      <c r="O70" s="552"/>
      <c r="Q70" s="1404"/>
    </row>
    <row r="71" spans="2:17" s="555" customFormat="1" ht="15.75" customHeight="1" x14ac:dyDescent="0.2">
      <c r="B71" s="1108"/>
      <c r="C71" s="552"/>
      <c r="D71" s="553"/>
      <c r="E71" s="554"/>
      <c r="F71" s="552"/>
      <c r="G71" s="552"/>
      <c r="H71" s="552"/>
      <c r="I71" s="552"/>
      <c r="J71" s="552"/>
      <c r="K71" s="552"/>
      <c r="M71" s="552"/>
      <c r="O71" s="552"/>
      <c r="Q71" s="1404"/>
    </row>
    <row r="72" spans="2:17" s="555" customFormat="1" ht="15.75" customHeight="1" x14ac:dyDescent="0.2">
      <c r="B72" s="1108"/>
      <c r="C72" s="552"/>
      <c r="D72" s="553"/>
      <c r="E72" s="554"/>
      <c r="F72" s="552"/>
      <c r="G72" s="552"/>
      <c r="H72" s="552"/>
      <c r="I72" s="552"/>
      <c r="J72" s="552"/>
      <c r="K72" s="552"/>
      <c r="M72" s="552"/>
      <c r="O72" s="552"/>
      <c r="Q72" s="1404"/>
    </row>
    <row r="73" spans="2:17" s="555" customFormat="1" ht="15.75" customHeight="1" x14ac:dyDescent="0.2">
      <c r="B73" s="1108"/>
      <c r="C73" s="552"/>
      <c r="D73" s="553"/>
      <c r="E73" s="554"/>
      <c r="F73" s="552"/>
      <c r="G73" s="552"/>
      <c r="H73" s="552"/>
      <c r="I73" s="552"/>
      <c r="J73" s="552"/>
      <c r="K73" s="552"/>
      <c r="M73" s="552"/>
      <c r="O73" s="552"/>
      <c r="Q73" s="1404"/>
    </row>
    <row r="74" spans="2:17" s="555" customFormat="1" ht="15.75" customHeight="1" x14ac:dyDescent="0.2">
      <c r="B74" s="859"/>
      <c r="C74" s="552"/>
      <c r="D74" s="553"/>
      <c r="E74" s="554"/>
      <c r="F74" s="552"/>
      <c r="G74" s="552"/>
      <c r="H74" s="552"/>
      <c r="I74" s="552"/>
      <c r="J74" s="552"/>
      <c r="K74" s="552"/>
      <c r="M74" s="552"/>
      <c r="O74" s="552"/>
      <c r="Q74" s="1404"/>
    </row>
    <row r="75" spans="2:17" s="555" customFormat="1" ht="15.75" customHeight="1" x14ac:dyDescent="0.2">
      <c r="B75" s="175"/>
      <c r="C75" s="552"/>
      <c r="D75" s="553"/>
      <c r="E75" s="554"/>
      <c r="F75" s="552"/>
      <c r="G75" s="552"/>
      <c r="H75" s="552"/>
      <c r="I75" s="552"/>
      <c r="J75" s="552"/>
      <c r="K75" s="552"/>
      <c r="M75" s="552"/>
      <c r="O75" s="552"/>
      <c r="Q75" s="1404"/>
    </row>
    <row r="76" spans="2:17" s="555" customFormat="1" ht="15.75" customHeight="1" x14ac:dyDescent="0.2">
      <c r="B76" s="175"/>
      <c r="C76" s="552"/>
      <c r="D76" s="553"/>
      <c r="E76" s="554"/>
      <c r="F76" s="552"/>
      <c r="G76" s="552"/>
      <c r="H76" s="552"/>
      <c r="I76" s="552"/>
      <c r="J76" s="552"/>
      <c r="K76" s="552"/>
      <c r="M76" s="552"/>
      <c r="O76" s="552"/>
      <c r="Q76" s="1404"/>
    </row>
    <row r="77" spans="2:17" s="555" customFormat="1" ht="15.75" customHeight="1" x14ac:dyDescent="0.2">
      <c r="B77" s="175"/>
      <c r="C77" s="552"/>
      <c r="D77" s="553"/>
      <c r="E77" s="554"/>
      <c r="F77" s="552"/>
      <c r="G77" s="552"/>
      <c r="H77" s="552"/>
      <c r="I77" s="552"/>
      <c r="J77" s="552"/>
      <c r="K77" s="552"/>
      <c r="M77" s="552"/>
      <c r="O77" s="552"/>
      <c r="Q77" s="1404"/>
    </row>
    <row r="78" spans="2:17" s="555" customFormat="1" ht="15.75" customHeight="1" x14ac:dyDescent="0.2">
      <c r="B78" s="175"/>
      <c r="C78" s="552"/>
      <c r="D78" s="553"/>
      <c r="E78" s="554"/>
      <c r="F78" s="552"/>
      <c r="G78" s="552"/>
      <c r="H78" s="552"/>
      <c r="I78" s="552"/>
      <c r="J78" s="552"/>
      <c r="K78" s="552"/>
      <c r="M78" s="552"/>
      <c r="O78" s="552"/>
      <c r="Q78" s="1404"/>
    </row>
    <row r="79" spans="2:17" s="555" customFormat="1" ht="15.75" customHeight="1" x14ac:dyDescent="0.2">
      <c r="B79" s="175"/>
      <c r="C79" s="552"/>
      <c r="D79" s="553"/>
      <c r="E79" s="554"/>
      <c r="F79" s="552"/>
      <c r="G79" s="552"/>
      <c r="H79" s="552"/>
      <c r="I79" s="552"/>
      <c r="J79" s="552"/>
      <c r="K79" s="552"/>
      <c r="M79" s="552"/>
      <c r="O79" s="552"/>
      <c r="Q79" s="1404"/>
    </row>
    <row r="80" spans="2:17" s="555" customFormat="1" ht="15.75" customHeight="1" x14ac:dyDescent="0.2">
      <c r="B80" s="175"/>
      <c r="C80" s="552"/>
      <c r="D80" s="553"/>
      <c r="E80" s="554"/>
      <c r="F80" s="552"/>
      <c r="G80" s="552"/>
      <c r="H80" s="552"/>
      <c r="I80" s="552"/>
      <c r="J80" s="552"/>
      <c r="K80" s="552"/>
      <c r="M80" s="552"/>
      <c r="O80" s="552"/>
      <c r="Q80" s="1404"/>
    </row>
    <row r="81" spans="2:17" s="555" customFormat="1" ht="15.75" customHeight="1" x14ac:dyDescent="0.2">
      <c r="B81" s="175"/>
      <c r="C81" s="552"/>
      <c r="D81" s="553"/>
      <c r="E81" s="554"/>
      <c r="F81" s="552"/>
      <c r="G81" s="552"/>
      <c r="H81" s="552"/>
      <c r="I81" s="552"/>
      <c r="J81" s="552"/>
      <c r="K81" s="552"/>
      <c r="M81" s="552"/>
      <c r="O81" s="552"/>
      <c r="Q81" s="1404"/>
    </row>
    <row r="82" spans="2:17" s="555" customFormat="1" ht="31.5" customHeight="1" x14ac:dyDescent="0.2">
      <c r="B82" s="175"/>
      <c r="C82" s="552"/>
      <c r="D82" s="553"/>
      <c r="E82" s="554"/>
      <c r="F82" s="552"/>
      <c r="G82" s="552"/>
      <c r="H82" s="552"/>
      <c r="I82" s="552"/>
      <c r="J82" s="552"/>
      <c r="K82" s="552"/>
      <c r="M82" s="552"/>
      <c r="O82" s="552"/>
      <c r="Q82" s="1404"/>
    </row>
    <row r="83" spans="2:17" s="555" customFormat="1" ht="15.75" x14ac:dyDescent="0.2">
      <c r="B83" s="175"/>
      <c r="C83" s="552"/>
      <c r="D83" s="553"/>
      <c r="E83" s="554"/>
      <c r="F83" s="552"/>
      <c r="G83" s="552"/>
      <c r="H83" s="552"/>
      <c r="I83" s="552"/>
      <c r="J83" s="552"/>
      <c r="K83" s="552"/>
      <c r="M83" s="552"/>
      <c r="O83" s="552"/>
      <c r="Q83" s="1404"/>
    </row>
    <row r="84" spans="2:17" s="555" customFormat="1" ht="15.75" x14ac:dyDescent="0.2">
      <c r="B84" s="175"/>
      <c r="C84" s="552"/>
      <c r="D84" s="553"/>
      <c r="E84" s="554"/>
      <c r="F84" s="552"/>
      <c r="G84" s="552"/>
      <c r="H84" s="552"/>
      <c r="I84" s="552"/>
      <c r="J84" s="552"/>
      <c r="K84" s="552"/>
      <c r="M84" s="552"/>
      <c r="O84" s="552"/>
      <c r="Q84" s="1404"/>
    </row>
    <row r="85" spans="2:17" s="555" customFormat="1" ht="15.75" x14ac:dyDescent="0.2">
      <c r="B85" s="175"/>
      <c r="C85" s="552"/>
      <c r="D85" s="553"/>
      <c r="E85" s="554"/>
      <c r="F85" s="552"/>
      <c r="G85" s="552"/>
      <c r="H85" s="552"/>
      <c r="I85" s="552"/>
      <c r="J85" s="552"/>
      <c r="K85" s="552"/>
      <c r="M85" s="552"/>
      <c r="O85" s="552"/>
      <c r="Q85" s="1404"/>
    </row>
    <row r="86" spans="2:17" s="555" customFormat="1" ht="15.75" x14ac:dyDescent="0.2">
      <c r="B86" s="175"/>
      <c r="C86" s="552"/>
      <c r="D86" s="553"/>
      <c r="E86" s="554"/>
      <c r="F86" s="552"/>
      <c r="G86" s="552"/>
      <c r="H86" s="552"/>
      <c r="I86" s="552"/>
      <c r="J86" s="552"/>
      <c r="K86" s="552"/>
      <c r="M86" s="552"/>
      <c r="O86" s="552"/>
      <c r="Q86" s="1404"/>
    </row>
    <row r="87" spans="2:17" s="555" customFormat="1" ht="15.75" x14ac:dyDescent="0.2">
      <c r="B87" s="175"/>
      <c r="C87" s="552"/>
      <c r="D87" s="553"/>
      <c r="E87" s="554"/>
      <c r="F87" s="552"/>
      <c r="G87" s="552"/>
      <c r="H87" s="552"/>
      <c r="I87" s="552"/>
      <c r="J87" s="552"/>
      <c r="K87" s="552"/>
      <c r="M87" s="552"/>
      <c r="O87" s="552"/>
      <c r="Q87" s="1404"/>
    </row>
    <row r="88" spans="2:17" s="555" customFormat="1" ht="15.75" customHeight="1" x14ac:dyDescent="0.2">
      <c r="B88" s="175"/>
      <c r="C88" s="552"/>
      <c r="D88" s="553"/>
      <c r="E88" s="554"/>
      <c r="F88" s="552"/>
      <c r="G88" s="552"/>
      <c r="H88" s="552"/>
      <c r="I88" s="552"/>
      <c r="J88" s="552"/>
      <c r="K88" s="552"/>
      <c r="M88" s="552"/>
      <c r="O88" s="552"/>
      <c r="Q88" s="1404"/>
    </row>
    <row r="89" spans="2:17" s="555" customFormat="1" ht="15.75" customHeight="1" x14ac:dyDescent="0.2">
      <c r="B89" s="175"/>
      <c r="C89" s="552"/>
      <c r="D89" s="553"/>
      <c r="E89" s="554"/>
      <c r="F89" s="552"/>
      <c r="G89" s="552"/>
      <c r="H89" s="552"/>
      <c r="I89" s="552"/>
      <c r="J89" s="552"/>
      <c r="K89" s="552"/>
      <c r="M89" s="552"/>
      <c r="O89" s="552"/>
      <c r="Q89" s="1404"/>
    </row>
    <row r="90" spans="2:17" s="555" customFormat="1" ht="15.75" customHeight="1" x14ac:dyDescent="0.2">
      <c r="B90" s="175"/>
      <c r="C90" s="552"/>
      <c r="D90" s="553"/>
      <c r="E90" s="554"/>
      <c r="F90" s="552"/>
      <c r="G90" s="552"/>
      <c r="H90" s="552"/>
      <c r="I90" s="552"/>
      <c r="J90" s="552"/>
      <c r="K90" s="552"/>
      <c r="M90" s="552"/>
      <c r="O90" s="552"/>
      <c r="Q90" s="1404"/>
    </row>
    <row r="91" spans="2:17" s="555" customFormat="1" ht="15.75" customHeight="1" x14ac:dyDescent="0.2">
      <c r="B91" s="175"/>
      <c r="C91" s="552"/>
      <c r="D91" s="553"/>
      <c r="E91" s="554"/>
      <c r="F91" s="552"/>
      <c r="G91" s="552"/>
      <c r="H91" s="552"/>
      <c r="I91" s="552"/>
      <c r="J91" s="552"/>
      <c r="K91" s="552"/>
      <c r="M91" s="552"/>
      <c r="O91" s="552"/>
      <c r="Q91" s="1404"/>
    </row>
    <row r="92" spans="2:17" s="555" customFormat="1" ht="15.75" customHeight="1" x14ac:dyDescent="0.2">
      <c r="B92" s="175"/>
      <c r="C92" s="552"/>
      <c r="D92" s="553"/>
      <c r="E92" s="554"/>
      <c r="F92" s="552"/>
      <c r="G92" s="552"/>
      <c r="H92" s="552"/>
      <c r="I92" s="552"/>
      <c r="J92" s="552"/>
      <c r="K92" s="552"/>
      <c r="M92" s="552"/>
      <c r="O92" s="552"/>
      <c r="Q92" s="1404"/>
    </row>
    <row r="93" spans="2:17" s="555" customFormat="1" ht="15.75" customHeight="1" x14ac:dyDescent="0.2">
      <c r="B93" s="175"/>
      <c r="C93" s="552"/>
      <c r="D93" s="553"/>
      <c r="E93" s="554"/>
      <c r="F93" s="552"/>
      <c r="G93" s="552"/>
      <c r="H93" s="552"/>
      <c r="I93" s="552"/>
      <c r="J93" s="552"/>
      <c r="K93" s="552"/>
      <c r="M93" s="552"/>
      <c r="O93" s="552"/>
      <c r="Q93" s="1404"/>
    </row>
    <row r="94" spans="2:17" s="555" customFormat="1" ht="15.75" customHeight="1" x14ac:dyDescent="0.2">
      <c r="B94" s="175"/>
      <c r="C94" s="552"/>
      <c r="D94" s="553"/>
      <c r="E94" s="554"/>
      <c r="F94" s="552"/>
      <c r="G94" s="552"/>
      <c r="H94" s="552"/>
      <c r="I94" s="552"/>
      <c r="J94" s="552"/>
      <c r="K94" s="552"/>
      <c r="M94" s="552"/>
      <c r="O94" s="552"/>
      <c r="Q94" s="1404"/>
    </row>
    <row r="95" spans="2:17" s="555" customFormat="1" ht="15.75" customHeight="1" x14ac:dyDescent="0.2">
      <c r="B95" s="175"/>
      <c r="C95" s="552"/>
      <c r="D95" s="553"/>
      <c r="E95" s="554"/>
      <c r="F95" s="552"/>
      <c r="G95" s="552"/>
      <c r="H95" s="552"/>
      <c r="I95" s="552"/>
      <c r="J95" s="552"/>
      <c r="K95" s="552"/>
      <c r="M95" s="552"/>
      <c r="O95" s="552"/>
      <c r="Q95" s="1404"/>
    </row>
    <row r="96" spans="2:17" s="555" customFormat="1" ht="15.75" customHeight="1" x14ac:dyDescent="0.2">
      <c r="B96" s="175"/>
      <c r="C96" s="552"/>
      <c r="D96" s="553"/>
      <c r="E96" s="554"/>
      <c r="F96" s="552"/>
      <c r="G96" s="552"/>
      <c r="H96" s="552"/>
      <c r="I96" s="552"/>
      <c r="J96" s="552"/>
      <c r="K96" s="552"/>
      <c r="M96" s="552"/>
      <c r="O96" s="552"/>
      <c r="Q96" s="1404"/>
    </row>
    <row r="97" spans="2:17" s="555" customFormat="1" ht="15.75" customHeight="1" x14ac:dyDescent="0.2">
      <c r="B97" s="175"/>
      <c r="C97" s="552"/>
      <c r="D97" s="553"/>
      <c r="E97" s="554"/>
      <c r="F97" s="552"/>
      <c r="G97" s="552"/>
      <c r="H97" s="552"/>
      <c r="I97" s="552"/>
      <c r="J97" s="552"/>
      <c r="K97" s="552"/>
      <c r="M97" s="552"/>
      <c r="O97" s="552"/>
      <c r="Q97" s="1404"/>
    </row>
    <row r="98" spans="2:17" s="555" customFormat="1" ht="15.75" customHeight="1" x14ac:dyDescent="0.2">
      <c r="B98" s="175"/>
      <c r="C98" s="552"/>
      <c r="D98" s="553"/>
      <c r="E98" s="554"/>
      <c r="F98" s="552"/>
      <c r="G98" s="552"/>
      <c r="H98" s="552"/>
      <c r="I98" s="552"/>
      <c r="J98" s="552"/>
      <c r="K98" s="552"/>
      <c r="M98" s="552"/>
      <c r="O98" s="552"/>
      <c r="Q98" s="1404"/>
    </row>
    <row r="99" spans="2:17" s="555" customFormat="1" ht="15.75" customHeight="1" x14ac:dyDescent="0.2">
      <c r="B99" s="175"/>
      <c r="C99" s="552"/>
      <c r="D99" s="553"/>
      <c r="E99" s="554"/>
      <c r="F99" s="552"/>
      <c r="G99" s="552"/>
      <c r="H99" s="552"/>
      <c r="I99" s="552"/>
      <c r="J99" s="552"/>
      <c r="K99" s="552"/>
      <c r="M99" s="552"/>
      <c r="O99" s="552"/>
      <c r="Q99" s="1404"/>
    </row>
    <row r="100" spans="2:17" s="555" customFormat="1" ht="15.75" customHeight="1" x14ac:dyDescent="0.2">
      <c r="B100" s="175"/>
      <c r="C100" s="552"/>
      <c r="D100" s="553"/>
      <c r="E100" s="554"/>
      <c r="F100" s="552"/>
      <c r="G100" s="552"/>
      <c r="H100" s="552"/>
      <c r="I100" s="552"/>
      <c r="J100" s="552"/>
      <c r="K100" s="552"/>
      <c r="M100" s="552"/>
      <c r="O100" s="552"/>
      <c r="Q100" s="1404"/>
    </row>
    <row r="101" spans="2:17" s="555" customFormat="1" ht="15.75" customHeight="1" x14ac:dyDescent="0.2">
      <c r="B101" s="175"/>
      <c r="C101" s="552"/>
      <c r="D101" s="553"/>
      <c r="E101" s="554"/>
      <c r="F101" s="552"/>
      <c r="G101" s="552"/>
      <c r="H101" s="552"/>
      <c r="I101" s="552"/>
      <c r="J101" s="552"/>
      <c r="K101" s="552"/>
      <c r="M101" s="552"/>
      <c r="O101" s="552"/>
      <c r="Q101" s="1404"/>
    </row>
    <row r="102" spans="2:17" s="555" customFormat="1" ht="15.75" customHeight="1" x14ac:dyDescent="0.2">
      <c r="B102" s="175"/>
      <c r="C102" s="552"/>
      <c r="D102" s="553"/>
      <c r="E102" s="554"/>
      <c r="F102" s="552"/>
      <c r="G102" s="552"/>
      <c r="H102" s="552"/>
      <c r="I102" s="552"/>
      <c r="J102" s="552"/>
      <c r="K102" s="552"/>
      <c r="M102" s="552"/>
      <c r="O102" s="552"/>
      <c r="Q102" s="1404"/>
    </row>
    <row r="103" spans="2:17" s="555" customFormat="1" ht="31.5" customHeight="1" x14ac:dyDescent="0.2">
      <c r="B103" s="175"/>
      <c r="C103" s="552"/>
      <c r="D103" s="553"/>
      <c r="E103" s="554"/>
      <c r="F103" s="552"/>
      <c r="G103" s="552"/>
      <c r="H103" s="552"/>
      <c r="I103" s="552"/>
      <c r="J103" s="552"/>
      <c r="K103" s="552"/>
      <c r="M103" s="552"/>
      <c r="O103" s="552"/>
      <c r="Q103" s="1404"/>
    </row>
    <row r="104" spans="2:17" s="555" customFormat="1" ht="15.75" x14ac:dyDescent="0.2">
      <c r="B104" s="175"/>
      <c r="C104" s="552"/>
      <c r="D104" s="553"/>
      <c r="E104" s="554"/>
      <c r="F104" s="552"/>
      <c r="G104" s="552"/>
      <c r="H104" s="552"/>
      <c r="I104" s="552"/>
      <c r="J104" s="552"/>
      <c r="K104" s="552"/>
      <c r="M104" s="552"/>
      <c r="O104" s="552"/>
      <c r="Q104" s="1404"/>
    </row>
    <row r="105" spans="2:17" s="555" customFormat="1" ht="15.75" x14ac:dyDescent="0.2">
      <c r="B105" s="175"/>
      <c r="C105" s="552"/>
      <c r="D105" s="553"/>
      <c r="E105" s="554"/>
      <c r="F105" s="552"/>
      <c r="G105" s="552"/>
      <c r="H105" s="552"/>
      <c r="I105" s="552"/>
      <c r="J105" s="552"/>
      <c r="K105" s="552"/>
      <c r="M105" s="552"/>
      <c r="O105" s="552"/>
      <c r="Q105" s="1404"/>
    </row>
    <row r="106" spans="2:17" s="555" customFormat="1" ht="15.75" x14ac:dyDescent="0.2">
      <c r="B106" s="175"/>
      <c r="C106" s="552"/>
      <c r="D106" s="553"/>
      <c r="E106" s="554"/>
      <c r="F106" s="552"/>
      <c r="G106" s="552"/>
      <c r="H106" s="552"/>
      <c r="I106" s="552"/>
      <c r="J106" s="552"/>
      <c r="K106" s="552"/>
      <c r="M106" s="552"/>
      <c r="O106" s="552"/>
      <c r="Q106" s="1404"/>
    </row>
    <row r="107" spans="2:17" s="555" customFormat="1" ht="15.75" x14ac:dyDescent="0.2">
      <c r="B107" s="175"/>
      <c r="C107" s="552"/>
      <c r="D107" s="553"/>
      <c r="E107" s="554"/>
      <c r="F107" s="552"/>
      <c r="G107" s="552"/>
      <c r="H107" s="552"/>
      <c r="I107" s="552"/>
      <c r="J107" s="552"/>
      <c r="K107" s="552"/>
      <c r="M107" s="552"/>
      <c r="O107" s="552"/>
      <c r="Q107" s="1404"/>
    </row>
    <row r="108" spans="2:17" s="555" customFormat="1" ht="15.75" x14ac:dyDescent="0.2">
      <c r="B108" s="175"/>
      <c r="C108" s="552"/>
      <c r="D108" s="553"/>
      <c r="E108" s="554"/>
      <c r="F108" s="552"/>
      <c r="G108" s="552"/>
      <c r="H108" s="552"/>
      <c r="I108" s="552"/>
      <c r="J108" s="552"/>
      <c r="K108" s="552"/>
      <c r="M108" s="552"/>
      <c r="O108" s="552"/>
      <c r="Q108" s="1404"/>
    </row>
    <row r="109" spans="2:17" s="555" customFormat="1" ht="16.5" customHeight="1" x14ac:dyDescent="0.2">
      <c r="B109" s="175"/>
      <c r="C109" s="552"/>
      <c r="D109" s="553"/>
      <c r="E109" s="554"/>
      <c r="F109" s="552"/>
      <c r="G109" s="552"/>
      <c r="H109" s="552"/>
      <c r="I109" s="552"/>
      <c r="J109" s="552"/>
      <c r="K109" s="552"/>
      <c r="M109" s="552"/>
      <c r="O109" s="552"/>
      <c r="Q109" s="1404"/>
    </row>
    <row r="110" spans="2:17" s="555" customFormat="1" ht="15.75" customHeight="1" x14ac:dyDescent="0.2">
      <c r="B110" s="175"/>
      <c r="C110" s="552"/>
      <c r="D110" s="553"/>
      <c r="E110" s="554"/>
      <c r="F110" s="552"/>
      <c r="G110" s="552"/>
      <c r="H110" s="552"/>
      <c r="I110" s="552"/>
      <c r="J110" s="552"/>
      <c r="K110" s="552"/>
      <c r="M110" s="552"/>
      <c r="O110" s="552"/>
      <c r="Q110" s="1404"/>
    </row>
    <row r="111" spans="2:17" s="555" customFormat="1" ht="15.75" customHeight="1" x14ac:dyDescent="0.2">
      <c r="B111" s="175"/>
      <c r="C111" s="552"/>
      <c r="D111" s="553"/>
      <c r="E111" s="554"/>
      <c r="F111" s="552"/>
      <c r="G111" s="552"/>
      <c r="H111" s="552"/>
      <c r="I111" s="552"/>
      <c r="J111" s="552"/>
      <c r="K111" s="552"/>
      <c r="M111" s="552"/>
      <c r="O111" s="552"/>
      <c r="Q111" s="1404"/>
    </row>
    <row r="112" spans="2:17" s="555" customFormat="1" ht="15.75" customHeight="1" x14ac:dyDescent="0.2">
      <c r="B112" s="175"/>
      <c r="C112" s="552"/>
      <c r="D112" s="553"/>
      <c r="E112" s="554"/>
      <c r="F112" s="552"/>
      <c r="G112" s="552"/>
      <c r="H112" s="552"/>
      <c r="I112" s="552"/>
      <c r="J112" s="552"/>
      <c r="K112" s="552"/>
      <c r="M112" s="552"/>
      <c r="O112" s="552"/>
      <c r="Q112" s="1404"/>
    </row>
    <row r="113" spans="2:17" s="555" customFormat="1" ht="15.75" customHeight="1" x14ac:dyDescent="0.2">
      <c r="B113" s="175"/>
      <c r="C113" s="552"/>
      <c r="D113" s="553"/>
      <c r="E113" s="554"/>
      <c r="F113" s="552"/>
      <c r="G113" s="552"/>
      <c r="H113" s="552"/>
      <c r="I113" s="552"/>
      <c r="J113" s="552"/>
      <c r="K113" s="552"/>
      <c r="M113" s="552"/>
      <c r="O113" s="552"/>
      <c r="Q113" s="1404"/>
    </row>
    <row r="114" spans="2:17" s="555" customFormat="1" ht="15.75" customHeight="1" x14ac:dyDescent="0.2">
      <c r="B114" s="175"/>
      <c r="C114" s="552"/>
      <c r="D114" s="553"/>
      <c r="E114" s="554"/>
      <c r="F114" s="552"/>
      <c r="G114" s="552"/>
      <c r="H114" s="552"/>
      <c r="I114" s="552"/>
      <c r="J114" s="552"/>
      <c r="K114" s="552"/>
      <c r="M114" s="552"/>
      <c r="O114" s="552"/>
      <c r="Q114" s="1404"/>
    </row>
    <row r="115" spans="2:17" s="555" customFormat="1" ht="15.75" customHeight="1" x14ac:dyDescent="0.2">
      <c r="B115" s="175"/>
      <c r="C115" s="552"/>
      <c r="D115" s="553"/>
      <c r="E115" s="554"/>
      <c r="F115" s="552"/>
      <c r="G115" s="552"/>
      <c r="H115" s="552"/>
      <c r="I115" s="552"/>
      <c r="J115" s="552"/>
      <c r="K115" s="552"/>
      <c r="M115" s="552"/>
      <c r="O115" s="552"/>
      <c r="Q115" s="1404"/>
    </row>
    <row r="116" spans="2:17" s="555" customFormat="1" ht="15.75" customHeight="1" x14ac:dyDescent="0.2">
      <c r="B116" s="175"/>
      <c r="C116" s="552"/>
      <c r="D116" s="553"/>
      <c r="E116" s="554"/>
      <c r="F116" s="552"/>
      <c r="G116" s="552"/>
      <c r="H116" s="552"/>
      <c r="I116" s="552"/>
      <c r="J116" s="552"/>
      <c r="K116" s="552"/>
      <c r="M116" s="552"/>
      <c r="O116" s="552"/>
      <c r="Q116" s="1404"/>
    </row>
    <row r="117" spans="2:17" s="555" customFormat="1" ht="15.75" customHeight="1" x14ac:dyDescent="0.2">
      <c r="B117" s="175"/>
      <c r="C117" s="552"/>
      <c r="D117" s="553"/>
      <c r="E117" s="554"/>
      <c r="F117" s="552"/>
      <c r="G117" s="552"/>
      <c r="H117" s="552"/>
      <c r="I117" s="552"/>
      <c r="J117" s="552"/>
      <c r="K117" s="552"/>
      <c r="M117" s="552"/>
      <c r="O117" s="552"/>
      <c r="Q117" s="1404"/>
    </row>
    <row r="118" spans="2:17" s="555" customFormat="1" ht="15.75" customHeight="1" x14ac:dyDescent="0.2">
      <c r="B118" s="175"/>
      <c r="C118" s="552"/>
      <c r="D118" s="553"/>
      <c r="E118" s="554"/>
      <c r="F118" s="552"/>
      <c r="G118" s="552"/>
      <c r="H118" s="552"/>
      <c r="I118" s="552"/>
      <c r="J118" s="552"/>
      <c r="K118" s="552"/>
      <c r="M118" s="552"/>
      <c r="O118" s="552"/>
      <c r="Q118" s="1404"/>
    </row>
    <row r="119" spans="2:17" s="555" customFormat="1" ht="15.75" customHeight="1" x14ac:dyDescent="0.2">
      <c r="B119" s="175"/>
      <c r="C119" s="552"/>
      <c r="D119" s="553"/>
      <c r="E119" s="554"/>
      <c r="F119" s="552"/>
      <c r="G119" s="552"/>
      <c r="H119" s="552"/>
      <c r="I119" s="552"/>
      <c r="J119" s="552"/>
      <c r="K119" s="552"/>
      <c r="M119" s="552"/>
      <c r="O119" s="552"/>
      <c r="Q119" s="1404"/>
    </row>
    <row r="120" spans="2:17" s="555" customFormat="1" ht="15.75" customHeight="1" x14ac:dyDescent="0.2">
      <c r="B120" s="175"/>
      <c r="C120" s="552"/>
      <c r="D120" s="553"/>
      <c r="E120" s="554"/>
      <c r="F120" s="552"/>
      <c r="G120" s="552"/>
      <c r="H120" s="552"/>
      <c r="I120" s="552"/>
      <c r="J120" s="552"/>
      <c r="K120" s="552"/>
      <c r="M120" s="552"/>
      <c r="O120" s="552"/>
      <c r="Q120" s="1404"/>
    </row>
    <row r="121" spans="2:17" s="555" customFormat="1" ht="15.75" customHeight="1" x14ac:dyDescent="0.2">
      <c r="B121" s="175"/>
      <c r="C121" s="552"/>
      <c r="D121" s="553"/>
      <c r="E121" s="554"/>
      <c r="F121" s="552"/>
      <c r="G121" s="552"/>
      <c r="H121" s="552"/>
      <c r="I121" s="552"/>
      <c r="J121" s="552"/>
      <c r="K121" s="552"/>
      <c r="M121" s="552"/>
      <c r="O121" s="552"/>
      <c r="Q121" s="1404"/>
    </row>
    <row r="122" spans="2:17" s="555" customFormat="1" ht="15.75" customHeight="1" x14ac:dyDescent="0.2">
      <c r="B122" s="175"/>
      <c r="C122" s="552"/>
      <c r="D122" s="553"/>
      <c r="E122" s="554"/>
      <c r="F122" s="552"/>
      <c r="G122" s="552"/>
      <c r="H122" s="552"/>
      <c r="I122" s="552"/>
      <c r="J122" s="552"/>
      <c r="K122" s="552"/>
      <c r="M122" s="552"/>
      <c r="O122" s="552"/>
      <c r="Q122" s="1404"/>
    </row>
    <row r="123" spans="2:17" s="555" customFormat="1" ht="15.75" customHeight="1" x14ac:dyDescent="0.2">
      <c r="B123" s="175"/>
      <c r="C123" s="552"/>
      <c r="D123" s="553"/>
      <c r="E123" s="554"/>
      <c r="F123" s="552"/>
      <c r="G123" s="552"/>
      <c r="H123" s="552"/>
      <c r="I123" s="552"/>
      <c r="J123" s="552"/>
      <c r="K123" s="552"/>
      <c r="M123" s="552"/>
      <c r="O123" s="552"/>
      <c r="Q123" s="1404"/>
    </row>
    <row r="124" spans="2:17" s="555" customFormat="1" ht="31.5" customHeight="1" x14ac:dyDescent="0.2">
      <c r="B124" s="175"/>
      <c r="C124" s="552"/>
      <c r="D124" s="553"/>
      <c r="E124" s="554"/>
      <c r="F124" s="552"/>
      <c r="G124" s="552"/>
      <c r="H124" s="552"/>
      <c r="I124" s="552"/>
      <c r="J124" s="552"/>
      <c r="K124" s="552"/>
      <c r="M124" s="552"/>
      <c r="O124" s="552"/>
      <c r="Q124" s="1404"/>
    </row>
    <row r="125" spans="2:17" s="555" customFormat="1" ht="15.75" x14ac:dyDescent="0.2">
      <c r="B125" s="175"/>
      <c r="C125" s="552"/>
      <c r="D125" s="553"/>
      <c r="E125" s="554"/>
      <c r="F125" s="552"/>
      <c r="G125" s="552"/>
      <c r="H125" s="552"/>
      <c r="I125" s="552"/>
      <c r="J125" s="552"/>
      <c r="K125" s="552"/>
      <c r="M125" s="552"/>
      <c r="O125" s="552"/>
      <c r="Q125" s="1404"/>
    </row>
    <row r="126" spans="2:17" s="555" customFormat="1" ht="15.75" x14ac:dyDescent="0.2">
      <c r="B126" s="175"/>
      <c r="C126" s="552"/>
      <c r="D126" s="553"/>
      <c r="E126" s="554"/>
      <c r="F126" s="552"/>
      <c r="G126" s="552"/>
      <c r="H126" s="552"/>
      <c r="I126" s="552"/>
      <c r="J126" s="552"/>
      <c r="K126" s="552"/>
      <c r="M126" s="552"/>
      <c r="O126" s="552"/>
      <c r="Q126" s="1404"/>
    </row>
    <row r="127" spans="2:17" s="555" customFormat="1" ht="15.75" x14ac:dyDescent="0.2">
      <c r="B127" s="175"/>
      <c r="C127" s="552"/>
      <c r="D127" s="553"/>
      <c r="E127" s="554"/>
      <c r="F127" s="552"/>
      <c r="G127" s="552"/>
      <c r="H127" s="552"/>
      <c r="I127" s="552"/>
      <c r="J127" s="552"/>
      <c r="K127" s="552"/>
      <c r="M127" s="552"/>
      <c r="O127" s="552"/>
      <c r="Q127" s="1404"/>
    </row>
    <row r="128" spans="2:17" s="555" customFormat="1" ht="15.75" x14ac:dyDescent="0.2">
      <c r="B128" s="175"/>
      <c r="C128" s="552"/>
      <c r="D128" s="553"/>
      <c r="E128" s="554"/>
      <c r="F128" s="552"/>
      <c r="G128" s="552"/>
      <c r="H128" s="552"/>
      <c r="I128" s="552"/>
      <c r="J128" s="552"/>
      <c r="K128" s="552"/>
      <c r="M128" s="552"/>
      <c r="O128" s="552"/>
      <c r="Q128" s="1404"/>
    </row>
    <row r="129" spans="2:17" s="555" customFormat="1" ht="15.75" x14ac:dyDescent="0.2">
      <c r="B129" s="175"/>
      <c r="C129" s="552"/>
      <c r="D129" s="553"/>
      <c r="E129" s="554"/>
      <c r="F129" s="552"/>
      <c r="G129" s="552"/>
      <c r="H129" s="552"/>
      <c r="I129" s="552"/>
      <c r="J129" s="552"/>
      <c r="K129" s="552"/>
      <c r="M129" s="552"/>
      <c r="O129" s="552"/>
      <c r="Q129" s="1404"/>
    </row>
    <row r="130" spans="2:17" s="555" customFormat="1" ht="15.75" customHeight="1" x14ac:dyDescent="0.2">
      <c r="B130" s="175"/>
      <c r="C130" s="552"/>
      <c r="D130" s="553"/>
      <c r="E130" s="554"/>
      <c r="F130" s="552"/>
      <c r="G130" s="552"/>
      <c r="H130" s="552"/>
      <c r="I130" s="552"/>
      <c r="J130" s="552"/>
      <c r="K130" s="552"/>
      <c r="M130" s="552"/>
      <c r="O130" s="552"/>
      <c r="Q130" s="1404"/>
    </row>
    <row r="131" spans="2:17" s="555" customFormat="1" ht="15.75" customHeight="1" x14ac:dyDescent="0.2">
      <c r="B131" s="175"/>
      <c r="C131" s="552"/>
      <c r="D131" s="553"/>
      <c r="E131" s="554"/>
      <c r="F131" s="552"/>
      <c r="G131" s="552"/>
      <c r="H131" s="552"/>
      <c r="I131" s="552"/>
      <c r="J131" s="552"/>
      <c r="K131" s="552"/>
      <c r="M131" s="552"/>
      <c r="O131" s="552"/>
      <c r="Q131" s="1404"/>
    </row>
    <row r="132" spans="2:17" s="555" customFormat="1" ht="15.75" customHeight="1" x14ac:dyDescent="0.2">
      <c r="B132" s="175"/>
      <c r="C132" s="552"/>
      <c r="D132" s="553"/>
      <c r="E132" s="554"/>
      <c r="F132" s="552"/>
      <c r="G132" s="552"/>
      <c r="H132" s="552"/>
      <c r="I132" s="552"/>
      <c r="J132" s="552"/>
      <c r="K132" s="552"/>
      <c r="M132" s="552"/>
      <c r="O132" s="552"/>
      <c r="Q132" s="1404"/>
    </row>
    <row r="133" spans="2:17" s="555" customFormat="1" ht="15.75" customHeight="1" x14ac:dyDescent="0.2">
      <c r="B133" s="175"/>
      <c r="C133" s="552"/>
      <c r="D133" s="553"/>
      <c r="E133" s="554"/>
      <c r="F133" s="552"/>
      <c r="G133" s="552"/>
      <c r="H133" s="552"/>
      <c r="I133" s="552"/>
      <c r="J133" s="552"/>
      <c r="K133" s="552"/>
      <c r="M133" s="552"/>
      <c r="O133" s="552"/>
      <c r="Q133" s="1404"/>
    </row>
    <row r="134" spans="2:17" s="555" customFormat="1" ht="15.75" customHeight="1" x14ac:dyDescent="0.2">
      <c r="B134" s="175"/>
      <c r="C134" s="552"/>
      <c r="D134" s="553"/>
      <c r="E134" s="554"/>
      <c r="F134" s="552"/>
      <c r="G134" s="552"/>
      <c r="H134" s="552"/>
      <c r="I134" s="552"/>
      <c r="J134" s="552"/>
      <c r="K134" s="552"/>
      <c r="M134" s="552"/>
      <c r="O134" s="552"/>
      <c r="Q134" s="1404"/>
    </row>
    <row r="135" spans="2:17" s="555" customFormat="1" ht="15.75" customHeight="1" x14ac:dyDescent="0.2">
      <c r="B135" s="175"/>
      <c r="C135" s="552"/>
      <c r="D135" s="553"/>
      <c r="E135" s="554"/>
      <c r="F135" s="552"/>
      <c r="G135" s="552"/>
      <c r="H135" s="552"/>
      <c r="I135" s="552"/>
      <c r="J135" s="552"/>
      <c r="K135" s="552"/>
      <c r="M135" s="552"/>
      <c r="O135" s="552"/>
      <c r="Q135" s="1404"/>
    </row>
    <row r="136" spans="2:17" s="555" customFormat="1" ht="15.75" customHeight="1" x14ac:dyDescent="0.2">
      <c r="B136" s="175"/>
      <c r="C136" s="552"/>
      <c r="D136" s="553"/>
      <c r="E136" s="554"/>
      <c r="F136" s="552"/>
      <c r="G136" s="552"/>
      <c r="H136" s="552"/>
      <c r="I136" s="552"/>
      <c r="J136" s="552"/>
      <c r="K136" s="552"/>
      <c r="M136" s="552"/>
      <c r="O136" s="552"/>
      <c r="Q136" s="1404"/>
    </row>
    <row r="137" spans="2:17" s="555" customFormat="1" ht="15.75" customHeight="1" x14ac:dyDescent="0.2">
      <c r="B137" s="175"/>
      <c r="C137" s="552"/>
      <c r="D137" s="553"/>
      <c r="E137" s="554"/>
      <c r="F137" s="552"/>
      <c r="G137" s="552"/>
      <c r="H137" s="552"/>
      <c r="I137" s="552"/>
      <c r="J137" s="552"/>
      <c r="K137" s="552"/>
      <c r="M137" s="552"/>
      <c r="O137" s="552"/>
      <c r="Q137" s="1404"/>
    </row>
    <row r="138" spans="2:17" s="555" customFormat="1" ht="15.75" customHeight="1" x14ac:dyDescent="0.2">
      <c r="B138" s="175"/>
      <c r="C138" s="552"/>
      <c r="D138" s="553"/>
      <c r="E138" s="554"/>
      <c r="F138" s="552"/>
      <c r="G138" s="552"/>
      <c r="H138" s="552"/>
      <c r="I138" s="552"/>
      <c r="J138" s="552"/>
      <c r="K138" s="552"/>
      <c r="M138" s="552"/>
      <c r="O138" s="552"/>
      <c r="Q138" s="1404"/>
    </row>
    <row r="139" spans="2:17" s="555" customFormat="1" ht="15.75" customHeight="1" x14ac:dyDescent="0.2">
      <c r="B139" s="175"/>
      <c r="C139" s="552"/>
      <c r="D139" s="553"/>
      <c r="E139" s="554"/>
      <c r="F139" s="552"/>
      <c r="G139" s="552"/>
      <c r="H139" s="552"/>
      <c r="I139" s="552"/>
      <c r="J139" s="552"/>
      <c r="K139" s="552"/>
      <c r="M139" s="552"/>
      <c r="O139" s="552"/>
      <c r="Q139" s="1404"/>
    </row>
    <row r="140" spans="2:17" s="555" customFormat="1" ht="15.75" customHeight="1" x14ac:dyDescent="0.2">
      <c r="B140" s="175"/>
      <c r="C140" s="552"/>
      <c r="D140" s="553"/>
      <c r="E140" s="554"/>
      <c r="F140" s="552"/>
      <c r="G140" s="552"/>
      <c r="H140" s="552"/>
      <c r="I140" s="552"/>
      <c r="J140" s="552"/>
      <c r="K140" s="552"/>
      <c r="M140" s="552"/>
      <c r="O140" s="552"/>
      <c r="Q140" s="1404"/>
    </row>
    <row r="141" spans="2:17" s="555" customFormat="1" ht="15.75" customHeight="1" x14ac:dyDescent="0.2">
      <c r="B141" s="175"/>
      <c r="C141" s="552"/>
      <c r="D141" s="553"/>
      <c r="E141" s="554"/>
      <c r="F141" s="552"/>
      <c r="G141" s="552"/>
      <c r="H141" s="552"/>
      <c r="I141" s="552"/>
      <c r="J141" s="552"/>
      <c r="K141" s="552"/>
      <c r="M141" s="552"/>
      <c r="O141" s="552"/>
      <c r="Q141" s="1404"/>
    </row>
    <row r="142" spans="2:17" s="555" customFormat="1" ht="15.75" customHeight="1" x14ac:dyDescent="0.2">
      <c r="B142" s="175"/>
      <c r="C142" s="552"/>
      <c r="D142" s="553"/>
      <c r="E142" s="554"/>
      <c r="F142" s="552"/>
      <c r="G142" s="552"/>
      <c r="H142" s="552"/>
      <c r="I142" s="552"/>
      <c r="J142" s="552"/>
      <c r="K142" s="552"/>
      <c r="M142" s="552"/>
      <c r="O142" s="552"/>
      <c r="Q142" s="1404"/>
    </row>
    <row r="143" spans="2:17" s="555" customFormat="1" ht="15.75" customHeight="1" x14ac:dyDescent="0.2">
      <c r="B143" s="175"/>
      <c r="C143" s="552"/>
      <c r="D143" s="553"/>
      <c r="E143" s="554"/>
      <c r="F143" s="552"/>
      <c r="G143" s="552"/>
      <c r="H143" s="552"/>
      <c r="I143" s="552"/>
      <c r="J143" s="552"/>
      <c r="K143" s="552"/>
      <c r="M143" s="552"/>
      <c r="O143" s="552"/>
      <c r="Q143" s="1404"/>
    </row>
    <row r="144" spans="2:17" s="555" customFormat="1" ht="15.75" customHeight="1" x14ac:dyDescent="0.2">
      <c r="B144" s="175"/>
      <c r="C144" s="552"/>
      <c r="D144" s="553"/>
      <c r="E144" s="554"/>
      <c r="F144" s="552"/>
      <c r="G144" s="552"/>
      <c r="H144" s="552"/>
      <c r="I144" s="552"/>
      <c r="J144" s="552"/>
      <c r="K144" s="552"/>
      <c r="M144" s="552"/>
      <c r="O144" s="552"/>
      <c r="Q144" s="1404"/>
    </row>
    <row r="145" spans="2:17" s="555" customFormat="1" ht="31.5" customHeight="1" x14ac:dyDescent="0.2">
      <c r="B145" s="175"/>
      <c r="C145" s="552"/>
      <c r="D145" s="553"/>
      <c r="E145" s="554"/>
      <c r="F145" s="552"/>
      <c r="G145" s="552"/>
      <c r="H145" s="552"/>
      <c r="I145" s="552"/>
      <c r="J145" s="552"/>
      <c r="K145" s="552"/>
      <c r="M145" s="552"/>
      <c r="O145" s="552"/>
      <c r="Q145" s="1404"/>
    </row>
    <row r="146" spans="2:17" s="555" customFormat="1" ht="15.75" x14ac:dyDescent="0.2">
      <c r="B146" s="175"/>
      <c r="C146" s="552"/>
      <c r="D146" s="553"/>
      <c r="E146" s="554"/>
      <c r="F146" s="552"/>
      <c r="G146" s="552"/>
      <c r="H146" s="552"/>
      <c r="I146" s="552"/>
      <c r="J146" s="552"/>
      <c r="K146" s="552"/>
      <c r="M146" s="552"/>
      <c r="O146" s="552"/>
      <c r="Q146" s="1404"/>
    </row>
    <row r="147" spans="2:17" s="555" customFormat="1" ht="15.75" x14ac:dyDescent="0.2">
      <c r="B147" s="175"/>
      <c r="C147" s="552"/>
      <c r="D147" s="553"/>
      <c r="E147" s="554"/>
      <c r="F147" s="552"/>
      <c r="G147" s="552"/>
      <c r="H147" s="552"/>
      <c r="I147" s="552"/>
      <c r="J147" s="552"/>
      <c r="K147" s="552"/>
      <c r="M147" s="552"/>
      <c r="O147" s="552"/>
      <c r="Q147" s="1404"/>
    </row>
    <row r="148" spans="2:17" s="555" customFormat="1" ht="15.75" x14ac:dyDescent="0.2">
      <c r="B148" s="175"/>
      <c r="C148" s="552"/>
      <c r="D148" s="553"/>
      <c r="E148" s="554"/>
      <c r="F148" s="552"/>
      <c r="G148" s="552"/>
      <c r="H148" s="552"/>
      <c r="I148" s="552"/>
      <c r="J148" s="552"/>
      <c r="K148" s="552"/>
      <c r="M148" s="552"/>
      <c r="O148" s="552"/>
      <c r="Q148" s="1404"/>
    </row>
    <row r="149" spans="2:17" s="555" customFormat="1" ht="15.75" x14ac:dyDescent="0.2">
      <c r="B149" s="175"/>
      <c r="C149" s="552"/>
      <c r="D149" s="553"/>
      <c r="E149" s="554"/>
      <c r="F149" s="552"/>
      <c r="G149" s="552"/>
      <c r="H149" s="552"/>
      <c r="I149" s="552"/>
      <c r="J149" s="552"/>
      <c r="K149" s="552"/>
      <c r="M149" s="552"/>
      <c r="O149" s="552"/>
      <c r="Q149" s="1404"/>
    </row>
    <row r="150" spans="2:17" s="555" customFormat="1" ht="15.75" x14ac:dyDescent="0.2">
      <c r="B150" s="175"/>
      <c r="C150" s="552"/>
      <c r="D150" s="553"/>
      <c r="E150" s="554"/>
      <c r="F150" s="552"/>
      <c r="G150" s="552"/>
      <c r="H150" s="552"/>
      <c r="I150" s="552"/>
      <c r="J150" s="552"/>
      <c r="K150" s="552"/>
      <c r="M150" s="552"/>
      <c r="O150" s="552"/>
      <c r="Q150" s="1404"/>
    </row>
    <row r="151" spans="2:17" s="555" customFormat="1" ht="16.5" customHeight="1" x14ac:dyDescent="0.2">
      <c r="B151" s="175"/>
      <c r="C151" s="552"/>
      <c r="D151" s="553"/>
      <c r="E151" s="554"/>
      <c r="F151" s="552"/>
      <c r="G151" s="552"/>
      <c r="H151" s="552"/>
      <c r="I151" s="552"/>
      <c r="J151" s="552"/>
      <c r="K151" s="552"/>
      <c r="M151" s="552"/>
      <c r="O151" s="552"/>
      <c r="Q151" s="1404"/>
    </row>
    <row r="152" spans="2:17" s="555" customFormat="1" ht="15.75" customHeight="1" x14ac:dyDescent="0.2">
      <c r="B152" s="175"/>
      <c r="C152" s="552"/>
      <c r="D152" s="553"/>
      <c r="E152" s="554"/>
      <c r="F152" s="552"/>
      <c r="G152" s="552"/>
      <c r="H152" s="552"/>
      <c r="I152" s="552"/>
      <c r="J152" s="552"/>
      <c r="K152" s="552"/>
      <c r="M152" s="552"/>
      <c r="O152" s="552"/>
      <c r="Q152" s="1404"/>
    </row>
    <row r="153" spans="2:17" s="555" customFormat="1" ht="15.75" customHeight="1" x14ac:dyDescent="0.2">
      <c r="B153" s="175"/>
      <c r="C153" s="552"/>
      <c r="D153" s="553"/>
      <c r="E153" s="554"/>
      <c r="F153" s="552"/>
      <c r="G153" s="552"/>
      <c r="H153" s="552"/>
      <c r="I153" s="552"/>
      <c r="J153" s="552"/>
      <c r="K153" s="552"/>
      <c r="M153" s="552"/>
      <c r="O153" s="552"/>
      <c r="Q153" s="1404"/>
    </row>
    <row r="154" spans="2:17" s="555" customFormat="1" ht="15.75" customHeight="1" x14ac:dyDescent="0.2">
      <c r="B154" s="175"/>
      <c r="C154" s="552"/>
      <c r="D154" s="553"/>
      <c r="E154" s="554"/>
      <c r="F154" s="552"/>
      <c r="G154" s="552"/>
      <c r="H154" s="552"/>
      <c r="I154" s="552"/>
      <c r="J154" s="552"/>
      <c r="K154" s="552"/>
      <c r="M154" s="552"/>
      <c r="O154" s="552"/>
      <c r="Q154" s="1404"/>
    </row>
    <row r="155" spans="2:17" s="555" customFormat="1" ht="15.75" customHeight="1" x14ac:dyDescent="0.2">
      <c r="B155" s="175"/>
      <c r="C155" s="552"/>
      <c r="D155" s="553"/>
      <c r="E155" s="554"/>
      <c r="F155" s="552"/>
      <c r="G155" s="552"/>
      <c r="H155" s="552"/>
      <c r="I155" s="552"/>
      <c r="J155" s="552"/>
      <c r="K155" s="552"/>
      <c r="M155" s="552"/>
      <c r="O155" s="552"/>
      <c r="Q155" s="1404"/>
    </row>
    <row r="156" spans="2:17" s="555" customFormat="1" ht="15.75" customHeight="1" x14ac:dyDescent="0.2">
      <c r="B156" s="175"/>
      <c r="C156" s="552"/>
      <c r="D156" s="553"/>
      <c r="E156" s="554"/>
      <c r="F156" s="552"/>
      <c r="G156" s="552"/>
      <c r="H156" s="552"/>
      <c r="I156" s="552"/>
      <c r="J156" s="552"/>
      <c r="K156" s="552"/>
      <c r="M156" s="552"/>
      <c r="O156" s="552"/>
      <c r="Q156" s="1404"/>
    </row>
    <row r="157" spans="2:17" s="555" customFormat="1" ht="15.75" customHeight="1" x14ac:dyDescent="0.2">
      <c r="B157" s="175"/>
      <c r="C157" s="552"/>
      <c r="D157" s="553"/>
      <c r="E157" s="554"/>
      <c r="F157" s="552"/>
      <c r="G157" s="552"/>
      <c r="H157" s="552"/>
      <c r="I157" s="552"/>
      <c r="J157" s="552"/>
      <c r="K157" s="552"/>
      <c r="M157" s="552"/>
      <c r="O157" s="552"/>
      <c r="Q157" s="1404"/>
    </row>
    <row r="158" spans="2:17" s="555" customFormat="1" ht="15.75" customHeight="1" x14ac:dyDescent="0.2">
      <c r="B158" s="175"/>
      <c r="C158" s="552"/>
      <c r="D158" s="553"/>
      <c r="E158" s="554"/>
      <c r="F158" s="552"/>
      <c r="G158" s="552"/>
      <c r="H158" s="552"/>
      <c r="I158" s="552"/>
      <c r="J158" s="552"/>
      <c r="K158" s="552"/>
      <c r="M158" s="552"/>
      <c r="O158" s="552"/>
      <c r="Q158" s="1404"/>
    </row>
    <row r="159" spans="2:17" s="555" customFormat="1" ht="15.75" customHeight="1" x14ac:dyDescent="0.2">
      <c r="B159" s="175"/>
      <c r="C159" s="552"/>
      <c r="D159" s="553"/>
      <c r="E159" s="554"/>
      <c r="F159" s="552"/>
      <c r="G159" s="552"/>
      <c r="H159" s="552"/>
      <c r="I159" s="552"/>
      <c r="J159" s="552"/>
      <c r="K159" s="552"/>
      <c r="M159" s="552"/>
      <c r="O159" s="552"/>
      <c r="Q159" s="1404"/>
    </row>
    <row r="160" spans="2:17" s="555" customFormat="1" ht="15.75" customHeight="1" x14ac:dyDescent="0.2">
      <c r="B160" s="175"/>
      <c r="C160" s="552"/>
      <c r="D160" s="553"/>
      <c r="E160" s="554"/>
      <c r="F160" s="552"/>
      <c r="G160" s="552"/>
      <c r="H160" s="552"/>
      <c r="I160" s="552"/>
      <c r="J160" s="552"/>
      <c r="K160" s="552"/>
      <c r="M160" s="552"/>
      <c r="O160" s="552"/>
      <c r="Q160" s="1404"/>
    </row>
    <row r="161" spans="2:17" s="555" customFormat="1" ht="15.75" customHeight="1" x14ac:dyDescent="0.2">
      <c r="B161" s="175"/>
      <c r="C161" s="552"/>
      <c r="D161" s="553"/>
      <c r="E161" s="554"/>
      <c r="F161" s="552"/>
      <c r="G161" s="552"/>
      <c r="H161" s="552"/>
      <c r="I161" s="552"/>
      <c r="J161" s="552"/>
      <c r="K161" s="552"/>
      <c r="M161" s="552"/>
      <c r="O161" s="552"/>
      <c r="Q161" s="1404"/>
    </row>
    <row r="162" spans="2:17" s="555" customFormat="1" ht="15.75" customHeight="1" x14ac:dyDescent="0.2">
      <c r="B162" s="175"/>
      <c r="C162" s="552"/>
      <c r="D162" s="553"/>
      <c r="E162" s="554"/>
      <c r="F162" s="552"/>
      <c r="G162" s="552"/>
      <c r="H162" s="552"/>
      <c r="I162" s="552"/>
      <c r="J162" s="552"/>
      <c r="K162" s="552"/>
      <c r="M162" s="552"/>
      <c r="O162" s="552"/>
      <c r="Q162" s="1404"/>
    </row>
    <row r="163" spans="2:17" s="555" customFormat="1" ht="15.75" customHeight="1" x14ac:dyDescent="0.2">
      <c r="B163" s="175"/>
      <c r="C163" s="552"/>
      <c r="D163" s="553"/>
      <c r="E163" s="554"/>
      <c r="F163" s="552"/>
      <c r="G163" s="552"/>
      <c r="H163" s="552"/>
      <c r="I163" s="552"/>
      <c r="J163" s="552"/>
      <c r="K163" s="552"/>
      <c r="M163" s="552"/>
      <c r="O163" s="552"/>
      <c r="Q163" s="1404"/>
    </row>
    <row r="164" spans="2:17" s="555" customFormat="1" ht="15.75" customHeight="1" x14ac:dyDescent="0.2">
      <c r="B164" s="175"/>
      <c r="C164" s="552"/>
      <c r="D164" s="553"/>
      <c r="E164" s="554"/>
      <c r="F164" s="552"/>
      <c r="G164" s="552"/>
      <c r="H164" s="552"/>
      <c r="I164" s="552"/>
      <c r="J164" s="552"/>
      <c r="K164" s="552"/>
      <c r="M164" s="552"/>
      <c r="O164" s="552"/>
      <c r="Q164" s="1404"/>
    </row>
    <row r="165" spans="2:17" s="555" customFormat="1" ht="15.75" customHeight="1" x14ac:dyDescent="0.2">
      <c r="B165" s="175"/>
      <c r="C165" s="552"/>
      <c r="D165" s="553"/>
      <c r="E165" s="554"/>
      <c r="F165" s="552"/>
      <c r="G165" s="552"/>
      <c r="H165" s="552"/>
      <c r="I165" s="552"/>
      <c r="J165" s="552"/>
      <c r="K165" s="552"/>
      <c r="M165" s="552"/>
      <c r="O165" s="552"/>
      <c r="Q165" s="1404"/>
    </row>
    <row r="166" spans="2:17" s="555" customFormat="1" ht="31.5" customHeight="1" x14ac:dyDescent="0.2">
      <c r="B166" s="175"/>
      <c r="C166" s="552"/>
      <c r="D166" s="553"/>
      <c r="E166" s="554"/>
      <c r="F166" s="552"/>
      <c r="G166" s="552"/>
      <c r="H166" s="552"/>
      <c r="I166" s="552"/>
      <c r="J166" s="552"/>
      <c r="K166" s="552"/>
      <c r="M166" s="552"/>
      <c r="O166" s="552"/>
      <c r="Q166" s="1404"/>
    </row>
    <row r="167" spans="2:17" s="555" customFormat="1" ht="15.75" x14ac:dyDescent="0.2">
      <c r="B167" s="175"/>
      <c r="C167" s="552"/>
      <c r="D167" s="553"/>
      <c r="E167" s="554"/>
      <c r="F167" s="552"/>
      <c r="G167" s="552"/>
      <c r="H167" s="552"/>
      <c r="I167" s="552"/>
      <c r="J167" s="552"/>
      <c r="K167" s="552"/>
      <c r="M167" s="552"/>
      <c r="O167" s="552"/>
      <c r="Q167" s="1404"/>
    </row>
    <row r="168" spans="2:17" s="555" customFormat="1" ht="15.75" x14ac:dyDescent="0.2">
      <c r="B168" s="175"/>
      <c r="C168" s="552"/>
      <c r="D168" s="553"/>
      <c r="E168" s="554"/>
      <c r="F168" s="552"/>
      <c r="G168" s="552"/>
      <c r="H168" s="552"/>
      <c r="I168" s="552"/>
      <c r="J168" s="552"/>
      <c r="K168" s="552"/>
      <c r="M168" s="552"/>
      <c r="O168" s="552"/>
      <c r="Q168" s="1404"/>
    </row>
    <row r="169" spans="2:17" s="555" customFormat="1" ht="15.75" x14ac:dyDescent="0.2">
      <c r="B169" s="175"/>
      <c r="C169" s="552"/>
      <c r="D169" s="553"/>
      <c r="E169" s="554"/>
      <c r="F169" s="552"/>
      <c r="G169" s="552"/>
      <c r="H169" s="552"/>
      <c r="I169" s="552"/>
      <c r="J169" s="552"/>
      <c r="K169" s="552"/>
      <c r="M169" s="552"/>
      <c r="O169" s="552"/>
      <c r="Q169" s="1404"/>
    </row>
    <row r="170" spans="2:17" s="555" customFormat="1" ht="15.75" x14ac:dyDescent="0.2">
      <c r="B170" s="175"/>
      <c r="C170" s="552"/>
      <c r="D170" s="553"/>
      <c r="E170" s="554"/>
      <c r="F170" s="552"/>
      <c r="G170" s="552"/>
      <c r="H170" s="552"/>
      <c r="I170" s="552"/>
      <c r="J170" s="552"/>
      <c r="K170" s="552"/>
      <c r="M170" s="552"/>
      <c r="O170" s="552"/>
      <c r="Q170" s="1404"/>
    </row>
    <row r="171" spans="2:17" s="555" customFormat="1" ht="15.75" x14ac:dyDescent="0.2">
      <c r="B171" s="175"/>
      <c r="C171" s="552"/>
      <c r="D171" s="553"/>
      <c r="E171" s="554"/>
      <c r="F171" s="552"/>
      <c r="G171" s="552"/>
      <c r="H171" s="552"/>
      <c r="I171" s="552"/>
      <c r="J171" s="552"/>
      <c r="K171" s="552"/>
      <c r="M171" s="552"/>
      <c r="O171" s="552"/>
      <c r="Q171" s="1404"/>
    </row>
    <row r="172" spans="2:17" s="555" customFormat="1" ht="15.75" customHeight="1" x14ac:dyDescent="0.2">
      <c r="B172" s="175"/>
      <c r="C172" s="552"/>
      <c r="D172" s="553"/>
      <c r="E172" s="554"/>
      <c r="F172" s="552"/>
      <c r="G172" s="552"/>
      <c r="H172" s="552"/>
      <c r="I172" s="552"/>
      <c r="J172" s="552"/>
      <c r="K172" s="552"/>
      <c r="M172" s="552"/>
      <c r="O172" s="552"/>
      <c r="Q172" s="1404"/>
    </row>
    <row r="173" spans="2:17" s="555" customFormat="1" ht="15.75" customHeight="1" x14ac:dyDescent="0.2">
      <c r="B173" s="175"/>
      <c r="C173" s="552"/>
      <c r="D173" s="553"/>
      <c r="E173" s="554"/>
      <c r="F173" s="552"/>
      <c r="G173" s="552"/>
      <c r="H173" s="552"/>
      <c r="I173" s="552"/>
      <c r="J173" s="552"/>
      <c r="K173" s="552"/>
      <c r="M173" s="552"/>
      <c r="O173" s="552"/>
      <c r="Q173" s="1404"/>
    </row>
    <row r="174" spans="2:17" s="555" customFormat="1" ht="15.75" customHeight="1" x14ac:dyDescent="0.2">
      <c r="B174" s="175"/>
      <c r="C174" s="552"/>
      <c r="D174" s="553"/>
      <c r="E174" s="554"/>
      <c r="F174" s="552"/>
      <c r="G174" s="552"/>
      <c r="H174" s="552"/>
      <c r="I174" s="552"/>
      <c r="J174" s="552"/>
      <c r="K174" s="552"/>
      <c r="M174" s="552"/>
      <c r="O174" s="552"/>
      <c r="Q174" s="1404"/>
    </row>
    <row r="175" spans="2:17" s="555" customFormat="1" ht="15.75" customHeight="1" x14ac:dyDescent="0.2">
      <c r="B175" s="175"/>
      <c r="C175" s="552"/>
      <c r="D175" s="553"/>
      <c r="E175" s="554"/>
      <c r="F175" s="552"/>
      <c r="G175" s="552"/>
      <c r="H175" s="552"/>
      <c r="I175" s="552"/>
      <c r="J175" s="552"/>
      <c r="K175" s="552"/>
      <c r="M175" s="552"/>
      <c r="O175" s="552"/>
      <c r="Q175" s="1404"/>
    </row>
    <row r="176" spans="2:17" s="555" customFormat="1" ht="15.75" customHeight="1" x14ac:dyDescent="0.2">
      <c r="B176" s="175"/>
      <c r="C176" s="552"/>
      <c r="D176" s="553"/>
      <c r="E176" s="554"/>
      <c r="F176" s="552"/>
      <c r="G176" s="552"/>
      <c r="H176" s="552"/>
      <c r="I176" s="552"/>
      <c r="J176" s="552"/>
      <c r="K176" s="552"/>
      <c r="M176" s="552"/>
      <c r="O176" s="552"/>
      <c r="Q176" s="1404"/>
    </row>
    <row r="177" spans="2:17" s="555" customFormat="1" ht="15.75" customHeight="1" x14ac:dyDescent="0.2">
      <c r="B177" s="175"/>
      <c r="C177" s="552"/>
      <c r="D177" s="553"/>
      <c r="E177" s="554"/>
      <c r="F177" s="552"/>
      <c r="G177" s="552"/>
      <c r="H177" s="552"/>
      <c r="I177" s="552"/>
      <c r="J177" s="552"/>
      <c r="K177" s="552"/>
      <c r="M177" s="552"/>
      <c r="O177" s="552"/>
      <c r="Q177" s="1404"/>
    </row>
    <row r="178" spans="2:17" s="555" customFormat="1" ht="15.75" customHeight="1" x14ac:dyDescent="0.2">
      <c r="B178" s="175"/>
      <c r="C178" s="552"/>
      <c r="D178" s="553"/>
      <c r="E178" s="554"/>
      <c r="F178" s="552"/>
      <c r="G178" s="552"/>
      <c r="H178" s="552"/>
      <c r="I178" s="552"/>
      <c r="J178" s="552"/>
      <c r="K178" s="552"/>
      <c r="M178" s="552"/>
      <c r="O178" s="552"/>
      <c r="Q178" s="1404"/>
    </row>
    <row r="179" spans="2:17" s="555" customFormat="1" ht="15.75" customHeight="1" x14ac:dyDescent="0.2">
      <c r="B179" s="175"/>
      <c r="C179" s="552"/>
      <c r="D179" s="553"/>
      <c r="E179" s="554"/>
      <c r="F179" s="552"/>
      <c r="G179" s="552"/>
      <c r="H179" s="552"/>
      <c r="I179" s="552"/>
      <c r="J179" s="552"/>
      <c r="K179" s="552"/>
      <c r="M179" s="552"/>
      <c r="O179" s="552"/>
      <c r="Q179" s="1404"/>
    </row>
    <row r="180" spans="2:17" s="555" customFormat="1" ht="15.75" customHeight="1" x14ac:dyDescent="0.2">
      <c r="B180" s="175"/>
      <c r="C180" s="552"/>
      <c r="D180" s="553"/>
      <c r="E180" s="554"/>
      <c r="F180" s="552"/>
      <c r="G180" s="552"/>
      <c r="H180" s="552"/>
      <c r="I180" s="552"/>
      <c r="J180" s="552"/>
      <c r="K180" s="552"/>
      <c r="M180" s="552"/>
      <c r="O180" s="552"/>
      <c r="Q180" s="1404"/>
    </row>
    <row r="181" spans="2:17" s="555" customFormat="1" ht="15.75" customHeight="1" x14ac:dyDescent="0.2">
      <c r="B181" s="175"/>
      <c r="C181" s="552"/>
      <c r="D181" s="553"/>
      <c r="E181" s="554"/>
      <c r="F181" s="552"/>
      <c r="G181" s="552"/>
      <c r="H181" s="552"/>
      <c r="I181" s="552"/>
      <c r="J181" s="552"/>
      <c r="K181" s="552"/>
      <c r="M181" s="552"/>
      <c r="O181" s="552"/>
      <c r="Q181" s="1404"/>
    </row>
    <row r="182" spans="2:17" s="555" customFormat="1" ht="15.75" customHeight="1" x14ac:dyDescent="0.2">
      <c r="B182" s="175"/>
      <c r="C182" s="552"/>
      <c r="D182" s="553"/>
      <c r="E182" s="554"/>
      <c r="F182" s="552"/>
      <c r="G182" s="552"/>
      <c r="H182" s="552"/>
      <c r="I182" s="552"/>
      <c r="J182" s="552"/>
      <c r="K182" s="552"/>
      <c r="M182" s="552"/>
      <c r="O182" s="552"/>
      <c r="Q182" s="1404"/>
    </row>
    <row r="183" spans="2:17" s="555" customFormat="1" ht="15.75" customHeight="1" x14ac:dyDescent="0.2">
      <c r="B183" s="175"/>
      <c r="C183" s="552"/>
      <c r="D183" s="553"/>
      <c r="E183" s="554"/>
      <c r="F183" s="552"/>
      <c r="G183" s="552"/>
      <c r="H183" s="552"/>
      <c r="I183" s="552"/>
      <c r="J183" s="552"/>
      <c r="K183" s="552"/>
      <c r="M183" s="552"/>
      <c r="O183" s="552"/>
      <c r="Q183" s="1404"/>
    </row>
    <row r="184" spans="2:17" s="555" customFormat="1" ht="15.75" customHeight="1" x14ac:dyDescent="0.2">
      <c r="B184" s="175"/>
      <c r="C184" s="552"/>
      <c r="D184" s="553"/>
      <c r="E184" s="554"/>
      <c r="F184" s="552"/>
      <c r="G184" s="552"/>
      <c r="H184" s="552"/>
      <c r="I184" s="552"/>
      <c r="J184" s="552"/>
      <c r="K184" s="552"/>
      <c r="M184" s="552"/>
      <c r="O184" s="552"/>
      <c r="Q184" s="1404"/>
    </row>
    <row r="185" spans="2:17" s="555" customFormat="1" ht="15.75" customHeight="1" x14ac:dyDescent="0.2">
      <c r="B185" s="175"/>
      <c r="C185" s="552"/>
      <c r="D185" s="553"/>
      <c r="E185" s="554"/>
      <c r="F185" s="552"/>
      <c r="G185" s="552"/>
      <c r="H185" s="552"/>
      <c r="I185" s="552"/>
      <c r="J185" s="552"/>
      <c r="K185" s="552"/>
      <c r="M185" s="552"/>
      <c r="O185" s="552"/>
      <c r="Q185" s="1404"/>
    </row>
    <row r="186" spans="2:17" s="555" customFormat="1" ht="15.75" customHeight="1" x14ac:dyDescent="0.2">
      <c r="B186" s="175"/>
      <c r="C186" s="552"/>
      <c r="D186" s="553"/>
      <c r="E186" s="554"/>
      <c r="F186" s="552"/>
      <c r="G186" s="552"/>
      <c r="H186" s="552"/>
      <c r="I186" s="552"/>
      <c r="J186" s="552"/>
      <c r="K186" s="552"/>
      <c r="M186" s="552"/>
      <c r="O186" s="552"/>
      <c r="Q186" s="1404"/>
    </row>
    <row r="187" spans="2:17" s="555" customFormat="1" ht="31.5" customHeight="1" x14ac:dyDescent="0.2">
      <c r="B187" s="175"/>
      <c r="C187" s="552"/>
      <c r="D187" s="553"/>
      <c r="E187" s="554"/>
      <c r="F187" s="552"/>
      <c r="G187" s="552"/>
      <c r="H187" s="552"/>
      <c r="I187" s="552"/>
      <c r="J187" s="552"/>
      <c r="K187" s="552"/>
      <c r="M187" s="552"/>
      <c r="O187" s="552"/>
      <c r="Q187" s="1404"/>
    </row>
    <row r="188" spans="2:17" s="555" customFormat="1" ht="15.75" x14ac:dyDescent="0.2">
      <c r="B188" s="175"/>
      <c r="C188" s="552"/>
      <c r="D188" s="553"/>
      <c r="E188" s="554"/>
      <c r="F188" s="552"/>
      <c r="G188" s="552"/>
      <c r="H188" s="552"/>
      <c r="I188" s="552"/>
      <c r="J188" s="552"/>
      <c r="K188" s="552"/>
      <c r="M188" s="552"/>
      <c r="O188" s="552"/>
      <c r="Q188" s="1404"/>
    </row>
    <row r="189" spans="2:17" s="555" customFormat="1" ht="15.75" x14ac:dyDescent="0.2">
      <c r="B189" s="175"/>
      <c r="C189" s="552"/>
      <c r="D189" s="553"/>
      <c r="E189" s="554"/>
      <c r="F189" s="552"/>
      <c r="G189" s="552"/>
      <c r="H189" s="552"/>
      <c r="I189" s="552"/>
      <c r="J189" s="552"/>
      <c r="K189" s="552"/>
      <c r="M189" s="552"/>
      <c r="O189" s="552"/>
      <c r="Q189" s="1404"/>
    </row>
    <row r="190" spans="2:17" s="555" customFormat="1" ht="15.75" x14ac:dyDescent="0.2">
      <c r="B190" s="175"/>
      <c r="C190" s="552"/>
      <c r="D190" s="553"/>
      <c r="E190" s="554"/>
      <c r="F190" s="552"/>
      <c r="G190" s="552"/>
      <c r="H190" s="552"/>
      <c r="I190" s="552"/>
      <c r="J190" s="552"/>
      <c r="K190" s="552"/>
      <c r="M190" s="552"/>
      <c r="O190" s="552"/>
      <c r="Q190" s="1404"/>
    </row>
    <row r="191" spans="2:17" s="555" customFormat="1" ht="15.75" x14ac:dyDescent="0.2">
      <c r="B191" s="175"/>
      <c r="C191" s="552"/>
      <c r="D191" s="553"/>
      <c r="E191" s="554"/>
      <c r="F191" s="552"/>
      <c r="G191" s="552"/>
      <c r="H191" s="552"/>
      <c r="I191" s="552"/>
      <c r="J191" s="552"/>
      <c r="K191" s="552"/>
      <c r="M191" s="552"/>
      <c r="O191" s="552"/>
      <c r="Q191" s="1404"/>
    </row>
    <row r="192" spans="2:17" s="555" customFormat="1" ht="15.75" x14ac:dyDescent="0.2">
      <c r="B192" s="175"/>
      <c r="C192" s="552"/>
      <c r="D192" s="553"/>
      <c r="E192" s="554"/>
      <c r="F192" s="552"/>
      <c r="G192" s="552"/>
      <c r="H192" s="552"/>
      <c r="I192" s="552"/>
      <c r="J192" s="552"/>
      <c r="K192" s="552"/>
      <c r="M192" s="552"/>
      <c r="O192" s="552"/>
      <c r="Q192" s="1404"/>
    </row>
    <row r="193" spans="2:17" s="555" customFormat="1" ht="16.5" customHeight="1" x14ac:dyDescent="0.2">
      <c r="B193" s="175"/>
      <c r="C193" s="552"/>
      <c r="D193" s="553"/>
      <c r="E193" s="554"/>
      <c r="F193" s="552"/>
      <c r="G193" s="552"/>
      <c r="H193" s="552"/>
      <c r="I193" s="552"/>
      <c r="J193" s="552"/>
      <c r="K193" s="552"/>
      <c r="M193" s="552"/>
      <c r="O193" s="552"/>
      <c r="Q193" s="1404"/>
    </row>
    <row r="194" spans="2:17" s="555" customFormat="1" ht="15.75" customHeight="1" x14ac:dyDescent="0.2">
      <c r="B194" s="175"/>
      <c r="C194" s="552"/>
      <c r="D194" s="553"/>
      <c r="E194" s="554"/>
      <c r="F194" s="552"/>
      <c r="G194" s="552"/>
      <c r="H194" s="552"/>
      <c r="I194" s="552"/>
      <c r="J194" s="552"/>
      <c r="K194" s="552"/>
      <c r="M194" s="552"/>
      <c r="O194" s="552"/>
      <c r="Q194" s="1404"/>
    </row>
    <row r="195" spans="2:17" s="555" customFormat="1" ht="15.75" customHeight="1" x14ac:dyDescent="0.2">
      <c r="B195" s="175"/>
      <c r="C195" s="552"/>
      <c r="D195" s="553"/>
      <c r="E195" s="554"/>
      <c r="F195" s="552"/>
      <c r="G195" s="552"/>
      <c r="H195" s="552"/>
      <c r="I195" s="552"/>
      <c r="J195" s="552"/>
      <c r="K195" s="552"/>
      <c r="M195" s="552"/>
      <c r="O195" s="552"/>
      <c r="Q195" s="1404"/>
    </row>
    <row r="196" spans="2:17" s="555" customFormat="1" ht="15.75" customHeight="1" x14ac:dyDescent="0.2">
      <c r="B196" s="175"/>
      <c r="C196" s="552"/>
      <c r="D196" s="553"/>
      <c r="E196" s="554"/>
      <c r="F196" s="552"/>
      <c r="G196" s="552"/>
      <c r="H196" s="552"/>
      <c r="I196" s="552"/>
      <c r="J196" s="552"/>
      <c r="K196" s="552"/>
      <c r="M196" s="552"/>
      <c r="O196" s="552"/>
      <c r="Q196" s="1404"/>
    </row>
    <row r="197" spans="2:17" s="555" customFormat="1" ht="15.75" customHeight="1" x14ac:dyDescent="0.2">
      <c r="B197" s="175"/>
      <c r="C197" s="552"/>
      <c r="D197" s="553"/>
      <c r="E197" s="554"/>
      <c r="F197" s="552"/>
      <c r="G197" s="552"/>
      <c r="H197" s="552"/>
      <c r="I197" s="552"/>
      <c r="J197" s="552"/>
      <c r="K197" s="552"/>
      <c r="M197" s="552"/>
      <c r="O197" s="552"/>
      <c r="Q197" s="1404"/>
    </row>
    <row r="198" spans="2:17" s="555" customFormat="1" ht="15.75" customHeight="1" x14ac:dyDescent="0.2">
      <c r="B198" s="175"/>
      <c r="C198" s="552"/>
      <c r="D198" s="553"/>
      <c r="E198" s="554"/>
      <c r="F198" s="552"/>
      <c r="G198" s="552"/>
      <c r="H198" s="552"/>
      <c r="I198" s="552"/>
      <c r="J198" s="552"/>
      <c r="K198" s="552"/>
      <c r="M198" s="552"/>
      <c r="O198" s="552"/>
      <c r="Q198" s="1404"/>
    </row>
    <row r="199" spans="2:17" s="555" customFormat="1" ht="15.75" customHeight="1" x14ac:dyDescent="0.2">
      <c r="B199" s="175"/>
      <c r="C199" s="552"/>
      <c r="D199" s="553"/>
      <c r="E199" s="554"/>
      <c r="F199" s="552"/>
      <c r="G199" s="552"/>
      <c r="H199" s="552"/>
      <c r="I199" s="552"/>
      <c r="J199" s="552"/>
      <c r="K199" s="552"/>
      <c r="M199" s="552"/>
      <c r="O199" s="552"/>
      <c r="Q199" s="1404"/>
    </row>
    <row r="200" spans="2:17" s="555" customFormat="1" ht="15.75" customHeight="1" x14ac:dyDescent="0.2">
      <c r="B200" s="175"/>
      <c r="C200" s="552"/>
      <c r="D200" s="553"/>
      <c r="E200" s="554"/>
      <c r="F200" s="552"/>
      <c r="G200" s="552"/>
      <c r="H200" s="552"/>
      <c r="I200" s="552"/>
      <c r="J200" s="552"/>
      <c r="K200" s="552"/>
      <c r="M200" s="552"/>
      <c r="O200" s="552"/>
      <c r="Q200" s="1404"/>
    </row>
    <row r="201" spans="2:17" s="555" customFormat="1" ht="15.75" customHeight="1" x14ac:dyDescent="0.2">
      <c r="B201" s="175"/>
      <c r="C201" s="552"/>
      <c r="D201" s="553"/>
      <c r="E201" s="554"/>
      <c r="F201" s="552"/>
      <c r="G201" s="552"/>
      <c r="H201" s="552"/>
      <c r="I201" s="552"/>
      <c r="J201" s="552"/>
      <c r="K201" s="552"/>
      <c r="M201" s="552"/>
      <c r="O201" s="552"/>
      <c r="Q201" s="1404"/>
    </row>
    <row r="202" spans="2:17" s="555" customFormat="1" ht="15.75" customHeight="1" x14ac:dyDescent="0.2">
      <c r="B202" s="175"/>
      <c r="C202" s="552"/>
      <c r="D202" s="553"/>
      <c r="E202" s="554"/>
      <c r="F202" s="552"/>
      <c r="G202" s="552"/>
      <c r="H202" s="552"/>
      <c r="I202" s="552"/>
      <c r="J202" s="552"/>
      <c r="K202" s="552"/>
      <c r="M202" s="552"/>
      <c r="O202" s="552"/>
      <c r="Q202" s="1404"/>
    </row>
    <row r="203" spans="2:17" s="555" customFormat="1" ht="15.75" customHeight="1" x14ac:dyDescent="0.2">
      <c r="B203" s="175"/>
      <c r="C203" s="552"/>
      <c r="D203" s="553"/>
      <c r="E203" s="554"/>
      <c r="F203" s="552"/>
      <c r="G203" s="552"/>
      <c r="H203" s="552"/>
      <c r="I203" s="552"/>
      <c r="J203" s="552"/>
      <c r="K203" s="552"/>
      <c r="M203" s="552"/>
      <c r="O203" s="552"/>
      <c r="Q203" s="1404"/>
    </row>
    <row r="204" spans="2:17" s="555" customFormat="1" ht="15.75" customHeight="1" x14ac:dyDescent="0.2">
      <c r="B204" s="175"/>
      <c r="C204" s="552"/>
      <c r="D204" s="553"/>
      <c r="E204" s="554"/>
      <c r="F204" s="552"/>
      <c r="G204" s="552"/>
      <c r="H204" s="552"/>
      <c r="I204" s="552"/>
      <c r="J204" s="552"/>
      <c r="K204" s="552"/>
      <c r="M204" s="552"/>
      <c r="O204" s="552"/>
      <c r="Q204" s="1404"/>
    </row>
    <row r="205" spans="2:17" s="555" customFormat="1" ht="15.75" customHeight="1" x14ac:dyDescent="0.2">
      <c r="B205" s="175"/>
      <c r="C205" s="552"/>
      <c r="D205" s="553"/>
      <c r="E205" s="554"/>
      <c r="F205" s="552"/>
      <c r="G205" s="552"/>
      <c r="H205" s="552"/>
      <c r="I205" s="552"/>
      <c r="J205" s="552"/>
      <c r="K205" s="552"/>
      <c r="M205" s="552"/>
      <c r="O205" s="552"/>
      <c r="Q205" s="1404"/>
    </row>
    <row r="206" spans="2:17" s="555" customFormat="1" ht="15.75" customHeight="1" x14ac:dyDescent="0.2">
      <c r="B206" s="175"/>
      <c r="C206" s="552"/>
      <c r="D206" s="553"/>
      <c r="E206" s="554"/>
      <c r="F206" s="552"/>
      <c r="G206" s="552"/>
      <c r="H206" s="552"/>
      <c r="I206" s="552"/>
      <c r="J206" s="552"/>
      <c r="K206" s="552"/>
      <c r="M206" s="552"/>
      <c r="O206" s="552"/>
      <c r="Q206" s="1404"/>
    </row>
    <row r="207" spans="2:17" s="555" customFormat="1" ht="15.75" customHeight="1" x14ac:dyDescent="0.2">
      <c r="B207" s="175"/>
      <c r="C207" s="552"/>
      <c r="D207" s="553"/>
      <c r="E207" s="554"/>
      <c r="F207" s="552"/>
      <c r="G207" s="552"/>
      <c r="H207" s="552"/>
      <c r="I207" s="552"/>
      <c r="J207" s="552"/>
      <c r="K207" s="552"/>
      <c r="M207" s="552"/>
      <c r="O207" s="552"/>
      <c r="Q207" s="1404"/>
    </row>
    <row r="208" spans="2:17" s="555" customFormat="1" ht="31.5" customHeight="1" x14ac:dyDescent="0.2">
      <c r="B208" s="175"/>
      <c r="C208" s="552"/>
      <c r="D208" s="553"/>
      <c r="E208" s="554"/>
      <c r="F208" s="552"/>
      <c r="G208" s="552"/>
      <c r="H208" s="552"/>
      <c r="I208" s="552"/>
      <c r="J208" s="552"/>
      <c r="K208" s="552"/>
      <c r="M208" s="552"/>
      <c r="O208" s="552"/>
      <c r="Q208" s="1404"/>
    </row>
    <row r="209" spans="2:17" s="555" customFormat="1" ht="15.75" x14ac:dyDescent="0.2">
      <c r="B209" s="175"/>
      <c r="C209" s="552"/>
      <c r="D209" s="553"/>
      <c r="E209" s="554"/>
      <c r="F209" s="552"/>
      <c r="G209" s="552"/>
      <c r="H209" s="552"/>
      <c r="I209" s="552"/>
      <c r="J209" s="552"/>
      <c r="K209" s="552"/>
      <c r="M209" s="552"/>
      <c r="O209" s="552"/>
      <c r="Q209" s="1404"/>
    </row>
    <row r="210" spans="2:17" s="555" customFormat="1" ht="15.75" x14ac:dyDescent="0.2">
      <c r="B210" s="175"/>
      <c r="C210" s="552"/>
      <c r="D210" s="553"/>
      <c r="E210" s="554"/>
      <c r="F210" s="552"/>
      <c r="G210" s="552"/>
      <c r="H210" s="552"/>
      <c r="I210" s="552"/>
      <c r="J210" s="552"/>
      <c r="K210" s="552"/>
      <c r="M210" s="552"/>
      <c r="O210" s="552"/>
      <c r="Q210" s="1404"/>
    </row>
    <row r="211" spans="2:17" s="555" customFormat="1" ht="15.75" x14ac:dyDescent="0.2">
      <c r="B211" s="175"/>
      <c r="C211" s="552"/>
      <c r="D211" s="553"/>
      <c r="E211" s="554"/>
      <c r="F211" s="552"/>
      <c r="G211" s="552"/>
      <c r="H211" s="552"/>
      <c r="I211" s="552"/>
      <c r="J211" s="552"/>
      <c r="K211" s="552"/>
      <c r="M211" s="552"/>
      <c r="O211" s="552"/>
      <c r="Q211" s="1404"/>
    </row>
    <row r="212" spans="2:17" s="555" customFormat="1" ht="15.75" x14ac:dyDescent="0.2">
      <c r="B212" s="175"/>
      <c r="C212" s="552"/>
      <c r="D212" s="553"/>
      <c r="E212" s="554"/>
      <c r="F212" s="552"/>
      <c r="G212" s="552"/>
      <c r="H212" s="552"/>
      <c r="I212" s="552"/>
      <c r="J212" s="552"/>
      <c r="K212" s="552"/>
      <c r="M212" s="552"/>
      <c r="O212" s="552"/>
      <c r="Q212" s="1404"/>
    </row>
    <row r="213" spans="2:17" s="555" customFormat="1" ht="15.75" x14ac:dyDescent="0.2">
      <c r="B213" s="175"/>
      <c r="C213" s="552"/>
      <c r="D213" s="553"/>
      <c r="E213" s="554"/>
      <c r="F213" s="552"/>
      <c r="G213" s="552"/>
      <c r="H213" s="552"/>
      <c r="I213" s="552"/>
      <c r="J213" s="552"/>
      <c r="K213" s="552"/>
      <c r="M213" s="552"/>
      <c r="O213" s="552"/>
      <c r="Q213" s="1404"/>
    </row>
    <row r="214" spans="2:17" s="555" customFormat="1" ht="15.75" customHeight="1" x14ac:dyDescent="0.2">
      <c r="B214" s="175"/>
      <c r="C214" s="552"/>
      <c r="D214" s="553"/>
      <c r="E214" s="554"/>
      <c r="F214" s="552"/>
      <c r="G214" s="552"/>
      <c r="H214" s="552"/>
      <c r="I214" s="552"/>
      <c r="J214" s="552"/>
      <c r="K214" s="552"/>
      <c r="M214" s="552"/>
      <c r="O214" s="552"/>
      <c r="Q214" s="1404"/>
    </row>
    <row r="215" spans="2:17" s="555" customFormat="1" ht="15.75" customHeight="1" x14ac:dyDescent="0.2">
      <c r="B215" s="175"/>
      <c r="C215" s="552"/>
      <c r="D215" s="553"/>
      <c r="E215" s="554"/>
      <c r="F215" s="552"/>
      <c r="G215" s="552"/>
      <c r="H215" s="552"/>
      <c r="I215" s="552"/>
      <c r="J215" s="552"/>
      <c r="K215" s="552"/>
      <c r="M215" s="552"/>
      <c r="O215" s="552"/>
      <c r="Q215" s="1404"/>
    </row>
    <row r="216" spans="2:17" s="555" customFormat="1" ht="15.75" customHeight="1" x14ac:dyDescent="0.2">
      <c r="B216" s="175"/>
      <c r="C216" s="552"/>
      <c r="D216" s="553"/>
      <c r="E216" s="554"/>
      <c r="F216" s="552"/>
      <c r="G216" s="552"/>
      <c r="H216" s="552"/>
      <c r="I216" s="552"/>
      <c r="J216" s="552"/>
      <c r="K216" s="552"/>
      <c r="M216" s="552"/>
      <c r="O216" s="552"/>
      <c r="Q216" s="1404"/>
    </row>
    <row r="217" spans="2:17" s="555" customFormat="1" ht="15.75" customHeight="1" x14ac:dyDescent="0.2">
      <c r="B217" s="175"/>
      <c r="C217" s="552"/>
      <c r="D217" s="553"/>
      <c r="E217" s="554"/>
      <c r="F217" s="552"/>
      <c r="G217" s="552"/>
      <c r="H217" s="552"/>
      <c r="I217" s="552"/>
      <c r="J217" s="552"/>
      <c r="K217" s="552"/>
      <c r="M217" s="552"/>
      <c r="O217" s="552"/>
      <c r="Q217" s="1404"/>
    </row>
    <row r="218" spans="2:17" s="555" customFormat="1" ht="15.75" customHeight="1" x14ac:dyDescent="0.2">
      <c r="B218" s="175"/>
      <c r="C218" s="552"/>
      <c r="D218" s="553"/>
      <c r="E218" s="554"/>
      <c r="F218" s="552"/>
      <c r="G218" s="552"/>
      <c r="H218" s="552"/>
      <c r="I218" s="552"/>
      <c r="J218" s="552"/>
      <c r="K218" s="552"/>
      <c r="M218" s="552"/>
      <c r="O218" s="552"/>
      <c r="Q218" s="1404"/>
    </row>
    <row r="219" spans="2:17" s="555" customFormat="1" ht="15.75" customHeight="1" x14ac:dyDescent="0.2">
      <c r="B219" s="175"/>
      <c r="C219" s="552"/>
      <c r="D219" s="553"/>
      <c r="E219" s="554"/>
      <c r="F219" s="552"/>
      <c r="G219" s="552"/>
      <c r="H219" s="552"/>
      <c r="I219" s="552"/>
      <c r="J219" s="552"/>
      <c r="K219" s="552"/>
      <c r="M219" s="552"/>
      <c r="O219" s="552"/>
      <c r="Q219" s="1404"/>
    </row>
    <row r="220" spans="2:17" s="555" customFormat="1" ht="15.75" customHeight="1" x14ac:dyDescent="0.2">
      <c r="B220" s="175"/>
      <c r="C220" s="552"/>
      <c r="D220" s="553"/>
      <c r="E220" s="554"/>
      <c r="F220" s="552"/>
      <c r="G220" s="552"/>
      <c r="H220" s="552"/>
      <c r="I220" s="552"/>
      <c r="J220" s="552"/>
      <c r="K220" s="552"/>
      <c r="M220" s="552"/>
      <c r="O220" s="552"/>
      <c r="Q220" s="1404"/>
    </row>
    <row r="221" spans="2:17" s="555" customFormat="1" ht="15.75" customHeight="1" x14ac:dyDescent="0.2">
      <c r="B221" s="175"/>
      <c r="C221" s="552"/>
      <c r="D221" s="553"/>
      <c r="E221" s="554"/>
      <c r="F221" s="552"/>
      <c r="G221" s="552"/>
      <c r="H221" s="552"/>
      <c r="I221" s="552"/>
      <c r="J221" s="552"/>
      <c r="K221" s="552"/>
      <c r="M221" s="552"/>
      <c r="O221" s="552"/>
      <c r="Q221" s="1404"/>
    </row>
    <row r="222" spans="2:17" s="555" customFormat="1" ht="15.75" customHeight="1" x14ac:dyDescent="0.2">
      <c r="B222" s="175"/>
      <c r="C222" s="552"/>
      <c r="D222" s="553"/>
      <c r="E222" s="554"/>
      <c r="F222" s="552"/>
      <c r="G222" s="552"/>
      <c r="H222" s="552"/>
      <c r="I222" s="552"/>
      <c r="J222" s="552"/>
      <c r="K222" s="552"/>
      <c r="M222" s="552"/>
      <c r="O222" s="552"/>
      <c r="Q222" s="1404"/>
    </row>
    <row r="223" spans="2:17" s="555" customFormat="1" ht="15.75" customHeight="1" x14ac:dyDescent="0.2">
      <c r="B223" s="175"/>
      <c r="C223" s="552"/>
      <c r="D223" s="553"/>
      <c r="E223" s="554"/>
      <c r="F223" s="552"/>
      <c r="G223" s="552"/>
      <c r="H223" s="552"/>
      <c r="I223" s="552"/>
      <c r="J223" s="552"/>
      <c r="K223" s="552"/>
      <c r="M223" s="552"/>
      <c r="O223" s="552"/>
      <c r="Q223" s="1404"/>
    </row>
    <row r="224" spans="2:17" s="555" customFormat="1" ht="15.75" customHeight="1" x14ac:dyDescent="0.2">
      <c r="B224" s="175"/>
      <c r="C224" s="552"/>
      <c r="D224" s="553"/>
      <c r="E224" s="554"/>
      <c r="F224" s="552"/>
      <c r="G224" s="552"/>
      <c r="H224" s="552"/>
      <c r="I224" s="552"/>
      <c r="J224" s="552"/>
      <c r="K224" s="552"/>
      <c r="M224" s="552"/>
      <c r="O224" s="552"/>
      <c r="Q224" s="1404"/>
    </row>
    <row r="225" spans="2:17" s="555" customFormat="1" ht="15.75" customHeight="1" x14ac:dyDescent="0.2">
      <c r="B225" s="175"/>
      <c r="C225" s="552"/>
      <c r="D225" s="553"/>
      <c r="E225" s="554"/>
      <c r="F225" s="552"/>
      <c r="G225" s="552"/>
      <c r="H225" s="552"/>
      <c r="I225" s="552"/>
      <c r="J225" s="552"/>
      <c r="K225" s="552"/>
      <c r="M225" s="552"/>
      <c r="O225" s="552"/>
      <c r="Q225" s="1404"/>
    </row>
    <row r="226" spans="2:17" s="555" customFormat="1" ht="15.75" customHeight="1" x14ac:dyDescent="0.2">
      <c r="B226" s="175"/>
      <c r="C226" s="552"/>
      <c r="D226" s="553"/>
      <c r="E226" s="554"/>
      <c r="F226" s="552"/>
      <c r="G226" s="552"/>
      <c r="H226" s="552"/>
      <c r="I226" s="552"/>
      <c r="J226" s="552"/>
      <c r="K226" s="552"/>
      <c r="M226" s="552"/>
      <c r="O226" s="552"/>
      <c r="Q226" s="1404"/>
    </row>
    <row r="227" spans="2:17" s="555" customFormat="1" ht="15.75" customHeight="1" x14ac:dyDescent="0.2">
      <c r="B227" s="175"/>
      <c r="C227" s="552"/>
      <c r="D227" s="553"/>
      <c r="E227" s="554"/>
      <c r="F227" s="552"/>
      <c r="G227" s="552"/>
      <c r="H227" s="552"/>
      <c r="I227" s="552"/>
      <c r="J227" s="552"/>
      <c r="K227" s="552"/>
      <c r="M227" s="552"/>
      <c r="O227" s="552"/>
      <c r="Q227" s="1404"/>
    </row>
    <row r="228" spans="2:17" s="555" customFormat="1" ht="15.75" customHeight="1" x14ac:dyDescent="0.2">
      <c r="B228" s="175"/>
      <c r="C228" s="552"/>
      <c r="D228" s="553"/>
      <c r="E228" s="554"/>
      <c r="F228" s="552"/>
      <c r="G228" s="552"/>
      <c r="H228" s="552"/>
      <c r="I228" s="552"/>
      <c r="J228" s="552"/>
      <c r="K228" s="552"/>
      <c r="M228" s="552"/>
      <c r="O228" s="552"/>
      <c r="Q228" s="1404"/>
    </row>
    <row r="229" spans="2:17" s="555" customFormat="1" ht="31.5" customHeight="1" x14ac:dyDescent="0.2">
      <c r="B229" s="175"/>
      <c r="C229" s="552"/>
      <c r="D229" s="553"/>
      <c r="E229" s="554"/>
      <c r="F229" s="552"/>
      <c r="G229" s="552"/>
      <c r="H229" s="552"/>
      <c r="I229" s="552"/>
      <c r="J229" s="552"/>
      <c r="K229" s="552"/>
      <c r="M229" s="552"/>
      <c r="O229" s="552"/>
      <c r="Q229" s="1404"/>
    </row>
    <row r="230" spans="2:17" s="555" customFormat="1" ht="15.75" x14ac:dyDescent="0.2">
      <c r="B230" s="175"/>
      <c r="C230" s="552"/>
      <c r="D230" s="553"/>
      <c r="E230" s="554"/>
      <c r="F230" s="552"/>
      <c r="G230" s="552"/>
      <c r="H230" s="552"/>
      <c r="I230" s="552"/>
      <c r="J230" s="552"/>
      <c r="K230" s="552"/>
      <c r="M230" s="552"/>
      <c r="O230" s="552"/>
      <c r="Q230" s="1404"/>
    </row>
    <row r="231" spans="2:17" s="555" customFormat="1" ht="15.75" x14ac:dyDescent="0.2">
      <c r="B231" s="175"/>
      <c r="C231" s="552"/>
      <c r="D231" s="553"/>
      <c r="E231" s="554"/>
      <c r="F231" s="552"/>
      <c r="G231" s="552"/>
      <c r="H231" s="552"/>
      <c r="I231" s="552"/>
      <c r="J231" s="552"/>
      <c r="K231" s="552"/>
      <c r="M231" s="552"/>
      <c r="O231" s="552"/>
      <c r="Q231" s="1404"/>
    </row>
    <row r="232" spans="2:17" s="555" customFormat="1" ht="15.75" x14ac:dyDescent="0.2">
      <c r="B232" s="175"/>
      <c r="C232" s="552"/>
      <c r="D232" s="553"/>
      <c r="E232" s="554"/>
      <c r="F232" s="552"/>
      <c r="G232" s="552"/>
      <c r="H232" s="552"/>
      <c r="I232" s="552"/>
      <c r="J232" s="552"/>
      <c r="K232" s="552"/>
      <c r="M232" s="552"/>
      <c r="O232" s="552"/>
      <c r="Q232" s="1404"/>
    </row>
    <row r="233" spans="2:17" s="555" customFormat="1" ht="15.75" x14ac:dyDescent="0.2">
      <c r="B233" s="175"/>
      <c r="C233" s="552"/>
      <c r="D233" s="553"/>
      <c r="E233" s="554"/>
      <c r="F233" s="552"/>
      <c r="G233" s="552"/>
      <c r="H233" s="552"/>
      <c r="I233" s="552"/>
      <c r="J233" s="552"/>
      <c r="K233" s="552"/>
      <c r="M233" s="552"/>
      <c r="O233" s="552"/>
      <c r="Q233" s="1404"/>
    </row>
    <row r="234" spans="2:17" s="555" customFormat="1" ht="15.75" x14ac:dyDescent="0.2">
      <c r="B234" s="175"/>
      <c r="C234" s="552"/>
      <c r="D234" s="553"/>
      <c r="E234" s="554"/>
      <c r="F234" s="552"/>
      <c r="G234" s="552"/>
      <c r="H234" s="552"/>
      <c r="I234" s="552"/>
      <c r="J234" s="552"/>
      <c r="K234" s="552"/>
      <c r="M234" s="552"/>
      <c r="O234" s="552"/>
      <c r="Q234" s="1404"/>
    </row>
    <row r="235" spans="2:17" s="555" customFormat="1" ht="16.5" customHeight="1" x14ac:dyDescent="0.2">
      <c r="B235" s="175"/>
      <c r="C235" s="552"/>
      <c r="D235" s="553"/>
      <c r="E235" s="554"/>
      <c r="F235" s="552"/>
      <c r="G235" s="552"/>
      <c r="H235" s="552"/>
      <c r="I235" s="552"/>
      <c r="J235" s="552"/>
      <c r="K235" s="552"/>
      <c r="M235" s="552"/>
      <c r="O235" s="552"/>
      <c r="Q235" s="1404"/>
    </row>
    <row r="236" spans="2:17" s="555" customFormat="1" ht="15.75" customHeight="1" x14ac:dyDescent="0.2">
      <c r="B236" s="175"/>
      <c r="C236" s="552"/>
      <c r="D236" s="553"/>
      <c r="E236" s="554"/>
      <c r="F236" s="552"/>
      <c r="G236" s="552"/>
      <c r="H236" s="552"/>
      <c r="I236" s="552"/>
      <c r="J236" s="552"/>
      <c r="K236" s="552"/>
      <c r="M236" s="552"/>
      <c r="O236" s="552"/>
      <c r="Q236" s="1404"/>
    </row>
    <row r="237" spans="2:17" s="555" customFormat="1" ht="15.75" customHeight="1" x14ac:dyDescent="0.2">
      <c r="B237" s="175"/>
      <c r="C237" s="552"/>
      <c r="D237" s="553"/>
      <c r="E237" s="554"/>
      <c r="F237" s="552"/>
      <c r="G237" s="552"/>
      <c r="H237" s="552"/>
      <c r="I237" s="552"/>
      <c r="J237" s="552"/>
      <c r="K237" s="552"/>
      <c r="M237" s="552"/>
      <c r="O237" s="552"/>
      <c r="Q237" s="1404"/>
    </row>
    <row r="238" spans="2:17" s="555" customFormat="1" ht="15.75" customHeight="1" x14ac:dyDescent="0.2">
      <c r="B238" s="175"/>
      <c r="C238" s="552"/>
      <c r="D238" s="553"/>
      <c r="E238" s="554"/>
      <c r="F238" s="552"/>
      <c r="G238" s="552"/>
      <c r="H238" s="552"/>
      <c r="I238" s="552"/>
      <c r="J238" s="552"/>
      <c r="K238" s="552"/>
      <c r="M238" s="552"/>
      <c r="O238" s="552"/>
      <c r="Q238" s="1404"/>
    </row>
    <row r="239" spans="2:17" s="555" customFormat="1" ht="15.75" customHeight="1" x14ac:dyDescent="0.2">
      <c r="B239" s="175"/>
      <c r="C239" s="552"/>
      <c r="D239" s="553"/>
      <c r="E239" s="554"/>
      <c r="F239" s="552"/>
      <c r="G239" s="552"/>
      <c r="H239" s="552"/>
      <c r="I239" s="552"/>
      <c r="J239" s="552"/>
      <c r="K239" s="552"/>
      <c r="M239" s="552"/>
      <c r="O239" s="552"/>
      <c r="Q239" s="1404"/>
    </row>
    <row r="240" spans="2:17" s="555" customFormat="1" ht="15.75" customHeight="1" x14ac:dyDescent="0.2">
      <c r="B240" s="175"/>
      <c r="C240" s="552"/>
      <c r="D240" s="553"/>
      <c r="E240" s="554"/>
      <c r="F240" s="552"/>
      <c r="G240" s="552"/>
      <c r="H240" s="552"/>
      <c r="I240" s="552"/>
      <c r="J240" s="552"/>
      <c r="K240" s="552"/>
      <c r="M240" s="552"/>
      <c r="O240" s="552"/>
      <c r="Q240" s="1404"/>
    </row>
    <row r="241" spans="2:17" s="555" customFormat="1" ht="15.75" customHeight="1" x14ac:dyDescent="0.2">
      <c r="B241" s="175"/>
      <c r="C241" s="552"/>
      <c r="D241" s="553"/>
      <c r="E241" s="554"/>
      <c r="F241" s="552"/>
      <c r="G241" s="552"/>
      <c r="H241" s="552"/>
      <c r="I241" s="552"/>
      <c r="J241" s="552"/>
      <c r="K241" s="552"/>
      <c r="M241" s="552"/>
      <c r="O241" s="552"/>
      <c r="Q241" s="1404"/>
    </row>
    <row r="242" spans="2:17" s="555" customFormat="1" ht="15.75" customHeight="1" x14ac:dyDescent="0.2">
      <c r="B242" s="175"/>
      <c r="C242" s="552"/>
      <c r="D242" s="553"/>
      <c r="E242" s="554"/>
      <c r="F242" s="552"/>
      <c r="G242" s="552"/>
      <c r="H242" s="552"/>
      <c r="I242" s="552"/>
      <c r="J242" s="552"/>
      <c r="K242" s="552"/>
      <c r="M242" s="552"/>
      <c r="O242" s="552"/>
      <c r="Q242" s="1404"/>
    </row>
    <row r="243" spans="2:17" s="555" customFormat="1" ht="15.75" customHeight="1" x14ac:dyDescent="0.2">
      <c r="B243" s="175"/>
      <c r="C243" s="552"/>
      <c r="D243" s="553"/>
      <c r="E243" s="554"/>
      <c r="F243" s="552"/>
      <c r="G243" s="552"/>
      <c r="H243" s="552"/>
      <c r="I243" s="552"/>
      <c r="J243" s="552"/>
      <c r="K243" s="552"/>
      <c r="M243" s="552"/>
      <c r="O243" s="552"/>
      <c r="Q243" s="1404"/>
    </row>
    <row r="244" spans="2:17" s="555" customFormat="1" ht="15.75" customHeight="1" x14ac:dyDescent="0.2">
      <c r="B244" s="175"/>
      <c r="C244" s="552"/>
      <c r="D244" s="553"/>
      <c r="E244" s="554"/>
      <c r="F244" s="552"/>
      <c r="G244" s="552"/>
      <c r="H244" s="552"/>
      <c r="I244" s="552"/>
      <c r="J244" s="552"/>
      <c r="K244" s="552"/>
      <c r="M244" s="552"/>
      <c r="O244" s="552"/>
      <c r="Q244" s="1404"/>
    </row>
    <row r="245" spans="2:17" s="555" customFormat="1" ht="15.75" customHeight="1" x14ac:dyDescent="0.2">
      <c r="B245" s="175"/>
      <c r="C245" s="552"/>
      <c r="D245" s="553"/>
      <c r="E245" s="554"/>
      <c r="F245" s="552"/>
      <c r="G245" s="552"/>
      <c r="H245" s="552"/>
      <c r="I245" s="552"/>
      <c r="J245" s="552"/>
      <c r="K245" s="552"/>
      <c r="M245" s="552"/>
      <c r="O245" s="552"/>
      <c r="Q245" s="1404"/>
    </row>
    <row r="246" spans="2:17" s="555" customFormat="1" ht="15.75" customHeight="1" x14ac:dyDescent="0.2">
      <c r="B246" s="175"/>
      <c r="C246" s="552"/>
      <c r="D246" s="553"/>
      <c r="E246" s="554"/>
      <c r="F246" s="552"/>
      <c r="G246" s="552"/>
      <c r="H246" s="552"/>
      <c r="I246" s="552"/>
      <c r="J246" s="552"/>
      <c r="K246" s="552"/>
      <c r="M246" s="552"/>
      <c r="O246" s="552"/>
      <c r="Q246" s="1404"/>
    </row>
    <row r="247" spans="2:17" s="555" customFormat="1" ht="15.75" customHeight="1" x14ac:dyDescent="0.2">
      <c r="B247" s="175"/>
      <c r="C247" s="552"/>
      <c r="D247" s="553"/>
      <c r="E247" s="554"/>
      <c r="F247" s="552"/>
      <c r="G247" s="552"/>
      <c r="H247" s="552"/>
      <c r="I247" s="552"/>
      <c r="J247" s="552"/>
      <c r="K247" s="552"/>
      <c r="M247" s="552"/>
      <c r="O247" s="552"/>
      <c r="Q247" s="1404"/>
    </row>
    <row r="248" spans="2:17" s="555" customFormat="1" ht="15.75" customHeight="1" x14ac:dyDescent="0.2">
      <c r="B248" s="175"/>
      <c r="C248" s="552"/>
      <c r="D248" s="553"/>
      <c r="E248" s="554"/>
      <c r="F248" s="552"/>
      <c r="G248" s="552"/>
      <c r="H248" s="552"/>
      <c r="I248" s="552"/>
      <c r="J248" s="552"/>
      <c r="K248" s="552"/>
      <c r="M248" s="552"/>
      <c r="O248" s="552"/>
      <c r="Q248" s="1404"/>
    </row>
    <row r="249" spans="2:17" s="555" customFormat="1" ht="15.75" customHeight="1" x14ac:dyDescent="0.2">
      <c r="B249" s="175"/>
      <c r="C249" s="552"/>
      <c r="D249" s="553"/>
      <c r="E249" s="554"/>
      <c r="F249" s="552"/>
      <c r="G249" s="552"/>
      <c r="H249" s="552"/>
      <c r="I249" s="552"/>
      <c r="J249" s="552"/>
      <c r="K249" s="552"/>
      <c r="M249" s="552"/>
      <c r="O249" s="552"/>
      <c r="Q249" s="1404"/>
    </row>
    <row r="250" spans="2:17" s="555" customFormat="1" ht="31.5" customHeight="1" x14ac:dyDescent="0.2">
      <c r="B250" s="175"/>
      <c r="C250" s="552"/>
      <c r="D250" s="553"/>
      <c r="E250" s="554"/>
      <c r="F250" s="552"/>
      <c r="G250" s="552"/>
      <c r="H250" s="552"/>
      <c r="I250" s="552"/>
      <c r="J250" s="552"/>
      <c r="K250" s="552"/>
      <c r="M250" s="552"/>
      <c r="O250" s="552"/>
      <c r="Q250" s="1404"/>
    </row>
    <row r="251" spans="2:17" s="555" customFormat="1" ht="15.75" x14ac:dyDescent="0.2">
      <c r="B251" s="175"/>
      <c r="C251" s="552"/>
      <c r="D251" s="553"/>
      <c r="E251" s="554"/>
      <c r="F251" s="552"/>
      <c r="G251" s="552"/>
      <c r="H251" s="552"/>
      <c r="I251" s="552"/>
      <c r="J251" s="552"/>
      <c r="K251" s="552"/>
      <c r="M251" s="552"/>
      <c r="O251" s="552"/>
      <c r="Q251" s="1404"/>
    </row>
    <row r="252" spans="2:17" s="555" customFormat="1" ht="15.75" x14ac:dyDescent="0.2">
      <c r="B252" s="175"/>
      <c r="C252" s="552"/>
      <c r="D252" s="553"/>
      <c r="E252" s="554"/>
      <c r="F252" s="552"/>
      <c r="G252" s="552"/>
      <c r="H252" s="552"/>
      <c r="I252" s="552"/>
      <c r="J252" s="552"/>
      <c r="K252" s="552"/>
      <c r="M252" s="552"/>
      <c r="O252" s="552"/>
      <c r="Q252" s="1404"/>
    </row>
    <row r="253" spans="2:17" s="555" customFormat="1" ht="15.75" x14ac:dyDescent="0.2">
      <c r="B253" s="175"/>
      <c r="C253" s="552"/>
      <c r="D253" s="553"/>
      <c r="E253" s="554"/>
      <c r="F253" s="552"/>
      <c r="G253" s="552"/>
      <c r="H253" s="552"/>
      <c r="I253" s="552"/>
      <c r="J253" s="552"/>
      <c r="K253" s="552"/>
      <c r="M253" s="552"/>
      <c r="O253" s="552"/>
      <c r="Q253" s="1404"/>
    </row>
    <row r="254" spans="2:17" s="555" customFormat="1" ht="15.75" x14ac:dyDescent="0.2">
      <c r="B254" s="175"/>
      <c r="C254" s="552"/>
      <c r="D254" s="553"/>
      <c r="E254" s="554"/>
      <c r="F254" s="552"/>
      <c r="G254" s="552"/>
      <c r="H254" s="552"/>
      <c r="I254" s="552"/>
      <c r="J254" s="552"/>
      <c r="K254" s="552"/>
      <c r="M254" s="552"/>
      <c r="O254" s="552"/>
      <c r="Q254" s="1404"/>
    </row>
    <row r="255" spans="2:17" s="555" customFormat="1" ht="15.75" x14ac:dyDescent="0.2">
      <c r="B255" s="175"/>
      <c r="C255" s="552"/>
      <c r="D255" s="553"/>
      <c r="E255" s="554"/>
      <c r="F255" s="552"/>
      <c r="G255" s="552"/>
      <c r="H255" s="552"/>
      <c r="I255" s="552"/>
      <c r="J255" s="552"/>
      <c r="K255" s="552"/>
      <c r="M255" s="552"/>
      <c r="O255" s="552"/>
      <c r="Q255" s="1404"/>
    </row>
    <row r="256" spans="2:17" s="555" customFormat="1" ht="15.75" customHeight="1" x14ac:dyDescent="0.2">
      <c r="B256" s="175"/>
      <c r="C256" s="552"/>
      <c r="D256" s="553"/>
      <c r="E256" s="554"/>
      <c r="F256" s="552"/>
      <c r="G256" s="552"/>
      <c r="H256" s="552"/>
      <c r="I256" s="552"/>
      <c r="J256" s="552"/>
      <c r="K256" s="552"/>
      <c r="M256" s="552"/>
      <c r="O256" s="552"/>
      <c r="Q256" s="1404"/>
    </row>
    <row r="257" spans="2:17" s="555" customFormat="1" ht="15.75" customHeight="1" x14ac:dyDescent="0.2">
      <c r="B257" s="175"/>
      <c r="C257" s="552"/>
      <c r="D257" s="553"/>
      <c r="E257" s="554"/>
      <c r="F257" s="552"/>
      <c r="G257" s="552"/>
      <c r="H257" s="552"/>
      <c r="I257" s="552"/>
      <c r="J257" s="552"/>
      <c r="K257" s="552"/>
      <c r="M257" s="552"/>
      <c r="O257" s="552"/>
      <c r="Q257" s="1404"/>
    </row>
    <row r="258" spans="2:17" s="555" customFormat="1" ht="15.75" customHeight="1" x14ac:dyDescent="0.2">
      <c r="B258" s="175"/>
      <c r="C258" s="552"/>
      <c r="D258" s="553"/>
      <c r="E258" s="554"/>
      <c r="F258" s="552"/>
      <c r="G258" s="552"/>
      <c r="H258" s="552"/>
      <c r="I258" s="552"/>
      <c r="J258" s="552"/>
      <c r="K258" s="552"/>
      <c r="M258" s="552"/>
      <c r="O258" s="552"/>
      <c r="Q258" s="1404"/>
    </row>
    <row r="259" spans="2:17" s="555" customFormat="1" ht="15.75" customHeight="1" x14ac:dyDescent="0.2">
      <c r="B259" s="175"/>
      <c r="C259" s="552"/>
      <c r="D259" s="553"/>
      <c r="E259" s="554"/>
      <c r="F259" s="552"/>
      <c r="G259" s="552"/>
      <c r="H259" s="552"/>
      <c r="I259" s="552"/>
      <c r="J259" s="552"/>
      <c r="K259" s="552"/>
      <c r="M259" s="552"/>
      <c r="O259" s="552"/>
      <c r="Q259" s="1404"/>
    </row>
    <row r="260" spans="2:17" s="555" customFormat="1" ht="15.75" customHeight="1" x14ac:dyDescent="0.2">
      <c r="B260" s="175"/>
      <c r="C260" s="552"/>
      <c r="D260" s="553"/>
      <c r="E260" s="554"/>
      <c r="F260" s="552"/>
      <c r="G260" s="552"/>
      <c r="H260" s="552"/>
      <c r="I260" s="552"/>
      <c r="J260" s="552"/>
      <c r="K260" s="552"/>
      <c r="M260" s="552"/>
      <c r="O260" s="552"/>
      <c r="Q260" s="1404"/>
    </row>
    <row r="261" spans="2:17" s="555" customFormat="1" ht="15.75" customHeight="1" x14ac:dyDescent="0.2">
      <c r="B261" s="175"/>
      <c r="C261" s="552"/>
      <c r="D261" s="553"/>
      <c r="E261" s="554"/>
      <c r="F261" s="552"/>
      <c r="G261" s="552"/>
      <c r="H261" s="552"/>
      <c r="I261" s="552"/>
      <c r="J261" s="552"/>
      <c r="K261" s="552"/>
      <c r="M261" s="552"/>
      <c r="O261" s="552"/>
      <c r="Q261" s="1404"/>
    </row>
    <row r="262" spans="2:17" s="555" customFormat="1" ht="15.75" customHeight="1" x14ac:dyDescent="0.2">
      <c r="B262" s="175"/>
      <c r="C262" s="552"/>
      <c r="D262" s="553"/>
      <c r="E262" s="554"/>
      <c r="F262" s="552"/>
      <c r="G262" s="552"/>
      <c r="H262" s="552"/>
      <c r="I262" s="552"/>
      <c r="J262" s="552"/>
      <c r="K262" s="552"/>
      <c r="M262" s="552"/>
      <c r="O262" s="552"/>
      <c r="Q262" s="1404"/>
    </row>
    <row r="263" spans="2:17" s="555" customFormat="1" ht="15.75" customHeight="1" x14ac:dyDescent="0.2">
      <c r="B263" s="175"/>
      <c r="C263" s="552"/>
      <c r="D263" s="553"/>
      <c r="E263" s="554"/>
      <c r="F263" s="552"/>
      <c r="G263" s="552"/>
      <c r="H263" s="552"/>
      <c r="I263" s="552"/>
      <c r="J263" s="552"/>
      <c r="K263" s="552"/>
      <c r="M263" s="552"/>
      <c r="O263" s="552"/>
      <c r="Q263" s="1404"/>
    </row>
    <row r="264" spans="2:17" s="555" customFormat="1" ht="15.75" customHeight="1" x14ac:dyDescent="0.2">
      <c r="B264" s="175"/>
      <c r="C264" s="552"/>
      <c r="D264" s="553"/>
      <c r="E264" s="554"/>
      <c r="F264" s="552"/>
      <c r="G264" s="552"/>
      <c r="H264" s="552"/>
      <c r="I264" s="552"/>
      <c r="J264" s="552"/>
      <c r="K264" s="552"/>
      <c r="M264" s="552"/>
      <c r="O264" s="552"/>
      <c r="Q264" s="1404"/>
    </row>
    <row r="265" spans="2:17" s="555" customFormat="1" ht="15.75" customHeight="1" x14ac:dyDescent="0.2">
      <c r="B265" s="175"/>
      <c r="C265" s="552"/>
      <c r="D265" s="553"/>
      <c r="E265" s="554"/>
      <c r="F265" s="552"/>
      <c r="G265" s="552"/>
      <c r="H265" s="552"/>
      <c r="I265" s="552"/>
      <c r="J265" s="552"/>
      <c r="K265" s="552"/>
      <c r="M265" s="552"/>
      <c r="O265" s="552"/>
      <c r="Q265" s="1404"/>
    </row>
    <row r="266" spans="2:17" s="555" customFormat="1" ht="15.75" customHeight="1" x14ac:dyDescent="0.2">
      <c r="B266" s="175"/>
      <c r="C266" s="552"/>
      <c r="D266" s="553"/>
      <c r="E266" s="554"/>
      <c r="F266" s="552"/>
      <c r="G266" s="552"/>
      <c r="H266" s="552"/>
      <c r="I266" s="552"/>
      <c r="J266" s="552"/>
      <c r="K266" s="552"/>
      <c r="M266" s="552"/>
      <c r="O266" s="552"/>
      <c r="Q266" s="1404"/>
    </row>
    <row r="267" spans="2:17" s="555" customFormat="1" ht="15.75" customHeight="1" x14ac:dyDescent="0.2">
      <c r="B267" s="175"/>
      <c r="C267" s="552"/>
      <c r="D267" s="553"/>
      <c r="E267" s="554"/>
      <c r="F267" s="552"/>
      <c r="G267" s="552"/>
      <c r="H267" s="552"/>
      <c r="I267" s="552"/>
      <c r="J267" s="552"/>
      <c r="K267" s="552"/>
      <c r="M267" s="552"/>
      <c r="O267" s="552"/>
      <c r="Q267" s="1404"/>
    </row>
    <row r="268" spans="2:17" s="555" customFormat="1" ht="15.75" customHeight="1" x14ac:dyDescent="0.2">
      <c r="B268" s="175"/>
      <c r="C268" s="552"/>
      <c r="D268" s="553"/>
      <c r="E268" s="554"/>
      <c r="F268" s="552"/>
      <c r="G268" s="552"/>
      <c r="H268" s="552"/>
      <c r="I268" s="552"/>
      <c r="J268" s="552"/>
      <c r="K268" s="552"/>
      <c r="M268" s="552"/>
      <c r="O268" s="552"/>
      <c r="Q268" s="1404"/>
    </row>
    <row r="269" spans="2:17" s="555" customFormat="1" ht="15.75" customHeight="1" x14ac:dyDescent="0.2">
      <c r="B269" s="175"/>
      <c r="C269" s="552"/>
      <c r="D269" s="553"/>
      <c r="E269" s="554"/>
      <c r="F269" s="552"/>
      <c r="G269" s="552"/>
      <c r="H269" s="552"/>
      <c r="I269" s="552"/>
      <c r="J269" s="552"/>
      <c r="K269" s="552"/>
      <c r="M269" s="552"/>
      <c r="O269" s="552"/>
      <c r="Q269" s="1404"/>
    </row>
    <row r="270" spans="2:17" s="555" customFormat="1" ht="15.75" customHeight="1" x14ac:dyDescent="0.2">
      <c r="B270" s="175"/>
      <c r="C270" s="552"/>
      <c r="D270" s="553"/>
      <c r="E270" s="554"/>
      <c r="F270" s="552"/>
      <c r="G270" s="552"/>
      <c r="H270" s="552"/>
      <c r="I270" s="552"/>
      <c r="J270" s="552"/>
      <c r="K270" s="552"/>
      <c r="M270" s="552"/>
      <c r="O270" s="552"/>
      <c r="Q270" s="1404"/>
    </row>
    <row r="271" spans="2:17" s="555" customFormat="1" ht="31.5" customHeight="1" x14ac:dyDescent="0.2">
      <c r="B271" s="175"/>
      <c r="C271" s="552"/>
      <c r="D271" s="553"/>
      <c r="E271" s="554"/>
      <c r="F271" s="552"/>
      <c r="G271" s="552"/>
      <c r="H271" s="552"/>
      <c r="I271" s="552"/>
      <c r="J271" s="552"/>
      <c r="K271" s="552"/>
      <c r="M271" s="552"/>
      <c r="O271" s="552"/>
      <c r="Q271" s="1404"/>
    </row>
    <row r="272" spans="2:17" s="555" customFormat="1" ht="15.75" x14ac:dyDescent="0.2">
      <c r="B272" s="175"/>
      <c r="C272" s="552"/>
      <c r="D272" s="553"/>
      <c r="E272" s="554"/>
      <c r="F272" s="552"/>
      <c r="G272" s="552"/>
      <c r="H272" s="552"/>
      <c r="I272" s="552"/>
      <c r="J272" s="552"/>
      <c r="K272" s="552"/>
      <c r="M272" s="552"/>
      <c r="O272" s="552"/>
      <c r="Q272" s="1404"/>
    </row>
    <row r="273" spans="2:17" s="555" customFormat="1" ht="15.75" x14ac:dyDescent="0.2">
      <c r="B273" s="175"/>
      <c r="C273" s="552"/>
      <c r="D273" s="553"/>
      <c r="E273" s="554"/>
      <c r="F273" s="552"/>
      <c r="G273" s="552"/>
      <c r="H273" s="552"/>
      <c r="I273" s="552"/>
      <c r="J273" s="552"/>
      <c r="K273" s="552"/>
      <c r="M273" s="552"/>
      <c r="O273" s="552"/>
      <c r="Q273" s="1404"/>
    </row>
    <row r="274" spans="2:17" s="555" customFormat="1" ht="15.75" x14ac:dyDescent="0.2">
      <c r="B274" s="175"/>
      <c r="C274" s="552"/>
      <c r="D274" s="553"/>
      <c r="E274" s="554"/>
      <c r="F274" s="552"/>
      <c r="G274" s="552"/>
      <c r="H274" s="552"/>
      <c r="I274" s="552"/>
      <c r="J274" s="552"/>
      <c r="K274" s="552"/>
      <c r="M274" s="552"/>
      <c r="O274" s="552"/>
      <c r="Q274" s="1404"/>
    </row>
    <row r="275" spans="2:17" s="555" customFormat="1" ht="15.75" x14ac:dyDescent="0.2">
      <c r="B275" s="175"/>
      <c r="C275" s="552"/>
      <c r="D275" s="553"/>
      <c r="E275" s="554"/>
      <c r="F275" s="552"/>
      <c r="G275" s="552"/>
      <c r="H275" s="552"/>
      <c r="I275" s="552"/>
      <c r="J275" s="552"/>
      <c r="K275" s="552"/>
      <c r="M275" s="552"/>
      <c r="O275" s="552"/>
      <c r="Q275" s="1404"/>
    </row>
    <row r="276" spans="2:17" s="555" customFormat="1" ht="15.75" x14ac:dyDescent="0.2">
      <c r="B276" s="175"/>
      <c r="C276" s="552"/>
      <c r="D276" s="553"/>
      <c r="E276" s="554"/>
      <c r="F276" s="552"/>
      <c r="G276" s="552"/>
      <c r="H276" s="552"/>
      <c r="I276" s="552"/>
      <c r="J276" s="552"/>
      <c r="K276" s="552"/>
      <c r="M276" s="552"/>
      <c r="O276" s="552"/>
      <c r="Q276" s="1404"/>
    </row>
    <row r="277" spans="2:17" s="555" customFormat="1" ht="16.5" customHeight="1" x14ac:dyDescent="0.2">
      <c r="B277" s="175"/>
      <c r="C277" s="552"/>
      <c r="D277" s="553"/>
      <c r="E277" s="554"/>
      <c r="F277" s="552"/>
      <c r="G277" s="552"/>
      <c r="H277" s="552"/>
      <c r="I277" s="552"/>
      <c r="J277" s="552"/>
      <c r="K277" s="552"/>
      <c r="M277" s="552"/>
      <c r="O277" s="552"/>
      <c r="Q277" s="1404"/>
    </row>
    <row r="278" spans="2:17" s="555" customFormat="1" ht="15.75" customHeight="1" x14ac:dyDescent="0.2">
      <c r="B278" s="175"/>
      <c r="C278" s="552"/>
      <c r="D278" s="553"/>
      <c r="E278" s="554"/>
      <c r="F278" s="552"/>
      <c r="G278" s="552"/>
      <c r="H278" s="552"/>
      <c r="I278" s="552"/>
      <c r="J278" s="552"/>
      <c r="K278" s="552"/>
      <c r="M278" s="552"/>
      <c r="O278" s="552"/>
      <c r="Q278" s="1404"/>
    </row>
    <row r="279" spans="2:17" s="555" customFormat="1" ht="15.75" customHeight="1" x14ac:dyDescent="0.2">
      <c r="B279" s="175"/>
      <c r="C279" s="552"/>
      <c r="D279" s="553"/>
      <c r="E279" s="554"/>
      <c r="F279" s="552"/>
      <c r="G279" s="552"/>
      <c r="H279" s="552"/>
      <c r="I279" s="552"/>
      <c r="J279" s="552"/>
      <c r="K279" s="552"/>
      <c r="M279" s="552"/>
      <c r="O279" s="552"/>
      <c r="Q279" s="1404"/>
    </row>
    <row r="280" spans="2:17" s="555" customFormat="1" ht="15.75" customHeight="1" x14ac:dyDescent="0.2">
      <c r="B280" s="175"/>
      <c r="C280" s="552"/>
      <c r="D280" s="553"/>
      <c r="E280" s="554"/>
      <c r="F280" s="552"/>
      <c r="G280" s="552"/>
      <c r="H280" s="552"/>
      <c r="I280" s="552"/>
      <c r="J280" s="552"/>
      <c r="K280" s="552"/>
      <c r="M280" s="552"/>
      <c r="O280" s="552"/>
      <c r="Q280" s="1404"/>
    </row>
    <row r="281" spans="2:17" s="555" customFormat="1" ht="15.75" customHeight="1" x14ac:dyDescent="0.2">
      <c r="B281" s="175"/>
      <c r="C281" s="552"/>
      <c r="D281" s="553"/>
      <c r="E281" s="554"/>
      <c r="F281" s="552"/>
      <c r="G281" s="552"/>
      <c r="H281" s="552"/>
      <c r="I281" s="552"/>
      <c r="J281" s="552"/>
      <c r="K281" s="552"/>
      <c r="M281" s="552"/>
      <c r="O281" s="552"/>
      <c r="Q281" s="1404"/>
    </row>
    <row r="282" spans="2:17" s="555" customFormat="1" ht="15.75" customHeight="1" x14ac:dyDescent="0.2">
      <c r="B282" s="175"/>
      <c r="C282" s="552"/>
      <c r="D282" s="553"/>
      <c r="E282" s="554"/>
      <c r="F282" s="552"/>
      <c r="G282" s="552"/>
      <c r="H282" s="552"/>
      <c r="I282" s="552"/>
      <c r="J282" s="552"/>
      <c r="K282" s="552"/>
      <c r="M282" s="552"/>
      <c r="O282" s="552"/>
      <c r="Q282" s="1404"/>
    </row>
    <row r="283" spans="2:17" s="555" customFormat="1" ht="15.75" customHeight="1" x14ac:dyDescent="0.2">
      <c r="B283" s="175"/>
      <c r="C283" s="552"/>
      <c r="D283" s="553"/>
      <c r="E283" s="554"/>
      <c r="F283" s="552"/>
      <c r="G283" s="552"/>
      <c r="H283" s="552"/>
      <c r="I283" s="552"/>
      <c r="J283" s="552"/>
      <c r="K283" s="552"/>
      <c r="M283" s="552"/>
      <c r="O283" s="552"/>
      <c r="Q283" s="1404"/>
    </row>
    <row r="284" spans="2:17" s="555" customFormat="1" ht="15.75" customHeight="1" x14ac:dyDescent="0.2">
      <c r="B284" s="175"/>
      <c r="C284" s="552"/>
      <c r="D284" s="553"/>
      <c r="E284" s="554"/>
      <c r="F284" s="552"/>
      <c r="G284" s="552"/>
      <c r="H284" s="552"/>
      <c r="I284" s="552"/>
      <c r="J284" s="552"/>
      <c r="K284" s="552"/>
      <c r="M284" s="552"/>
      <c r="O284" s="552"/>
      <c r="Q284" s="1404"/>
    </row>
    <row r="285" spans="2:17" s="555" customFormat="1" ht="15.75" customHeight="1" x14ac:dyDescent="0.2">
      <c r="B285" s="175"/>
      <c r="C285" s="552"/>
      <c r="D285" s="553"/>
      <c r="E285" s="554"/>
      <c r="F285" s="552"/>
      <c r="G285" s="552"/>
      <c r="H285" s="552"/>
      <c r="I285" s="552"/>
      <c r="J285" s="552"/>
      <c r="K285" s="552"/>
      <c r="M285" s="552"/>
      <c r="O285" s="552"/>
      <c r="Q285" s="1404"/>
    </row>
    <row r="286" spans="2:17" s="555" customFormat="1" ht="15.75" customHeight="1" x14ac:dyDescent="0.2">
      <c r="B286" s="175"/>
      <c r="C286" s="552"/>
      <c r="D286" s="553"/>
      <c r="E286" s="554"/>
      <c r="F286" s="552"/>
      <c r="G286" s="552"/>
      <c r="H286" s="552"/>
      <c r="I286" s="552"/>
      <c r="J286" s="552"/>
      <c r="K286" s="552"/>
      <c r="M286" s="552"/>
      <c r="O286" s="552"/>
      <c r="Q286" s="1404"/>
    </row>
    <row r="287" spans="2:17" s="555" customFormat="1" ht="15.75" customHeight="1" x14ac:dyDescent="0.2">
      <c r="B287" s="175"/>
      <c r="C287" s="552"/>
      <c r="D287" s="553"/>
      <c r="E287" s="554"/>
      <c r="F287" s="552"/>
      <c r="G287" s="552"/>
      <c r="H287" s="552"/>
      <c r="I287" s="552"/>
      <c r="J287" s="552"/>
      <c r="K287" s="552"/>
      <c r="M287" s="552"/>
      <c r="O287" s="552"/>
      <c r="Q287" s="1404"/>
    </row>
    <row r="288" spans="2:17" s="555" customFormat="1" ht="15.75" customHeight="1" x14ac:dyDescent="0.2">
      <c r="B288" s="175"/>
      <c r="C288" s="552"/>
      <c r="D288" s="553"/>
      <c r="E288" s="554"/>
      <c r="F288" s="552"/>
      <c r="G288" s="552"/>
      <c r="H288" s="552"/>
      <c r="I288" s="552"/>
      <c r="J288" s="552"/>
      <c r="K288" s="552"/>
      <c r="M288" s="552"/>
      <c r="O288" s="552"/>
      <c r="Q288" s="1404"/>
    </row>
    <row r="289" spans="2:17" s="555" customFormat="1" ht="15.75" customHeight="1" x14ac:dyDescent="0.2">
      <c r="B289" s="175"/>
      <c r="C289" s="552"/>
      <c r="D289" s="553"/>
      <c r="E289" s="554"/>
      <c r="F289" s="552"/>
      <c r="G289" s="552"/>
      <c r="H289" s="552"/>
      <c r="I289" s="552"/>
      <c r="J289" s="552"/>
      <c r="K289" s="552"/>
      <c r="M289" s="552"/>
      <c r="O289" s="552"/>
      <c r="Q289" s="1404"/>
    </row>
    <row r="290" spans="2:17" s="555" customFormat="1" ht="15.75" customHeight="1" x14ac:dyDescent="0.2">
      <c r="B290" s="175"/>
      <c r="C290" s="552"/>
      <c r="D290" s="553"/>
      <c r="E290" s="554"/>
      <c r="F290" s="552"/>
      <c r="G290" s="552"/>
      <c r="H290" s="552"/>
      <c r="I290" s="552"/>
      <c r="J290" s="552"/>
      <c r="K290" s="552"/>
      <c r="M290" s="552"/>
      <c r="O290" s="552"/>
      <c r="Q290" s="1404"/>
    </row>
    <row r="291" spans="2:17" s="555" customFormat="1" ht="15.75" customHeight="1" x14ac:dyDescent="0.2">
      <c r="B291" s="175"/>
      <c r="C291" s="552"/>
      <c r="D291" s="553"/>
      <c r="E291" s="554"/>
      <c r="F291" s="552"/>
      <c r="G291" s="552"/>
      <c r="H291" s="552"/>
      <c r="I291" s="552"/>
      <c r="J291" s="552"/>
      <c r="K291" s="552"/>
      <c r="M291" s="552"/>
      <c r="O291" s="552"/>
      <c r="Q291" s="1404"/>
    </row>
    <row r="292" spans="2:17" s="555" customFormat="1" ht="31.5" customHeight="1" x14ac:dyDescent="0.2">
      <c r="B292" s="175"/>
      <c r="C292" s="552"/>
      <c r="D292" s="553"/>
      <c r="E292" s="554"/>
      <c r="F292" s="552"/>
      <c r="G292" s="552"/>
      <c r="H292" s="552"/>
      <c r="I292" s="552"/>
      <c r="J292" s="552"/>
      <c r="K292" s="552"/>
      <c r="M292" s="552"/>
      <c r="O292" s="552"/>
      <c r="Q292" s="1404"/>
    </row>
    <row r="293" spans="2:17" s="555" customFormat="1" ht="15.75" x14ac:dyDescent="0.2">
      <c r="B293" s="175"/>
      <c r="C293" s="552"/>
      <c r="D293" s="553"/>
      <c r="E293" s="554"/>
      <c r="F293" s="552"/>
      <c r="G293" s="552"/>
      <c r="H293" s="552"/>
      <c r="I293" s="552"/>
      <c r="J293" s="552"/>
      <c r="K293" s="552"/>
      <c r="M293" s="552"/>
      <c r="O293" s="552"/>
      <c r="Q293" s="1404"/>
    </row>
    <row r="294" spans="2:17" s="555" customFormat="1" ht="15.75" x14ac:dyDescent="0.2">
      <c r="B294" s="175"/>
      <c r="C294" s="552"/>
      <c r="D294" s="553"/>
      <c r="E294" s="554"/>
      <c r="F294" s="552"/>
      <c r="G294" s="552"/>
      <c r="H294" s="552"/>
      <c r="I294" s="552"/>
      <c r="J294" s="552"/>
      <c r="K294" s="552"/>
      <c r="M294" s="552"/>
      <c r="O294" s="552"/>
      <c r="Q294" s="1404"/>
    </row>
    <row r="295" spans="2:17" s="555" customFormat="1" ht="15.75" x14ac:dyDescent="0.2">
      <c r="B295" s="175"/>
      <c r="C295" s="552"/>
      <c r="D295" s="553"/>
      <c r="E295" s="554"/>
      <c r="F295" s="552"/>
      <c r="G295" s="552"/>
      <c r="H295" s="552"/>
      <c r="I295" s="552"/>
      <c r="J295" s="552"/>
      <c r="K295" s="552"/>
      <c r="M295" s="552"/>
      <c r="O295" s="552"/>
      <c r="Q295" s="1404"/>
    </row>
    <row r="296" spans="2:17" s="555" customFormat="1" ht="15.75" x14ac:dyDescent="0.2">
      <c r="B296" s="175"/>
      <c r="C296" s="552"/>
      <c r="D296" s="553"/>
      <c r="E296" s="554"/>
      <c r="F296" s="552"/>
      <c r="G296" s="552"/>
      <c r="H296" s="552"/>
      <c r="I296" s="552"/>
      <c r="J296" s="552"/>
      <c r="K296" s="552"/>
      <c r="M296" s="552"/>
      <c r="O296" s="552"/>
      <c r="Q296" s="1404"/>
    </row>
    <row r="297" spans="2:17" s="555" customFormat="1" ht="15.75" x14ac:dyDescent="0.2">
      <c r="B297" s="175"/>
      <c r="C297" s="552"/>
      <c r="D297" s="553"/>
      <c r="E297" s="554"/>
      <c r="F297" s="552"/>
      <c r="G297" s="552"/>
      <c r="H297" s="552"/>
      <c r="I297" s="552"/>
      <c r="J297" s="552"/>
      <c r="K297" s="552"/>
      <c r="M297" s="552"/>
      <c r="O297" s="552"/>
      <c r="Q297" s="1404"/>
    </row>
    <row r="298" spans="2:17" s="555" customFormat="1" ht="15.75" customHeight="1" x14ac:dyDescent="0.2">
      <c r="B298" s="175"/>
      <c r="C298" s="552"/>
      <c r="D298" s="553"/>
      <c r="E298" s="554"/>
      <c r="F298" s="552"/>
      <c r="G298" s="552"/>
      <c r="H298" s="552"/>
      <c r="I298" s="552"/>
      <c r="J298" s="552"/>
      <c r="K298" s="552"/>
      <c r="M298" s="552"/>
      <c r="O298" s="552"/>
      <c r="Q298" s="1404"/>
    </row>
    <row r="299" spans="2:17" s="555" customFormat="1" ht="15.75" customHeight="1" x14ac:dyDescent="0.2">
      <c r="B299" s="175"/>
      <c r="C299" s="552"/>
      <c r="D299" s="553"/>
      <c r="E299" s="554"/>
      <c r="F299" s="552"/>
      <c r="G299" s="552"/>
      <c r="H299" s="552"/>
      <c r="I299" s="552"/>
      <c r="J299" s="552"/>
      <c r="K299" s="552"/>
      <c r="M299" s="552"/>
      <c r="O299" s="552"/>
      <c r="Q299" s="1404"/>
    </row>
    <row r="300" spans="2:17" s="555" customFormat="1" ht="15.75" customHeight="1" x14ac:dyDescent="0.2">
      <c r="B300" s="175"/>
      <c r="C300" s="552"/>
      <c r="D300" s="553"/>
      <c r="E300" s="554"/>
      <c r="F300" s="552"/>
      <c r="G300" s="552"/>
      <c r="H300" s="552"/>
      <c r="I300" s="552"/>
      <c r="J300" s="552"/>
      <c r="K300" s="552"/>
      <c r="M300" s="552"/>
      <c r="O300" s="552"/>
      <c r="Q300" s="1404"/>
    </row>
    <row r="301" spans="2:17" s="555" customFormat="1" ht="15.75" customHeight="1" x14ac:dyDescent="0.2">
      <c r="B301" s="175"/>
      <c r="C301" s="552"/>
      <c r="D301" s="553"/>
      <c r="E301" s="554"/>
      <c r="F301" s="552"/>
      <c r="G301" s="552"/>
      <c r="H301" s="552"/>
      <c r="I301" s="552"/>
      <c r="J301" s="552"/>
      <c r="K301" s="552"/>
      <c r="M301" s="552"/>
      <c r="O301" s="552"/>
      <c r="Q301" s="1404"/>
    </row>
    <row r="302" spans="2:17" s="555" customFormat="1" ht="15.75" customHeight="1" x14ac:dyDescent="0.2">
      <c r="B302" s="175"/>
      <c r="C302" s="552"/>
      <c r="D302" s="553"/>
      <c r="E302" s="554"/>
      <c r="F302" s="552"/>
      <c r="G302" s="552"/>
      <c r="H302" s="552"/>
      <c r="I302" s="552"/>
      <c r="J302" s="552"/>
      <c r="K302" s="552"/>
      <c r="M302" s="552"/>
      <c r="O302" s="552"/>
      <c r="Q302" s="1404"/>
    </row>
    <row r="303" spans="2:17" s="555" customFormat="1" ht="15.75" customHeight="1" x14ac:dyDescent="0.2">
      <c r="B303" s="175"/>
      <c r="C303" s="552"/>
      <c r="D303" s="553"/>
      <c r="E303" s="554"/>
      <c r="F303" s="552"/>
      <c r="G303" s="552"/>
      <c r="H303" s="552"/>
      <c r="I303" s="552"/>
      <c r="J303" s="552"/>
      <c r="K303" s="552"/>
      <c r="M303" s="552"/>
      <c r="O303" s="552"/>
      <c r="Q303" s="1404"/>
    </row>
    <row r="304" spans="2:17" s="555" customFormat="1" ht="15.75" customHeight="1" x14ac:dyDescent="0.2">
      <c r="B304" s="175"/>
      <c r="C304" s="552"/>
      <c r="D304" s="553"/>
      <c r="E304" s="554"/>
      <c r="F304" s="552"/>
      <c r="G304" s="552"/>
      <c r="H304" s="552"/>
      <c r="I304" s="552"/>
      <c r="J304" s="552"/>
      <c r="K304" s="552"/>
      <c r="M304" s="552"/>
      <c r="O304" s="552"/>
      <c r="Q304" s="1404"/>
    </row>
    <row r="305" spans="2:17" s="555" customFormat="1" ht="15.75" customHeight="1" x14ac:dyDescent="0.2">
      <c r="B305" s="175"/>
      <c r="C305" s="552"/>
      <c r="D305" s="553"/>
      <c r="E305" s="554"/>
      <c r="F305" s="552"/>
      <c r="G305" s="552"/>
      <c r="H305" s="552"/>
      <c r="I305" s="552"/>
      <c r="J305" s="552"/>
      <c r="K305" s="552"/>
      <c r="M305" s="552"/>
      <c r="O305" s="552"/>
      <c r="Q305" s="1404"/>
    </row>
    <row r="306" spans="2:17" s="555" customFormat="1" ht="15.75" customHeight="1" x14ac:dyDescent="0.2">
      <c r="B306" s="175"/>
      <c r="C306" s="552"/>
      <c r="D306" s="553"/>
      <c r="E306" s="554"/>
      <c r="F306" s="552"/>
      <c r="G306" s="552"/>
      <c r="H306" s="552"/>
      <c r="I306" s="552"/>
      <c r="J306" s="552"/>
      <c r="K306" s="552"/>
      <c r="M306" s="552"/>
      <c r="O306" s="552"/>
      <c r="Q306" s="1404"/>
    </row>
    <row r="307" spans="2:17" s="555" customFormat="1" ht="15.75" customHeight="1" x14ac:dyDescent="0.2">
      <c r="B307" s="175"/>
      <c r="C307" s="552"/>
      <c r="D307" s="553"/>
      <c r="E307" s="554"/>
      <c r="F307" s="552"/>
      <c r="G307" s="552"/>
      <c r="H307" s="552"/>
      <c r="I307" s="552"/>
      <c r="J307" s="552"/>
      <c r="K307" s="552"/>
      <c r="M307" s="552"/>
      <c r="O307" s="552"/>
      <c r="Q307" s="1404"/>
    </row>
    <row r="308" spans="2:17" s="555" customFormat="1" ht="15.75" customHeight="1" x14ac:dyDescent="0.2">
      <c r="B308" s="175"/>
      <c r="C308" s="552"/>
      <c r="D308" s="553"/>
      <c r="E308" s="554"/>
      <c r="F308" s="552"/>
      <c r="G308" s="552"/>
      <c r="H308" s="552"/>
      <c r="I308" s="552"/>
      <c r="J308" s="552"/>
      <c r="K308" s="552"/>
      <c r="M308" s="552"/>
      <c r="O308" s="552"/>
      <c r="Q308" s="1404"/>
    </row>
    <row r="309" spans="2:17" s="555" customFormat="1" ht="15.75" customHeight="1" x14ac:dyDescent="0.2">
      <c r="B309" s="175"/>
      <c r="C309" s="552"/>
      <c r="D309" s="553"/>
      <c r="E309" s="554"/>
      <c r="F309" s="552"/>
      <c r="G309" s="552"/>
      <c r="H309" s="552"/>
      <c r="I309" s="552"/>
      <c r="J309" s="552"/>
      <c r="K309" s="552"/>
      <c r="M309" s="552"/>
      <c r="O309" s="552"/>
      <c r="Q309" s="1404"/>
    </row>
    <row r="310" spans="2:17" s="555" customFormat="1" ht="15.75" customHeight="1" x14ac:dyDescent="0.2">
      <c r="B310" s="175"/>
      <c r="C310" s="552"/>
      <c r="D310" s="553"/>
      <c r="E310" s="554"/>
      <c r="F310" s="552"/>
      <c r="G310" s="552"/>
      <c r="H310" s="552"/>
      <c r="I310" s="552"/>
      <c r="J310" s="552"/>
      <c r="K310" s="552"/>
      <c r="M310" s="552"/>
      <c r="O310" s="552"/>
      <c r="Q310" s="1404"/>
    </row>
    <row r="311" spans="2:17" s="555" customFormat="1" ht="15.75" customHeight="1" x14ac:dyDescent="0.2">
      <c r="B311" s="175"/>
      <c r="C311" s="552"/>
      <c r="D311" s="553"/>
      <c r="E311" s="554"/>
      <c r="F311" s="552"/>
      <c r="G311" s="552"/>
      <c r="H311" s="552"/>
      <c r="I311" s="552"/>
      <c r="J311" s="552"/>
      <c r="K311" s="552"/>
      <c r="M311" s="552"/>
      <c r="O311" s="552"/>
      <c r="Q311" s="1404"/>
    </row>
    <row r="312" spans="2:17" s="555" customFormat="1" ht="15.75" customHeight="1" x14ac:dyDescent="0.2">
      <c r="B312" s="175"/>
      <c r="C312" s="552"/>
      <c r="D312" s="553"/>
      <c r="E312" s="554"/>
      <c r="F312" s="552"/>
      <c r="G312" s="552"/>
      <c r="H312" s="552"/>
      <c r="I312" s="552"/>
      <c r="J312" s="552"/>
      <c r="K312" s="552"/>
      <c r="M312" s="552"/>
      <c r="O312" s="552"/>
      <c r="Q312" s="1404"/>
    </row>
    <row r="313" spans="2:17" s="555" customFormat="1" ht="31.5" customHeight="1" x14ac:dyDescent="0.2">
      <c r="B313" s="175"/>
      <c r="C313" s="552"/>
      <c r="D313" s="553"/>
      <c r="E313" s="554"/>
      <c r="F313" s="552"/>
      <c r="G313" s="552"/>
      <c r="H313" s="552"/>
      <c r="I313" s="552"/>
      <c r="J313" s="552"/>
      <c r="K313" s="552"/>
      <c r="M313" s="552"/>
      <c r="O313" s="552"/>
      <c r="Q313" s="1404"/>
    </row>
    <row r="314" spans="2:17" s="555" customFormat="1" ht="15.75" x14ac:dyDescent="0.2">
      <c r="B314" s="175"/>
      <c r="C314" s="552"/>
      <c r="D314" s="553"/>
      <c r="E314" s="554"/>
      <c r="F314" s="552"/>
      <c r="G314" s="552"/>
      <c r="H314" s="552"/>
      <c r="I314" s="552"/>
      <c r="J314" s="552"/>
      <c r="K314" s="552"/>
      <c r="M314" s="552"/>
      <c r="O314" s="552"/>
      <c r="Q314" s="1404"/>
    </row>
    <row r="315" spans="2:17" s="555" customFormat="1" ht="15.75" x14ac:dyDescent="0.2">
      <c r="B315" s="175"/>
      <c r="C315" s="552"/>
      <c r="D315" s="553"/>
      <c r="E315" s="554"/>
      <c r="F315" s="552"/>
      <c r="G315" s="552"/>
      <c r="H315" s="552"/>
      <c r="I315" s="552"/>
      <c r="J315" s="552"/>
      <c r="K315" s="552"/>
      <c r="M315" s="552"/>
      <c r="O315" s="552"/>
      <c r="Q315" s="1404"/>
    </row>
    <row r="316" spans="2:17" s="555" customFormat="1" ht="15.75" x14ac:dyDescent="0.2">
      <c r="B316" s="175"/>
      <c r="C316" s="552"/>
      <c r="D316" s="553"/>
      <c r="E316" s="554"/>
      <c r="F316" s="552"/>
      <c r="G316" s="552"/>
      <c r="H316" s="552"/>
      <c r="I316" s="552"/>
      <c r="J316" s="552"/>
      <c r="K316" s="552"/>
      <c r="M316" s="552"/>
      <c r="O316" s="552"/>
      <c r="Q316" s="1404"/>
    </row>
    <row r="317" spans="2:17" s="555" customFormat="1" ht="15.75" x14ac:dyDescent="0.2">
      <c r="B317" s="175"/>
      <c r="C317" s="552"/>
      <c r="D317" s="553"/>
      <c r="E317" s="554"/>
      <c r="F317" s="552"/>
      <c r="G317" s="552"/>
      <c r="H317" s="552"/>
      <c r="I317" s="552"/>
      <c r="J317" s="552"/>
      <c r="K317" s="552"/>
      <c r="M317" s="552"/>
      <c r="O317" s="552"/>
      <c r="Q317" s="1404"/>
    </row>
    <row r="318" spans="2:17" s="555" customFormat="1" ht="15.75" x14ac:dyDescent="0.2">
      <c r="B318" s="175"/>
      <c r="C318" s="552"/>
      <c r="D318" s="553"/>
      <c r="E318" s="554"/>
      <c r="F318" s="552"/>
      <c r="G318" s="552"/>
      <c r="H318" s="552"/>
      <c r="I318" s="552"/>
      <c r="J318" s="552"/>
      <c r="K318" s="552"/>
      <c r="M318" s="552"/>
      <c r="O318" s="552"/>
      <c r="Q318" s="1404"/>
    </row>
    <row r="319" spans="2:17" s="555" customFormat="1" ht="16.5" customHeight="1" x14ac:dyDescent="0.2">
      <c r="B319" s="175"/>
      <c r="C319" s="552"/>
      <c r="D319" s="553"/>
      <c r="E319" s="554"/>
      <c r="F319" s="552"/>
      <c r="G319" s="552"/>
      <c r="H319" s="552"/>
      <c r="I319" s="552"/>
      <c r="J319" s="552"/>
      <c r="K319" s="552"/>
      <c r="M319" s="552"/>
      <c r="O319" s="552"/>
      <c r="Q319" s="1404"/>
    </row>
    <row r="320" spans="2:17" s="555" customFormat="1" ht="15.75" customHeight="1" x14ac:dyDescent="0.2">
      <c r="B320" s="175"/>
      <c r="C320" s="552"/>
      <c r="D320" s="553"/>
      <c r="E320" s="554"/>
      <c r="F320" s="552"/>
      <c r="G320" s="552"/>
      <c r="H320" s="552"/>
      <c r="I320" s="552"/>
      <c r="J320" s="552"/>
      <c r="K320" s="552"/>
      <c r="M320" s="552"/>
      <c r="O320" s="552"/>
      <c r="Q320" s="1404"/>
    </row>
    <row r="321" spans="2:17" s="555" customFormat="1" ht="15.75" customHeight="1" x14ac:dyDescent="0.2">
      <c r="B321" s="175"/>
      <c r="C321" s="552"/>
      <c r="D321" s="553"/>
      <c r="E321" s="554"/>
      <c r="F321" s="552"/>
      <c r="G321" s="552"/>
      <c r="H321" s="552"/>
      <c r="I321" s="552"/>
      <c r="J321" s="552"/>
      <c r="K321" s="552"/>
      <c r="M321" s="552"/>
      <c r="O321" s="552"/>
      <c r="Q321" s="1404"/>
    </row>
    <row r="322" spans="2:17" s="555" customFormat="1" ht="15.75" customHeight="1" x14ac:dyDescent="0.2">
      <c r="B322" s="175"/>
      <c r="C322" s="552"/>
      <c r="D322" s="553"/>
      <c r="E322" s="554"/>
      <c r="F322" s="552"/>
      <c r="G322" s="552"/>
      <c r="H322" s="552"/>
      <c r="I322" s="552"/>
      <c r="J322" s="552"/>
      <c r="K322" s="552"/>
      <c r="M322" s="552"/>
      <c r="O322" s="552"/>
      <c r="Q322" s="1404"/>
    </row>
    <row r="323" spans="2:17" s="555" customFormat="1" ht="15.75" customHeight="1" x14ac:dyDescent="0.2">
      <c r="B323" s="175"/>
      <c r="C323" s="552"/>
      <c r="D323" s="553"/>
      <c r="E323" s="554"/>
      <c r="F323" s="552"/>
      <c r="G323" s="552"/>
      <c r="H323" s="552"/>
      <c r="I323" s="552"/>
      <c r="J323" s="552"/>
      <c r="K323" s="552"/>
      <c r="M323" s="552"/>
      <c r="O323" s="552"/>
      <c r="Q323" s="1404"/>
    </row>
    <row r="324" spans="2:17" s="555" customFormat="1" ht="15.75" customHeight="1" x14ac:dyDescent="0.2">
      <c r="B324" s="175"/>
      <c r="C324" s="552"/>
      <c r="D324" s="553"/>
      <c r="E324" s="554"/>
      <c r="F324" s="552"/>
      <c r="G324" s="552"/>
      <c r="H324" s="552"/>
      <c r="I324" s="552"/>
      <c r="J324" s="552"/>
      <c r="K324" s="552"/>
      <c r="M324" s="552"/>
      <c r="O324" s="552"/>
      <c r="Q324" s="1404"/>
    </row>
    <row r="325" spans="2:17" s="555" customFormat="1" ht="15.75" customHeight="1" x14ac:dyDescent="0.2">
      <c r="B325" s="175"/>
      <c r="C325" s="552"/>
      <c r="D325" s="553"/>
      <c r="E325" s="554"/>
      <c r="F325" s="552"/>
      <c r="G325" s="552"/>
      <c r="H325" s="552"/>
      <c r="I325" s="552"/>
      <c r="J325" s="552"/>
      <c r="K325" s="552"/>
      <c r="M325" s="552"/>
      <c r="O325" s="552"/>
      <c r="Q325" s="1404"/>
    </row>
    <row r="326" spans="2:17" s="555" customFormat="1" ht="15.75" customHeight="1" x14ac:dyDescent="0.2">
      <c r="B326" s="175"/>
      <c r="C326" s="552"/>
      <c r="D326" s="553"/>
      <c r="E326" s="554"/>
      <c r="F326" s="552"/>
      <c r="G326" s="552"/>
      <c r="H326" s="552"/>
      <c r="I326" s="552"/>
      <c r="J326" s="552"/>
      <c r="K326" s="552"/>
      <c r="M326" s="552"/>
      <c r="O326" s="552"/>
      <c r="Q326" s="1404"/>
    </row>
    <row r="327" spans="2:17" s="555" customFormat="1" ht="15.75" customHeight="1" x14ac:dyDescent="0.2">
      <c r="B327" s="175"/>
      <c r="C327" s="552"/>
      <c r="D327" s="553"/>
      <c r="E327" s="554"/>
      <c r="F327" s="552"/>
      <c r="G327" s="552"/>
      <c r="H327" s="552"/>
      <c r="I327" s="552"/>
      <c r="J327" s="552"/>
      <c r="K327" s="552"/>
      <c r="M327" s="552"/>
      <c r="O327" s="552"/>
      <c r="Q327" s="1404"/>
    </row>
    <row r="328" spans="2:17" s="555" customFormat="1" ht="15.75" customHeight="1" x14ac:dyDescent="0.2">
      <c r="B328" s="175"/>
      <c r="C328" s="552"/>
      <c r="D328" s="553"/>
      <c r="E328" s="554"/>
      <c r="F328" s="552"/>
      <c r="G328" s="552"/>
      <c r="H328" s="552"/>
      <c r="I328" s="552"/>
      <c r="J328" s="552"/>
      <c r="K328" s="552"/>
      <c r="M328" s="552"/>
      <c r="O328" s="552"/>
      <c r="Q328" s="1404"/>
    </row>
    <row r="329" spans="2:17" s="555" customFormat="1" ht="15.75" customHeight="1" x14ac:dyDescent="0.2">
      <c r="B329" s="175"/>
      <c r="C329" s="552"/>
      <c r="D329" s="553"/>
      <c r="E329" s="554"/>
      <c r="F329" s="552"/>
      <c r="G329" s="552"/>
      <c r="H329" s="552"/>
      <c r="I329" s="552"/>
      <c r="J329" s="552"/>
      <c r="K329" s="552"/>
      <c r="M329" s="552"/>
      <c r="O329" s="552"/>
      <c r="Q329" s="1404"/>
    </row>
    <row r="330" spans="2:17" s="555" customFormat="1" ht="15.75" customHeight="1" x14ac:dyDescent="0.2">
      <c r="B330" s="175"/>
      <c r="C330" s="552"/>
      <c r="D330" s="553"/>
      <c r="E330" s="554"/>
      <c r="F330" s="552"/>
      <c r="G330" s="552"/>
      <c r="H330" s="552"/>
      <c r="I330" s="552"/>
      <c r="J330" s="552"/>
      <c r="K330" s="552"/>
      <c r="M330" s="552"/>
      <c r="O330" s="552"/>
      <c r="Q330" s="1404"/>
    </row>
    <row r="331" spans="2:17" s="555" customFormat="1" ht="15.75" customHeight="1" x14ac:dyDescent="0.2">
      <c r="B331" s="175"/>
      <c r="C331" s="552"/>
      <c r="D331" s="553"/>
      <c r="E331" s="554"/>
      <c r="F331" s="552"/>
      <c r="G331" s="552"/>
      <c r="H331" s="552"/>
      <c r="I331" s="552"/>
      <c r="J331" s="552"/>
      <c r="K331" s="552"/>
      <c r="M331" s="552"/>
      <c r="O331" s="552"/>
      <c r="Q331" s="1404"/>
    </row>
    <row r="332" spans="2:17" s="555" customFormat="1" ht="15.75" customHeight="1" x14ac:dyDescent="0.2">
      <c r="B332" s="175"/>
      <c r="C332" s="552"/>
      <c r="D332" s="553"/>
      <c r="E332" s="554"/>
      <c r="F332" s="552"/>
      <c r="G332" s="552"/>
      <c r="H332" s="552"/>
      <c r="I332" s="552"/>
      <c r="J332" s="552"/>
      <c r="K332" s="552"/>
      <c r="M332" s="552"/>
      <c r="O332" s="552"/>
      <c r="Q332" s="1404"/>
    </row>
    <row r="333" spans="2:17" s="555" customFormat="1" ht="15.75" customHeight="1" x14ac:dyDescent="0.2">
      <c r="B333" s="175"/>
      <c r="C333" s="552"/>
      <c r="D333" s="553"/>
      <c r="E333" s="554"/>
      <c r="F333" s="552"/>
      <c r="G333" s="552"/>
      <c r="H333" s="552"/>
      <c r="I333" s="552"/>
      <c r="J333" s="552"/>
      <c r="K333" s="552"/>
      <c r="M333" s="552"/>
      <c r="O333" s="552"/>
      <c r="Q333" s="1404"/>
    </row>
    <row r="334" spans="2:17" s="555" customFormat="1" ht="31.5" customHeight="1" x14ac:dyDescent="0.2">
      <c r="B334" s="175"/>
      <c r="C334" s="552"/>
      <c r="D334" s="553"/>
      <c r="E334" s="554"/>
      <c r="F334" s="552"/>
      <c r="G334" s="552"/>
      <c r="H334" s="552"/>
      <c r="I334" s="552"/>
      <c r="J334" s="552"/>
      <c r="K334" s="552"/>
      <c r="M334" s="552"/>
      <c r="O334" s="552"/>
      <c r="Q334" s="1404"/>
    </row>
    <row r="335" spans="2:17" s="555" customFormat="1" ht="15.75" x14ac:dyDescent="0.2">
      <c r="B335" s="175"/>
      <c r="C335" s="552"/>
      <c r="D335" s="553"/>
      <c r="E335" s="554"/>
      <c r="F335" s="552"/>
      <c r="G335" s="552"/>
      <c r="H335" s="552"/>
      <c r="I335" s="552"/>
      <c r="J335" s="552"/>
      <c r="K335" s="552"/>
      <c r="M335" s="552"/>
      <c r="O335" s="552"/>
      <c r="Q335" s="1404"/>
    </row>
    <row r="336" spans="2:17" s="555" customFormat="1" ht="15.75" x14ac:dyDescent="0.2">
      <c r="B336" s="175"/>
      <c r="C336" s="552"/>
      <c r="D336" s="553"/>
      <c r="E336" s="554"/>
      <c r="F336" s="552"/>
      <c r="G336" s="552"/>
      <c r="H336" s="552"/>
      <c r="I336" s="552"/>
      <c r="J336" s="552"/>
      <c r="K336" s="552"/>
      <c r="M336" s="552"/>
      <c r="O336" s="552"/>
      <c r="Q336" s="1404"/>
    </row>
    <row r="337" spans="2:17" s="555" customFormat="1" ht="15.75" x14ac:dyDescent="0.2">
      <c r="B337" s="175"/>
      <c r="C337" s="552"/>
      <c r="D337" s="553"/>
      <c r="E337" s="554"/>
      <c r="F337" s="552"/>
      <c r="G337" s="552"/>
      <c r="H337" s="552"/>
      <c r="I337" s="552"/>
      <c r="J337" s="552"/>
      <c r="K337" s="552"/>
      <c r="M337" s="552"/>
      <c r="O337" s="552"/>
      <c r="Q337" s="1404"/>
    </row>
    <row r="338" spans="2:17" s="555" customFormat="1" ht="15.75" x14ac:dyDescent="0.2">
      <c r="B338" s="175"/>
      <c r="C338" s="552"/>
      <c r="D338" s="553"/>
      <c r="E338" s="554"/>
      <c r="F338" s="552"/>
      <c r="G338" s="552"/>
      <c r="H338" s="552"/>
      <c r="I338" s="552"/>
      <c r="J338" s="552"/>
      <c r="K338" s="552"/>
      <c r="M338" s="552"/>
      <c r="O338" s="552"/>
      <c r="Q338" s="1404"/>
    </row>
    <row r="339" spans="2:17" s="555" customFormat="1" ht="15.75" x14ac:dyDescent="0.2">
      <c r="B339" s="175"/>
      <c r="C339" s="552"/>
      <c r="D339" s="553"/>
      <c r="E339" s="554"/>
      <c r="F339" s="552"/>
      <c r="G339" s="552"/>
      <c r="H339" s="552"/>
      <c r="I339" s="552"/>
      <c r="J339" s="552"/>
      <c r="K339" s="552"/>
      <c r="M339" s="552"/>
      <c r="O339" s="552"/>
      <c r="Q339" s="1404"/>
    </row>
    <row r="340" spans="2:17" s="555" customFormat="1" ht="15.75" customHeight="1" x14ac:dyDescent="0.2">
      <c r="B340" s="175"/>
      <c r="C340" s="552"/>
      <c r="D340" s="553"/>
      <c r="E340" s="554"/>
      <c r="F340" s="552"/>
      <c r="G340" s="552"/>
      <c r="H340" s="552"/>
      <c r="I340" s="552"/>
      <c r="J340" s="552"/>
      <c r="K340" s="552"/>
      <c r="M340" s="552"/>
      <c r="O340" s="552"/>
      <c r="Q340" s="1404"/>
    </row>
    <row r="341" spans="2:17" s="555" customFormat="1" ht="15.75" customHeight="1" x14ac:dyDescent="0.2">
      <c r="B341" s="175"/>
      <c r="C341" s="552"/>
      <c r="D341" s="553"/>
      <c r="E341" s="554"/>
      <c r="F341" s="552"/>
      <c r="G341" s="552"/>
      <c r="H341" s="552"/>
      <c r="I341" s="552"/>
      <c r="J341" s="552"/>
      <c r="K341" s="552"/>
      <c r="M341" s="552"/>
      <c r="O341" s="552"/>
      <c r="Q341" s="1404"/>
    </row>
    <row r="342" spans="2:17" s="555" customFormat="1" ht="15.75" customHeight="1" x14ac:dyDescent="0.2">
      <c r="B342" s="175"/>
      <c r="C342" s="552"/>
      <c r="D342" s="553"/>
      <c r="E342" s="554"/>
      <c r="F342" s="552"/>
      <c r="G342" s="552"/>
      <c r="H342" s="552"/>
      <c r="I342" s="552"/>
      <c r="J342" s="552"/>
      <c r="K342" s="552"/>
      <c r="M342" s="552"/>
      <c r="O342" s="552"/>
      <c r="Q342" s="1404"/>
    </row>
    <row r="343" spans="2:17" s="555" customFormat="1" ht="15.75" customHeight="1" x14ac:dyDescent="0.2">
      <c r="B343" s="175"/>
      <c r="C343" s="552"/>
      <c r="D343" s="553"/>
      <c r="E343" s="554"/>
      <c r="F343" s="552"/>
      <c r="G343" s="552"/>
      <c r="H343" s="552"/>
      <c r="I343" s="552"/>
      <c r="J343" s="552"/>
      <c r="K343" s="552"/>
      <c r="M343" s="552"/>
      <c r="O343" s="552"/>
      <c r="Q343" s="1404"/>
    </row>
    <row r="344" spans="2:17" s="555" customFormat="1" ht="15.75" customHeight="1" x14ac:dyDescent="0.2">
      <c r="B344" s="175"/>
      <c r="C344" s="552"/>
      <c r="D344" s="553"/>
      <c r="E344" s="554"/>
      <c r="F344" s="552"/>
      <c r="G344" s="552"/>
      <c r="H344" s="552"/>
      <c r="I344" s="552"/>
      <c r="J344" s="552"/>
      <c r="K344" s="552"/>
      <c r="M344" s="552"/>
      <c r="O344" s="552"/>
      <c r="Q344" s="1404"/>
    </row>
    <row r="345" spans="2:17" s="555" customFormat="1" ht="15.75" customHeight="1" x14ac:dyDescent="0.2">
      <c r="B345" s="175"/>
      <c r="C345" s="552"/>
      <c r="D345" s="553"/>
      <c r="E345" s="554"/>
      <c r="F345" s="552"/>
      <c r="G345" s="552"/>
      <c r="H345" s="552"/>
      <c r="I345" s="552"/>
      <c r="J345" s="552"/>
      <c r="K345" s="552"/>
      <c r="M345" s="552"/>
      <c r="O345" s="552"/>
      <c r="Q345" s="1404"/>
    </row>
    <row r="346" spans="2:17" s="555" customFormat="1" ht="15.75" customHeight="1" x14ac:dyDescent="0.2">
      <c r="B346" s="175"/>
      <c r="C346" s="552"/>
      <c r="D346" s="553"/>
      <c r="E346" s="554"/>
      <c r="F346" s="552"/>
      <c r="G346" s="552"/>
      <c r="H346" s="552"/>
      <c r="I346" s="552"/>
      <c r="J346" s="552"/>
      <c r="K346" s="552"/>
      <c r="M346" s="552"/>
      <c r="O346" s="552"/>
      <c r="Q346" s="1404"/>
    </row>
    <row r="347" spans="2:17" s="555" customFormat="1" ht="15.75" customHeight="1" x14ac:dyDescent="0.2">
      <c r="B347" s="175"/>
      <c r="C347" s="552"/>
      <c r="D347" s="553"/>
      <c r="E347" s="554"/>
      <c r="F347" s="552"/>
      <c r="G347" s="552"/>
      <c r="H347" s="552"/>
      <c r="I347" s="552"/>
      <c r="J347" s="552"/>
      <c r="K347" s="552"/>
      <c r="M347" s="552"/>
      <c r="O347" s="552"/>
      <c r="Q347" s="1404"/>
    </row>
    <row r="348" spans="2:17" s="555" customFormat="1" ht="15.75" customHeight="1" x14ac:dyDescent="0.2">
      <c r="B348" s="175"/>
      <c r="C348" s="552"/>
      <c r="D348" s="553"/>
      <c r="E348" s="554"/>
      <c r="F348" s="552"/>
      <c r="G348" s="552"/>
      <c r="H348" s="552"/>
      <c r="I348" s="552"/>
      <c r="J348" s="552"/>
      <c r="K348" s="552"/>
      <c r="M348" s="552"/>
      <c r="O348" s="552"/>
      <c r="Q348" s="1404"/>
    </row>
    <row r="349" spans="2:17" s="555" customFormat="1" ht="15.75" customHeight="1" x14ac:dyDescent="0.2">
      <c r="B349" s="175"/>
      <c r="C349" s="552"/>
      <c r="D349" s="553"/>
      <c r="E349" s="554"/>
      <c r="F349" s="552"/>
      <c r="G349" s="552"/>
      <c r="H349" s="552"/>
      <c r="I349" s="552"/>
      <c r="J349" s="552"/>
      <c r="K349" s="552"/>
      <c r="M349" s="552"/>
      <c r="O349" s="552"/>
      <c r="Q349" s="1404"/>
    </row>
    <row r="350" spans="2:17" s="555" customFormat="1" ht="15.75" customHeight="1" x14ac:dyDescent="0.2">
      <c r="B350" s="175"/>
      <c r="C350" s="552"/>
      <c r="D350" s="553"/>
      <c r="E350" s="554"/>
      <c r="F350" s="552"/>
      <c r="G350" s="552"/>
      <c r="H350" s="552"/>
      <c r="I350" s="552"/>
      <c r="J350" s="552"/>
      <c r="K350" s="552"/>
      <c r="M350" s="552"/>
      <c r="O350" s="552"/>
      <c r="Q350" s="1404"/>
    </row>
    <row r="351" spans="2:17" s="555" customFormat="1" ht="15.75" customHeight="1" x14ac:dyDescent="0.2">
      <c r="B351" s="175"/>
      <c r="C351" s="552"/>
      <c r="D351" s="553"/>
      <c r="E351" s="554"/>
      <c r="F351" s="552"/>
      <c r="G351" s="552"/>
      <c r="H351" s="552"/>
      <c r="I351" s="552"/>
      <c r="J351" s="552"/>
      <c r="K351" s="552"/>
      <c r="M351" s="552"/>
      <c r="O351" s="552"/>
      <c r="Q351" s="1404"/>
    </row>
    <row r="352" spans="2:17" s="555" customFormat="1" ht="15.75" customHeight="1" x14ac:dyDescent="0.2">
      <c r="B352" s="175"/>
      <c r="C352" s="552"/>
      <c r="D352" s="553"/>
      <c r="E352" s="554"/>
      <c r="F352" s="552"/>
      <c r="G352" s="552"/>
      <c r="H352" s="552"/>
      <c r="I352" s="552"/>
      <c r="J352" s="552"/>
      <c r="K352" s="552"/>
      <c r="M352" s="552"/>
      <c r="O352" s="552"/>
      <c r="Q352" s="1404"/>
    </row>
    <row r="353" spans="2:17" s="555" customFormat="1" ht="15.75" customHeight="1" x14ac:dyDescent="0.2">
      <c r="B353" s="175"/>
      <c r="C353" s="552"/>
      <c r="D353" s="553"/>
      <c r="E353" s="554"/>
      <c r="F353" s="552"/>
      <c r="G353" s="552"/>
      <c r="H353" s="552"/>
      <c r="I353" s="552"/>
      <c r="J353" s="552"/>
      <c r="K353" s="552"/>
      <c r="M353" s="552"/>
      <c r="O353" s="552"/>
      <c r="Q353" s="1404"/>
    </row>
    <row r="354" spans="2:17" s="555" customFormat="1" ht="15.75" customHeight="1" x14ac:dyDescent="0.2">
      <c r="B354" s="175"/>
      <c r="C354" s="552"/>
      <c r="D354" s="553"/>
      <c r="E354" s="554"/>
      <c r="F354" s="552"/>
      <c r="G354" s="552"/>
      <c r="H354" s="552"/>
      <c r="I354" s="552"/>
      <c r="J354" s="552"/>
      <c r="K354" s="552"/>
      <c r="M354" s="552"/>
      <c r="O354" s="552"/>
      <c r="Q354" s="1404"/>
    </row>
    <row r="355" spans="2:17" s="555" customFormat="1" ht="31.5" customHeight="1" x14ac:dyDescent="0.2">
      <c r="B355" s="175"/>
      <c r="C355" s="552"/>
      <c r="D355" s="553"/>
      <c r="E355" s="554"/>
      <c r="F355" s="552"/>
      <c r="G355" s="552"/>
      <c r="H355" s="552"/>
      <c r="I355" s="552"/>
      <c r="J355" s="552"/>
      <c r="K355" s="552"/>
      <c r="M355" s="552"/>
      <c r="O355" s="552"/>
      <c r="Q355" s="1404"/>
    </row>
    <row r="356" spans="2:17" s="555" customFormat="1" ht="15.75" x14ac:dyDescent="0.2">
      <c r="B356" s="175"/>
      <c r="C356" s="552"/>
      <c r="D356" s="553"/>
      <c r="E356" s="554"/>
      <c r="F356" s="552"/>
      <c r="G356" s="552"/>
      <c r="H356" s="552"/>
      <c r="I356" s="552"/>
      <c r="J356" s="552"/>
      <c r="K356" s="552"/>
      <c r="M356" s="552"/>
      <c r="O356" s="552"/>
      <c r="Q356" s="1404"/>
    </row>
    <row r="357" spans="2:17" s="555" customFormat="1" ht="15.75" x14ac:dyDescent="0.2">
      <c r="B357" s="175"/>
      <c r="C357" s="552"/>
      <c r="D357" s="553"/>
      <c r="E357" s="554"/>
      <c r="F357" s="552"/>
      <c r="G357" s="552"/>
      <c r="H357" s="552"/>
      <c r="I357" s="552"/>
      <c r="J357" s="552"/>
      <c r="K357" s="552"/>
      <c r="M357" s="552"/>
      <c r="O357" s="552"/>
      <c r="Q357" s="1404"/>
    </row>
    <row r="358" spans="2:17" s="555" customFormat="1" ht="15.75" x14ac:dyDescent="0.2">
      <c r="B358" s="175"/>
      <c r="C358" s="552"/>
      <c r="D358" s="553"/>
      <c r="E358" s="554"/>
      <c r="F358" s="552"/>
      <c r="G358" s="552"/>
      <c r="H358" s="552"/>
      <c r="I358" s="552"/>
      <c r="J358" s="552"/>
      <c r="K358" s="552"/>
      <c r="M358" s="552"/>
      <c r="O358" s="552"/>
      <c r="Q358" s="1404"/>
    </row>
    <row r="359" spans="2:17" s="555" customFormat="1" ht="15.75" x14ac:dyDescent="0.2">
      <c r="B359" s="175"/>
      <c r="C359" s="552"/>
      <c r="D359" s="553"/>
      <c r="E359" s="554"/>
      <c r="F359" s="552"/>
      <c r="G359" s="552"/>
      <c r="H359" s="552"/>
      <c r="I359" s="552"/>
      <c r="J359" s="552"/>
      <c r="K359" s="552"/>
      <c r="M359" s="552"/>
      <c r="O359" s="552"/>
      <c r="Q359" s="1404"/>
    </row>
    <row r="360" spans="2:17" s="555" customFormat="1" ht="15.75" x14ac:dyDescent="0.2">
      <c r="B360" s="175"/>
      <c r="C360" s="552"/>
      <c r="D360" s="553"/>
      <c r="E360" s="554"/>
      <c r="F360" s="552"/>
      <c r="G360" s="552"/>
      <c r="H360" s="552"/>
      <c r="I360" s="552"/>
      <c r="J360" s="552"/>
      <c r="K360" s="552"/>
      <c r="M360" s="552"/>
      <c r="O360" s="552"/>
      <c r="Q360" s="1404"/>
    </row>
    <row r="361" spans="2:17" s="555" customFormat="1" ht="16.5" customHeight="1" x14ac:dyDescent="0.2">
      <c r="B361" s="175"/>
      <c r="C361" s="552"/>
      <c r="D361" s="553"/>
      <c r="E361" s="554"/>
      <c r="F361" s="552"/>
      <c r="G361" s="552"/>
      <c r="H361" s="552"/>
      <c r="I361" s="552"/>
      <c r="J361" s="552"/>
      <c r="K361" s="552"/>
      <c r="M361" s="552"/>
      <c r="O361" s="552"/>
      <c r="Q361" s="1404"/>
    </row>
    <row r="362" spans="2:17" s="555" customFormat="1" ht="15.75" customHeight="1" x14ac:dyDescent="0.2">
      <c r="B362" s="175"/>
      <c r="C362" s="552"/>
      <c r="D362" s="553"/>
      <c r="E362" s="554"/>
      <c r="F362" s="552"/>
      <c r="G362" s="552"/>
      <c r="H362" s="552"/>
      <c r="I362" s="552"/>
      <c r="J362" s="552"/>
      <c r="K362" s="552"/>
      <c r="M362" s="552"/>
      <c r="O362" s="552"/>
      <c r="Q362" s="1404"/>
    </row>
    <row r="363" spans="2:17" s="555" customFormat="1" ht="15.75" customHeight="1" x14ac:dyDescent="0.2">
      <c r="B363" s="175"/>
      <c r="C363" s="552"/>
      <c r="D363" s="553"/>
      <c r="E363" s="554"/>
      <c r="F363" s="552"/>
      <c r="G363" s="552"/>
      <c r="H363" s="552"/>
      <c r="I363" s="552"/>
      <c r="J363" s="552"/>
      <c r="K363" s="552"/>
      <c r="M363" s="552"/>
      <c r="O363" s="552"/>
      <c r="Q363" s="1404"/>
    </row>
    <row r="364" spans="2:17" s="555" customFormat="1" ht="15.75" customHeight="1" x14ac:dyDescent="0.2">
      <c r="B364" s="175"/>
      <c r="C364" s="552"/>
      <c r="D364" s="553"/>
      <c r="E364" s="554"/>
      <c r="F364" s="552"/>
      <c r="G364" s="552"/>
      <c r="H364" s="552"/>
      <c r="I364" s="552"/>
      <c r="J364" s="552"/>
      <c r="K364" s="552"/>
      <c r="M364" s="552"/>
      <c r="O364" s="552"/>
      <c r="Q364" s="1404"/>
    </row>
    <row r="365" spans="2:17" s="555" customFormat="1" ht="15.75" customHeight="1" x14ac:dyDescent="0.2">
      <c r="B365" s="175"/>
      <c r="C365" s="552"/>
      <c r="D365" s="553"/>
      <c r="E365" s="554"/>
      <c r="F365" s="552"/>
      <c r="G365" s="552"/>
      <c r="H365" s="552"/>
      <c r="I365" s="552"/>
      <c r="J365" s="552"/>
      <c r="K365" s="552"/>
      <c r="M365" s="552"/>
      <c r="O365" s="552"/>
      <c r="Q365" s="1404"/>
    </row>
    <row r="366" spans="2:17" s="555" customFormat="1" ht="15.75" customHeight="1" x14ac:dyDescent="0.2">
      <c r="B366" s="175"/>
      <c r="C366" s="552"/>
      <c r="D366" s="553"/>
      <c r="E366" s="554"/>
      <c r="F366" s="552"/>
      <c r="G366" s="552"/>
      <c r="H366" s="552"/>
      <c r="I366" s="552"/>
      <c r="J366" s="552"/>
      <c r="K366" s="552"/>
      <c r="M366" s="552"/>
      <c r="O366" s="552"/>
      <c r="Q366" s="1404"/>
    </row>
    <row r="367" spans="2:17" s="555" customFormat="1" ht="15.75" customHeight="1" x14ac:dyDescent="0.2">
      <c r="B367" s="175"/>
      <c r="C367" s="552"/>
      <c r="D367" s="553"/>
      <c r="E367" s="554"/>
      <c r="F367" s="552"/>
      <c r="G367" s="552"/>
      <c r="H367" s="552"/>
      <c r="I367" s="552"/>
      <c r="J367" s="552"/>
      <c r="K367" s="552"/>
      <c r="M367" s="552"/>
      <c r="O367" s="552"/>
      <c r="Q367" s="1404"/>
    </row>
    <row r="368" spans="2:17" s="555" customFormat="1" ht="15.75" customHeight="1" x14ac:dyDescent="0.2">
      <c r="B368" s="175"/>
      <c r="C368" s="552"/>
      <c r="D368" s="553"/>
      <c r="E368" s="554"/>
      <c r="F368" s="552"/>
      <c r="G368" s="552"/>
      <c r="H368" s="552"/>
      <c r="I368" s="552"/>
      <c r="J368" s="552"/>
      <c r="K368" s="552"/>
      <c r="M368" s="552"/>
      <c r="O368" s="552"/>
      <c r="Q368" s="1404"/>
    </row>
    <row r="369" spans="2:17" s="555" customFormat="1" ht="15.75" customHeight="1" x14ac:dyDescent="0.2">
      <c r="B369" s="175"/>
      <c r="C369" s="552"/>
      <c r="D369" s="553"/>
      <c r="E369" s="554"/>
      <c r="F369" s="552"/>
      <c r="G369" s="552"/>
      <c r="H369" s="552"/>
      <c r="I369" s="552"/>
      <c r="J369" s="552"/>
      <c r="K369" s="552"/>
      <c r="M369" s="552"/>
      <c r="O369" s="552"/>
      <c r="Q369" s="1404"/>
    </row>
    <row r="370" spans="2:17" s="555" customFormat="1" ht="15.75" customHeight="1" x14ac:dyDescent="0.2">
      <c r="B370" s="175"/>
      <c r="C370" s="552"/>
      <c r="D370" s="553"/>
      <c r="E370" s="554"/>
      <c r="F370" s="552"/>
      <c r="G370" s="552"/>
      <c r="H370" s="552"/>
      <c r="I370" s="552"/>
      <c r="J370" s="552"/>
      <c r="K370" s="552"/>
      <c r="M370" s="552"/>
      <c r="O370" s="552"/>
      <c r="Q370" s="1404"/>
    </row>
    <row r="371" spans="2:17" s="555" customFormat="1" ht="15.75" customHeight="1" x14ac:dyDescent="0.2">
      <c r="B371" s="175"/>
      <c r="C371" s="552"/>
      <c r="D371" s="553"/>
      <c r="E371" s="554"/>
      <c r="F371" s="552"/>
      <c r="G371" s="552"/>
      <c r="H371" s="552"/>
      <c r="I371" s="552"/>
      <c r="J371" s="552"/>
      <c r="K371" s="552"/>
      <c r="M371" s="552"/>
      <c r="O371" s="552"/>
      <c r="Q371" s="1404"/>
    </row>
    <row r="372" spans="2:17" s="555" customFormat="1" ht="15.75" customHeight="1" x14ac:dyDescent="0.2">
      <c r="B372" s="175"/>
      <c r="C372" s="552"/>
      <c r="D372" s="553"/>
      <c r="E372" s="554"/>
      <c r="F372" s="552"/>
      <c r="G372" s="552"/>
      <c r="H372" s="552"/>
      <c r="I372" s="552"/>
      <c r="J372" s="552"/>
      <c r="K372" s="552"/>
      <c r="M372" s="552"/>
      <c r="O372" s="552"/>
      <c r="Q372" s="1404"/>
    </row>
    <row r="373" spans="2:17" s="555" customFormat="1" ht="15.75" customHeight="1" x14ac:dyDescent="0.2">
      <c r="B373" s="175"/>
      <c r="C373" s="552"/>
      <c r="D373" s="553"/>
      <c r="E373" s="554"/>
      <c r="F373" s="552"/>
      <c r="G373" s="552"/>
      <c r="H373" s="552"/>
      <c r="I373" s="552"/>
      <c r="J373" s="552"/>
      <c r="K373" s="552"/>
      <c r="M373" s="552"/>
      <c r="O373" s="552"/>
      <c r="Q373" s="1404"/>
    </row>
    <row r="374" spans="2:17" s="555" customFormat="1" ht="15.75" customHeight="1" x14ac:dyDescent="0.2">
      <c r="B374" s="175"/>
      <c r="C374" s="552"/>
      <c r="D374" s="553"/>
      <c r="E374" s="554"/>
      <c r="F374" s="552"/>
      <c r="G374" s="552"/>
      <c r="H374" s="552"/>
      <c r="I374" s="552"/>
      <c r="J374" s="552"/>
      <c r="K374" s="552"/>
      <c r="M374" s="552"/>
      <c r="O374" s="552"/>
      <c r="Q374" s="1404"/>
    </row>
    <row r="375" spans="2:17" s="555" customFormat="1" ht="15.75" customHeight="1" x14ac:dyDescent="0.2">
      <c r="B375" s="175"/>
      <c r="C375" s="552"/>
      <c r="D375" s="553"/>
      <c r="E375" s="554"/>
      <c r="F375" s="552"/>
      <c r="G375" s="552"/>
      <c r="H375" s="552"/>
      <c r="I375" s="552"/>
      <c r="J375" s="552"/>
      <c r="K375" s="552"/>
      <c r="M375" s="552"/>
      <c r="O375" s="552"/>
      <c r="Q375" s="1404"/>
    </row>
    <row r="376" spans="2:17" s="555" customFormat="1" ht="31.5" customHeight="1" x14ac:dyDescent="0.2">
      <c r="B376" s="175"/>
      <c r="C376" s="552"/>
      <c r="D376" s="553"/>
      <c r="E376" s="554"/>
      <c r="F376" s="552"/>
      <c r="G376" s="552"/>
      <c r="H376" s="552"/>
      <c r="I376" s="552"/>
      <c r="J376" s="552"/>
      <c r="K376" s="552"/>
      <c r="M376" s="552"/>
      <c r="O376" s="552"/>
      <c r="Q376" s="1404"/>
    </row>
    <row r="377" spans="2:17" s="555" customFormat="1" ht="15.75" x14ac:dyDescent="0.2">
      <c r="B377" s="175"/>
      <c r="C377" s="552"/>
      <c r="D377" s="553"/>
      <c r="E377" s="554"/>
      <c r="F377" s="552"/>
      <c r="G377" s="552"/>
      <c r="H377" s="552"/>
      <c r="I377" s="552"/>
      <c r="J377" s="552"/>
      <c r="K377" s="552"/>
      <c r="M377" s="552"/>
      <c r="O377" s="552"/>
      <c r="Q377" s="1404"/>
    </row>
    <row r="378" spans="2:17" s="555" customFormat="1" ht="15.75" x14ac:dyDescent="0.2">
      <c r="B378" s="175"/>
      <c r="C378" s="552"/>
      <c r="D378" s="553"/>
      <c r="E378" s="554"/>
      <c r="F378" s="552"/>
      <c r="G378" s="552"/>
      <c r="H378" s="552"/>
      <c r="I378" s="552"/>
      <c r="J378" s="552"/>
      <c r="K378" s="552"/>
      <c r="M378" s="552"/>
      <c r="O378" s="552"/>
      <c r="Q378" s="1404"/>
    </row>
    <row r="379" spans="2:17" s="555" customFormat="1" ht="15.75" x14ac:dyDescent="0.2">
      <c r="B379" s="175"/>
      <c r="C379" s="552"/>
      <c r="D379" s="553"/>
      <c r="E379" s="554"/>
      <c r="F379" s="552"/>
      <c r="G379" s="552"/>
      <c r="H379" s="552"/>
      <c r="I379" s="552"/>
      <c r="J379" s="552"/>
      <c r="K379" s="552"/>
      <c r="M379" s="552"/>
      <c r="O379" s="552"/>
      <c r="Q379" s="1404"/>
    </row>
    <row r="380" spans="2:17" s="555" customFormat="1" ht="15.75" x14ac:dyDescent="0.2">
      <c r="B380" s="175"/>
      <c r="C380" s="552"/>
      <c r="D380" s="553"/>
      <c r="E380" s="554"/>
      <c r="F380" s="552"/>
      <c r="G380" s="552"/>
      <c r="H380" s="552"/>
      <c r="I380" s="552"/>
      <c r="J380" s="552"/>
      <c r="K380" s="552"/>
      <c r="M380" s="552"/>
      <c r="O380" s="552"/>
      <c r="Q380" s="1404"/>
    </row>
    <row r="381" spans="2:17" s="555" customFormat="1" ht="15.75" x14ac:dyDescent="0.2">
      <c r="B381" s="175"/>
      <c r="C381" s="552"/>
      <c r="D381" s="553"/>
      <c r="E381" s="554"/>
      <c r="F381" s="552"/>
      <c r="G381" s="552"/>
      <c r="H381" s="552"/>
      <c r="I381" s="552"/>
      <c r="J381" s="552"/>
      <c r="K381" s="552"/>
      <c r="M381" s="552"/>
      <c r="O381" s="552"/>
      <c r="Q381" s="1404"/>
    </row>
    <row r="382" spans="2:17" s="555" customFormat="1" ht="15.75" customHeight="1" x14ac:dyDescent="0.2">
      <c r="B382" s="175"/>
      <c r="C382" s="552"/>
      <c r="D382" s="553"/>
      <c r="E382" s="554"/>
      <c r="F382" s="552"/>
      <c r="G382" s="552"/>
      <c r="H382" s="552"/>
      <c r="I382" s="552"/>
      <c r="J382" s="552"/>
      <c r="K382" s="552"/>
      <c r="M382" s="552"/>
      <c r="O382" s="552"/>
      <c r="Q382" s="1404"/>
    </row>
    <row r="383" spans="2:17" s="555" customFormat="1" ht="15.75" customHeight="1" x14ac:dyDescent="0.2">
      <c r="B383" s="175"/>
      <c r="C383" s="552"/>
      <c r="D383" s="553"/>
      <c r="E383" s="554"/>
      <c r="F383" s="552"/>
      <c r="G383" s="552"/>
      <c r="H383" s="552"/>
      <c r="I383" s="552"/>
      <c r="J383" s="552"/>
      <c r="K383" s="552"/>
      <c r="M383" s="552"/>
      <c r="O383" s="552"/>
      <c r="Q383" s="1404"/>
    </row>
    <row r="384" spans="2:17" s="555" customFormat="1" ht="15.75" customHeight="1" x14ac:dyDescent="0.2">
      <c r="B384" s="175"/>
      <c r="C384" s="552"/>
      <c r="D384" s="553"/>
      <c r="E384" s="554"/>
      <c r="F384" s="552"/>
      <c r="G384" s="552"/>
      <c r="H384" s="552"/>
      <c r="I384" s="552"/>
      <c r="J384" s="552"/>
      <c r="K384" s="552"/>
      <c r="M384" s="552"/>
      <c r="O384" s="552"/>
      <c r="Q384" s="1404"/>
    </row>
    <row r="385" spans="2:17" s="555" customFormat="1" ht="15.75" customHeight="1" x14ac:dyDescent="0.2">
      <c r="B385" s="175"/>
      <c r="C385" s="552"/>
      <c r="D385" s="553"/>
      <c r="E385" s="554"/>
      <c r="F385" s="552"/>
      <c r="G385" s="552"/>
      <c r="H385" s="552"/>
      <c r="I385" s="552"/>
      <c r="J385" s="552"/>
      <c r="K385" s="552"/>
      <c r="M385" s="552"/>
      <c r="O385" s="552"/>
      <c r="Q385" s="1404"/>
    </row>
    <row r="386" spans="2:17" s="555" customFormat="1" ht="15.75" customHeight="1" x14ac:dyDescent="0.2">
      <c r="B386" s="175"/>
      <c r="C386" s="552"/>
      <c r="D386" s="553"/>
      <c r="E386" s="554"/>
      <c r="F386" s="552"/>
      <c r="G386" s="552"/>
      <c r="H386" s="552"/>
      <c r="I386" s="552"/>
      <c r="J386" s="552"/>
      <c r="K386" s="552"/>
      <c r="M386" s="552"/>
      <c r="O386" s="552"/>
      <c r="Q386" s="1404"/>
    </row>
    <row r="387" spans="2:17" s="555" customFormat="1" ht="15.75" customHeight="1" x14ac:dyDescent="0.2">
      <c r="B387" s="175"/>
      <c r="C387" s="552"/>
      <c r="D387" s="553"/>
      <c r="E387" s="554"/>
      <c r="F387" s="552"/>
      <c r="G387" s="552"/>
      <c r="H387" s="552"/>
      <c r="I387" s="552"/>
      <c r="J387" s="552"/>
      <c r="K387" s="552"/>
      <c r="M387" s="552"/>
      <c r="O387" s="552"/>
      <c r="Q387" s="1404"/>
    </row>
    <row r="388" spans="2:17" s="555" customFormat="1" ht="15.75" customHeight="1" x14ac:dyDescent="0.2">
      <c r="B388" s="175"/>
      <c r="C388" s="552"/>
      <c r="D388" s="553"/>
      <c r="E388" s="554"/>
      <c r="F388" s="552"/>
      <c r="G388" s="552"/>
      <c r="H388" s="552"/>
      <c r="I388" s="552"/>
      <c r="J388" s="552"/>
      <c r="K388" s="552"/>
      <c r="M388" s="552"/>
      <c r="O388" s="552"/>
      <c r="Q388" s="1404"/>
    </row>
    <row r="389" spans="2:17" s="555" customFormat="1" ht="15.75" customHeight="1" x14ac:dyDescent="0.2">
      <c r="B389" s="175"/>
      <c r="C389" s="552"/>
      <c r="D389" s="553"/>
      <c r="E389" s="554"/>
      <c r="F389" s="552"/>
      <c r="G389" s="552"/>
      <c r="H389" s="552"/>
      <c r="I389" s="552"/>
      <c r="J389" s="552"/>
      <c r="K389" s="552"/>
      <c r="M389" s="552"/>
      <c r="O389" s="552"/>
      <c r="Q389" s="1404"/>
    </row>
    <row r="390" spans="2:17" s="555" customFormat="1" ht="15.75" customHeight="1" x14ac:dyDescent="0.2">
      <c r="B390" s="175"/>
      <c r="C390" s="552"/>
      <c r="D390" s="553"/>
      <c r="E390" s="554"/>
      <c r="F390" s="552"/>
      <c r="G390" s="552"/>
      <c r="H390" s="552"/>
      <c r="I390" s="552"/>
      <c r="J390" s="552"/>
      <c r="K390" s="552"/>
      <c r="M390" s="552"/>
      <c r="O390" s="552"/>
      <c r="Q390" s="1404"/>
    </row>
    <row r="391" spans="2:17" s="555" customFormat="1" ht="15.75" customHeight="1" x14ac:dyDescent="0.2">
      <c r="B391" s="175"/>
      <c r="C391" s="552"/>
      <c r="D391" s="553"/>
      <c r="E391" s="554"/>
      <c r="F391" s="552"/>
      <c r="G391" s="552"/>
      <c r="H391" s="552"/>
      <c r="I391" s="552"/>
      <c r="J391" s="552"/>
      <c r="K391" s="552"/>
      <c r="M391" s="552"/>
      <c r="O391" s="552"/>
      <c r="Q391" s="1404"/>
    </row>
    <row r="392" spans="2:17" s="555" customFormat="1" ht="15.75" customHeight="1" x14ac:dyDescent="0.2">
      <c r="B392" s="175"/>
      <c r="C392" s="552"/>
      <c r="D392" s="553"/>
      <c r="E392" s="554"/>
      <c r="F392" s="552"/>
      <c r="G392" s="552"/>
      <c r="H392" s="552"/>
      <c r="I392" s="552"/>
      <c r="J392" s="552"/>
      <c r="K392" s="552"/>
      <c r="M392" s="552"/>
      <c r="O392" s="552"/>
      <c r="Q392" s="1404"/>
    </row>
    <row r="393" spans="2:17" s="555" customFormat="1" ht="15.75" customHeight="1" x14ac:dyDescent="0.2">
      <c r="B393" s="175"/>
      <c r="C393" s="552"/>
      <c r="D393" s="553"/>
      <c r="E393" s="554"/>
      <c r="F393" s="552"/>
      <c r="G393" s="552"/>
      <c r="H393" s="552"/>
      <c r="I393" s="552"/>
      <c r="J393" s="552"/>
      <c r="K393" s="552"/>
      <c r="M393" s="552"/>
      <c r="O393" s="552"/>
      <c r="Q393" s="1404"/>
    </row>
    <row r="394" spans="2:17" s="555" customFormat="1" ht="15.75" customHeight="1" x14ac:dyDescent="0.2">
      <c r="B394" s="175"/>
      <c r="C394" s="552"/>
      <c r="D394" s="553"/>
      <c r="E394" s="554"/>
      <c r="F394" s="552"/>
      <c r="G394" s="552"/>
      <c r="H394" s="552"/>
      <c r="I394" s="552"/>
      <c r="J394" s="552"/>
      <c r="K394" s="552"/>
      <c r="M394" s="552"/>
      <c r="O394" s="552"/>
      <c r="Q394" s="1404"/>
    </row>
    <row r="395" spans="2:17" s="555" customFormat="1" ht="15.75" customHeight="1" x14ac:dyDescent="0.2">
      <c r="B395" s="175"/>
      <c r="C395" s="552"/>
      <c r="D395" s="553"/>
      <c r="E395" s="554"/>
      <c r="F395" s="552"/>
      <c r="G395" s="552"/>
      <c r="H395" s="552"/>
      <c r="I395" s="552"/>
      <c r="J395" s="552"/>
      <c r="K395" s="552"/>
      <c r="M395" s="552"/>
      <c r="O395" s="552"/>
      <c r="Q395" s="1404"/>
    </row>
    <row r="396" spans="2:17" s="555" customFormat="1" ht="15.75" customHeight="1" x14ac:dyDescent="0.2">
      <c r="B396" s="175"/>
      <c r="C396" s="552"/>
      <c r="D396" s="553"/>
      <c r="E396" s="554"/>
      <c r="F396" s="552"/>
      <c r="G396" s="552"/>
      <c r="H396" s="552"/>
      <c r="I396" s="552"/>
      <c r="J396" s="552"/>
      <c r="K396" s="552"/>
      <c r="M396" s="552"/>
      <c r="O396" s="552"/>
      <c r="Q396" s="1404"/>
    </row>
    <row r="397" spans="2:17" s="555" customFormat="1" ht="31.5" customHeight="1" x14ac:dyDescent="0.2">
      <c r="B397" s="175"/>
      <c r="C397" s="552"/>
      <c r="D397" s="553"/>
      <c r="E397" s="554"/>
      <c r="F397" s="552"/>
      <c r="G397" s="552"/>
      <c r="H397" s="552"/>
      <c r="I397" s="552"/>
      <c r="J397" s="552"/>
      <c r="K397" s="552"/>
      <c r="M397" s="552"/>
      <c r="O397" s="552"/>
      <c r="Q397" s="1404"/>
    </row>
    <row r="398" spans="2:17" s="555" customFormat="1" ht="15.75" x14ac:dyDescent="0.2">
      <c r="B398" s="175"/>
      <c r="C398" s="552"/>
      <c r="D398" s="553"/>
      <c r="E398" s="554"/>
      <c r="F398" s="552"/>
      <c r="G398" s="552"/>
      <c r="H398" s="552"/>
      <c r="I398" s="552"/>
      <c r="J398" s="552"/>
      <c r="K398" s="552"/>
      <c r="M398" s="552"/>
      <c r="O398" s="552"/>
      <c r="Q398" s="1404"/>
    </row>
    <row r="399" spans="2:17" s="555" customFormat="1" ht="15.75" x14ac:dyDescent="0.2">
      <c r="B399" s="175"/>
      <c r="C399" s="552"/>
      <c r="D399" s="553"/>
      <c r="E399" s="554"/>
      <c r="F399" s="552"/>
      <c r="G399" s="552"/>
      <c r="H399" s="552"/>
      <c r="I399" s="552"/>
      <c r="J399" s="552"/>
      <c r="K399" s="552"/>
      <c r="M399" s="552"/>
      <c r="O399" s="552"/>
      <c r="Q399" s="1404"/>
    </row>
    <row r="400" spans="2:17" s="555" customFormat="1" ht="15.75" x14ac:dyDescent="0.2">
      <c r="B400" s="175"/>
      <c r="C400" s="552"/>
      <c r="D400" s="553"/>
      <c r="E400" s="554"/>
      <c r="F400" s="552"/>
      <c r="G400" s="552"/>
      <c r="H400" s="552"/>
      <c r="I400" s="552"/>
      <c r="J400" s="552"/>
      <c r="K400" s="552"/>
      <c r="M400" s="552"/>
      <c r="O400" s="552"/>
      <c r="Q400" s="1404"/>
    </row>
    <row r="401" spans="2:17" s="555" customFormat="1" ht="15.75" x14ac:dyDescent="0.2">
      <c r="B401" s="175"/>
      <c r="C401" s="552"/>
      <c r="D401" s="553"/>
      <c r="E401" s="554"/>
      <c r="F401" s="552"/>
      <c r="G401" s="552"/>
      <c r="H401" s="552"/>
      <c r="I401" s="552"/>
      <c r="J401" s="552"/>
      <c r="K401" s="552"/>
      <c r="M401" s="552"/>
      <c r="O401" s="552"/>
      <c r="Q401" s="1404"/>
    </row>
    <row r="402" spans="2:17" s="555" customFormat="1" ht="15.75" x14ac:dyDescent="0.2">
      <c r="B402" s="175"/>
      <c r="C402" s="552"/>
      <c r="D402" s="553"/>
      <c r="E402" s="554"/>
      <c r="F402" s="552"/>
      <c r="G402" s="552"/>
      <c r="H402" s="552"/>
      <c r="I402" s="552"/>
      <c r="J402" s="552"/>
      <c r="K402" s="552"/>
      <c r="M402" s="552"/>
      <c r="O402" s="552"/>
      <c r="Q402" s="1404"/>
    </row>
    <row r="403" spans="2:17" s="555" customFormat="1" ht="16.5" customHeight="1" x14ac:dyDescent="0.2">
      <c r="B403" s="175"/>
      <c r="C403" s="552"/>
      <c r="D403" s="553"/>
      <c r="E403" s="554"/>
      <c r="F403" s="552"/>
      <c r="G403" s="552"/>
      <c r="H403" s="552"/>
      <c r="I403" s="552"/>
      <c r="J403" s="552"/>
      <c r="K403" s="552"/>
      <c r="M403" s="552"/>
      <c r="O403" s="552"/>
      <c r="Q403" s="1404"/>
    </row>
    <row r="404" spans="2:17" s="555" customFormat="1" ht="15.75" customHeight="1" x14ac:dyDescent="0.2">
      <c r="B404" s="175"/>
      <c r="C404" s="552"/>
      <c r="D404" s="553"/>
      <c r="E404" s="554"/>
      <c r="F404" s="552"/>
      <c r="G404" s="552"/>
      <c r="H404" s="552"/>
      <c r="I404" s="552"/>
      <c r="J404" s="552"/>
      <c r="K404" s="552"/>
      <c r="M404" s="552"/>
      <c r="O404" s="552"/>
      <c r="Q404" s="1404"/>
    </row>
    <row r="405" spans="2:17" s="555" customFormat="1" ht="15.75" customHeight="1" x14ac:dyDescent="0.2">
      <c r="B405" s="175"/>
      <c r="C405" s="552"/>
      <c r="D405" s="553"/>
      <c r="E405" s="554"/>
      <c r="F405" s="552"/>
      <c r="G405" s="552"/>
      <c r="H405" s="552"/>
      <c r="I405" s="552"/>
      <c r="J405" s="552"/>
      <c r="K405" s="552"/>
      <c r="M405" s="552"/>
      <c r="O405" s="552"/>
      <c r="Q405" s="1404"/>
    </row>
    <row r="406" spans="2:17" s="555" customFormat="1" ht="15.75" customHeight="1" x14ac:dyDescent="0.2">
      <c r="B406" s="175"/>
      <c r="C406" s="552"/>
      <c r="D406" s="553"/>
      <c r="E406" s="554"/>
      <c r="F406" s="552"/>
      <c r="G406" s="552"/>
      <c r="H406" s="552"/>
      <c r="I406" s="552"/>
      <c r="J406" s="552"/>
      <c r="K406" s="552"/>
      <c r="M406" s="552"/>
      <c r="O406" s="552"/>
      <c r="Q406" s="1404"/>
    </row>
    <row r="407" spans="2:17" s="555" customFormat="1" ht="15.75" customHeight="1" x14ac:dyDescent="0.2">
      <c r="B407" s="175"/>
      <c r="C407" s="552"/>
      <c r="D407" s="553"/>
      <c r="E407" s="554"/>
      <c r="F407" s="552"/>
      <c r="G407" s="552"/>
      <c r="H407" s="552"/>
      <c r="I407" s="552"/>
      <c r="J407" s="552"/>
      <c r="K407" s="552"/>
      <c r="M407" s="552"/>
      <c r="O407" s="552"/>
      <c r="Q407" s="1404"/>
    </row>
    <row r="408" spans="2:17" s="555" customFormat="1" ht="15.75" customHeight="1" x14ac:dyDescent="0.2">
      <c r="B408" s="175"/>
      <c r="C408" s="552"/>
      <c r="D408" s="553"/>
      <c r="E408" s="554"/>
      <c r="F408" s="552"/>
      <c r="G408" s="552"/>
      <c r="H408" s="552"/>
      <c r="I408" s="552"/>
      <c r="J408" s="552"/>
      <c r="K408" s="552"/>
      <c r="M408" s="552"/>
      <c r="O408" s="552"/>
      <c r="Q408" s="1404"/>
    </row>
    <row r="409" spans="2:17" s="555" customFormat="1" ht="15.75" customHeight="1" x14ac:dyDescent="0.2">
      <c r="B409" s="175"/>
      <c r="C409" s="552"/>
      <c r="D409" s="553"/>
      <c r="E409" s="554"/>
      <c r="F409" s="552"/>
      <c r="G409" s="552"/>
      <c r="H409" s="552"/>
      <c r="I409" s="552"/>
      <c r="J409" s="552"/>
      <c r="K409" s="552"/>
      <c r="M409" s="552"/>
      <c r="O409" s="552"/>
      <c r="Q409" s="1404"/>
    </row>
    <row r="410" spans="2:17" s="555" customFormat="1" ht="15.75" customHeight="1" x14ac:dyDescent="0.2">
      <c r="B410" s="175"/>
      <c r="C410" s="552"/>
      <c r="D410" s="553"/>
      <c r="E410" s="554"/>
      <c r="F410" s="552"/>
      <c r="G410" s="552"/>
      <c r="H410" s="552"/>
      <c r="I410" s="552"/>
      <c r="J410" s="552"/>
      <c r="K410" s="552"/>
      <c r="M410" s="552"/>
      <c r="O410" s="552"/>
      <c r="Q410" s="1404"/>
    </row>
    <row r="411" spans="2:17" s="555" customFormat="1" ht="15.75" customHeight="1" x14ac:dyDescent="0.2">
      <c r="B411" s="175"/>
      <c r="C411" s="552"/>
      <c r="D411" s="553"/>
      <c r="E411" s="554"/>
      <c r="F411" s="552"/>
      <c r="G411" s="552"/>
      <c r="H411" s="552"/>
      <c r="I411" s="552"/>
      <c r="J411" s="552"/>
      <c r="K411" s="552"/>
      <c r="M411" s="552"/>
      <c r="O411" s="552"/>
      <c r="Q411" s="1404"/>
    </row>
    <row r="412" spans="2:17" s="555" customFormat="1" ht="15.75" customHeight="1" x14ac:dyDescent="0.2">
      <c r="B412" s="175"/>
      <c r="C412" s="552"/>
      <c r="D412" s="553"/>
      <c r="E412" s="554"/>
      <c r="F412" s="552"/>
      <c r="G412" s="552"/>
      <c r="H412" s="552"/>
      <c r="I412" s="552"/>
      <c r="J412" s="552"/>
      <c r="K412" s="552"/>
      <c r="M412" s="552"/>
      <c r="O412" s="552"/>
      <c r="Q412" s="1404"/>
    </row>
    <row r="413" spans="2:17" s="555" customFormat="1" ht="15.75" customHeight="1" x14ac:dyDescent="0.2">
      <c r="B413" s="175"/>
      <c r="C413" s="552"/>
      <c r="D413" s="553"/>
      <c r="E413" s="554"/>
      <c r="F413" s="552"/>
      <c r="G413" s="552"/>
      <c r="H413" s="552"/>
      <c r="I413" s="552"/>
      <c r="J413" s="552"/>
      <c r="K413" s="552"/>
      <c r="M413" s="552"/>
      <c r="O413" s="552"/>
      <c r="Q413" s="1404"/>
    </row>
    <row r="414" spans="2:17" s="555" customFormat="1" ht="15.75" customHeight="1" x14ac:dyDescent="0.2">
      <c r="B414" s="175"/>
      <c r="C414" s="552"/>
      <c r="D414" s="553"/>
      <c r="E414" s="554"/>
      <c r="F414" s="552"/>
      <c r="G414" s="552"/>
      <c r="H414" s="552"/>
      <c r="I414" s="552"/>
      <c r="J414" s="552"/>
      <c r="K414" s="552"/>
      <c r="M414" s="552"/>
      <c r="O414" s="552"/>
      <c r="Q414" s="1404"/>
    </row>
    <row r="415" spans="2:17" s="555" customFormat="1" ht="15.75" customHeight="1" x14ac:dyDescent="0.2">
      <c r="B415" s="175"/>
      <c r="C415" s="552"/>
      <c r="D415" s="553"/>
      <c r="E415" s="554"/>
      <c r="F415" s="552"/>
      <c r="G415" s="552"/>
      <c r="H415" s="552"/>
      <c r="I415" s="552"/>
      <c r="J415" s="552"/>
      <c r="K415" s="552"/>
      <c r="M415" s="552"/>
      <c r="O415" s="552"/>
      <c r="Q415" s="1404"/>
    </row>
    <row r="416" spans="2:17" s="555" customFormat="1" ht="15.75" customHeight="1" x14ac:dyDescent="0.2">
      <c r="B416" s="175"/>
      <c r="C416" s="552"/>
      <c r="D416" s="553"/>
      <c r="E416" s="554"/>
      <c r="F416" s="552"/>
      <c r="G416" s="552"/>
      <c r="H416" s="552"/>
      <c r="I416" s="552"/>
      <c r="J416" s="552"/>
      <c r="K416" s="552"/>
      <c r="M416" s="552"/>
      <c r="O416" s="552"/>
      <c r="Q416" s="1404"/>
    </row>
    <row r="417" spans="2:17" s="555" customFormat="1" ht="15.75" customHeight="1" x14ac:dyDescent="0.2">
      <c r="B417" s="175"/>
      <c r="C417" s="552"/>
      <c r="D417" s="553"/>
      <c r="E417" s="554"/>
      <c r="F417" s="552"/>
      <c r="G417" s="552"/>
      <c r="H417" s="552"/>
      <c r="I417" s="552"/>
      <c r="J417" s="552"/>
      <c r="K417" s="552"/>
      <c r="M417" s="552"/>
      <c r="O417" s="552"/>
      <c r="Q417" s="1404"/>
    </row>
    <row r="418" spans="2:17" s="555" customFormat="1" ht="31.5" customHeight="1" x14ac:dyDescent="0.2">
      <c r="B418" s="175"/>
      <c r="C418" s="552"/>
      <c r="D418" s="553"/>
      <c r="E418" s="554"/>
      <c r="F418" s="552"/>
      <c r="G418" s="552"/>
      <c r="H418" s="552"/>
      <c r="I418" s="552"/>
      <c r="J418" s="552"/>
      <c r="K418" s="552"/>
      <c r="M418" s="552"/>
      <c r="O418" s="552"/>
      <c r="Q418" s="1404"/>
    </row>
    <row r="419" spans="2:17" s="555" customFormat="1" ht="15.75" x14ac:dyDescent="0.2">
      <c r="B419" s="175"/>
      <c r="C419" s="552"/>
      <c r="D419" s="553"/>
      <c r="E419" s="554"/>
      <c r="F419" s="552"/>
      <c r="G419" s="552"/>
      <c r="H419" s="552"/>
      <c r="I419" s="552"/>
      <c r="J419" s="552"/>
      <c r="K419" s="552"/>
      <c r="M419" s="552"/>
      <c r="O419" s="552"/>
      <c r="Q419" s="1404"/>
    </row>
    <row r="420" spans="2:17" s="555" customFormat="1" ht="15.75" x14ac:dyDescent="0.2">
      <c r="B420" s="175"/>
      <c r="C420" s="552"/>
      <c r="D420" s="553"/>
      <c r="E420" s="554"/>
      <c r="F420" s="552"/>
      <c r="G420" s="552"/>
      <c r="H420" s="552"/>
      <c r="I420" s="552"/>
      <c r="J420" s="552"/>
      <c r="K420" s="552"/>
      <c r="M420" s="552"/>
      <c r="O420" s="552"/>
      <c r="Q420" s="1404"/>
    </row>
    <row r="421" spans="2:17" s="555" customFormat="1" ht="15.75" x14ac:dyDescent="0.2">
      <c r="B421" s="175"/>
      <c r="C421" s="552"/>
      <c r="D421" s="553"/>
      <c r="E421" s="554"/>
      <c r="F421" s="552"/>
      <c r="G421" s="552"/>
      <c r="H421" s="552"/>
      <c r="I421" s="552"/>
      <c r="J421" s="552"/>
      <c r="K421" s="552"/>
      <c r="M421" s="552"/>
      <c r="O421" s="552"/>
      <c r="Q421" s="1404"/>
    </row>
    <row r="422" spans="2:17" s="555" customFormat="1" ht="15.75" x14ac:dyDescent="0.2">
      <c r="B422" s="175"/>
      <c r="C422" s="552"/>
      <c r="D422" s="553"/>
      <c r="E422" s="554"/>
      <c r="F422" s="552"/>
      <c r="G422" s="552"/>
      <c r="H422" s="552"/>
      <c r="I422" s="552"/>
      <c r="J422" s="552"/>
      <c r="K422" s="552"/>
      <c r="M422" s="552"/>
      <c r="O422" s="552"/>
      <c r="Q422" s="1404"/>
    </row>
    <row r="423" spans="2:17" s="555" customFormat="1" ht="15.75" x14ac:dyDescent="0.2">
      <c r="B423" s="175"/>
      <c r="C423" s="552"/>
      <c r="D423" s="553"/>
      <c r="E423" s="554"/>
      <c r="F423" s="552"/>
      <c r="G423" s="552"/>
      <c r="H423" s="552"/>
      <c r="I423" s="552"/>
      <c r="J423" s="552"/>
      <c r="K423" s="552"/>
      <c r="M423" s="552"/>
      <c r="O423" s="552"/>
      <c r="Q423" s="1404"/>
    </row>
    <row r="424" spans="2:17" s="555" customFormat="1" ht="15.75" customHeight="1" x14ac:dyDescent="0.2">
      <c r="B424" s="175"/>
      <c r="C424" s="552"/>
      <c r="D424" s="553"/>
      <c r="E424" s="554"/>
      <c r="F424" s="552"/>
      <c r="G424" s="552"/>
      <c r="H424" s="552"/>
      <c r="I424" s="552"/>
      <c r="J424" s="552"/>
      <c r="K424" s="552"/>
      <c r="M424" s="552"/>
      <c r="O424" s="552"/>
      <c r="Q424" s="1404"/>
    </row>
    <row r="425" spans="2:17" s="555" customFormat="1" ht="15.75" customHeight="1" x14ac:dyDescent="0.2">
      <c r="B425" s="175"/>
      <c r="C425" s="552"/>
      <c r="D425" s="553"/>
      <c r="E425" s="554"/>
      <c r="F425" s="552"/>
      <c r="G425" s="552"/>
      <c r="H425" s="552"/>
      <c r="I425" s="552"/>
      <c r="J425" s="552"/>
      <c r="K425" s="552"/>
      <c r="M425" s="552"/>
      <c r="O425" s="552"/>
      <c r="Q425" s="1404"/>
    </row>
    <row r="426" spans="2:17" s="555" customFormat="1" ht="15.75" customHeight="1" x14ac:dyDescent="0.2">
      <c r="B426" s="175"/>
      <c r="C426" s="552"/>
      <c r="D426" s="553"/>
      <c r="E426" s="554"/>
      <c r="F426" s="552"/>
      <c r="G426" s="552"/>
      <c r="H426" s="552"/>
      <c r="I426" s="552"/>
      <c r="J426" s="552"/>
      <c r="K426" s="552"/>
      <c r="M426" s="552"/>
      <c r="O426" s="552"/>
      <c r="Q426" s="1404"/>
    </row>
    <row r="427" spans="2:17" s="555" customFormat="1" ht="15.75" customHeight="1" x14ac:dyDescent="0.2">
      <c r="B427" s="175"/>
      <c r="C427" s="552"/>
      <c r="D427" s="553"/>
      <c r="E427" s="554"/>
      <c r="F427" s="552"/>
      <c r="G427" s="552"/>
      <c r="H427" s="552"/>
      <c r="I427" s="552"/>
      <c r="J427" s="552"/>
      <c r="K427" s="552"/>
      <c r="M427" s="552"/>
      <c r="O427" s="552"/>
      <c r="Q427" s="1404"/>
    </row>
    <row r="428" spans="2:17" s="555" customFormat="1" ht="15.75" customHeight="1" x14ac:dyDescent="0.2">
      <c r="B428" s="175"/>
      <c r="C428" s="552"/>
      <c r="D428" s="553"/>
      <c r="E428" s="554"/>
      <c r="F428" s="552"/>
      <c r="G428" s="552"/>
      <c r="H428" s="552"/>
      <c r="I428" s="552"/>
      <c r="J428" s="552"/>
      <c r="K428" s="552"/>
      <c r="M428" s="552"/>
      <c r="O428" s="552"/>
      <c r="Q428" s="1404"/>
    </row>
    <row r="429" spans="2:17" s="555" customFormat="1" ht="15.75" customHeight="1" x14ac:dyDescent="0.2">
      <c r="B429" s="175"/>
      <c r="C429" s="552"/>
      <c r="D429" s="553"/>
      <c r="E429" s="554"/>
      <c r="F429" s="552"/>
      <c r="G429" s="552"/>
      <c r="H429" s="552"/>
      <c r="I429" s="552"/>
      <c r="J429" s="552"/>
      <c r="K429" s="552"/>
      <c r="M429" s="552"/>
      <c r="O429" s="552"/>
      <c r="Q429" s="1404"/>
    </row>
    <row r="430" spans="2:17" s="555" customFormat="1" ht="15.75" customHeight="1" x14ac:dyDescent="0.2">
      <c r="B430" s="175"/>
      <c r="C430" s="552"/>
      <c r="D430" s="553"/>
      <c r="E430" s="554"/>
      <c r="F430" s="552"/>
      <c r="G430" s="552"/>
      <c r="H430" s="552"/>
      <c r="I430" s="552"/>
      <c r="J430" s="552"/>
      <c r="K430" s="552"/>
      <c r="M430" s="552"/>
      <c r="O430" s="552"/>
      <c r="Q430" s="1404"/>
    </row>
    <row r="431" spans="2:17" s="555" customFormat="1" ht="15.75" customHeight="1" x14ac:dyDescent="0.2">
      <c r="B431" s="175"/>
      <c r="C431" s="552"/>
      <c r="D431" s="553"/>
      <c r="E431" s="554"/>
      <c r="F431" s="552"/>
      <c r="G431" s="552"/>
      <c r="H431" s="552"/>
      <c r="I431" s="552"/>
      <c r="J431" s="552"/>
      <c r="K431" s="552"/>
      <c r="M431" s="552"/>
      <c r="O431" s="552"/>
      <c r="Q431" s="1404"/>
    </row>
    <row r="432" spans="2:17" s="555" customFormat="1" ht="15.75" customHeight="1" x14ac:dyDescent="0.2">
      <c r="B432" s="175"/>
      <c r="C432" s="552"/>
      <c r="D432" s="553"/>
      <c r="E432" s="554"/>
      <c r="F432" s="552"/>
      <c r="G432" s="552"/>
      <c r="H432" s="552"/>
      <c r="I432" s="552"/>
      <c r="J432" s="552"/>
      <c r="K432" s="552"/>
      <c r="M432" s="552"/>
      <c r="O432" s="552"/>
      <c r="Q432" s="1404"/>
    </row>
    <row r="433" spans="2:17" s="555" customFormat="1" ht="15.75" customHeight="1" x14ac:dyDescent="0.2">
      <c r="B433" s="175"/>
      <c r="C433" s="552"/>
      <c r="D433" s="553"/>
      <c r="E433" s="554"/>
      <c r="F433" s="552"/>
      <c r="G433" s="552"/>
      <c r="H433" s="552"/>
      <c r="I433" s="552"/>
      <c r="J433" s="552"/>
      <c r="K433" s="552"/>
      <c r="M433" s="552"/>
      <c r="O433" s="552"/>
      <c r="Q433" s="1404"/>
    </row>
    <row r="434" spans="2:17" s="555" customFormat="1" ht="15.75" customHeight="1" x14ac:dyDescent="0.2">
      <c r="B434" s="175"/>
      <c r="C434" s="552"/>
      <c r="D434" s="553"/>
      <c r="E434" s="554"/>
      <c r="F434" s="552"/>
      <c r="G434" s="552"/>
      <c r="H434" s="552"/>
      <c r="I434" s="552"/>
      <c r="J434" s="552"/>
      <c r="K434" s="552"/>
      <c r="M434" s="552"/>
      <c r="O434" s="552"/>
      <c r="Q434" s="1404"/>
    </row>
    <row r="435" spans="2:17" s="555" customFormat="1" ht="15.75" customHeight="1" x14ac:dyDescent="0.2">
      <c r="B435" s="175"/>
      <c r="C435" s="552"/>
      <c r="D435" s="553"/>
      <c r="E435" s="554"/>
      <c r="F435" s="552"/>
      <c r="G435" s="552"/>
      <c r="H435" s="552"/>
      <c r="I435" s="552"/>
      <c r="J435" s="552"/>
      <c r="K435" s="552"/>
      <c r="M435" s="552"/>
      <c r="O435" s="552"/>
      <c r="Q435" s="1404"/>
    </row>
    <row r="436" spans="2:17" s="555" customFormat="1" ht="15.75" customHeight="1" x14ac:dyDescent="0.2">
      <c r="B436" s="175"/>
      <c r="C436" s="552"/>
      <c r="D436" s="553"/>
      <c r="E436" s="554"/>
      <c r="F436" s="552"/>
      <c r="G436" s="552"/>
      <c r="H436" s="552"/>
      <c r="I436" s="552"/>
      <c r="J436" s="552"/>
      <c r="K436" s="552"/>
      <c r="M436" s="552"/>
      <c r="O436" s="552"/>
      <c r="Q436" s="1404"/>
    </row>
    <row r="437" spans="2:17" s="555" customFormat="1" ht="15.75" customHeight="1" x14ac:dyDescent="0.2">
      <c r="B437" s="175"/>
      <c r="C437" s="552"/>
      <c r="D437" s="553"/>
      <c r="E437" s="554"/>
      <c r="F437" s="552"/>
      <c r="G437" s="552"/>
      <c r="H437" s="552"/>
      <c r="I437" s="552"/>
      <c r="J437" s="552"/>
      <c r="K437" s="552"/>
      <c r="M437" s="552"/>
      <c r="O437" s="552"/>
      <c r="Q437" s="1404"/>
    </row>
    <row r="438" spans="2:17" s="555" customFormat="1" ht="15.75" customHeight="1" x14ac:dyDescent="0.2">
      <c r="B438" s="175"/>
      <c r="C438" s="552"/>
      <c r="D438" s="553"/>
      <c r="E438" s="554"/>
      <c r="F438" s="552"/>
      <c r="G438" s="552"/>
      <c r="H438" s="552"/>
      <c r="I438" s="552"/>
      <c r="J438" s="552"/>
      <c r="K438" s="552"/>
      <c r="M438" s="552"/>
      <c r="O438" s="552"/>
      <c r="Q438" s="1404"/>
    </row>
    <row r="439" spans="2:17" s="555" customFormat="1" ht="31.5" customHeight="1" x14ac:dyDescent="0.2">
      <c r="B439" s="175"/>
      <c r="C439" s="552"/>
      <c r="D439" s="553"/>
      <c r="E439" s="554"/>
      <c r="F439" s="552"/>
      <c r="G439" s="552"/>
      <c r="H439" s="552"/>
      <c r="I439" s="552"/>
      <c r="J439" s="552"/>
      <c r="K439" s="552"/>
      <c r="M439" s="552"/>
      <c r="O439" s="552"/>
      <c r="Q439" s="1404"/>
    </row>
    <row r="440" spans="2:17" s="555" customFormat="1" ht="15.75" x14ac:dyDescent="0.2">
      <c r="B440" s="175"/>
      <c r="C440" s="552"/>
      <c r="D440" s="553"/>
      <c r="E440" s="554"/>
      <c r="F440" s="552"/>
      <c r="G440" s="552"/>
      <c r="H440" s="552"/>
      <c r="I440" s="552"/>
      <c r="J440" s="552"/>
      <c r="K440" s="552"/>
      <c r="M440" s="552"/>
      <c r="O440" s="552"/>
      <c r="Q440" s="1404"/>
    </row>
    <row r="441" spans="2:17" s="555" customFormat="1" ht="15.75" x14ac:dyDescent="0.2">
      <c r="B441" s="175"/>
      <c r="C441" s="552"/>
      <c r="D441" s="553"/>
      <c r="E441" s="554"/>
      <c r="F441" s="552"/>
      <c r="G441" s="552"/>
      <c r="H441" s="552"/>
      <c r="I441" s="552"/>
      <c r="J441" s="552"/>
      <c r="K441" s="552"/>
      <c r="M441" s="552"/>
      <c r="O441" s="552"/>
      <c r="Q441" s="1404"/>
    </row>
    <row r="442" spans="2:17" s="555" customFormat="1" ht="15.75" x14ac:dyDescent="0.2">
      <c r="B442" s="175"/>
      <c r="C442" s="552"/>
      <c r="D442" s="553"/>
      <c r="E442" s="554"/>
      <c r="F442" s="552"/>
      <c r="G442" s="552"/>
      <c r="H442" s="552"/>
      <c r="I442" s="552"/>
      <c r="J442" s="552"/>
      <c r="K442" s="552"/>
      <c r="M442" s="552"/>
      <c r="O442" s="552"/>
      <c r="Q442" s="1404"/>
    </row>
    <row r="443" spans="2:17" s="555" customFormat="1" ht="15.75" x14ac:dyDescent="0.2">
      <c r="B443" s="175"/>
      <c r="C443" s="552"/>
      <c r="D443" s="553"/>
      <c r="E443" s="554"/>
      <c r="F443" s="552"/>
      <c r="G443" s="552"/>
      <c r="H443" s="552"/>
      <c r="I443" s="552"/>
      <c r="J443" s="552"/>
      <c r="K443" s="552"/>
      <c r="M443" s="552"/>
      <c r="O443" s="552"/>
      <c r="Q443" s="1404"/>
    </row>
    <row r="444" spans="2:17" s="555" customFormat="1" ht="15.75" x14ac:dyDescent="0.2">
      <c r="B444" s="175"/>
      <c r="C444" s="552"/>
      <c r="D444" s="553"/>
      <c r="E444" s="554"/>
      <c r="F444" s="552"/>
      <c r="G444" s="552"/>
      <c r="H444" s="552"/>
      <c r="I444" s="552"/>
      <c r="J444" s="552"/>
      <c r="K444" s="552"/>
      <c r="M444" s="552"/>
      <c r="O444" s="552"/>
      <c r="Q444" s="1404"/>
    </row>
    <row r="445" spans="2:17" s="555" customFormat="1" ht="16.5" customHeight="1" x14ac:dyDescent="0.2">
      <c r="B445" s="175"/>
      <c r="C445" s="552"/>
      <c r="D445" s="553"/>
      <c r="E445" s="554"/>
      <c r="F445" s="552"/>
      <c r="G445" s="552"/>
      <c r="H445" s="552"/>
      <c r="I445" s="552"/>
      <c r="J445" s="552"/>
      <c r="K445" s="552"/>
      <c r="M445" s="552"/>
      <c r="O445" s="552"/>
      <c r="Q445" s="1404"/>
    </row>
    <row r="446" spans="2:17" s="555" customFormat="1" ht="15.75" customHeight="1" x14ac:dyDescent="0.2">
      <c r="B446" s="175"/>
      <c r="C446" s="552"/>
      <c r="D446" s="553"/>
      <c r="E446" s="554"/>
      <c r="F446" s="552"/>
      <c r="G446" s="552"/>
      <c r="H446" s="552"/>
      <c r="I446" s="552"/>
      <c r="J446" s="552"/>
      <c r="K446" s="552"/>
      <c r="M446" s="552"/>
      <c r="O446" s="552"/>
      <c r="Q446" s="1404"/>
    </row>
    <row r="447" spans="2:17" s="555" customFormat="1" ht="15.75" customHeight="1" x14ac:dyDescent="0.2">
      <c r="B447" s="175"/>
      <c r="C447" s="552"/>
      <c r="D447" s="553"/>
      <c r="E447" s="554"/>
      <c r="F447" s="552"/>
      <c r="G447" s="552"/>
      <c r="H447" s="552"/>
      <c r="I447" s="552"/>
      <c r="J447" s="552"/>
      <c r="K447" s="552"/>
      <c r="M447" s="552"/>
      <c r="O447" s="552"/>
      <c r="Q447" s="1404"/>
    </row>
    <row r="448" spans="2:17" s="555" customFormat="1" ht="15.75" customHeight="1" x14ac:dyDescent="0.2">
      <c r="B448" s="175"/>
      <c r="C448" s="552"/>
      <c r="D448" s="553"/>
      <c r="E448" s="554"/>
      <c r="F448" s="552"/>
      <c r="G448" s="552"/>
      <c r="H448" s="552"/>
      <c r="I448" s="552"/>
      <c r="J448" s="552"/>
      <c r="K448" s="552"/>
      <c r="M448" s="552"/>
      <c r="O448" s="552"/>
      <c r="Q448" s="1404"/>
    </row>
    <row r="449" spans="2:17" s="555" customFormat="1" ht="15.75" customHeight="1" x14ac:dyDescent="0.2">
      <c r="B449" s="175"/>
      <c r="C449" s="552"/>
      <c r="D449" s="553"/>
      <c r="E449" s="554"/>
      <c r="F449" s="552"/>
      <c r="G449" s="552"/>
      <c r="H449" s="552"/>
      <c r="I449" s="552"/>
      <c r="J449" s="552"/>
      <c r="K449" s="552"/>
      <c r="M449" s="552"/>
      <c r="O449" s="552"/>
      <c r="Q449" s="1404"/>
    </row>
    <row r="450" spans="2:17" s="555" customFormat="1" ht="15.75" customHeight="1" x14ac:dyDescent="0.2">
      <c r="B450" s="175"/>
      <c r="C450" s="552"/>
      <c r="D450" s="553"/>
      <c r="E450" s="554"/>
      <c r="F450" s="552"/>
      <c r="G450" s="552"/>
      <c r="H450" s="552"/>
      <c r="I450" s="552"/>
      <c r="J450" s="552"/>
      <c r="K450" s="552"/>
      <c r="M450" s="552"/>
      <c r="O450" s="552"/>
      <c r="Q450" s="1404"/>
    </row>
    <row r="451" spans="2:17" s="555" customFormat="1" ht="15.75" customHeight="1" x14ac:dyDescent="0.2">
      <c r="B451" s="175"/>
      <c r="C451" s="552"/>
      <c r="D451" s="553"/>
      <c r="E451" s="554"/>
      <c r="F451" s="552"/>
      <c r="G451" s="552"/>
      <c r="H451" s="552"/>
      <c r="I451" s="552"/>
      <c r="J451" s="552"/>
      <c r="K451" s="552"/>
      <c r="M451" s="552"/>
      <c r="O451" s="552"/>
      <c r="Q451" s="1404"/>
    </row>
    <row r="452" spans="2:17" s="555" customFormat="1" ht="15.75" customHeight="1" x14ac:dyDescent="0.2">
      <c r="B452" s="175"/>
      <c r="C452" s="552"/>
      <c r="D452" s="553"/>
      <c r="E452" s="554"/>
      <c r="F452" s="552"/>
      <c r="G452" s="552"/>
      <c r="H452" s="552"/>
      <c r="I452" s="552"/>
      <c r="J452" s="552"/>
      <c r="K452" s="552"/>
      <c r="M452" s="552"/>
      <c r="O452" s="552"/>
      <c r="Q452" s="1404"/>
    </row>
    <row r="453" spans="2:17" s="555" customFormat="1" ht="15.75" customHeight="1" x14ac:dyDescent="0.2">
      <c r="B453" s="175"/>
      <c r="C453" s="552"/>
      <c r="D453" s="553"/>
      <c r="E453" s="554"/>
      <c r="F453" s="552"/>
      <c r="G453" s="552"/>
      <c r="H453" s="552"/>
      <c r="I453" s="552"/>
      <c r="J453" s="552"/>
      <c r="K453" s="552"/>
      <c r="M453" s="552"/>
      <c r="O453" s="552"/>
      <c r="Q453" s="1404"/>
    </row>
    <row r="454" spans="2:17" s="555" customFormat="1" ht="15.75" customHeight="1" x14ac:dyDescent="0.2">
      <c r="B454" s="175"/>
      <c r="C454" s="552"/>
      <c r="D454" s="553"/>
      <c r="E454" s="554"/>
      <c r="F454" s="552"/>
      <c r="G454" s="552"/>
      <c r="H454" s="552"/>
      <c r="I454" s="552"/>
      <c r="J454" s="552"/>
      <c r="K454" s="552"/>
      <c r="M454" s="552"/>
      <c r="O454" s="552"/>
      <c r="Q454" s="1404"/>
    </row>
    <row r="455" spans="2:17" s="555" customFormat="1" ht="15.75" customHeight="1" x14ac:dyDescent="0.2">
      <c r="B455" s="175"/>
      <c r="C455" s="552"/>
      <c r="D455" s="553"/>
      <c r="E455" s="554"/>
      <c r="F455" s="552"/>
      <c r="G455" s="552"/>
      <c r="H455" s="552"/>
      <c r="I455" s="552"/>
      <c r="J455" s="552"/>
      <c r="K455" s="552"/>
      <c r="M455" s="552"/>
      <c r="O455" s="552"/>
      <c r="Q455" s="1404"/>
    </row>
    <row r="456" spans="2:17" s="555" customFormat="1" ht="15.75" customHeight="1" x14ac:dyDescent="0.2">
      <c r="B456" s="175"/>
      <c r="C456" s="552"/>
      <c r="D456" s="553"/>
      <c r="E456" s="554"/>
      <c r="F456" s="552"/>
      <c r="G456" s="552"/>
      <c r="H456" s="552"/>
      <c r="I456" s="552"/>
      <c r="J456" s="552"/>
      <c r="K456" s="552"/>
      <c r="M456" s="552"/>
      <c r="O456" s="552"/>
      <c r="Q456" s="1404"/>
    </row>
    <row r="457" spans="2:17" s="555" customFormat="1" ht="15.75" customHeight="1" x14ac:dyDescent="0.2">
      <c r="B457" s="175"/>
      <c r="C457" s="552"/>
      <c r="D457" s="553"/>
      <c r="E457" s="554"/>
      <c r="F457" s="552"/>
      <c r="G457" s="552"/>
      <c r="H457" s="552"/>
      <c r="I457" s="552"/>
      <c r="J457" s="552"/>
      <c r="K457" s="552"/>
      <c r="M457" s="552"/>
      <c r="O457" s="552"/>
      <c r="Q457" s="1404"/>
    </row>
    <row r="458" spans="2:17" s="555" customFormat="1" ht="15.75" customHeight="1" x14ac:dyDescent="0.2">
      <c r="B458" s="175"/>
      <c r="C458" s="552"/>
      <c r="D458" s="553"/>
      <c r="E458" s="554"/>
      <c r="F458" s="552"/>
      <c r="G458" s="552"/>
      <c r="H458" s="552"/>
      <c r="I458" s="552"/>
      <c r="J458" s="552"/>
      <c r="K458" s="552"/>
      <c r="M458" s="552"/>
      <c r="O458" s="552"/>
      <c r="Q458" s="1404"/>
    </row>
    <row r="459" spans="2:17" s="555" customFormat="1" ht="15.75" customHeight="1" x14ac:dyDescent="0.2">
      <c r="B459" s="175"/>
      <c r="C459" s="552"/>
      <c r="D459" s="553"/>
      <c r="E459" s="554"/>
      <c r="F459" s="552"/>
      <c r="G459" s="552"/>
      <c r="H459" s="552"/>
      <c r="I459" s="552"/>
      <c r="J459" s="552"/>
      <c r="K459" s="552"/>
      <c r="M459" s="552"/>
      <c r="O459" s="552"/>
      <c r="Q459" s="1404"/>
    </row>
    <row r="460" spans="2:17" s="555" customFormat="1" ht="31.5" customHeight="1" x14ac:dyDescent="0.2">
      <c r="B460" s="175"/>
      <c r="C460" s="552"/>
      <c r="D460" s="553"/>
      <c r="E460" s="554"/>
      <c r="F460" s="552"/>
      <c r="G460" s="552"/>
      <c r="H460" s="552"/>
      <c r="I460" s="552"/>
      <c r="J460" s="552"/>
      <c r="K460" s="552"/>
      <c r="M460" s="552"/>
      <c r="O460" s="552"/>
      <c r="Q460" s="1404"/>
    </row>
    <row r="461" spans="2:17" s="555" customFormat="1" ht="15.75" x14ac:dyDescent="0.2">
      <c r="B461" s="175"/>
      <c r="C461" s="552"/>
      <c r="D461" s="553"/>
      <c r="E461" s="554"/>
      <c r="F461" s="552"/>
      <c r="G461" s="552"/>
      <c r="H461" s="552"/>
      <c r="I461" s="552"/>
      <c r="J461" s="552"/>
      <c r="K461" s="552"/>
      <c r="M461" s="552"/>
      <c r="O461" s="552"/>
      <c r="Q461" s="1404"/>
    </row>
    <row r="462" spans="2:17" s="555" customFormat="1" ht="15.75" x14ac:dyDescent="0.2">
      <c r="B462" s="175"/>
      <c r="C462" s="552"/>
      <c r="D462" s="553"/>
      <c r="E462" s="554"/>
      <c r="F462" s="552"/>
      <c r="G462" s="552"/>
      <c r="H462" s="552"/>
      <c r="I462" s="552"/>
      <c r="J462" s="552"/>
      <c r="K462" s="552"/>
      <c r="M462" s="552"/>
      <c r="O462" s="552"/>
      <c r="Q462" s="1404"/>
    </row>
    <row r="463" spans="2:17" s="555" customFormat="1" ht="15.75" x14ac:dyDescent="0.2">
      <c r="B463" s="175"/>
      <c r="C463" s="552"/>
      <c r="D463" s="553"/>
      <c r="E463" s="554"/>
      <c r="F463" s="552"/>
      <c r="G463" s="552"/>
      <c r="H463" s="552"/>
      <c r="I463" s="552"/>
      <c r="J463" s="552"/>
      <c r="K463" s="552"/>
      <c r="M463" s="552"/>
      <c r="O463" s="552"/>
      <c r="Q463" s="1404"/>
    </row>
    <row r="464" spans="2:17" s="555" customFormat="1" ht="15.75" x14ac:dyDescent="0.2">
      <c r="B464" s="175"/>
      <c r="C464" s="552"/>
      <c r="D464" s="553"/>
      <c r="E464" s="554"/>
      <c r="F464" s="552"/>
      <c r="G464" s="552"/>
      <c r="H464" s="552"/>
      <c r="I464" s="552"/>
      <c r="J464" s="552"/>
      <c r="K464" s="552"/>
      <c r="M464" s="552"/>
      <c r="O464" s="552"/>
      <c r="Q464" s="1404"/>
    </row>
    <row r="465" spans="2:17" s="555" customFormat="1" ht="15.75" x14ac:dyDescent="0.2">
      <c r="B465" s="175"/>
      <c r="C465" s="552"/>
      <c r="D465" s="553"/>
      <c r="E465" s="554"/>
      <c r="F465" s="552"/>
      <c r="G465" s="552"/>
      <c r="H465" s="552"/>
      <c r="I465" s="552"/>
      <c r="J465" s="552"/>
      <c r="K465" s="552"/>
      <c r="M465" s="552"/>
      <c r="O465" s="552"/>
      <c r="Q465" s="1404"/>
    </row>
    <row r="466" spans="2:17" s="555" customFormat="1" ht="15.75" customHeight="1" x14ac:dyDescent="0.2">
      <c r="B466" s="175"/>
      <c r="C466" s="552"/>
      <c r="D466" s="553"/>
      <c r="E466" s="554"/>
      <c r="F466" s="552"/>
      <c r="G466" s="552"/>
      <c r="H466" s="552"/>
      <c r="I466" s="552"/>
      <c r="J466" s="552"/>
      <c r="K466" s="552"/>
      <c r="M466" s="552"/>
      <c r="O466" s="552"/>
      <c r="Q466" s="1404"/>
    </row>
    <row r="467" spans="2:17" s="555" customFormat="1" ht="15.75" customHeight="1" x14ac:dyDescent="0.2">
      <c r="B467" s="175"/>
      <c r="C467" s="552"/>
      <c r="D467" s="553"/>
      <c r="E467" s="554"/>
      <c r="F467" s="552"/>
      <c r="G467" s="552"/>
      <c r="H467" s="552"/>
      <c r="I467" s="552"/>
      <c r="J467" s="552"/>
      <c r="K467" s="552"/>
      <c r="M467" s="552"/>
      <c r="O467" s="552"/>
      <c r="Q467" s="1404"/>
    </row>
    <row r="468" spans="2:17" s="555" customFormat="1" ht="15.75" customHeight="1" x14ac:dyDescent="0.2">
      <c r="B468" s="175"/>
      <c r="C468" s="552"/>
      <c r="D468" s="553"/>
      <c r="E468" s="554"/>
      <c r="F468" s="552"/>
      <c r="G468" s="552"/>
      <c r="H468" s="552"/>
      <c r="I468" s="552"/>
      <c r="J468" s="552"/>
      <c r="K468" s="552"/>
      <c r="M468" s="552"/>
      <c r="O468" s="552"/>
      <c r="Q468" s="1404"/>
    </row>
    <row r="469" spans="2:17" s="555" customFormat="1" ht="15.75" customHeight="1" x14ac:dyDescent="0.2">
      <c r="B469" s="175"/>
      <c r="C469" s="552"/>
      <c r="D469" s="553"/>
      <c r="E469" s="554"/>
      <c r="F469" s="552"/>
      <c r="G469" s="552"/>
      <c r="H469" s="552"/>
      <c r="I469" s="552"/>
      <c r="J469" s="552"/>
      <c r="K469" s="552"/>
      <c r="M469" s="552"/>
      <c r="O469" s="552"/>
      <c r="Q469" s="1404"/>
    </row>
    <row r="470" spans="2:17" s="555" customFormat="1" ht="15.75" customHeight="1" x14ac:dyDescent="0.2">
      <c r="B470" s="175"/>
      <c r="C470" s="552"/>
      <c r="D470" s="553"/>
      <c r="E470" s="554"/>
      <c r="F470" s="552"/>
      <c r="G470" s="552"/>
      <c r="H470" s="552"/>
      <c r="I470" s="552"/>
      <c r="J470" s="552"/>
      <c r="K470" s="552"/>
      <c r="M470" s="552"/>
      <c r="O470" s="552"/>
      <c r="Q470" s="1404"/>
    </row>
    <row r="471" spans="2:17" s="555" customFormat="1" ht="15.75" customHeight="1" x14ac:dyDescent="0.2">
      <c r="B471" s="175"/>
      <c r="C471" s="552"/>
      <c r="D471" s="553"/>
      <c r="E471" s="554"/>
      <c r="F471" s="552"/>
      <c r="G471" s="552"/>
      <c r="H471" s="552"/>
      <c r="I471" s="552"/>
      <c r="J471" s="552"/>
      <c r="K471" s="552"/>
      <c r="M471" s="552"/>
      <c r="O471" s="552"/>
      <c r="Q471" s="1404"/>
    </row>
    <row r="472" spans="2:17" s="555" customFormat="1" ht="15.75" customHeight="1" x14ac:dyDescent="0.2">
      <c r="B472" s="175"/>
      <c r="C472" s="552"/>
      <c r="D472" s="553"/>
      <c r="E472" s="554"/>
      <c r="F472" s="552"/>
      <c r="G472" s="552"/>
      <c r="H472" s="552"/>
      <c r="I472" s="552"/>
      <c r="J472" s="552"/>
      <c r="K472" s="552"/>
      <c r="M472" s="552"/>
      <c r="O472" s="552"/>
      <c r="Q472" s="1404"/>
    </row>
    <row r="473" spans="2:17" s="555" customFormat="1" ht="15.75" customHeight="1" x14ac:dyDescent="0.2">
      <c r="B473" s="175"/>
      <c r="C473" s="552"/>
      <c r="D473" s="553"/>
      <c r="E473" s="554"/>
      <c r="F473" s="552"/>
      <c r="G473" s="552"/>
      <c r="H473" s="552"/>
      <c r="I473" s="552"/>
      <c r="J473" s="552"/>
      <c r="K473" s="552"/>
      <c r="M473" s="552"/>
      <c r="O473" s="552"/>
      <c r="Q473" s="1404"/>
    </row>
    <row r="474" spans="2:17" s="555" customFormat="1" ht="15.75" customHeight="1" x14ac:dyDescent="0.2">
      <c r="B474" s="175"/>
      <c r="C474" s="552"/>
      <c r="D474" s="553"/>
      <c r="E474" s="554"/>
      <c r="F474" s="552"/>
      <c r="G474" s="552"/>
      <c r="H474" s="552"/>
      <c r="I474" s="552"/>
      <c r="J474" s="552"/>
      <c r="K474" s="552"/>
      <c r="M474" s="552"/>
      <c r="O474" s="552"/>
      <c r="Q474" s="1404"/>
    </row>
    <row r="475" spans="2:17" s="555" customFormat="1" ht="15.75" customHeight="1" x14ac:dyDescent="0.2">
      <c r="B475" s="175"/>
      <c r="C475" s="552"/>
      <c r="D475" s="553"/>
      <c r="E475" s="554"/>
      <c r="F475" s="552"/>
      <c r="G475" s="552"/>
      <c r="H475" s="552"/>
      <c r="I475" s="552"/>
      <c r="J475" s="552"/>
      <c r="K475" s="552"/>
      <c r="M475" s="552"/>
      <c r="O475" s="552"/>
      <c r="Q475" s="1404"/>
    </row>
    <row r="476" spans="2:17" s="555" customFormat="1" ht="15.75" customHeight="1" x14ac:dyDescent="0.2">
      <c r="B476" s="175"/>
      <c r="C476" s="552"/>
      <c r="D476" s="553"/>
      <c r="E476" s="554"/>
      <c r="F476" s="552"/>
      <c r="G476" s="552"/>
      <c r="H476" s="552"/>
      <c r="I476" s="552"/>
      <c r="J476" s="552"/>
      <c r="K476" s="552"/>
      <c r="M476" s="552"/>
      <c r="O476" s="552"/>
      <c r="Q476" s="1404"/>
    </row>
    <row r="477" spans="2:17" s="555" customFormat="1" ht="15.75" customHeight="1" x14ac:dyDescent="0.2">
      <c r="B477" s="175"/>
      <c r="C477" s="552"/>
      <c r="D477" s="553"/>
      <c r="E477" s="554"/>
      <c r="F477" s="552"/>
      <c r="G477" s="552"/>
      <c r="H477" s="552"/>
      <c r="I477" s="552"/>
      <c r="J477" s="552"/>
      <c r="K477" s="552"/>
      <c r="M477" s="552"/>
      <c r="O477" s="552"/>
      <c r="Q477" s="1404"/>
    </row>
    <row r="478" spans="2:17" s="555" customFormat="1" ht="15.75" customHeight="1" x14ac:dyDescent="0.2">
      <c r="B478" s="175"/>
      <c r="C478" s="552"/>
      <c r="D478" s="553"/>
      <c r="E478" s="554"/>
      <c r="F478" s="552"/>
      <c r="G478" s="552"/>
      <c r="H478" s="552"/>
      <c r="I478" s="552"/>
      <c r="J478" s="552"/>
      <c r="K478" s="552"/>
      <c r="M478" s="552"/>
      <c r="O478" s="552"/>
      <c r="Q478" s="1404"/>
    </row>
    <row r="479" spans="2:17" s="555" customFormat="1" ht="15.75" customHeight="1" x14ac:dyDescent="0.2">
      <c r="B479" s="175"/>
      <c r="C479" s="552"/>
      <c r="D479" s="553"/>
      <c r="E479" s="554"/>
      <c r="F479" s="552"/>
      <c r="G479" s="552"/>
      <c r="H479" s="552"/>
      <c r="I479" s="552"/>
      <c r="J479" s="552"/>
      <c r="K479" s="552"/>
      <c r="M479" s="552"/>
      <c r="O479" s="552"/>
      <c r="Q479" s="1404"/>
    </row>
    <row r="480" spans="2:17" s="555" customFormat="1" ht="15.75" customHeight="1" x14ac:dyDescent="0.2">
      <c r="B480" s="175"/>
      <c r="C480" s="552"/>
      <c r="D480" s="553"/>
      <c r="E480" s="554"/>
      <c r="F480" s="552"/>
      <c r="G480" s="552"/>
      <c r="H480" s="552"/>
      <c r="I480" s="552"/>
      <c r="J480" s="552"/>
      <c r="K480" s="552"/>
      <c r="M480" s="552"/>
      <c r="O480" s="552"/>
      <c r="Q480" s="1404"/>
    </row>
    <row r="481" spans="2:17" s="555" customFormat="1" ht="31.5" customHeight="1" x14ac:dyDescent="0.2">
      <c r="B481" s="175"/>
      <c r="C481" s="552"/>
      <c r="D481" s="553"/>
      <c r="E481" s="554"/>
      <c r="F481" s="552"/>
      <c r="G481" s="552"/>
      <c r="H481" s="552"/>
      <c r="I481" s="552"/>
      <c r="J481" s="552"/>
      <c r="K481" s="552"/>
      <c r="M481" s="552"/>
      <c r="O481" s="552"/>
      <c r="Q481" s="1404"/>
    </row>
    <row r="482" spans="2:17" s="555" customFormat="1" ht="15.75" x14ac:dyDescent="0.2">
      <c r="B482" s="175"/>
      <c r="C482" s="552"/>
      <c r="D482" s="553"/>
      <c r="E482" s="554"/>
      <c r="F482" s="552"/>
      <c r="G482" s="552"/>
      <c r="H482" s="552"/>
      <c r="I482" s="552"/>
      <c r="J482" s="552"/>
      <c r="K482" s="552"/>
      <c r="M482" s="552"/>
      <c r="O482" s="552"/>
      <c r="Q482" s="1404"/>
    </row>
    <row r="483" spans="2:17" s="555" customFormat="1" ht="15.75" x14ac:dyDescent="0.2">
      <c r="B483" s="175"/>
      <c r="C483" s="552"/>
      <c r="D483" s="553"/>
      <c r="E483" s="554"/>
      <c r="F483" s="552"/>
      <c r="G483" s="552"/>
      <c r="H483" s="552"/>
      <c r="I483" s="552"/>
      <c r="J483" s="552"/>
      <c r="K483" s="552"/>
      <c r="M483" s="552"/>
      <c r="O483" s="552"/>
      <c r="Q483" s="1404"/>
    </row>
    <row r="484" spans="2:17" s="555" customFormat="1" ht="15.75" x14ac:dyDescent="0.2">
      <c r="B484" s="175"/>
      <c r="C484" s="552"/>
      <c r="D484" s="553"/>
      <c r="E484" s="554"/>
      <c r="F484" s="552"/>
      <c r="G484" s="552"/>
      <c r="H484" s="552"/>
      <c r="I484" s="552"/>
      <c r="J484" s="552"/>
      <c r="K484" s="552"/>
      <c r="M484" s="552"/>
      <c r="O484" s="552"/>
      <c r="Q484" s="1404"/>
    </row>
    <row r="485" spans="2:17" s="555" customFormat="1" ht="15.75" x14ac:dyDescent="0.2">
      <c r="B485" s="175"/>
      <c r="C485" s="552"/>
      <c r="D485" s="553"/>
      <c r="E485" s="554"/>
      <c r="F485" s="552"/>
      <c r="G485" s="552"/>
      <c r="H485" s="552"/>
      <c r="I485" s="552"/>
      <c r="J485" s="552"/>
      <c r="K485" s="552"/>
      <c r="M485" s="552"/>
      <c r="O485" s="552"/>
      <c r="Q485" s="1404"/>
    </row>
    <row r="486" spans="2:17" s="555" customFormat="1" ht="15.75" x14ac:dyDescent="0.2">
      <c r="B486" s="175"/>
      <c r="C486" s="552"/>
      <c r="D486" s="553"/>
      <c r="E486" s="554"/>
      <c r="F486" s="552"/>
      <c r="G486" s="552"/>
      <c r="H486" s="552"/>
      <c r="I486" s="552"/>
      <c r="J486" s="552"/>
      <c r="K486" s="552"/>
      <c r="M486" s="552"/>
      <c r="O486" s="552"/>
      <c r="Q486" s="1404"/>
    </row>
    <row r="487" spans="2:17" s="555" customFormat="1" ht="16.5" customHeight="1" x14ac:dyDescent="0.2">
      <c r="B487" s="175"/>
      <c r="C487" s="552"/>
      <c r="D487" s="553"/>
      <c r="E487" s="554"/>
      <c r="F487" s="552"/>
      <c r="G487" s="552"/>
      <c r="H487" s="552"/>
      <c r="I487" s="552"/>
      <c r="J487" s="552"/>
      <c r="K487" s="552"/>
      <c r="M487" s="552"/>
      <c r="O487" s="552"/>
      <c r="Q487" s="1404"/>
    </row>
    <row r="488" spans="2:17" s="555" customFormat="1" ht="15.75" customHeight="1" x14ac:dyDescent="0.2">
      <c r="B488" s="175"/>
      <c r="C488" s="552"/>
      <c r="D488" s="553"/>
      <c r="E488" s="554"/>
      <c r="F488" s="552"/>
      <c r="G488" s="552"/>
      <c r="H488" s="552"/>
      <c r="I488" s="552"/>
      <c r="J488" s="552"/>
      <c r="K488" s="552"/>
      <c r="M488" s="552"/>
      <c r="O488" s="552"/>
      <c r="Q488" s="1404"/>
    </row>
    <row r="489" spans="2:17" s="555" customFormat="1" ht="15.75" customHeight="1" x14ac:dyDescent="0.2">
      <c r="B489" s="175"/>
      <c r="C489" s="552"/>
      <c r="D489" s="553"/>
      <c r="E489" s="554"/>
      <c r="F489" s="552"/>
      <c r="G489" s="552"/>
      <c r="H489" s="552"/>
      <c r="I489" s="552"/>
      <c r="J489" s="552"/>
      <c r="K489" s="552"/>
      <c r="M489" s="552"/>
      <c r="O489" s="552"/>
      <c r="Q489" s="1404"/>
    </row>
    <row r="490" spans="2:17" s="555" customFormat="1" ht="15.75" customHeight="1" x14ac:dyDescent="0.2">
      <c r="B490" s="175"/>
      <c r="C490" s="552"/>
      <c r="D490" s="553"/>
      <c r="E490" s="554"/>
      <c r="F490" s="552"/>
      <c r="G490" s="552"/>
      <c r="H490" s="552"/>
      <c r="I490" s="552"/>
      <c r="J490" s="552"/>
      <c r="K490" s="552"/>
      <c r="M490" s="552"/>
      <c r="O490" s="552"/>
      <c r="Q490" s="1404"/>
    </row>
    <row r="491" spans="2:17" s="555" customFormat="1" ht="15.75" customHeight="1" x14ac:dyDescent="0.2">
      <c r="B491" s="175"/>
      <c r="C491" s="552"/>
      <c r="D491" s="553"/>
      <c r="E491" s="554"/>
      <c r="F491" s="552"/>
      <c r="G491" s="552"/>
      <c r="H491" s="552"/>
      <c r="I491" s="552"/>
      <c r="J491" s="552"/>
      <c r="K491" s="552"/>
      <c r="M491" s="552"/>
      <c r="O491" s="552"/>
      <c r="Q491" s="1404"/>
    </row>
    <row r="492" spans="2:17" s="555" customFormat="1" ht="15.75" customHeight="1" x14ac:dyDescent="0.2">
      <c r="B492" s="175"/>
      <c r="C492" s="552"/>
      <c r="D492" s="553"/>
      <c r="E492" s="554"/>
      <c r="F492" s="552"/>
      <c r="G492" s="552"/>
      <c r="H492" s="552"/>
      <c r="I492" s="552"/>
      <c r="J492" s="552"/>
      <c r="K492" s="552"/>
      <c r="M492" s="552"/>
      <c r="O492" s="552"/>
      <c r="Q492" s="1404"/>
    </row>
    <row r="493" spans="2:17" s="555" customFormat="1" ht="15.75" customHeight="1" x14ac:dyDescent="0.2">
      <c r="B493" s="175"/>
      <c r="C493" s="552"/>
      <c r="D493" s="553"/>
      <c r="E493" s="554"/>
      <c r="F493" s="552"/>
      <c r="G493" s="552"/>
      <c r="H493" s="552"/>
      <c r="I493" s="552"/>
      <c r="J493" s="552"/>
      <c r="K493" s="552"/>
      <c r="M493" s="552"/>
      <c r="O493" s="552"/>
      <c r="Q493" s="1404"/>
    </row>
    <row r="494" spans="2:17" s="555" customFormat="1" ht="15.75" customHeight="1" x14ac:dyDescent="0.2">
      <c r="B494" s="175"/>
      <c r="C494" s="552"/>
      <c r="D494" s="553"/>
      <c r="E494" s="554"/>
      <c r="F494" s="552"/>
      <c r="G494" s="552"/>
      <c r="H494" s="552"/>
      <c r="I494" s="552"/>
      <c r="J494" s="552"/>
      <c r="K494" s="552"/>
      <c r="M494" s="552"/>
      <c r="O494" s="552"/>
      <c r="Q494" s="1404"/>
    </row>
    <row r="495" spans="2:17" s="555" customFormat="1" ht="15.75" customHeight="1" x14ac:dyDescent="0.2">
      <c r="B495" s="175"/>
      <c r="C495" s="552"/>
      <c r="D495" s="553"/>
      <c r="E495" s="554"/>
      <c r="F495" s="552"/>
      <c r="G495" s="552"/>
      <c r="H495" s="552"/>
      <c r="I495" s="552"/>
      <c r="J495" s="552"/>
      <c r="K495" s="552"/>
      <c r="M495" s="552"/>
      <c r="O495" s="552"/>
      <c r="Q495" s="1404"/>
    </row>
    <row r="496" spans="2:17" s="555" customFormat="1" ht="15.75" customHeight="1" x14ac:dyDescent="0.2">
      <c r="B496" s="175"/>
      <c r="C496" s="552"/>
      <c r="D496" s="553"/>
      <c r="E496" s="554"/>
      <c r="F496" s="552"/>
      <c r="G496" s="552"/>
      <c r="H496" s="552"/>
      <c r="I496" s="552"/>
      <c r="J496" s="552"/>
      <c r="K496" s="552"/>
      <c r="M496" s="552"/>
      <c r="O496" s="552"/>
      <c r="Q496" s="1404"/>
    </row>
    <row r="497" spans="2:17" s="555" customFormat="1" ht="15.75" customHeight="1" x14ac:dyDescent="0.2">
      <c r="B497" s="175"/>
      <c r="C497" s="552"/>
      <c r="D497" s="553"/>
      <c r="E497" s="554"/>
      <c r="F497" s="552"/>
      <c r="G497" s="552"/>
      <c r="H497" s="552"/>
      <c r="I497" s="552"/>
      <c r="J497" s="552"/>
      <c r="K497" s="552"/>
      <c r="M497" s="552"/>
      <c r="O497" s="552"/>
      <c r="Q497" s="1404"/>
    </row>
    <row r="498" spans="2:17" s="555" customFormat="1" ht="15.75" customHeight="1" x14ac:dyDescent="0.2">
      <c r="B498" s="175"/>
      <c r="C498" s="552"/>
      <c r="D498" s="553"/>
      <c r="E498" s="554"/>
      <c r="F498" s="552"/>
      <c r="G498" s="552"/>
      <c r="H498" s="552"/>
      <c r="I498" s="552"/>
      <c r="J498" s="552"/>
      <c r="K498" s="552"/>
      <c r="M498" s="552"/>
      <c r="O498" s="552"/>
      <c r="Q498" s="1404"/>
    </row>
    <row r="499" spans="2:17" s="555" customFormat="1" ht="15.75" customHeight="1" x14ac:dyDescent="0.2">
      <c r="B499" s="175"/>
      <c r="C499" s="552"/>
      <c r="D499" s="553"/>
      <c r="E499" s="554"/>
      <c r="F499" s="552"/>
      <c r="G499" s="552"/>
      <c r="H499" s="552"/>
      <c r="I499" s="552"/>
      <c r="J499" s="552"/>
      <c r="K499" s="552"/>
      <c r="M499" s="552"/>
      <c r="O499" s="552"/>
      <c r="Q499" s="1404"/>
    </row>
    <row r="500" spans="2:17" s="555" customFormat="1" ht="15.75" customHeight="1" x14ac:dyDescent="0.2">
      <c r="B500" s="175"/>
      <c r="C500" s="552"/>
      <c r="D500" s="553"/>
      <c r="E500" s="554"/>
      <c r="F500" s="552"/>
      <c r="G500" s="552"/>
      <c r="H500" s="552"/>
      <c r="I500" s="552"/>
      <c r="J500" s="552"/>
      <c r="K500" s="552"/>
      <c r="M500" s="552"/>
      <c r="O500" s="552"/>
      <c r="Q500" s="1404"/>
    </row>
    <row r="501" spans="2:17" s="555" customFormat="1" ht="15.75" customHeight="1" x14ac:dyDescent="0.2">
      <c r="B501" s="175"/>
      <c r="C501" s="552"/>
      <c r="D501" s="553"/>
      <c r="E501" s="554"/>
      <c r="F501" s="552"/>
      <c r="G501" s="552"/>
      <c r="H501" s="552"/>
      <c r="I501" s="552"/>
      <c r="J501" s="552"/>
      <c r="K501" s="552"/>
      <c r="M501" s="552"/>
      <c r="O501" s="552"/>
      <c r="Q501" s="1404"/>
    </row>
    <row r="502" spans="2:17" s="555" customFormat="1" ht="31.5" customHeight="1" x14ac:dyDescent="0.2">
      <c r="B502" s="175"/>
      <c r="C502" s="552"/>
      <c r="D502" s="553"/>
      <c r="E502" s="554"/>
      <c r="F502" s="552"/>
      <c r="G502" s="552"/>
      <c r="H502" s="552"/>
      <c r="I502" s="552"/>
      <c r="J502" s="552"/>
      <c r="K502" s="552"/>
      <c r="M502" s="552"/>
      <c r="O502" s="552"/>
      <c r="Q502" s="1404"/>
    </row>
    <row r="503" spans="2:17" s="555" customFormat="1" ht="15.75" x14ac:dyDescent="0.2">
      <c r="B503" s="175"/>
      <c r="C503" s="552"/>
      <c r="D503" s="553"/>
      <c r="E503" s="554"/>
      <c r="F503" s="552"/>
      <c r="G503" s="552"/>
      <c r="H503" s="552"/>
      <c r="I503" s="552"/>
      <c r="J503" s="552"/>
      <c r="K503" s="552"/>
      <c r="M503" s="552"/>
      <c r="O503" s="552"/>
      <c r="Q503" s="1404"/>
    </row>
    <row r="504" spans="2:17" s="555" customFormat="1" ht="15.75" x14ac:dyDescent="0.2">
      <c r="B504" s="175"/>
      <c r="C504" s="552"/>
      <c r="D504" s="553"/>
      <c r="E504" s="554"/>
      <c r="F504" s="552"/>
      <c r="G504" s="552"/>
      <c r="H504" s="552"/>
      <c r="I504" s="552"/>
      <c r="J504" s="552"/>
      <c r="K504" s="552"/>
      <c r="M504" s="552"/>
      <c r="O504" s="552"/>
      <c r="Q504" s="1404"/>
    </row>
    <row r="505" spans="2:17" s="555" customFormat="1" ht="15.75" x14ac:dyDescent="0.2">
      <c r="B505" s="175"/>
      <c r="C505" s="552"/>
      <c r="D505" s="553"/>
      <c r="E505" s="554"/>
      <c r="F505" s="552"/>
      <c r="G505" s="552"/>
      <c r="H505" s="552"/>
      <c r="I505" s="552"/>
      <c r="J505" s="552"/>
      <c r="K505" s="552"/>
      <c r="M505" s="552"/>
      <c r="O505" s="552"/>
      <c r="Q505" s="1404"/>
    </row>
    <row r="506" spans="2:17" s="555" customFormat="1" ht="15.75" x14ac:dyDescent="0.2">
      <c r="B506" s="175"/>
      <c r="C506" s="552"/>
      <c r="D506" s="553"/>
      <c r="E506" s="554"/>
      <c r="F506" s="552"/>
      <c r="G506" s="552"/>
      <c r="H506" s="552"/>
      <c r="I506" s="552"/>
      <c r="J506" s="552"/>
      <c r="K506" s="552"/>
      <c r="M506" s="552"/>
      <c r="O506" s="552"/>
      <c r="Q506" s="1404"/>
    </row>
    <row r="507" spans="2:17" s="555" customFormat="1" ht="15.75" x14ac:dyDescent="0.2">
      <c r="B507" s="175"/>
      <c r="C507" s="552"/>
      <c r="D507" s="553"/>
      <c r="E507" s="554"/>
      <c r="F507" s="552"/>
      <c r="G507" s="552"/>
      <c r="H507" s="552"/>
      <c r="I507" s="552"/>
      <c r="J507" s="552"/>
      <c r="K507" s="552"/>
      <c r="M507" s="552"/>
      <c r="O507" s="552"/>
      <c r="Q507" s="1404"/>
    </row>
    <row r="508" spans="2:17" s="555" customFormat="1" x14ac:dyDescent="0.2">
      <c r="B508" s="556"/>
      <c r="F508" s="557"/>
      <c r="G508" s="557"/>
      <c r="H508" s="557"/>
      <c r="I508" s="557"/>
      <c r="J508" s="557"/>
      <c r="K508" s="557"/>
      <c r="M508" s="557"/>
      <c r="O508" s="557"/>
      <c r="Q508" s="557"/>
    </row>
  </sheetData>
  <sheetProtection formatColumns="0" formatRows="0"/>
  <mergeCells count="1">
    <mergeCell ref="C49:E50"/>
  </mergeCells>
  <printOptions horizontalCentered="1" verticalCentered="1" gridLines="1"/>
  <pageMargins left="0" right="0" top="1" bottom="1" header="0.5" footer="0.5"/>
  <pageSetup scale="45" fitToWidth="0" fitToHeight="0" orientation="landscape" r:id="rId1"/>
  <headerFooter alignWithMargins="0"/>
  <rowBreaks count="2" manualBreakCount="2">
    <brk id="150" min="1" max="19" man="1"/>
    <brk id="297"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92D050"/>
  </sheetPr>
  <dimension ref="B1:M28"/>
  <sheetViews>
    <sheetView zoomScaleNormal="100" workbookViewId="0">
      <pane xSplit="3" ySplit="9" topLeftCell="D10" activePane="bottomRight" state="frozen"/>
      <selection pane="topRight" activeCell="D1" sqref="D1"/>
      <selection pane="bottomLeft" activeCell="A7" sqref="A7"/>
      <selection pane="bottomRight" activeCell="B3" sqref="B3"/>
    </sheetView>
  </sheetViews>
  <sheetFormatPr defaultRowHeight="12.75" x14ac:dyDescent="0.2"/>
  <cols>
    <col min="1" max="1" width="0.85546875" customWidth="1"/>
    <col min="2" max="2" width="41.7109375" customWidth="1"/>
    <col min="3" max="3" width="6.42578125" customWidth="1"/>
    <col min="4" max="9" width="14.7109375" customWidth="1"/>
    <col min="10" max="10" width="38" customWidth="1"/>
    <col min="11" max="11" width="24" customWidth="1"/>
    <col min="12" max="12" width="18.85546875" customWidth="1"/>
    <col min="13" max="13" width="19.42578125" customWidth="1"/>
  </cols>
  <sheetData>
    <row r="1" spans="2:13" ht="18.75" x14ac:dyDescent="0.3">
      <c r="B1" s="862" t="s">
        <v>529</v>
      </c>
      <c r="C1" s="31"/>
      <c r="D1" s="32"/>
      <c r="E1" s="33"/>
      <c r="F1" s="33"/>
      <c r="G1" s="33"/>
      <c r="H1" s="33"/>
      <c r="I1" s="33"/>
      <c r="J1" s="33"/>
      <c r="K1" s="34"/>
      <c r="L1" s="34"/>
      <c r="M1" s="28"/>
    </row>
    <row r="2" spans="2:13" ht="15.75" x14ac:dyDescent="0.25">
      <c r="B2" s="397" t="str">
        <f>INITIALIZATION!C5</f>
        <v>Proposer's Name (Prime or Sub)</v>
      </c>
      <c r="C2" s="49"/>
      <c r="D2" s="58"/>
      <c r="E2" s="42"/>
      <c r="F2" s="42"/>
      <c r="G2" s="42"/>
      <c r="H2" s="42"/>
      <c r="I2" s="42"/>
      <c r="J2" s="42"/>
      <c r="K2" s="28"/>
      <c r="L2" s="28"/>
      <c r="M2" s="28"/>
    </row>
    <row r="3" spans="2:13" ht="15.75" x14ac:dyDescent="0.25">
      <c r="B3" s="141"/>
      <c r="C3" s="49"/>
      <c r="D3" s="58"/>
      <c r="E3" s="42"/>
      <c r="F3" s="42"/>
      <c r="G3" s="42"/>
      <c r="H3" s="42"/>
      <c r="I3" s="42"/>
      <c r="J3" s="42"/>
      <c r="K3" s="28"/>
      <c r="L3" s="28"/>
      <c r="M3" s="28"/>
    </row>
    <row r="4" spans="2:13" ht="15.75" x14ac:dyDescent="0.25">
      <c r="B4" s="141"/>
      <c r="C4" s="49"/>
      <c r="D4" s="58"/>
      <c r="E4" s="42"/>
      <c r="F4" s="42"/>
      <c r="G4" s="42"/>
      <c r="H4" s="42"/>
      <c r="I4" s="42"/>
      <c r="J4" s="42"/>
      <c r="K4" s="28"/>
      <c r="L4" s="28"/>
      <c r="M4" s="28"/>
    </row>
    <row r="5" spans="2:13" ht="15.75" x14ac:dyDescent="0.25">
      <c r="B5" s="141"/>
      <c r="C5" s="49"/>
      <c r="D5" s="58"/>
      <c r="E5" s="42"/>
      <c r="F5" s="42"/>
      <c r="G5" s="42"/>
      <c r="H5" s="42"/>
      <c r="I5" s="42"/>
      <c r="J5" s="42"/>
      <c r="K5" s="28"/>
      <c r="L5" s="28"/>
      <c r="M5" s="28"/>
    </row>
    <row r="6" spans="2:13" ht="15.75" x14ac:dyDescent="0.25">
      <c r="B6" s="141"/>
      <c r="C6" s="49"/>
      <c r="D6" s="58"/>
      <c r="E6" s="42"/>
      <c r="F6" s="42"/>
      <c r="G6" s="42"/>
      <c r="H6" s="42"/>
      <c r="I6" s="42"/>
      <c r="J6" s="42"/>
      <c r="K6" s="28"/>
      <c r="L6" s="28"/>
      <c r="M6" s="28"/>
    </row>
    <row r="7" spans="2:13" ht="15.75" x14ac:dyDescent="0.25">
      <c r="B7" s="141"/>
      <c r="C7" s="49"/>
      <c r="D7" s="58"/>
      <c r="E7" s="42"/>
      <c r="F7" s="42"/>
      <c r="G7" s="42"/>
      <c r="H7" s="42"/>
      <c r="I7" s="42"/>
      <c r="J7" s="42"/>
      <c r="K7" s="28"/>
      <c r="L7" s="28"/>
      <c r="M7" s="28"/>
    </row>
    <row r="8" spans="2:13" ht="15.75" x14ac:dyDescent="0.25">
      <c r="B8" s="46"/>
      <c r="C8" s="46"/>
      <c r="D8" s="1173" t="str">
        <f>Period1_Label</f>
        <v>Proposer FY 1</v>
      </c>
      <c r="E8" s="1174" t="str">
        <f>Period2_Label</f>
        <v>Proposer FY 2</v>
      </c>
      <c r="F8" s="1175" t="str">
        <f>Period3_Label</f>
        <v>Proposer FY 3</v>
      </c>
      <c r="G8" s="1176" t="str">
        <f>Period4_Label</f>
        <v>Proposer FY 4</v>
      </c>
      <c r="H8" s="1177" t="str">
        <f>Period5_Label</f>
        <v>Proposer FY 5</v>
      </c>
      <c r="I8" s="1178" t="str">
        <f>Period6_Label</f>
        <v>Proposer FY 6</v>
      </c>
      <c r="J8" s="30" t="s">
        <v>520</v>
      </c>
    </row>
    <row r="9" spans="2:13" ht="19.5" customHeight="1" x14ac:dyDescent="0.25">
      <c r="B9" s="1439" t="s">
        <v>289</v>
      </c>
      <c r="C9" s="1439"/>
      <c r="D9" s="1187" t="s">
        <v>162</v>
      </c>
      <c r="E9" s="1187" t="s">
        <v>162</v>
      </c>
      <c r="F9" s="1187" t="s">
        <v>162</v>
      </c>
      <c r="G9" s="1187" t="s">
        <v>162</v>
      </c>
      <c r="H9" s="1187" t="s">
        <v>162</v>
      </c>
      <c r="I9" s="1187" t="s">
        <v>162</v>
      </c>
      <c r="J9" s="1188" t="s">
        <v>73</v>
      </c>
      <c r="K9" s="1435" t="s">
        <v>56</v>
      </c>
      <c r="L9" s="1436"/>
    </row>
    <row r="10" spans="2:13" ht="15.75" x14ac:dyDescent="0.25">
      <c r="B10" s="1440" t="s">
        <v>776</v>
      </c>
      <c r="C10" s="1440"/>
      <c r="D10" s="1668"/>
      <c r="E10" s="1668"/>
      <c r="F10" s="1668"/>
      <c r="G10" s="1668"/>
      <c r="H10" s="1668"/>
      <c r="I10" s="1668"/>
      <c r="J10" s="290"/>
      <c r="K10" s="1437"/>
      <c r="L10" s="1438"/>
    </row>
    <row r="11" spans="2:13" ht="15.75" x14ac:dyDescent="0.25">
      <c r="B11" s="1440" t="s">
        <v>779</v>
      </c>
      <c r="C11" s="1440"/>
      <c r="D11" s="1668"/>
      <c r="E11" s="1668"/>
      <c r="F11" s="1668"/>
      <c r="G11" s="1668"/>
      <c r="H11" s="1668"/>
      <c r="I11" s="1668"/>
      <c r="J11" s="290"/>
      <c r="K11" s="1437"/>
      <c r="L11" s="1438"/>
    </row>
    <row r="12" spans="2:13" ht="15.75" x14ac:dyDescent="0.25">
      <c r="B12" s="1440" t="s">
        <v>778</v>
      </c>
      <c r="C12" s="1440"/>
      <c r="D12" s="1668"/>
      <c r="E12" s="1668"/>
      <c r="F12" s="1668"/>
      <c r="G12" s="1668"/>
      <c r="H12" s="1668"/>
      <c r="I12" s="1668"/>
      <c r="J12" s="290"/>
      <c r="K12" s="409"/>
      <c r="L12" s="410"/>
    </row>
    <row r="13" spans="2:13" ht="15.75" x14ac:dyDescent="0.25">
      <c r="B13" s="1440" t="s">
        <v>777</v>
      </c>
      <c r="C13" s="1440"/>
      <c r="D13" s="1668"/>
      <c r="E13" s="1668"/>
      <c r="F13" s="1668"/>
      <c r="G13" s="1668"/>
      <c r="H13" s="1668"/>
      <c r="I13" s="1668"/>
      <c r="J13" s="290"/>
      <c r="K13" s="409"/>
      <c r="L13" s="410"/>
    </row>
    <row r="14" spans="2:13" ht="15.75" x14ac:dyDescent="0.25">
      <c r="B14" s="1440"/>
      <c r="C14" s="1440"/>
      <c r="D14" s="1668"/>
      <c r="E14" s="1668"/>
      <c r="F14" s="1668"/>
      <c r="G14" s="1668"/>
      <c r="H14" s="1668"/>
      <c r="I14" s="1668"/>
      <c r="J14" s="290"/>
      <c r="K14" s="1437"/>
      <c r="L14" s="1438"/>
    </row>
    <row r="15" spans="2:13" ht="15.75" x14ac:dyDescent="0.25">
      <c r="B15" s="1440"/>
      <c r="C15" s="1440"/>
      <c r="D15" s="1668"/>
      <c r="E15" s="1668"/>
      <c r="F15" s="1668"/>
      <c r="G15" s="1668"/>
      <c r="H15" s="1668"/>
      <c r="I15" s="1668"/>
      <c r="J15" s="290"/>
      <c r="K15" s="1437"/>
      <c r="L15" s="1438"/>
    </row>
    <row r="16" spans="2:13" ht="15.75" x14ac:dyDescent="0.25">
      <c r="B16" s="1440"/>
      <c r="C16" s="1440"/>
      <c r="D16" s="1668"/>
      <c r="E16" s="1668"/>
      <c r="F16" s="1668"/>
      <c r="G16" s="1668"/>
      <c r="H16" s="1668"/>
      <c r="I16" s="1668"/>
      <c r="J16" s="290"/>
      <c r="K16" s="1437"/>
      <c r="L16" s="1438"/>
    </row>
    <row r="17" spans="2:13" x14ac:dyDescent="0.2">
      <c r="B17" s="567" t="s">
        <v>230</v>
      </c>
      <c r="C17" s="337"/>
      <c r="D17" s="840" t="s">
        <v>519</v>
      </c>
      <c r="E17" s="337"/>
      <c r="F17" s="337"/>
      <c r="G17" s="337"/>
      <c r="H17" s="337"/>
      <c r="I17" s="337"/>
      <c r="J17" s="337"/>
      <c r="K17" s="337"/>
      <c r="L17" s="337"/>
    </row>
    <row r="18" spans="2:13" s="40" customFormat="1" x14ac:dyDescent="0.2"/>
    <row r="19" spans="2:13" s="51" customFormat="1" x14ac:dyDescent="0.2">
      <c r="B19" s="43"/>
    </row>
    <row r="20" spans="2:13" ht="82.5" customHeight="1" x14ac:dyDescent="0.2">
      <c r="B20" s="610" t="s">
        <v>81</v>
      </c>
      <c r="C20" s="1443" t="s">
        <v>256</v>
      </c>
      <c r="D20" s="1443"/>
      <c r="E20" s="1443"/>
      <c r="F20" s="1443"/>
      <c r="G20" s="1443"/>
      <c r="H20" s="1443"/>
      <c r="I20" s="1443"/>
      <c r="J20" s="1443"/>
      <c r="K20" s="150"/>
      <c r="L20" s="150"/>
      <c r="M20" s="150"/>
    </row>
    <row r="21" spans="2:13" ht="15.75" x14ac:dyDescent="0.2">
      <c r="B21" s="610"/>
      <c r="C21" s="1667" t="s">
        <v>782</v>
      </c>
      <c r="D21" s="1405"/>
      <c r="E21" s="1405"/>
      <c r="F21" s="1405"/>
      <c r="G21" s="1405"/>
      <c r="H21" s="1405"/>
      <c r="I21" s="1405"/>
      <c r="J21" s="1405"/>
      <c r="K21" s="150"/>
      <c r="L21" s="150"/>
      <c r="M21" s="150"/>
    </row>
    <row r="22" spans="2:13" ht="14.25" customHeight="1" x14ac:dyDescent="0.2">
      <c r="B22" s="610" t="s">
        <v>521</v>
      </c>
      <c r="C22" s="1444" t="s">
        <v>650</v>
      </c>
      <c r="D22" s="1444"/>
      <c r="E22" s="1444"/>
      <c r="F22" s="1444"/>
      <c r="G22" s="1444"/>
      <c r="H22" s="1444"/>
      <c r="I22" s="1444"/>
      <c r="J22" s="1444"/>
      <c r="K22" s="45"/>
      <c r="L22" s="45"/>
      <c r="M22" s="45"/>
    </row>
    <row r="23" spans="2:13" x14ac:dyDescent="0.2">
      <c r="B23" s="610" t="s">
        <v>42</v>
      </c>
      <c r="C23" s="1442" t="s">
        <v>518</v>
      </c>
      <c r="D23" s="1442"/>
      <c r="E23" s="1442"/>
      <c r="F23" s="1442"/>
      <c r="G23" s="1442"/>
      <c r="H23" s="1442"/>
      <c r="I23" s="1442"/>
      <c r="J23" s="1442"/>
      <c r="K23" s="138"/>
      <c r="L23" s="138"/>
      <c r="M23" s="138"/>
    </row>
    <row r="24" spans="2:13" x14ac:dyDescent="0.2">
      <c r="B24" s="839"/>
      <c r="C24" s="134"/>
      <c r="D24" s="134"/>
      <c r="E24" s="134"/>
      <c r="F24" s="134"/>
      <c r="G24" s="134"/>
      <c r="H24" s="134"/>
      <c r="I24" s="134"/>
      <c r="J24" s="134"/>
      <c r="K24" s="26"/>
    </row>
    <row r="25" spans="2:13" ht="28.5" customHeight="1" x14ac:dyDescent="0.2">
      <c r="B25" s="610" t="s">
        <v>13</v>
      </c>
      <c r="C25" s="1441" t="s">
        <v>292</v>
      </c>
      <c r="D25" s="1441"/>
      <c r="E25" s="1441"/>
      <c r="F25" s="1441"/>
      <c r="G25" s="1441"/>
      <c r="H25" s="1441"/>
      <c r="I25" s="1441"/>
      <c r="J25" s="1441"/>
      <c r="K25" s="128"/>
      <c r="L25" s="128"/>
      <c r="M25" s="128"/>
    </row>
    <row r="26" spans="2:13" ht="27" customHeight="1" x14ac:dyDescent="0.2">
      <c r="B26" s="44"/>
      <c r="C26" s="134"/>
      <c r="D26" s="1441" t="s">
        <v>257</v>
      </c>
      <c r="E26" s="1441"/>
      <c r="F26" s="1441"/>
      <c r="G26" s="1441"/>
      <c r="H26" s="1441"/>
      <c r="I26" s="1441"/>
      <c r="J26" s="1441"/>
      <c r="K26" s="129"/>
      <c r="L26" s="129"/>
      <c r="M26" s="129"/>
    </row>
    <row r="27" spans="2:13" ht="24.75" customHeight="1" x14ac:dyDescent="0.2">
      <c r="B27" s="44"/>
      <c r="C27" s="134"/>
      <c r="D27" s="40" t="s">
        <v>54</v>
      </c>
      <c r="E27" s="134"/>
      <c r="F27" s="134"/>
      <c r="G27" s="134"/>
      <c r="H27" s="134"/>
      <c r="I27" s="134"/>
      <c r="J27" s="134"/>
      <c r="K27" s="44"/>
      <c r="L27" s="44"/>
      <c r="M27" s="44"/>
    </row>
    <row r="28" spans="2:13" x14ac:dyDescent="0.2">
      <c r="B28" s="44"/>
    </row>
  </sheetData>
  <mergeCells count="19">
    <mergeCell ref="D26:J26"/>
    <mergeCell ref="C25:J25"/>
    <mergeCell ref="K14:L14"/>
    <mergeCell ref="K15:L15"/>
    <mergeCell ref="K16:L16"/>
    <mergeCell ref="C23:J23"/>
    <mergeCell ref="C20:J20"/>
    <mergeCell ref="C22:J22"/>
    <mergeCell ref="B12:C12"/>
    <mergeCell ref="B13:C13"/>
    <mergeCell ref="B14:C14"/>
    <mergeCell ref="B15:C15"/>
    <mergeCell ref="B16:C16"/>
    <mergeCell ref="K9:L9"/>
    <mergeCell ref="K10:L10"/>
    <mergeCell ref="K11:L11"/>
    <mergeCell ref="B9:C9"/>
    <mergeCell ref="B10:C10"/>
    <mergeCell ref="B11:C1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sheetPr>
  <dimension ref="A1:BO79"/>
  <sheetViews>
    <sheetView zoomScale="80" zoomScaleNormal="80" workbookViewId="0">
      <pane xSplit="4" ySplit="7" topLeftCell="E8" activePane="bottomRight" state="frozen"/>
      <selection pane="topRight" activeCell="E1" sqref="E1"/>
      <selection pane="bottomLeft" activeCell="A8" sqref="A8"/>
      <selection pane="bottomRight" activeCell="T8" sqref="T8"/>
    </sheetView>
  </sheetViews>
  <sheetFormatPr defaultRowHeight="12.75" x14ac:dyDescent="0.2"/>
  <cols>
    <col min="1" max="1" width="0.85546875" customWidth="1"/>
    <col min="2" max="2" width="1.28515625" customWidth="1"/>
    <col min="3" max="3" width="42.5703125" customWidth="1"/>
    <col min="4" max="4" width="30.7109375" customWidth="1"/>
    <col min="5" max="5" width="1.28515625" customWidth="1"/>
    <col min="6" max="6" width="12.28515625" customWidth="1"/>
    <col min="7" max="7" width="10.7109375" hidden="1" customWidth="1"/>
    <col min="8" max="8" width="9.28515625" customWidth="1"/>
    <col min="9" max="9" width="10.28515625" customWidth="1"/>
    <col min="10" max="10" width="9.28515625" customWidth="1"/>
    <col min="11" max="11" width="11.5703125" customWidth="1"/>
    <col min="12" max="12" width="1.28515625" customWidth="1"/>
    <col min="13" max="13" width="12.28515625" customWidth="1"/>
    <col min="14" max="14" width="11.5703125" customWidth="1"/>
    <col min="15" max="15" width="9.28515625" customWidth="1"/>
    <col min="16" max="16" width="10.28515625" customWidth="1"/>
    <col min="17" max="17" width="9.28515625" customWidth="1"/>
    <col min="18" max="18" width="11.5703125" customWidth="1"/>
    <col min="19" max="19" width="1.28515625" customWidth="1"/>
    <col min="20" max="20" width="12.28515625" customWidth="1"/>
    <col min="21" max="21" width="11.5703125" customWidth="1"/>
    <col min="22" max="22" width="9.28515625" customWidth="1"/>
    <col min="23" max="23" width="10.28515625" customWidth="1"/>
    <col min="24" max="24" width="9.28515625" customWidth="1"/>
    <col min="25" max="25" width="11.5703125" customWidth="1"/>
    <col min="26" max="26" width="1.28515625" customWidth="1"/>
    <col min="27" max="27" width="9.28515625" customWidth="1"/>
    <col min="28" max="28" width="11.5703125" customWidth="1"/>
    <col min="29" max="29" width="9.28515625" customWidth="1"/>
    <col min="30" max="30" width="10.28515625" customWidth="1"/>
    <col min="31" max="31" width="9.28515625" customWidth="1"/>
    <col min="32" max="32" width="11.5703125" customWidth="1"/>
    <col min="33" max="33" width="1.28515625" customWidth="1"/>
    <col min="34" max="34" width="12.28515625" customWidth="1"/>
    <col min="35" max="35" width="11.5703125" customWidth="1"/>
    <col min="36" max="36" width="9.28515625" customWidth="1"/>
    <col min="37" max="37" width="10.28515625" customWidth="1"/>
    <col min="38" max="38" width="9.28515625" customWidth="1"/>
    <col min="39" max="39" width="11.5703125" customWidth="1"/>
    <col min="40" max="40" width="1.28515625" customWidth="1"/>
    <col min="41" max="41" width="12.28515625" customWidth="1"/>
    <col min="42" max="42" width="11.5703125" customWidth="1"/>
    <col min="43" max="43" width="9.28515625" customWidth="1"/>
    <col min="44" max="44" width="10.28515625" customWidth="1"/>
    <col min="45" max="45" width="9.28515625" customWidth="1"/>
    <col min="46" max="46" width="11.5703125" customWidth="1"/>
    <col min="47" max="47" width="45" customWidth="1"/>
    <col min="48" max="48" width="11.5703125" customWidth="1"/>
    <col min="49" max="49" width="28.5703125" customWidth="1"/>
  </cols>
  <sheetData>
    <row r="1" spans="1:67" ht="18.75" x14ac:dyDescent="0.3">
      <c r="B1" s="860"/>
      <c r="C1" s="862" t="s">
        <v>189</v>
      </c>
      <c r="D1" s="31"/>
      <c r="E1" s="32"/>
      <c r="F1" s="33"/>
      <c r="G1" s="33"/>
      <c r="H1" s="33"/>
      <c r="I1" s="33"/>
      <c r="J1" s="33"/>
      <c r="K1" s="33"/>
      <c r="L1" s="34"/>
      <c r="M1" s="34"/>
    </row>
    <row r="2" spans="1:67" ht="15.75" thickBot="1" x14ac:dyDescent="0.25">
      <c r="C2" s="560" t="str">
        <f>INITIALIZATION!C5</f>
        <v>Proposer's Name (Prime or Sub)</v>
      </c>
      <c r="BO2" s="60" t="s">
        <v>507</v>
      </c>
    </row>
    <row r="3" spans="1:67" ht="6" hidden="1" customHeight="1" x14ac:dyDescent="0.2">
      <c r="C3" s="77" t="s">
        <v>238</v>
      </c>
    </row>
    <row r="4" spans="1:67" ht="6" hidden="1" customHeight="1" thickBot="1" x14ac:dyDescent="0.25">
      <c r="C4" s="77" t="s">
        <v>238</v>
      </c>
    </row>
    <row r="5" spans="1:67" s="50" customFormat="1" ht="16.5" thickBot="1" x14ac:dyDescent="0.3">
      <c r="A5" s="27"/>
      <c r="B5"/>
      <c r="E5" s="338"/>
      <c r="F5" s="1453" t="str">
        <f>Period1_Label</f>
        <v>Proposer FY 1</v>
      </c>
      <c r="G5" s="1454"/>
      <c r="H5" s="1454"/>
      <c r="I5" s="1454"/>
      <c r="J5" s="1454"/>
      <c r="K5" s="1455"/>
      <c r="L5" s="188"/>
      <c r="M5" s="1456" t="str">
        <f>Period2_Label</f>
        <v>Proposer FY 2</v>
      </c>
      <c r="N5" s="1457"/>
      <c r="O5" s="1457"/>
      <c r="P5" s="1457"/>
      <c r="Q5" s="1457"/>
      <c r="R5" s="1458"/>
      <c r="S5" s="189"/>
      <c r="T5" s="1459" t="str">
        <f>Period3_Label</f>
        <v>Proposer FY 3</v>
      </c>
      <c r="U5" s="1460"/>
      <c r="V5" s="1460"/>
      <c r="W5" s="1460"/>
      <c r="X5" s="1460"/>
      <c r="Y5" s="1461"/>
      <c r="Z5" s="190"/>
      <c r="AA5" s="1462" t="str">
        <f>Period4_Label</f>
        <v>Proposer FY 4</v>
      </c>
      <c r="AB5" s="1463"/>
      <c r="AC5" s="1463"/>
      <c r="AD5" s="1463"/>
      <c r="AE5" s="1463"/>
      <c r="AF5" s="1464"/>
      <c r="AG5" s="191"/>
      <c r="AH5" s="1445" t="str">
        <f>Period5_Label</f>
        <v>Proposer FY 5</v>
      </c>
      <c r="AI5" s="1446"/>
      <c r="AJ5" s="1446"/>
      <c r="AK5" s="1446"/>
      <c r="AL5" s="1446"/>
      <c r="AM5" s="1447"/>
      <c r="AN5" s="192"/>
      <c r="AO5" s="1448" t="str">
        <f>Period6_Label</f>
        <v>Proposer FY 6</v>
      </c>
      <c r="AP5" s="1449"/>
      <c r="AQ5" s="1449"/>
      <c r="AR5" s="1449"/>
      <c r="AS5" s="1449"/>
      <c r="AT5" s="1450"/>
      <c r="AU5" s="286" t="s">
        <v>202</v>
      </c>
    </row>
    <row r="6" spans="1:67" s="52" customFormat="1" ht="14.25" x14ac:dyDescent="0.2">
      <c r="A6" s="564"/>
      <c r="B6"/>
      <c r="C6" s="52" t="s">
        <v>107</v>
      </c>
      <c r="D6" s="52" t="s">
        <v>107</v>
      </c>
      <c r="E6" s="340"/>
      <c r="F6" s="193" t="s">
        <v>108</v>
      </c>
      <c r="G6" s="193"/>
      <c r="H6" s="193" t="s">
        <v>109</v>
      </c>
      <c r="I6" s="193" t="s">
        <v>109</v>
      </c>
      <c r="J6" s="193" t="s">
        <v>109</v>
      </c>
      <c r="K6" s="298" t="s">
        <v>106</v>
      </c>
      <c r="L6" s="297"/>
      <c r="M6" s="195" t="s">
        <v>108</v>
      </c>
      <c r="N6" s="194" t="s">
        <v>106</v>
      </c>
      <c r="O6" s="195" t="s">
        <v>109</v>
      </c>
      <c r="P6" s="195" t="s">
        <v>109</v>
      </c>
      <c r="Q6" s="195" t="s">
        <v>109</v>
      </c>
      <c r="R6" s="303" t="s">
        <v>106</v>
      </c>
      <c r="S6" s="302"/>
      <c r="T6" s="197" t="s">
        <v>108</v>
      </c>
      <c r="U6" s="196" t="s">
        <v>106</v>
      </c>
      <c r="V6" s="197" t="s">
        <v>109</v>
      </c>
      <c r="W6" s="197" t="s">
        <v>109</v>
      </c>
      <c r="X6" s="197" t="s">
        <v>109</v>
      </c>
      <c r="Y6" s="306" t="s">
        <v>106</v>
      </c>
      <c r="Z6" s="305"/>
      <c r="AA6" s="199" t="s">
        <v>108</v>
      </c>
      <c r="AB6" s="198" t="s">
        <v>106</v>
      </c>
      <c r="AC6" s="199" t="s">
        <v>109</v>
      </c>
      <c r="AD6" s="199" t="s">
        <v>109</v>
      </c>
      <c r="AE6" s="199" t="s">
        <v>109</v>
      </c>
      <c r="AF6" s="319" t="s">
        <v>106</v>
      </c>
      <c r="AG6" s="317"/>
      <c r="AH6" s="201" t="s">
        <v>108</v>
      </c>
      <c r="AI6" s="200" t="s">
        <v>106</v>
      </c>
      <c r="AJ6" s="201" t="s">
        <v>109</v>
      </c>
      <c r="AK6" s="201" t="s">
        <v>109</v>
      </c>
      <c r="AL6" s="201" t="s">
        <v>109</v>
      </c>
      <c r="AM6" s="308" t="s">
        <v>106</v>
      </c>
      <c r="AN6" s="316"/>
      <c r="AO6" s="203" t="s">
        <v>108</v>
      </c>
      <c r="AP6" s="202" t="s">
        <v>106</v>
      </c>
      <c r="AQ6" s="203" t="s">
        <v>109</v>
      </c>
      <c r="AR6" s="203" t="s">
        <v>109</v>
      </c>
      <c r="AS6" s="203" t="s">
        <v>109</v>
      </c>
      <c r="AT6" s="312" t="s">
        <v>106</v>
      </c>
      <c r="AU6" s="310"/>
    </row>
    <row r="7" spans="1:67" ht="38.25" x14ac:dyDescent="0.2">
      <c r="C7" s="176" t="s">
        <v>381</v>
      </c>
      <c r="D7" s="292" t="s">
        <v>625</v>
      </c>
      <c r="E7" s="339"/>
      <c r="F7" s="293" t="s">
        <v>93</v>
      </c>
      <c r="G7" s="293"/>
      <c r="H7" s="293" t="s">
        <v>91</v>
      </c>
      <c r="I7" s="293" t="s">
        <v>92</v>
      </c>
      <c r="J7" s="293" t="str">
        <f>IF(LaborCollection="Academia","F&amp;A Rate","G&amp;A Rate")</f>
        <v>G&amp;A Rate</v>
      </c>
      <c r="K7" s="299" t="s">
        <v>160</v>
      </c>
      <c r="L7" s="326"/>
      <c r="M7" s="294" t="s">
        <v>93</v>
      </c>
      <c r="N7" s="294" t="s">
        <v>104</v>
      </c>
      <c r="O7" s="294" t="s">
        <v>91</v>
      </c>
      <c r="P7" s="294" t="s">
        <v>92</v>
      </c>
      <c r="Q7" s="294" t="str">
        <f>IF(LaborCollection="Academia","F&amp;A Rate","G&amp;A Rate")</f>
        <v>G&amp;A Rate</v>
      </c>
      <c r="R7" s="304" t="s">
        <v>160</v>
      </c>
      <c r="S7" s="324"/>
      <c r="T7" s="224" t="s">
        <v>93</v>
      </c>
      <c r="U7" s="224" t="s">
        <v>105</v>
      </c>
      <c r="V7" s="224" t="s">
        <v>91</v>
      </c>
      <c r="W7" s="224" t="s">
        <v>92</v>
      </c>
      <c r="X7" s="224" t="str">
        <f>IF(LaborCollection="Academia","F&amp;A Rate","G&amp;A Rate")</f>
        <v>G&amp;A Rate</v>
      </c>
      <c r="Y7" s="307" t="s">
        <v>160</v>
      </c>
      <c r="Z7" s="322"/>
      <c r="AA7" s="225" t="s">
        <v>93</v>
      </c>
      <c r="AB7" s="225" t="s">
        <v>104</v>
      </c>
      <c r="AC7" s="225" t="s">
        <v>91</v>
      </c>
      <c r="AD7" s="225" t="s">
        <v>92</v>
      </c>
      <c r="AE7" s="225" t="str">
        <f>IF(LaborCollection="Academia","F&amp;A Rate","G&amp;A Rate")</f>
        <v>G&amp;A Rate</v>
      </c>
      <c r="AF7" s="320" t="s">
        <v>160</v>
      </c>
      <c r="AG7" s="318"/>
      <c r="AH7" s="295" t="s">
        <v>93</v>
      </c>
      <c r="AI7" s="295" t="s">
        <v>105</v>
      </c>
      <c r="AJ7" s="295" t="s">
        <v>91</v>
      </c>
      <c r="AK7" s="295" t="s">
        <v>92</v>
      </c>
      <c r="AL7" s="295" t="str">
        <f>IF(LaborCollection="Academia","F&amp;A Rate","G&amp;A Rate")</f>
        <v>G&amp;A Rate</v>
      </c>
      <c r="AM7" s="309" t="s">
        <v>160</v>
      </c>
      <c r="AN7" s="315"/>
      <c r="AO7" s="296" t="s">
        <v>93</v>
      </c>
      <c r="AP7" s="296" t="s">
        <v>104</v>
      </c>
      <c r="AQ7" s="296" t="s">
        <v>91</v>
      </c>
      <c r="AR7" s="296" t="s">
        <v>92</v>
      </c>
      <c r="AS7" s="296" t="str">
        <f>IF(LaborCollection="Academia","F&amp;A Rate","G&amp;A Rate")</f>
        <v>G&amp;A Rate</v>
      </c>
      <c r="AT7" s="313" t="s">
        <v>160</v>
      </c>
      <c r="AU7" s="311" t="s">
        <v>193</v>
      </c>
    </row>
    <row r="8" spans="1:67" x14ac:dyDescent="0.2">
      <c r="C8" s="846" t="str">
        <f>IF(ISBLANK('Direct Labor Categories'!C8),"",'Direct Labor Categories'!C8)</f>
        <v/>
      </c>
      <c r="D8" s="847"/>
      <c r="E8" s="339"/>
      <c r="F8" s="177"/>
      <c r="G8" s="234"/>
      <c r="H8" s="235"/>
      <c r="I8" s="235"/>
      <c r="J8" s="235"/>
      <c r="K8" s="300">
        <f>F8*(1+H8)*(1+I8)*(1+J8)</f>
        <v>0</v>
      </c>
      <c r="L8" s="327"/>
      <c r="M8" s="233"/>
      <c r="N8" s="333" t="str">
        <f>IF(F8=0,"N/A",((M8-F8)/F8))</f>
        <v>N/A</v>
      </c>
      <c r="O8" s="332"/>
      <c r="P8" s="235"/>
      <c r="Q8" s="235"/>
      <c r="R8" s="300">
        <f>M8*(1+O8)*(1+P8)*(1+Q8)</f>
        <v>0</v>
      </c>
      <c r="S8" s="325"/>
      <c r="T8" s="233"/>
      <c r="U8" s="333" t="str">
        <f>IF(M8=0,"N/A",((T8-M8)/M8))</f>
        <v>N/A</v>
      </c>
      <c r="V8" s="235"/>
      <c r="W8" s="235"/>
      <c r="X8" s="235"/>
      <c r="Y8" s="300">
        <f>T8*(1+V8)*(1+W8)*(1+X8)</f>
        <v>0</v>
      </c>
      <c r="Z8" s="323"/>
      <c r="AA8" s="233"/>
      <c r="AB8" s="333" t="str">
        <f>IF(T8=0,"N/A",((AA8-T8)/T8))</f>
        <v>N/A</v>
      </c>
      <c r="AC8" s="235"/>
      <c r="AD8" s="235"/>
      <c r="AE8" s="235"/>
      <c r="AF8" s="328">
        <f>AA8*(1+AC8)*(1+AD8)*(1+AE8)</f>
        <v>0</v>
      </c>
      <c r="AG8" s="321"/>
      <c r="AH8" s="233"/>
      <c r="AI8" s="291" t="str">
        <f>IF(AA8=0,"N/A",((AH8-AA8)/AA8))</f>
        <v>N/A</v>
      </c>
      <c r="AJ8" s="178"/>
      <c r="AK8" s="235"/>
      <c r="AL8" s="235"/>
      <c r="AM8" s="301">
        <f>AH8*(1+AJ8)*(1+AK8)*(1+AL8)</f>
        <v>0</v>
      </c>
      <c r="AN8" s="314"/>
      <c r="AO8" s="233"/>
      <c r="AP8" s="335" t="str">
        <f>IF(AH8=0,"N/A",((AO8-AH8)/AH8))</f>
        <v>N/A</v>
      </c>
      <c r="AQ8" s="336"/>
      <c r="AR8" s="235"/>
      <c r="AS8" s="235"/>
      <c r="AT8" s="300">
        <f>AO8*(1+AQ8)*(1+AR8)*(1+AS8)</f>
        <v>0</v>
      </c>
      <c r="AU8" s="235"/>
    </row>
    <row r="9" spans="1:67" x14ac:dyDescent="0.2">
      <c r="C9" s="846" t="str">
        <f>IF(ISBLANK('Direct Labor Categories'!C9),"",'Direct Labor Categories'!C9)</f>
        <v/>
      </c>
      <c r="D9" s="847"/>
      <c r="E9" s="339"/>
      <c r="F9" s="177"/>
      <c r="G9" s="234"/>
      <c r="H9" s="235"/>
      <c r="I9" s="235"/>
      <c r="J9" s="235"/>
      <c r="K9" s="300">
        <f t="shared" ref="K9:K47" si="0">F9*(1+H9)*(1+I9)*(1+J9)</f>
        <v>0</v>
      </c>
      <c r="L9" s="327"/>
      <c r="M9" s="233"/>
      <c r="N9" s="333" t="str">
        <f t="shared" ref="N9:N47" si="1">IF(F9=0,"N/A",((M9-F9)/F9))</f>
        <v>N/A</v>
      </c>
      <c r="O9" s="332"/>
      <c r="P9" s="235"/>
      <c r="Q9" s="235"/>
      <c r="R9" s="300">
        <f t="shared" ref="R9:R47" si="2">M9*(1+O9)*(1+P9)*(1+Q9)</f>
        <v>0</v>
      </c>
      <c r="S9" s="325"/>
      <c r="T9" s="233"/>
      <c r="U9" s="333" t="str">
        <f t="shared" ref="U9:U47" si="3">IF(M9=0,"N/A",((T9-M9)/M9))</f>
        <v>N/A</v>
      </c>
      <c r="V9" s="235"/>
      <c r="W9" s="235"/>
      <c r="X9" s="235"/>
      <c r="Y9" s="300">
        <f t="shared" ref="Y9:Y47" si="4">T9*(1+V9)*(1+W9)*(1+X9)</f>
        <v>0</v>
      </c>
      <c r="Z9" s="323"/>
      <c r="AA9" s="233"/>
      <c r="AB9" s="333" t="str">
        <f t="shared" ref="AB9:AB47" si="5">IF(T9=0,"N/A",((AA9-T9)/T9))</f>
        <v>N/A</v>
      </c>
      <c r="AC9" s="235"/>
      <c r="AD9" s="235"/>
      <c r="AE9" s="235"/>
      <c r="AF9" s="328">
        <f t="shared" ref="AF9:AF47" si="6">AA9*(1+AC9)*(1+AD9)*(1+AE9)</f>
        <v>0</v>
      </c>
      <c r="AG9" s="321"/>
      <c r="AH9" s="233"/>
      <c r="AI9" s="291" t="str">
        <f t="shared" ref="AI9:AI47" si="7">IF(AA9=0,"N/A",((AH9-AA9)/AA9))</f>
        <v>N/A</v>
      </c>
      <c r="AJ9" s="178"/>
      <c r="AK9" s="178"/>
      <c r="AL9" s="178"/>
      <c r="AM9" s="301">
        <f t="shared" ref="AM9:AM47" si="8">AH9*(1+AJ9)*(1+AK9)*(1+AL9)</f>
        <v>0</v>
      </c>
      <c r="AN9" s="314"/>
      <c r="AO9" s="233"/>
      <c r="AP9" s="335" t="str">
        <f t="shared" ref="AP9:AP47" si="9">IF(AH9=0,"N/A",((AO9-AH9)/AH9))</f>
        <v>N/A</v>
      </c>
      <c r="AQ9" s="336"/>
      <c r="AR9" s="235"/>
      <c r="AS9" s="235"/>
      <c r="AT9" s="300">
        <f t="shared" ref="AT9:AT47" si="10">AO9*(1+AQ9)*(1+AR9)*(1+AS9)</f>
        <v>0</v>
      </c>
      <c r="AU9" s="235"/>
    </row>
    <row r="10" spans="1:67" x14ac:dyDescent="0.2">
      <c r="C10" s="846" t="str">
        <f>IF(ISBLANK('Direct Labor Categories'!C10),"",'Direct Labor Categories'!C10)</f>
        <v/>
      </c>
      <c r="D10" s="847"/>
      <c r="E10" s="339"/>
      <c r="F10" s="177"/>
      <c r="G10" s="234"/>
      <c r="H10" s="235"/>
      <c r="I10" s="235"/>
      <c r="J10" s="235"/>
      <c r="K10" s="300">
        <f t="shared" si="0"/>
        <v>0</v>
      </c>
      <c r="L10" s="327"/>
      <c r="M10" s="233"/>
      <c r="N10" s="333" t="str">
        <f t="shared" si="1"/>
        <v>N/A</v>
      </c>
      <c r="O10" s="332"/>
      <c r="P10" s="235"/>
      <c r="Q10" s="235"/>
      <c r="R10" s="300">
        <f t="shared" si="2"/>
        <v>0</v>
      </c>
      <c r="S10" s="325"/>
      <c r="T10" s="233"/>
      <c r="U10" s="333" t="str">
        <f t="shared" si="3"/>
        <v>N/A</v>
      </c>
      <c r="V10" s="235"/>
      <c r="W10" s="235"/>
      <c r="X10" s="235"/>
      <c r="Y10" s="300">
        <f t="shared" si="4"/>
        <v>0</v>
      </c>
      <c r="Z10" s="323"/>
      <c r="AA10" s="233"/>
      <c r="AB10" s="333" t="str">
        <f t="shared" si="5"/>
        <v>N/A</v>
      </c>
      <c r="AC10" s="235"/>
      <c r="AD10" s="235"/>
      <c r="AE10" s="235"/>
      <c r="AF10" s="328">
        <f t="shared" si="6"/>
        <v>0</v>
      </c>
      <c r="AG10" s="321"/>
      <c r="AH10" s="233"/>
      <c r="AI10" s="291" t="str">
        <f t="shared" si="7"/>
        <v>N/A</v>
      </c>
      <c r="AJ10" s="178"/>
      <c r="AK10" s="178"/>
      <c r="AL10" s="178"/>
      <c r="AM10" s="301">
        <f t="shared" si="8"/>
        <v>0</v>
      </c>
      <c r="AN10" s="314"/>
      <c r="AO10" s="233"/>
      <c r="AP10" s="335" t="str">
        <f t="shared" si="9"/>
        <v>N/A</v>
      </c>
      <c r="AQ10" s="336"/>
      <c r="AR10" s="235"/>
      <c r="AS10" s="235"/>
      <c r="AT10" s="300">
        <f t="shared" si="10"/>
        <v>0</v>
      </c>
      <c r="AU10" s="235"/>
    </row>
    <row r="11" spans="1:67" x14ac:dyDescent="0.2">
      <c r="C11" s="846" t="str">
        <f>IF(ISBLANK('Direct Labor Categories'!C11),"",'Direct Labor Categories'!C11)</f>
        <v/>
      </c>
      <c r="D11" s="847"/>
      <c r="E11" s="339"/>
      <c r="F11" s="177"/>
      <c r="G11" s="234"/>
      <c r="H11" s="235"/>
      <c r="I11" s="235"/>
      <c r="J11" s="235"/>
      <c r="K11" s="300">
        <f t="shared" si="0"/>
        <v>0</v>
      </c>
      <c r="L11" s="327"/>
      <c r="M11" s="233"/>
      <c r="N11" s="333" t="str">
        <f t="shared" si="1"/>
        <v>N/A</v>
      </c>
      <c r="O11" s="332"/>
      <c r="P11" s="235"/>
      <c r="Q11" s="235"/>
      <c r="R11" s="300">
        <f t="shared" si="2"/>
        <v>0</v>
      </c>
      <c r="S11" s="325"/>
      <c r="T11" s="233"/>
      <c r="U11" s="333" t="str">
        <f t="shared" si="3"/>
        <v>N/A</v>
      </c>
      <c r="V11" s="235"/>
      <c r="W11" s="235"/>
      <c r="X11" s="235"/>
      <c r="Y11" s="300">
        <f t="shared" si="4"/>
        <v>0</v>
      </c>
      <c r="Z11" s="323"/>
      <c r="AA11" s="233"/>
      <c r="AB11" s="333" t="str">
        <f t="shared" si="5"/>
        <v>N/A</v>
      </c>
      <c r="AC11" s="235"/>
      <c r="AD11" s="235"/>
      <c r="AE11" s="235"/>
      <c r="AF11" s="328">
        <f t="shared" si="6"/>
        <v>0</v>
      </c>
      <c r="AG11" s="321"/>
      <c r="AH11" s="233"/>
      <c r="AI11" s="291" t="str">
        <f t="shared" si="7"/>
        <v>N/A</v>
      </c>
      <c r="AJ11" s="178"/>
      <c r="AK11" s="178"/>
      <c r="AL11" s="178"/>
      <c r="AM11" s="301">
        <f t="shared" si="8"/>
        <v>0</v>
      </c>
      <c r="AN11" s="314"/>
      <c r="AO11" s="233"/>
      <c r="AP11" s="335" t="str">
        <f t="shared" si="9"/>
        <v>N/A</v>
      </c>
      <c r="AQ11" s="336"/>
      <c r="AR11" s="235"/>
      <c r="AS11" s="235"/>
      <c r="AT11" s="300">
        <f t="shared" si="10"/>
        <v>0</v>
      </c>
      <c r="AU11" s="235"/>
    </row>
    <row r="12" spans="1:67" x14ac:dyDescent="0.2">
      <c r="C12" s="846" t="str">
        <f>IF(ISBLANK('Direct Labor Categories'!C12),"",'Direct Labor Categories'!C12)</f>
        <v/>
      </c>
      <c r="D12" s="847"/>
      <c r="E12" s="339"/>
      <c r="F12" s="177"/>
      <c r="G12" s="234"/>
      <c r="H12" s="235"/>
      <c r="I12" s="235"/>
      <c r="J12" s="235"/>
      <c r="K12" s="300">
        <f t="shared" si="0"/>
        <v>0</v>
      </c>
      <c r="L12" s="327"/>
      <c r="M12" s="233"/>
      <c r="N12" s="333" t="str">
        <f t="shared" si="1"/>
        <v>N/A</v>
      </c>
      <c r="O12" s="332"/>
      <c r="P12" s="235"/>
      <c r="Q12" s="235"/>
      <c r="R12" s="300">
        <f t="shared" si="2"/>
        <v>0</v>
      </c>
      <c r="S12" s="325"/>
      <c r="T12" s="233"/>
      <c r="U12" s="333" t="str">
        <f t="shared" si="3"/>
        <v>N/A</v>
      </c>
      <c r="V12" s="235"/>
      <c r="W12" s="235"/>
      <c r="X12" s="235"/>
      <c r="Y12" s="300">
        <f t="shared" si="4"/>
        <v>0</v>
      </c>
      <c r="Z12" s="323"/>
      <c r="AA12" s="233"/>
      <c r="AB12" s="333" t="str">
        <f t="shared" si="5"/>
        <v>N/A</v>
      </c>
      <c r="AC12" s="235"/>
      <c r="AD12" s="235"/>
      <c r="AE12" s="235"/>
      <c r="AF12" s="328">
        <f t="shared" si="6"/>
        <v>0</v>
      </c>
      <c r="AG12" s="321"/>
      <c r="AH12" s="233"/>
      <c r="AI12" s="291" t="str">
        <f t="shared" si="7"/>
        <v>N/A</v>
      </c>
      <c r="AJ12" s="178"/>
      <c r="AK12" s="178"/>
      <c r="AL12" s="178"/>
      <c r="AM12" s="301">
        <f t="shared" si="8"/>
        <v>0</v>
      </c>
      <c r="AN12" s="314"/>
      <c r="AO12" s="233"/>
      <c r="AP12" s="335" t="str">
        <f t="shared" si="9"/>
        <v>N/A</v>
      </c>
      <c r="AQ12" s="336"/>
      <c r="AR12" s="235"/>
      <c r="AS12" s="235"/>
      <c r="AT12" s="300">
        <f t="shared" si="10"/>
        <v>0</v>
      </c>
      <c r="AU12" s="235"/>
    </row>
    <row r="13" spans="1:67" x14ac:dyDescent="0.2">
      <c r="C13" s="846" t="str">
        <f>IF(ISBLANK('Direct Labor Categories'!C13),"",'Direct Labor Categories'!C13)</f>
        <v/>
      </c>
      <c r="D13" s="847"/>
      <c r="E13" s="339"/>
      <c r="F13" s="177"/>
      <c r="G13" s="234"/>
      <c r="H13" s="235"/>
      <c r="I13" s="235"/>
      <c r="J13" s="235"/>
      <c r="K13" s="300">
        <f t="shared" si="0"/>
        <v>0</v>
      </c>
      <c r="L13" s="327"/>
      <c r="M13" s="233"/>
      <c r="N13" s="333" t="str">
        <f t="shared" si="1"/>
        <v>N/A</v>
      </c>
      <c r="O13" s="332"/>
      <c r="P13" s="235"/>
      <c r="Q13" s="235"/>
      <c r="R13" s="300">
        <f t="shared" si="2"/>
        <v>0</v>
      </c>
      <c r="S13" s="325"/>
      <c r="T13" s="233"/>
      <c r="U13" s="333" t="str">
        <f t="shared" si="3"/>
        <v>N/A</v>
      </c>
      <c r="V13" s="235"/>
      <c r="W13" s="235"/>
      <c r="X13" s="235"/>
      <c r="Y13" s="300">
        <f t="shared" si="4"/>
        <v>0</v>
      </c>
      <c r="Z13" s="323"/>
      <c r="AA13" s="233"/>
      <c r="AB13" s="333" t="str">
        <f t="shared" si="5"/>
        <v>N/A</v>
      </c>
      <c r="AC13" s="235"/>
      <c r="AD13" s="235"/>
      <c r="AE13" s="235"/>
      <c r="AF13" s="328">
        <f t="shared" si="6"/>
        <v>0</v>
      </c>
      <c r="AG13" s="321"/>
      <c r="AH13" s="233"/>
      <c r="AI13" s="291" t="str">
        <f t="shared" si="7"/>
        <v>N/A</v>
      </c>
      <c r="AJ13" s="178"/>
      <c r="AK13" s="178"/>
      <c r="AL13" s="178"/>
      <c r="AM13" s="301">
        <f t="shared" si="8"/>
        <v>0</v>
      </c>
      <c r="AN13" s="314"/>
      <c r="AO13" s="233"/>
      <c r="AP13" s="335" t="str">
        <f t="shared" si="9"/>
        <v>N/A</v>
      </c>
      <c r="AQ13" s="336"/>
      <c r="AR13" s="235"/>
      <c r="AS13" s="235"/>
      <c r="AT13" s="300">
        <f t="shared" si="10"/>
        <v>0</v>
      </c>
      <c r="AU13" s="235"/>
    </row>
    <row r="14" spans="1:67" x14ac:dyDescent="0.2">
      <c r="C14" s="846" t="str">
        <f>IF(ISBLANK('Direct Labor Categories'!C14),"",'Direct Labor Categories'!C14)</f>
        <v/>
      </c>
      <c r="D14" s="847"/>
      <c r="E14" s="339"/>
      <c r="F14" s="177"/>
      <c r="G14" s="234"/>
      <c r="H14" s="235"/>
      <c r="I14" s="235"/>
      <c r="J14" s="235"/>
      <c r="K14" s="300">
        <f t="shared" si="0"/>
        <v>0</v>
      </c>
      <c r="L14" s="327"/>
      <c r="M14" s="233"/>
      <c r="N14" s="333" t="str">
        <f t="shared" si="1"/>
        <v>N/A</v>
      </c>
      <c r="O14" s="332"/>
      <c r="P14" s="235"/>
      <c r="Q14" s="235"/>
      <c r="R14" s="300">
        <f t="shared" si="2"/>
        <v>0</v>
      </c>
      <c r="S14" s="325"/>
      <c r="T14" s="233"/>
      <c r="U14" s="333" t="str">
        <f t="shared" si="3"/>
        <v>N/A</v>
      </c>
      <c r="V14" s="235"/>
      <c r="W14" s="235"/>
      <c r="X14" s="235"/>
      <c r="Y14" s="300">
        <f t="shared" si="4"/>
        <v>0</v>
      </c>
      <c r="Z14" s="323"/>
      <c r="AA14" s="233"/>
      <c r="AB14" s="333" t="str">
        <f t="shared" si="5"/>
        <v>N/A</v>
      </c>
      <c r="AC14" s="235"/>
      <c r="AD14" s="235"/>
      <c r="AE14" s="235"/>
      <c r="AF14" s="328">
        <f t="shared" si="6"/>
        <v>0</v>
      </c>
      <c r="AG14" s="321"/>
      <c r="AH14" s="233"/>
      <c r="AI14" s="291" t="str">
        <f t="shared" si="7"/>
        <v>N/A</v>
      </c>
      <c r="AJ14" s="178"/>
      <c r="AK14" s="178"/>
      <c r="AL14" s="178"/>
      <c r="AM14" s="301">
        <f t="shared" si="8"/>
        <v>0</v>
      </c>
      <c r="AN14" s="314"/>
      <c r="AO14" s="233"/>
      <c r="AP14" s="335" t="str">
        <f t="shared" si="9"/>
        <v>N/A</v>
      </c>
      <c r="AQ14" s="336"/>
      <c r="AR14" s="235"/>
      <c r="AS14" s="235"/>
      <c r="AT14" s="300">
        <f t="shared" si="10"/>
        <v>0</v>
      </c>
      <c r="AU14" s="235"/>
    </row>
    <row r="15" spans="1:67" x14ac:dyDescent="0.2">
      <c r="C15" s="846" t="str">
        <f>IF(ISBLANK('Direct Labor Categories'!C15),"",'Direct Labor Categories'!C15)</f>
        <v/>
      </c>
      <c r="D15" s="847"/>
      <c r="E15" s="339"/>
      <c r="F15" s="177"/>
      <c r="G15" s="234"/>
      <c r="H15" s="235"/>
      <c r="I15" s="235"/>
      <c r="J15" s="235"/>
      <c r="K15" s="300">
        <f t="shared" si="0"/>
        <v>0</v>
      </c>
      <c r="L15" s="327"/>
      <c r="M15" s="233"/>
      <c r="N15" s="333" t="str">
        <f t="shared" si="1"/>
        <v>N/A</v>
      </c>
      <c r="O15" s="332"/>
      <c r="P15" s="235"/>
      <c r="Q15" s="235"/>
      <c r="R15" s="300">
        <f t="shared" si="2"/>
        <v>0</v>
      </c>
      <c r="S15" s="325"/>
      <c r="T15" s="233"/>
      <c r="U15" s="333" t="str">
        <f t="shared" si="3"/>
        <v>N/A</v>
      </c>
      <c r="V15" s="235"/>
      <c r="W15" s="235"/>
      <c r="X15" s="235"/>
      <c r="Y15" s="300">
        <f t="shared" si="4"/>
        <v>0</v>
      </c>
      <c r="Z15" s="323"/>
      <c r="AA15" s="233"/>
      <c r="AB15" s="333" t="str">
        <f t="shared" si="5"/>
        <v>N/A</v>
      </c>
      <c r="AC15" s="235"/>
      <c r="AD15" s="235"/>
      <c r="AE15" s="235"/>
      <c r="AF15" s="328">
        <f t="shared" si="6"/>
        <v>0</v>
      </c>
      <c r="AG15" s="321"/>
      <c r="AH15" s="233"/>
      <c r="AI15" s="291" t="str">
        <f t="shared" si="7"/>
        <v>N/A</v>
      </c>
      <c r="AJ15" s="178"/>
      <c r="AK15" s="178"/>
      <c r="AL15" s="178"/>
      <c r="AM15" s="301">
        <f t="shared" si="8"/>
        <v>0</v>
      </c>
      <c r="AN15" s="314"/>
      <c r="AO15" s="233"/>
      <c r="AP15" s="335" t="str">
        <f t="shared" si="9"/>
        <v>N/A</v>
      </c>
      <c r="AQ15" s="336"/>
      <c r="AR15" s="235"/>
      <c r="AS15" s="235"/>
      <c r="AT15" s="300">
        <f t="shared" si="10"/>
        <v>0</v>
      </c>
      <c r="AU15" s="235"/>
    </row>
    <row r="16" spans="1:67" x14ac:dyDescent="0.2">
      <c r="C16" s="846" t="str">
        <f>IF(ISBLANK('Direct Labor Categories'!C16),"",'Direct Labor Categories'!C16)</f>
        <v/>
      </c>
      <c r="D16" s="847"/>
      <c r="E16" s="339"/>
      <c r="F16" s="177"/>
      <c r="G16" s="234"/>
      <c r="H16" s="235"/>
      <c r="I16" s="235"/>
      <c r="J16" s="235"/>
      <c r="K16" s="300">
        <f t="shared" si="0"/>
        <v>0</v>
      </c>
      <c r="L16" s="327"/>
      <c r="M16" s="233"/>
      <c r="N16" s="333" t="str">
        <f t="shared" si="1"/>
        <v>N/A</v>
      </c>
      <c r="O16" s="332"/>
      <c r="P16" s="235"/>
      <c r="Q16" s="235"/>
      <c r="R16" s="300">
        <f t="shared" si="2"/>
        <v>0</v>
      </c>
      <c r="S16" s="325"/>
      <c r="T16" s="177"/>
      <c r="U16" s="333" t="str">
        <f t="shared" si="3"/>
        <v>N/A</v>
      </c>
      <c r="V16" s="235"/>
      <c r="W16" s="235"/>
      <c r="X16" s="235"/>
      <c r="Y16" s="300">
        <f t="shared" si="4"/>
        <v>0</v>
      </c>
      <c r="Z16" s="323"/>
      <c r="AA16" s="233"/>
      <c r="AB16" s="333" t="str">
        <f t="shared" si="5"/>
        <v>N/A</v>
      </c>
      <c r="AC16" s="235"/>
      <c r="AD16" s="235"/>
      <c r="AE16" s="235"/>
      <c r="AF16" s="328">
        <f t="shared" si="6"/>
        <v>0</v>
      </c>
      <c r="AG16" s="321"/>
      <c r="AH16" s="177"/>
      <c r="AI16" s="291" t="str">
        <f t="shared" si="7"/>
        <v>N/A</v>
      </c>
      <c r="AJ16" s="178"/>
      <c r="AK16" s="178"/>
      <c r="AL16" s="178"/>
      <c r="AM16" s="301">
        <f t="shared" si="8"/>
        <v>0</v>
      </c>
      <c r="AN16" s="314"/>
      <c r="AO16" s="334"/>
      <c r="AP16" s="335" t="str">
        <f t="shared" si="9"/>
        <v>N/A</v>
      </c>
      <c r="AQ16" s="336"/>
      <c r="AR16" s="235"/>
      <c r="AS16" s="235"/>
      <c r="AT16" s="300">
        <f t="shared" si="10"/>
        <v>0</v>
      </c>
      <c r="AU16" s="235"/>
    </row>
    <row r="17" spans="3:47" x14ac:dyDescent="0.2">
      <c r="C17" s="846" t="str">
        <f>IF(ISBLANK('Direct Labor Categories'!C17),"",'Direct Labor Categories'!C17)</f>
        <v/>
      </c>
      <c r="D17" s="847"/>
      <c r="E17" s="339"/>
      <c r="F17" s="177"/>
      <c r="G17" s="234"/>
      <c r="H17" s="235"/>
      <c r="I17" s="235"/>
      <c r="J17" s="235"/>
      <c r="K17" s="300">
        <f t="shared" si="0"/>
        <v>0</v>
      </c>
      <c r="L17" s="327"/>
      <c r="M17" s="233"/>
      <c r="N17" s="333" t="str">
        <f t="shared" si="1"/>
        <v>N/A</v>
      </c>
      <c r="O17" s="332"/>
      <c r="P17" s="235"/>
      <c r="Q17" s="235"/>
      <c r="R17" s="300">
        <f t="shared" si="2"/>
        <v>0</v>
      </c>
      <c r="S17" s="325"/>
      <c r="T17" s="177"/>
      <c r="U17" s="333" t="str">
        <f t="shared" si="3"/>
        <v>N/A</v>
      </c>
      <c r="V17" s="235"/>
      <c r="W17" s="235"/>
      <c r="X17" s="235"/>
      <c r="Y17" s="300">
        <f t="shared" si="4"/>
        <v>0</v>
      </c>
      <c r="Z17" s="323"/>
      <c r="AA17" s="233"/>
      <c r="AB17" s="333" t="str">
        <f t="shared" si="5"/>
        <v>N/A</v>
      </c>
      <c r="AC17" s="235"/>
      <c r="AD17" s="235"/>
      <c r="AE17" s="235"/>
      <c r="AF17" s="328">
        <f t="shared" si="6"/>
        <v>0</v>
      </c>
      <c r="AG17" s="321"/>
      <c r="AH17" s="177"/>
      <c r="AI17" s="291" t="str">
        <f t="shared" si="7"/>
        <v>N/A</v>
      </c>
      <c r="AJ17" s="178"/>
      <c r="AK17" s="178"/>
      <c r="AL17" s="178"/>
      <c r="AM17" s="301">
        <f t="shared" si="8"/>
        <v>0</v>
      </c>
      <c r="AN17" s="314"/>
      <c r="AO17" s="334"/>
      <c r="AP17" s="335" t="str">
        <f t="shared" si="9"/>
        <v>N/A</v>
      </c>
      <c r="AQ17" s="336"/>
      <c r="AR17" s="235"/>
      <c r="AS17" s="235"/>
      <c r="AT17" s="300">
        <f t="shared" si="10"/>
        <v>0</v>
      </c>
      <c r="AU17" s="235"/>
    </row>
    <row r="18" spans="3:47" x14ac:dyDescent="0.2">
      <c r="C18" s="846" t="str">
        <f>IF(ISBLANK('Direct Labor Categories'!C18),"",'Direct Labor Categories'!C18)</f>
        <v/>
      </c>
      <c r="D18" s="847"/>
      <c r="E18" s="339"/>
      <c r="F18" s="177"/>
      <c r="G18" s="234"/>
      <c r="H18" s="235"/>
      <c r="I18" s="235"/>
      <c r="J18" s="235"/>
      <c r="K18" s="300">
        <f t="shared" si="0"/>
        <v>0</v>
      </c>
      <c r="L18" s="327"/>
      <c r="M18" s="233"/>
      <c r="N18" s="333" t="str">
        <f t="shared" si="1"/>
        <v>N/A</v>
      </c>
      <c r="O18" s="332"/>
      <c r="P18" s="235"/>
      <c r="Q18" s="235"/>
      <c r="R18" s="300">
        <f t="shared" si="2"/>
        <v>0</v>
      </c>
      <c r="S18" s="325"/>
      <c r="T18" s="177"/>
      <c r="U18" s="333" t="str">
        <f t="shared" si="3"/>
        <v>N/A</v>
      </c>
      <c r="V18" s="235"/>
      <c r="W18" s="235"/>
      <c r="X18" s="235"/>
      <c r="Y18" s="300">
        <f t="shared" si="4"/>
        <v>0</v>
      </c>
      <c r="Z18" s="323"/>
      <c r="AA18" s="233"/>
      <c r="AB18" s="333" t="str">
        <f t="shared" si="5"/>
        <v>N/A</v>
      </c>
      <c r="AC18" s="235"/>
      <c r="AD18" s="235"/>
      <c r="AE18" s="235"/>
      <c r="AF18" s="328">
        <f t="shared" si="6"/>
        <v>0</v>
      </c>
      <c r="AG18" s="321"/>
      <c r="AH18" s="177"/>
      <c r="AI18" s="291" t="str">
        <f t="shared" si="7"/>
        <v>N/A</v>
      </c>
      <c r="AJ18" s="178"/>
      <c r="AK18" s="178"/>
      <c r="AL18" s="178"/>
      <c r="AM18" s="301">
        <f t="shared" si="8"/>
        <v>0</v>
      </c>
      <c r="AN18" s="314"/>
      <c r="AO18" s="334"/>
      <c r="AP18" s="335" t="str">
        <f t="shared" si="9"/>
        <v>N/A</v>
      </c>
      <c r="AQ18" s="336"/>
      <c r="AR18" s="235"/>
      <c r="AS18" s="235"/>
      <c r="AT18" s="300">
        <f t="shared" si="10"/>
        <v>0</v>
      </c>
      <c r="AU18" s="235"/>
    </row>
    <row r="19" spans="3:47" x14ac:dyDescent="0.2">
      <c r="C19" s="846" t="str">
        <f>IF(ISBLANK('Direct Labor Categories'!C19),"",'Direct Labor Categories'!C19)</f>
        <v/>
      </c>
      <c r="D19" s="847"/>
      <c r="E19" s="339"/>
      <c r="F19" s="177"/>
      <c r="G19" s="234"/>
      <c r="H19" s="235"/>
      <c r="I19" s="235"/>
      <c r="J19" s="235"/>
      <c r="K19" s="300">
        <f t="shared" si="0"/>
        <v>0</v>
      </c>
      <c r="L19" s="327"/>
      <c r="M19" s="233"/>
      <c r="N19" s="333" t="str">
        <f t="shared" si="1"/>
        <v>N/A</v>
      </c>
      <c r="O19" s="332"/>
      <c r="P19" s="235"/>
      <c r="Q19" s="235"/>
      <c r="R19" s="300">
        <f t="shared" si="2"/>
        <v>0</v>
      </c>
      <c r="S19" s="325"/>
      <c r="T19" s="177"/>
      <c r="U19" s="333" t="str">
        <f t="shared" si="3"/>
        <v>N/A</v>
      </c>
      <c r="V19" s="235"/>
      <c r="W19" s="235"/>
      <c r="X19" s="235"/>
      <c r="Y19" s="300">
        <f t="shared" si="4"/>
        <v>0</v>
      </c>
      <c r="Z19" s="323"/>
      <c r="AA19" s="233"/>
      <c r="AB19" s="333" t="str">
        <f t="shared" si="5"/>
        <v>N/A</v>
      </c>
      <c r="AC19" s="235"/>
      <c r="AD19" s="235"/>
      <c r="AE19" s="235"/>
      <c r="AF19" s="328">
        <f t="shared" si="6"/>
        <v>0</v>
      </c>
      <c r="AG19" s="321"/>
      <c r="AH19" s="177"/>
      <c r="AI19" s="291" t="str">
        <f t="shared" si="7"/>
        <v>N/A</v>
      </c>
      <c r="AJ19" s="178"/>
      <c r="AK19" s="178"/>
      <c r="AL19" s="178"/>
      <c r="AM19" s="301">
        <f t="shared" si="8"/>
        <v>0</v>
      </c>
      <c r="AN19" s="314"/>
      <c r="AO19" s="334"/>
      <c r="AP19" s="335" t="str">
        <f t="shared" si="9"/>
        <v>N/A</v>
      </c>
      <c r="AQ19" s="336"/>
      <c r="AR19" s="235"/>
      <c r="AS19" s="235"/>
      <c r="AT19" s="300">
        <f t="shared" si="10"/>
        <v>0</v>
      </c>
      <c r="AU19" s="235"/>
    </row>
    <row r="20" spans="3:47" x14ac:dyDescent="0.2">
      <c r="C20" s="846" t="str">
        <f>IF(ISBLANK('Direct Labor Categories'!C20),"",'Direct Labor Categories'!C20)</f>
        <v/>
      </c>
      <c r="D20" s="847"/>
      <c r="E20" s="339"/>
      <c r="F20" s="177"/>
      <c r="G20" s="234"/>
      <c r="H20" s="235"/>
      <c r="I20" s="235"/>
      <c r="J20" s="235"/>
      <c r="K20" s="300">
        <f t="shared" si="0"/>
        <v>0</v>
      </c>
      <c r="L20" s="327"/>
      <c r="M20" s="233"/>
      <c r="N20" s="333" t="str">
        <f t="shared" si="1"/>
        <v>N/A</v>
      </c>
      <c r="O20" s="332"/>
      <c r="P20" s="235"/>
      <c r="Q20" s="235"/>
      <c r="R20" s="300">
        <f t="shared" si="2"/>
        <v>0</v>
      </c>
      <c r="S20" s="325"/>
      <c r="T20" s="177"/>
      <c r="U20" s="333" t="str">
        <f t="shared" si="3"/>
        <v>N/A</v>
      </c>
      <c r="V20" s="235"/>
      <c r="W20" s="235"/>
      <c r="X20" s="235"/>
      <c r="Y20" s="300">
        <f t="shared" si="4"/>
        <v>0</v>
      </c>
      <c r="Z20" s="323"/>
      <c r="AA20" s="233"/>
      <c r="AB20" s="333" t="str">
        <f t="shared" si="5"/>
        <v>N/A</v>
      </c>
      <c r="AC20" s="235"/>
      <c r="AD20" s="235"/>
      <c r="AE20" s="235"/>
      <c r="AF20" s="328">
        <f t="shared" si="6"/>
        <v>0</v>
      </c>
      <c r="AG20" s="321"/>
      <c r="AH20" s="177"/>
      <c r="AI20" s="291" t="str">
        <f t="shared" si="7"/>
        <v>N/A</v>
      </c>
      <c r="AJ20" s="178"/>
      <c r="AK20" s="178"/>
      <c r="AL20" s="178"/>
      <c r="AM20" s="301">
        <f t="shared" si="8"/>
        <v>0</v>
      </c>
      <c r="AN20" s="314"/>
      <c r="AO20" s="334"/>
      <c r="AP20" s="335" t="str">
        <f t="shared" si="9"/>
        <v>N/A</v>
      </c>
      <c r="AQ20" s="336"/>
      <c r="AR20" s="235"/>
      <c r="AS20" s="235"/>
      <c r="AT20" s="300">
        <f t="shared" si="10"/>
        <v>0</v>
      </c>
      <c r="AU20" s="235"/>
    </row>
    <row r="21" spans="3:47" x14ac:dyDescent="0.2">
      <c r="C21" s="846" t="str">
        <f>IF(ISBLANK('Direct Labor Categories'!C21),"",'Direct Labor Categories'!C21)</f>
        <v/>
      </c>
      <c r="D21" s="847"/>
      <c r="E21" s="339"/>
      <c r="F21" s="177"/>
      <c r="G21" s="234"/>
      <c r="H21" s="235"/>
      <c r="I21" s="235"/>
      <c r="J21" s="235"/>
      <c r="K21" s="300">
        <f t="shared" si="0"/>
        <v>0</v>
      </c>
      <c r="L21" s="327"/>
      <c r="M21" s="233"/>
      <c r="N21" s="333" t="str">
        <f t="shared" si="1"/>
        <v>N/A</v>
      </c>
      <c r="O21" s="332"/>
      <c r="P21" s="235"/>
      <c r="Q21" s="235"/>
      <c r="R21" s="300">
        <f t="shared" si="2"/>
        <v>0</v>
      </c>
      <c r="S21" s="325"/>
      <c r="T21" s="177"/>
      <c r="U21" s="333" t="str">
        <f t="shared" si="3"/>
        <v>N/A</v>
      </c>
      <c r="V21" s="235"/>
      <c r="W21" s="235"/>
      <c r="X21" s="235"/>
      <c r="Y21" s="300">
        <f t="shared" si="4"/>
        <v>0</v>
      </c>
      <c r="Z21" s="323"/>
      <c r="AA21" s="233"/>
      <c r="AB21" s="333" t="str">
        <f t="shared" si="5"/>
        <v>N/A</v>
      </c>
      <c r="AC21" s="235"/>
      <c r="AD21" s="235"/>
      <c r="AE21" s="235"/>
      <c r="AF21" s="328">
        <f t="shared" si="6"/>
        <v>0</v>
      </c>
      <c r="AG21" s="321"/>
      <c r="AH21" s="177"/>
      <c r="AI21" s="291" t="str">
        <f t="shared" si="7"/>
        <v>N/A</v>
      </c>
      <c r="AJ21" s="178"/>
      <c r="AK21" s="178"/>
      <c r="AL21" s="178"/>
      <c r="AM21" s="301">
        <f t="shared" si="8"/>
        <v>0</v>
      </c>
      <c r="AN21" s="314"/>
      <c r="AO21" s="334"/>
      <c r="AP21" s="335" t="str">
        <f t="shared" si="9"/>
        <v>N/A</v>
      </c>
      <c r="AQ21" s="336"/>
      <c r="AR21" s="235"/>
      <c r="AS21" s="235"/>
      <c r="AT21" s="300">
        <f t="shared" si="10"/>
        <v>0</v>
      </c>
      <c r="AU21" s="235"/>
    </row>
    <row r="22" spans="3:47" x14ac:dyDescent="0.2">
      <c r="C22" s="846" t="str">
        <f>IF(ISBLANK('Direct Labor Categories'!C22),"",'Direct Labor Categories'!C22)</f>
        <v/>
      </c>
      <c r="D22" s="847"/>
      <c r="E22" s="339"/>
      <c r="F22" s="177"/>
      <c r="G22" s="234"/>
      <c r="H22" s="235"/>
      <c r="I22" s="235"/>
      <c r="J22" s="235"/>
      <c r="K22" s="300">
        <f t="shared" si="0"/>
        <v>0</v>
      </c>
      <c r="L22" s="327"/>
      <c r="M22" s="233"/>
      <c r="N22" s="333" t="str">
        <f t="shared" si="1"/>
        <v>N/A</v>
      </c>
      <c r="O22" s="332"/>
      <c r="P22" s="235"/>
      <c r="Q22" s="235"/>
      <c r="R22" s="300">
        <f t="shared" si="2"/>
        <v>0</v>
      </c>
      <c r="S22" s="325"/>
      <c r="T22" s="177"/>
      <c r="U22" s="333" t="str">
        <f t="shared" si="3"/>
        <v>N/A</v>
      </c>
      <c r="V22" s="235"/>
      <c r="W22" s="235"/>
      <c r="X22" s="235"/>
      <c r="Y22" s="300">
        <f t="shared" si="4"/>
        <v>0</v>
      </c>
      <c r="Z22" s="323"/>
      <c r="AA22" s="233"/>
      <c r="AB22" s="333" t="str">
        <f t="shared" si="5"/>
        <v>N/A</v>
      </c>
      <c r="AC22" s="235"/>
      <c r="AD22" s="235"/>
      <c r="AE22" s="235"/>
      <c r="AF22" s="328">
        <f t="shared" si="6"/>
        <v>0</v>
      </c>
      <c r="AG22" s="321"/>
      <c r="AH22" s="177"/>
      <c r="AI22" s="291" t="str">
        <f t="shared" si="7"/>
        <v>N/A</v>
      </c>
      <c r="AJ22" s="178"/>
      <c r="AK22" s="178"/>
      <c r="AL22" s="178"/>
      <c r="AM22" s="301">
        <f t="shared" si="8"/>
        <v>0</v>
      </c>
      <c r="AN22" s="314"/>
      <c r="AO22" s="334"/>
      <c r="AP22" s="335" t="str">
        <f t="shared" si="9"/>
        <v>N/A</v>
      </c>
      <c r="AQ22" s="336"/>
      <c r="AR22" s="235"/>
      <c r="AS22" s="235"/>
      <c r="AT22" s="300">
        <f t="shared" si="10"/>
        <v>0</v>
      </c>
      <c r="AU22" s="235"/>
    </row>
    <row r="23" spans="3:47" x14ac:dyDescent="0.2">
      <c r="C23" s="846" t="str">
        <f>IF(ISBLANK('Direct Labor Categories'!C23),"",'Direct Labor Categories'!C23)</f>
        <v/>
      </c>
      <c r="D23" s="847"/>
      <c r="E23" s="339"/>
      <c r="F23" s="177"/>
      <c r="G23" s="234"/>
      <c r="H23" s="235"/>
      <c r="I23" s="235"/>
      <c r="J23" s="235"/>
      <c r="K23" s="300">
        <f t="shared" si="0"/>
        <v>0</v>
      </c>
      <c r="L23" s="327"/>
      <c r="M23" s="233"/>
      <c r="N23" s="333" t="str">
        <f t="shared" si="1"/>
        <v>N/A</v>
      </c>
      <c r="O23" s="332"/>
      <c r="P23" s="235"/>
      <c r="Q23" s="235"/>
      <c r="R23" s="300">
        <f t="shared" si="2"/>
        <v>0</v>
      </c>
      <c r="S23" s="325"/>
      <c r="T23" s="177"/>
      <c r="U23" s="333" t="str">
        <f t="shared" si="3"/>
        <v>N/A</v>
      </c>
      <c r="V23" s="235"/>
      <c r="W23" s="235"/>
      <c r="X23" s="235"/>
      <c r="Y23" s="300">
        <f t="shared" si="4"/>
        <v>0</v>
      </c>
      <c r="Z23" s="323"/>
      <c r="AA23" s="233"/>
      <c r="AB23" s="333" t="str">
        <f t="shared" si="5"/>
        <v>N/A</v>
      </c>
      <c r="AC23" s="235"/>
      <c r="AD23" s="235"/>
      <c r="AE23" s="235"/>
      <c r="AF23" s="328">
        <f t="shared" si="6"/>
        <v>0</v>
      </c>
      <c r="AG23" s="321"/>
      <c r="AH23" s="177"/>
      <c r="AI23" s="291" t="str">
        <f t="shared" si="7"/>
        <v>N/A</v>
      </c>
      <c r="AJ23" s="178"/>
      <c r="AK23" s="178"/>
      <c r="AL23" s="178"/>
      <c r="AM23" s="301">
        <f t="shared" si="8"/>
        <v>0</v>
      </c>
      <c r="AN23" s="314"/>
      <c r="AO23" s="334"/>
      <c r="AP23" s="335" t="str">
        <f t="shared" si="9"/>
        <v>N/A</v>
      </c>
      <c r="AQ23" s="336"/>
      <c r="AR23" s="235"/>
      <c r="AS23" s="235"/>
      <c r="AT23" s="300">
        <f t="shared" si="10"/>
        <v>0</v>
      </c>
      <c r="AU23" s="235"/>
    </row>
    <row r="24" spans="3:47" x14ac:dyDescent="0.2">
      <c r="C24" s="846" t="str">
        <f>IF(ISBLANK('Direct Labor Categories'!C24),"",'Direct Labor Categories'!C24)</f>
        <v/>
      </c>
      <c r="D24" s="847"/>
      <c r="E24" s="339"/>
      <c r="F24" s="177"/>
      <c r="G24" s="234"/>
      <c r="H24" s="235"/>
      <c r="I24" s="235"/>
      <c r="J24" s="235"/>
      <c r="K24" s="300">
        <f t="shared" si="0"/>
        <v>0</v>
      </c>
      <c r="L24" s="327"/>
      <c r="M24" s="233"/>
      <c r="N24" s="333" t="str">
        <f t="shared" si="1"/>
        <v>N/A</v>
      </c>
      <c r="O24" s="332"/>
      <c r="P24" s="235"/>
      <c r="Q24" s="235"/>
      <c r="R24" s="300">
        <f t="shared" si="2"/>
        <v>0</v>
      </c>
      <c r="S24" s="325"/>
      <c r="T24" s="177"/>
      <c r="U24" s="333" t="str">
        <f t="shared" si="3"/>
        <v>N/A</v>
      </c>
      <c r="V24" s="235"/>
      <c r="W24" s="235"/>
      <c r="X24" s="235"/>
      <c r="Y24" s="300">
        <f t="shared" si="4"/>
        <v>0</v>
      </c>
      <c r="Z24" s="323"/>
      <c r="AA24" s="177"/>
      <c r="AB24" s="333" t="str">
        <f t="shared" si="5"/>
        <v>N/A</v>
      </c>
      <c r="AC24" s="235"/>
      <c r="AD24" s="235"/>
      <c r="AE24" s="235"/>
      <c r="AF24" s="328">
        <f t="shared" si="6"/>
        <v>0</v>
      </c>
      <c r="AG24" s="321"/>
      <c r="AH24" s="177"/>
      <c r="AI24" s="291" t="str">
        <f t="shared" si="7"/>
        <v>N/A</v>
      </c>
      <c r="AJ24" s="178"/>
      <c r="AK24" s="178"/>
      <c r="AL24" s="178"/>
      <c r="AM24" s="301">
        <f t="shared" si="8"/>
        <v>0</v>
      </c>
      <c r="AN24" s="314"/>
      <c r="AO24" s="334"/>
      <c r="AP24" s="335" t="str">
        <f t="shared" si="9"/>
        <v>N/A</v>
      </c>
      <c r="AQ24" s="336"/>
      <c r="AR24" s="235"/>
      <c r="AS24" s="235"/>
      <c r="AT24" s="300">
        <f t="shared" si="10"/>
        <v>0</v>
      </c>
      <c r="AU24" s="235"/>
    </row>
    <row r="25" spans="3:47" x14ac:dyDescent="0.2">
      <c r="C25" s="846" t="str">
        <f>IF(ISBLANK('Direct Labor Categories'!C25),"",'Direct Labor Categories'!C25)</f>
        <v/>
      </c>
      <c r="D25" s="847"/>
      <c r="E25" s="339"/>
      <c r="F25" s="177"/>
      <c r="G25" s="234"/>
      <c r="H25" s="235"/>
      <c r="I25" s="235"/>
      <c r="J25" s="235"/>
      <c r="K25" s="300">
        <f t="shared" si="0"/>
        <v>0</v>
      </c>
      <c r="L25" s="327"/>
      <c r="M25" s="233"/>
      <c r="N25" s="333" t="str">
        <f t="shared" si="1"/>
        <v>N/A</v>
      </c>
      <c r="O25" s="332"/>
      <c r="P25" s="235"/>
      <c r="Q25" s="235"/>
      <c r="R25" s="300">
        <f t="shared" si="2"/>
        <v>0</v>
      </c>
      <c r="S25" s="325"/>
      <c r="T25" s="177"/>
      <c r="U25" s="333" t="str">
        <f t="shared" si="3"/>
        <v>N/A</v>
      </c>
      <c r="V25" s="235"/>
      <c r="W25" s="235"/>
      <c r="X25" s="235"/>
      <c r="Y25" s="300">
        <f t="shared" si="4"/>
        <v>0</v>
      </c>
      <c r="Z25" s="323"/>
      <c r="AA25" s="177"/>
      <c r="AB25" s="333" t="str">
        <f t="shared" si="5"/>
        <v>N/A</v>
      </c>
      <c r="AC25" s="235"/>
      <c r="AD25" s="235"/>
      <c r="AE25" s="235"/>
      <c r="AF25" s="328">
        <f t="shared" si="6"/>
        <v>0</v>
      </c>
      <c r="AG25" s="321"/>
      <c r="AH25" s="177"/>
      <c r="AI25" s="291" t="str">
        <f t="shared" si="7"/>
        <v>N/A</v>
      </c>
      <c r="AJ25" s="178"/>
      <c r="AK25" s="178"/>
      <c r="AL25" s="178"/>
      <c r="AM25" s="301">
        <f t="shared" si="8"/>
        <v>0</v>
      </c>
      <c r="AN25" s="314"/>
      <c r="AO25" s="334"/>
      <c r="AP25" s="335" t="str">
        <f t="shared" si="9"/>
        <v>N/A</v>
      </c>
      <c r="AQ25" s="336"/>
      <c r="AR25" s="235"/>
      <c r="AS25" s="235"/>
      <c r="AT25" s="300">
        <f t="shared" si="10"/>
        <v>0</v>
      </c>
      <c r="AU25" s="235"/>
    </row>
    <row r="26" spans="3:47" x14ac:dyDescent="0.2">
      <c r="C26" s="846" t="str">
        <f>IF(ISBLANK('Direct Labor Categories'!C26),"",'Direct Labor Categories'!C26)</f>
        <v/>
      </c>
      <c r="D26" s="847"/>
      <c r="E26" s="339"/>
      <c r="F26" s="177"/>
      <c r="G26" s="234"/>
      <c r="H26" s="235"/>
      <c r="I26" s="235"/>
      <c r="J26" s="235"/>
      <c r="K26" s="300">
        <f t="shared" si="0"/>
        <v>0</v>
      </c>
      <c r="L26" s="327"/>
      <c r="M26" s="233"/>
      <c r="N26" s="333" t="str">
        <f t="shared" si="1"/>
        <v>N/A</v>
      </c>
      <c r="O26" s="332"/>
      <c r="P26" s="235"/>
      <c r="Q26" s="235"/>
      <c r="R26" s="300">
        <f t="shared" si="2"/>
        <v>0</v>
      </c>
      <c r="S26" s="325"/>
      <c r="T26" s="177"/>
      <c r="U26" s="333" t="str">
        <f t="shared" si="3"/>
        <v>N/A</v>
      </c>
      <c r="V26" s="235"/>
      <c r="W26" s="235"/>
      <c r="X26" s="235"/>
      <c r="Y26" s="300">
        <f t="shared" si="4"/>
        <v>0</v>
      </c>
      <c r="Z26" s="323"/>
      <c r="AA26" s="177"/>
      <c r="AB26" s="333" t="str">
        <f t="shared" si="5"/>
        <v>N/A</v>
      </c>
      <c r="AC26" s="235"/>
      <c r="AD26" s="235"/>
      <c r="AE26" s="235"/>
      <c r="AF26" s="328">
        <f t="shared" si="6"/>
        <v>0</v>
      </c>
      <c r="AG26" s="321"/>
      <c r="AH26" s="177"/>
      <c r="AI26" s="291" t="str">
        <f t="shared" si="7"/>
        <v>N/A</v>
      </c>
      <c r="AJ26" s="178"/>
      <c r="AK26" s="178"/>
      <c r="AL26" s="178"/>
      <c r="AM26" s="301">
        <f t="shared" si="8"/>
        <v>0</v>
      </c>
      <c r="AN26" s="314"/>
      <c r="AO26" s="334"/>
      <c r="AP26" s="335" t="str">
        <f t="shared" si="9"/>
        <v>N/A</v>
      </c>
      <c r="AQ26" s="336"/>
      <c r="AR26" s="235"/>
      <c r="AS26" s="235"/>
      <c r="AT26" s="300">
        <f t="shared" si="10"/>
        <v>0</v>
      </c>
      <c r="AU26" s="235"/>
    </row>
    <row r="27" spans="3:47" x14ac:dyDescent="0.2">
      <c r="C27" s="846" t="str">
        <f>IF(ISBLANK('Direct Labor Categories'!C27),"",'Direct Labor Categories'!C27)</f>
        <v/>
      </c>
      <c r="D27" s="847"/>
      <c r="E27" s="339"/>
      <c r="F27" s="177"/>
      <c r="G27" s="234"/>
      <c r="H27" s="235"/>
      <c r="I27" s="235"/>
      <c r="J27" s="235"/>
      <c r="K27" s="300">
        <f t="shared" si="0"/>
        <v>0</v>
      </c>
      <c r="L27" s="327"/>
      <c r="M27" s="233"/>
      <c r="N27" s="333" t="str">
        <f t="shared" si="1"/>
        <v>N/A</v>
      </c>
      <c r="O27" s="332"/>
      <c r="P27" s="235"/>
      <c r="Q27" s="235"/>
      <c r="R27" s="300">
        <f t="shared" si="2"/>
        <v>0</v>
      </c>
      <c r="S27" s="325"/>
      <c r="T27" s="177"/>
      <c r="U27" s="333" t="str">
        <f t="shared" si="3"/>
        <v>N/A</v>
      </c>
      <c r="V27" s="235"/>
      <c r="W27" s="235"/>
      <c r="X27" s="235"/>
      <c r="Y27" s="300">
        <f t="shared" si="4"/>
        <v>0</v>
      </c>
      <c r="Z27" s="323"/>
      <c r="AA27" s="177"/>
      <c r="AB27" s="333" t="str">
        <f t="shared" si="5"/>
        <v>N/A</v>
      </c>
      <c r="AC27" s="235"/>
      <c r="AD27" s="235"/>
      <c r="AE27" s="235"/>
      <c r="AF27" s="328">
        <f t="shared" si="6"/>
        <v>0</v>
      </c>
      <c r="AG27" s="321"/>
      <c r="AH27" s="177"/>
      <c r="AI27" s="291" t="str">
        <f t="shared" si="7"/>
        <v>N/A</v>
      </c>
      <c r="AJ27" s="178"/>
      <c r="AK27" s="178"/>
      <c r="AL27" s="178"/>
      <c r="AM27" s="301">
        <f t="shared" si="8"/>
        <v>0</v>
      </c>
      <c r="AN27" s="314"/>
      <c r="AO27" s="334"/>
      <c r="AP27" s="335" t="str">
        <f t="shared" si="9"/>
        <v>N/A</v>
      </c>
      <c r="AQ27" s="336"/>
      <c r="AR27" s="235"/>
      <c r="AS27" s="235"/>
      <c r="AT27" s="300">
        <f t="shared" si="10"/>
        <v>0</v>
      </c>
      <c r="AU27" s="235"/>
    </row>
    <row r="28" spans="3:47" x14ac:dyDescent="0.2">
      <c r="C28" s="846" t="str">
        <f>IF(ISBLANK('Direct Labor Categories'!C28),"",'Direct Labor Categories'!C28)</f>
        <v/>
      </c>
      <c r="D28" s="847"/>
      <c r="E28" s="339"/>
      <c r="F28" s="177"/>
      <c r="G28" s="234"/>
      <c r="H28" s="235"/>
      <c r="I28" s="235"/>
      <c r="J28" s="235"/>
      <c r="K28" s="300">
        <f t="shared" si="0"/>
        <v>0</v>
      </c>
      <c r="L28" s="327"/>
      <c r="M28" s="233"/>
      <c r="N28" s="333" t="str">
        <f t="shared" si="1"/>
        <v>N/A</v>
      </c>
      <c r="O28" s="332"/>
      <c r="P28" s="235"/>
      <c r="Q28" s="235"/>
      <c r="R28" s="300">
        <f t="shared" si="2"/>
        <v>0</v>
      </c>
      <c r="S28" s="325"/>
      <c r="T28" s="177"/>
      <c r="U28" s="333" t="str">
        <f t="shared" si="3"/>
        <v>N/A</v>
      </c>
      <c r="V28" s="235"/>
      <c r="W28" s="235"/>
      <c r="X28" s="235"/>
      <c r="Y28" s="300">
        <f t="shared" si="4"/>
        <v>0</v>
      </c>
      <c r="Z28" s="323"/>
      <c r="AA28" s="177"/>
      <c r="AB28" s="333" t="str">
        <f t="shared" si="5"/>
        <v>N/A</v>
      </c>
      <c r="AC28" s="235"/>
      <c r="AD28" s="235"/>
      <c r="AE28" s="235"/>
      <c r="AF28" s="328">
        <f t="shared" si="6"/>
        <v>0</v>
      </c>
      <c r="AG28" s="321"/>
      <c r="AH28" s="177"/>
      <c r="AI28" s="291" t="str">
        <f t="shared" si="7"/>
        <v>N/A</v>
      </c>
      <c r="AJ28" s="178"/>
      <c r="AK28" s="178"/>
      <c r="AL28" s="178"/>
      <c r="AM28" s="301">
        <f t="shared" si="8"/>
        <v>0</v>
      </c>
      <c r="AN28" s="314"/>
      <c r="AO28" s="334"/>
      <c r="AP28" s="335" t="str">
        <f t="shared" si="9"/>
        <v>N/A</v>
      </c>
      <c r="AQ28" s="336"/>
      <c r="AR28" s="235"/>
      <c r="AS28" s="235"/>
      <c r="AT28" s="300">
        <f t="shared" si="10"/>
        <v>0</v>
      </c>
      <c r="AU28" s="235"/>
    </row>
    <row r="29" spans="3:47" x14ac:dyDescent="0.2">
      <c r="C29" s="846" t="str">
        <f>IF(ISBLANK('Direct Labor Categories'!C29),"",'Direct Labor Categories'!C29)</f>
        <v/>
      </c>
      <c r="D29" s="847"/>
      <c r="E29" s="339"/>
      <c r="F29" s="177"/>
      <c r="G29" s="234"/>
      <c r="H29" s="235"/>
      <c r="I29" s="235"/>
      <c r="J29" s="235"/>
      <c r="K29" s="300">
        <f t="shared" si="0"/>
        <v>0</v>
      </c>
      <c r="L29" s="327"/>
      <c r="M29" s="233"/>
      <c r="N29" s="333" t="str">
        <f t="shared" si="1"/>
        <v>N/A</v>
      </c>
      <c r="O29" s="332"/>
      <c r="P29" s="235"/>
      <c r="Q29" s="235"/>
      <c r="R29" s="300">
        <f t="shared" si="2"/>
        <v>0</v>
      </c>
      <c r="S29" s="325"/>
      <c r="T29" s="177"/>
      <c r="U29" s="333" t="str">
        <f t="shared" si="3"/>
        <v>N/A</v>
      </c>
      <c r="V29" s="235"/>
      <c r="W29" s="235"/>
      <c r="X29" s="235"/>
      <c r="Y29" s="300">
        <f t="shared" si="4"/>
        <v>0</v>
      </c>
      <c r="Z29" s="323"/>
      <c r="AA29" s="177"/>
      <c r="AB29" s="333" t="str">
        <f t="shared" si="5"/>
        <v>N/A</v>
      </c>
      <c r="AC29" s="235"/>
      <c r="AD29" s="235"/>
      <c r="AE29" s="235"/>
      <c r="AF29" s="328">
        <f t="shared" si="6"/>
        <v>0</v>
      </c>
      <c r="AG29" s="321"/>
      <c r="AH29" s="177"/>
      <c r="AI29" s="291" t="str">
        <f t="shared" si="7"/>
        <v>N/A</v>
      </c>
      <c r="AJ29" s="178"/>
      <c r="AK29" s="178"/>
      <c r="AL29" s="178"/>
      <c r="AM29" s="301">
        <f t="shared" si="8"/>
        <v>0</v>
      </c>
      <c r="AN29" s="314"/>
      <c r="AO29" s="334"/>
      <c r="AP29" s="335" t="str">
        <f t="shared" si="9"/>
        <v>N/A</v>
      </c>
      <c r="AQ29" s="336"/>
      <c r="AR29" s="235"/>
      <c r="AS29" s="235"/>
      <c r="AT29" s="300">
        <f t="shared" si="10"/>
        <v>0</v>
      </c>
      <c r="AU29" s="235"/>
    </row>
    <row r="30" spans="3:47" x14ac:dyDescent="0.2">
      <c r="C30" s="846" t="str">
        <f>IF(ISBLANK('Direct Labor Categories'!C30),"",'Direct Labor Categories'!C30)</f>
        <v/>
      </c>
      <c r="D30" s="847"/>
      <c r="E30" s="339"/>
      <c r="F30" s="177"/>
      <c r="G30" s="234"/>
      <c r="H30" s="235"/>
      <c r="I30" s="235"/>
      <c r="J30" s="235"/>
      <c r="K30" s="300">
        <f t="shared" si="0"/>
        <v>0</v>
      </c>
      <c r="L30" s="327"/>
      <c r="M30" s="233"/>
      <c r="N30" s="333" t="str">
        <f t="shared" si="1"/>
        <v>N/A</v>
      </c>
      <c r="O30" s="332"/>
      <c r="P30" s="235"/>
      <c r="Q30" s="235"/>
      <c r="R30" s="300">
        <f t="shared" si="2"/>
        <v>0</v>
      </c>
      <c r="S30" s="325"/>
      <c r="T30" s="177"/>
      <c r="U30" s="333" t="str">
        <f t="shared" si="3"/>
        <v>N/A</v>
      </c>
      <c r="V30" s="235"/>
      <c r="W30" s="235"/>
      <c r="X30" s="235"/>
      <c r="Y30" s="300">
        <f t="shared" si="4"/>
        <v>0</v>
      </c>
      <c r="Z30" s="323"/>
      <c r="AA30" s="177"/>
      <c r="AB30" s="333" t="str">
        <f t="shared" si="5"/>
        <v>N/A</v>
      </c>
      <c r="AC30" s="235"/>
      <c r="AD30" s="235"/>
      <c r="AE30" s="235"/>
      <c r="AF30" s="328">
        <f t="shared" si="6"/>
        <v>0</v>
      </c>
      <c r="AG30" s="321"/>
      <c r="AH30" s="177"/>
      <c r="AI30" s="291" t="str">
        <f t="shared" si="7"/>
        <v>N/A</v>
      </c>
      <c r="AJ30" s="178"/>
      <c r="AK30" s="178"/>
      <c r="AL30" s="178"/>
      <c r="AM30" s="301">
        <f t="shared" si="8"/>
        <v>0</v>
      </c>
      <c r="AN30" s="314"/>
      <c r="AO30" s="334"/>
      <c r="AP30" s="335" t="str">
        <f t="shared" si="9"/>
        <v>N/A</v>
      </c>
      <c r="AQ30" s="336"/>
      <c r="AR30" s="235"/>
      <c r="AS30" s="235"/>
      <c r="AT30" s="300">
        <f t="shared" si="10"/>
        <v>0</v>
      </c>
      <c r="AU30" s="235"/>
    </row>
    <row r="31" spans="3:47" x14ac:dyDescent="0.2">
      <c r="C31" s="846" t="str">
        <f>IF(ISBLANK('Direct Labor Categories'!C31),"",'Direct Labor Categories'!C31)</f>
        <v/>
      </c>
      <c r="D31" s="847"/>
      <c r="E31" s="339"/>
      <c r="F31" s="177"/>
      <c r="G31" s="234"/>
      <c r="H31" s="235"/>
      <c r="I31" s="235"/>
      <c r="J31" s="235"/>
      <c r="K31" s="300">
        <f t="shared" si="0"/>
        <v>0</v>
      </c>
      <c r="L31" s="327"/>
      <c r="M31" s="233"/>
      <c r="N31" s="333" t="str">
        <f t="shared" si="1"/>
        <v>N/A</v>
      </c>
      <c r="O31" s="332"/>
      <c r="P31" s="235"/>
      <c r="Q31" s="235"/>
      <c r="R31" s="300">
        <f t="shared" si="2"/>
        <v>0</v>
      </c>
      <c r="S31" s="325"/>
      <c r="T31" s="177"/>
      <c r="U31" s="333" t="str">
        <f t="shared" si="3"/>
        <v>N/A</v>
      </c>
      <c r="V31" s="235"/>
      <c r="W31" s="235"/>
      <c r="X31" s="235"/>
      <c r="Y31" s="300">
        <f t="shared" si="4"/>
        <v>0</v>
      </c>
      <c r="Z31" s="323"/>
      <c r="AA31" s="177"/>
      <c r="AB31" s="333" t="str">
        <f t="shared" si="5"/>
        <v>N/A</v>
      </c>
      <c r="AC31" s="235"/>
      <c r="AD31" s="235"/>
      <c r="AE31" s="235"/>
      <c r="AF31" s="328">
        <f t="shared" si="6"/>
        <v>0</v>
      </c>
      <c r="AG31" s="321"/>
      <c r="AH31" s="177"/>
      <c r="AI31" s="291" t="str">
        <f t="shared" si="7"/>
        <v>N/A</v>
      </c>
      <c r="AJ31" s="178"/>
      <c r="AK31" s="178"/>
      <c r="AL31" s="178"/>
      <c r="AM31" s="301">
        <f t="shared" si="8"/>
        <v>0</v>
      </c>
      <c r="AN31" s="314"/>
      <c r="AO31" s="334"/>
      <c r="AP31" s="335" t="str">
        <f t="shared" si="9"/>
        <v>N/A</v>
      </c>
      <c r="AQ31" s="336"/>
      <c r="AR31" s="235"/>
      <c r="AS31" s="235"/>
      <c r="AT31" s="300">
        <f t="shared" si="10"/>
        <v>0</v>
      </c>
      <c r="AU31" s="235"/>
    </row>
    <row r="32" spans="3:47" x14ac:dyDescent="0.2">
      <c r="C32" s="846" t="str">
        <f>IF(ISBLANK('Direct Labor Categories'!C32),"",'Direct Labor Categories'!C32)</f>
        <v/>
      </c>
      <c r="D32" s="847"/>
      <c r="E32" s="339"/>
      <c r="F32" s="177"/>
      <c r="G32" s="234"/>
      <c r="H32" s="235"/>
      <c r="I32" s="235"/>
      <c r="J32" s="235"/>
      <c r="K32" s="300">
        <f t="shared" si="0"/>
        <v>0</v>
      </c>
      <c r="L32" s="327"/>
      <c r="M32" s="233"/>
      <c r="N32" s="333" t="str">
        <f t="shared" si="1"/>
        <v>N/A</v>
      </c>
      <c r="O32" s="332"/>
      <c r="P32" s="235"/>
      <c r="Q32" s="235"/>
      <c r="R32" s="300">
        <f t="shared" si="2"/>
        <v>0</v>
      </c>
      <c r="S32" s="325"/>
      <c r="T32" s="177"/>
      <c r="U32" s="333" t="str">
        <f t="shared" si="3"/>
        <v>N/A</v>
      </c>
      <c r="V32" s="235"/>
      <c r="W32" s="235"/>
      <c r="X32" s="235"/>
      <c r="Y32" s="300">
        <f t="shared" si="4"/>
        <v>0</v>
      </c>
      <c r="Z32" s="323"/>
      <c r="AA32" s="177"/>
      <c r="AB32" s="333" t="str">
        <f t="shared" si="5"/>
        <v>N/A</v>
      </c>
      <c r="AC32" s="235"/>
      <c r="AD32" s="235"/>
      <c r="AE32" s="235"/>
      <c r="AF32" s="328">
        <f t="shared" si="6"/>
        <v>0</v>
      </c>
      <c r="AG32" s="321"/>
      <c r="AH32" s="177"/>
      <c r="AI32" s="291" t="str">
        <f t="shared" si="7"/>
        <v>N/A</v>
      </c>
      <c r="AJ32" s="178"/>
      <c r="AK32" s="178"/>
      <c r="AL32" s="178"/>
      <c r="AM32" s="301">
        <f t="shared" si="8"/>
        <v>0</v>
      </c>
      <c r="AN32" s="314"/>
      <c r="AO32" s="334"/>
      <c r="AP32" s="335" t="str">
        <f t="shared" si="9"/>
        <v>N/A</v>
      </c>
      <c r="AQ32" s="336"/>
      <c r="AR32" s="235"/>
      <c r="AS32" s="235"/>
      <c r="AT32" s="300">
        <f t="shared" si="10"/>
        <v>0</v>
      </c>
      <c r="AU32" s="235"/>
    </row>
    <row r="33" spans="1:47" x14ac:dyDescent="0.2">
      <c r="C33" s="846" t="str">
        <f>IF(ISBLANK('Direct Labor Categories'!C33),"",'Direct Labor Categories'!C33)</f>
        <v/>
      </c>
      <c r="D33" s="847"/>
      <c r="E33" s="339"/>
      <c r="F33" s="177"/>
      <c r="G33" s="234"/>
      <c r="H33" s="235"/>
      <c r="I33" s="235"/>
      <c r="J33" s="235"/>
      <c r="K33" s="300">
        <f t="shared" si="0"/>
        <v>0</v>
      </c>
      <c r="L33" s="327"/>
      <c r="M33" s="233"/>
      <c r="N33" s="333" t="str">
        <f t="shared" si="1"/>
        <v>N/A</v>
      </c>
      <c r="O33" s="332"/>
      <c r="P33" s="235"/>
      <c r="Q33" s="235"/>
      <c r="R33" s="300">
        <f t="shared" si="2"/>
        <v>0</v>
      </c>
      <c r="S33" s="325"/>
      <c r="T33" s="177"/>
      <c r="U33" s="333" t="str">
        <f t="shared" si="3"/>
        <v>N/A</v>
      </c>
      <c r="V33" s="235"/>
      <c r="W33" s="235"/>
      <c r="X33" s="235"/>
      <c r="Y33" s="300">
        <f t="shared" si="4"/>
        <v>0</v>
      </c>
      <c r="Z33" s="323"/>
      <c r="AA33" s="177"/>
      <c r="AB33" s="333" t="str">
        <f t="shared" si="5"/>
        <v>N/A</v>
      </c>
      <c r="AC33" s="235"/>
      <c r="AD33" s="235"/>
      <c r="AE33" s="235"/>
      <c r="AF33" s="328">
        <f t="shared" si="6"/>
        <v>0</v>
      </c>
      <c r="AG33" s="321"/>
      <c r="AH33" s="177"/>
      <c r="AI33" s="291" t="str">
        <f t="shared" si="7"/>
        <v>N/A</v>
      </c>
      <c r="AJ33" s="178"/>
      <c r="AK33" s="178"/>
      <c r="AL33" s="178"/>
      <c r="AM33" s="301">
        <f t="shared" si="8"/>
        <v>0</v>
      </c>
      <c r="AN33" s="314"/>
      <c r="AO33" s="334"/>
      <c r="AP33" s="335" t="str">
        <f t="shared" si="9"/>
        <v>N/A</v>
      </c>
      <c r="AQ33" s="336"/>
      <c r="AR33" s="235"/>
      <c r="AS33" s="235"/>
      <c r="AT33" s="300">
        <f t="shared" si="10"/>
        <v>0</v>
      </c>
      <c r="AU33" s="235"/>
    </row>
    <row r="34" spans="1:47" x14ac:dyDescent="0.2">
      <c r="C34" s="846" t="str">
        <f>IF(ISBLANK('Direct Labor Categories'!C34),"",'Direct Labor Categories'!C34)</f>
        <v/>
      </c>
      <c r="D34" s="847"/>
      <c r="E34" s="339"/>
      <c r="F34" s="177"/>
      <c r="G34" s="234"/>
      <c r="H34" s="235"/>
      <c r="I34" s="235"/>
      <c r="J34" s="235"/>
      <c r="K34" s="300">
        <f t="shared" si="0"/>
        <v>0</v>
      </c>
      <c r="L34" s="327"/>
      <c r="M34" s="233"/>
      <c r="N34" s="333" t="str">
        <f t="shared" si="1"/>
        <v>N/A</v>
      </c>
      <c r="O34" s="332"/>
      <c r="P34" s="235"/>
      <c r="Q34" s="235"/>
      <c r="R34" s="300">
        <f t="shared" si="2"/>
        <v>0</v>
      </c>
      <c r="S34" s="325"/>
      <c r="T34" s="177"/>
      <c r="U34" s="333" t="str">
        <f t="shared" si="3"/>
        <v>N/A</v>
      </c>
      <c r="V34" s="235"/>
      <c r="W34" s="235"/>
      <c r="X34" s="235"/>
      <c r="Y34" s="300">
        <f t="shared" si="4"/>
        <v>0</v>
      </c>
      <c r="Z34" s="323"/>
      <c r="AA34" s="177"/>
      <c r="AB34" s="333" t="str">
        <f t="shared" si="5"/>
        <v>N/A</v>
      </c>
      <c r="AC34" s="235"/>
      <c r="AD34" s="235"/>
      <c r="AE34" s="235"/>
      <c r="AF34" s="328">
        <f t="shared" si="6"/>
        <v>0</v>
      </c>
      <c r="AG34" s="321"/>
      <c r="AH34" s="177"/>
      <c r="AI34" s="291" t="str">
        <f t="shared" si="7"/>
        <v>N/A</v>
      </c>
      <c r="AJ34" s="178"/>
      <c r="AK34" s="178"/>
      <c r="AL34" s="178"/>
      <c r="AM34" s="301">
        <f t="shared" si="8"/>
        <v>0</v>
      </c>
      <c r="AN34" s="314"/>
      <c r="AO34" s="334"/>
      <c r="AP34" s="335" t="str">
        <f t="shared" si="9"/>
        <v>N/A</v>
      </c>
      <c r="AQ34" s="336"/>
      <c r="AR34" s="235"/>
      <c r="AS34" s="235"/>
      <c r="AT34" s="300">
        <f t="shared" si="10"/>
        <v>0</v>
      </c>
      <c r="AU34" s="235"/>
    </row>
    <row r="35" spans="1:47" x14ac:dyDescent="0.2">
      <c r="C35" s="846" t="str">
        <f>IF(ISBLANK('Direct Labor Categories'!C35),"",'Direct Labor Categories'!C35)</f>
        <v/>
      </c>
      <c r="D35" s="847"/>
      <c r="E35" s="339"/>
      <c r="F35" s="177"/>
      <c r="G35" s="234"/>
      <c r="H35" s="235"/>
      <c r="I35" s="235"/>
      <c r="J35" s="235"/>
      <c r="K35" s="300">
        <f t="shared" si="0"/>
        <v>0</v>
      </c>
      <c r="L35" s="327"/>
      <c r="M35" s="233"/>
      <c r="N35" s="333" t="str">
        <f t="shared" si="1"/>
        <v>N/A</v>
      </c>
      <c r="O35" s="332"/>
      <c r="P35" s="235"/>
      <c r="Q35" s="235"/>
      <c r="R35" s="300">
        <f t="shared" si="2"/>
        <v>0</v>
      </c>
      <c r="S35" s="325"/>
      <c r="T35" s="177"/>
      <c r="U35" s="333" t="str">
        <f t="shared" si="3"/>
        <v>N/A</v>
      </c>
      <c r="V35" s="235"/>
      <c r="W35" s="235"/>
      <c r="X35" s="235"/>
      <c r="Y35" s="300">
        <f t="shared" si="4"/>
        <v>0</v>
      </c>
      <c r="Z35" s="323"/>
      <c r="AA35" s="177"/>
      <c r="AB35" s="333" t="str">
        <f t="shared" si="5"/>
        <v>N/A</v>
      </c>
      <c r="AC35" s="235"/>
      <c r="AD35" s="235"/>
      <c r="AE35" s="235"/>
      <c r="AF35" s="328">
        <f t="shared" si="6"/>
        <v>0</v>
      </c>
      <c r="AG35" s="321"/>
      <c r="AH35" s="177"/>
      <c r="AI35" s="291" t="str">
        <f t="shared" si="7"/>
        <v>N/A</v>
      </c>
      <c r="AJ35" s="178"/>
      <c r="AK35" s="178"/>
      <c r="AL35" s="178"/>
      <c r="AM35" s="301">
        <f t="shared" si="8"/>
        <v>0</v>
      </c>
      <c r="AN35" s="314"/>
      <c r="AO35" s="334"/>
      <c r="AP35" s="335" t="str">
        <f t="shared" si="9"/>
        <v>N/A</v>
      </c>
      <c r="AQ35" s="336"/>
      <c r="AR35" s="235"/>
      <c r="AS35" s="235"/>
      <c r="AT35" s="300">
        <f t="shared" si="10"/>
        <v>0</v>
      </c>
      <c r="AU35" s="235"/>
    </row>
    <row r="36" spans="1:47" x14ac:dyDescent="0.2">
      <c r="C36" s="846" t="str">
        <f>IF(ISBLANK('Direct Labor Categories'!C36),"",'Direct Labor Categories'!C36)</f>
        <v/>
      </c>
      <c r="D36" s="847"/>
      <c r="E36" s="339"/>
      <c r="F36" s="177"/>
      <c r="G36" s="234"/>
      <c r="H36" s="235"/>
      <c r="I36" s="235"/>
      <c r="J36" s="235"/>
      <c r="K36" s="300">
        <f t="shared" si="0"/>
        <v>0</v>
      </c>
      <c r="L36" s="327"/>
      <c r="M36" s="233"/>
      <c r="N36" s="333" t="str">
        <f t="shared" si="1"/>
        <v>N/A</v>
      </c>
      <c r="O36" s="332"/>
      <c r="P36" s="235"/>
      <c r="Q36" s="235"/>
      <c r="R36" s="300">
        <f t="shared" si="2"/>
        <v>0</v>
      </c>
      <c r="S36" s="325"/>
      <c r="T36" s="177"/>
      <c r="U36" s="333" t="str">
        <f t="shared" si="3"/>
        <v>N/A</v>
      </c>
      <c r="V36" s="235"/>
      <c r="W36" s="235"/>
      <c r="X36" s="235"/>
      <c r="Y36" s="300">
        <f t="shared" si="4"/>
        <v>0</v>
      </c>
      <c r="Z36" s="323"/>
      <c r="AA36" s="177"/>
      <c r="AB36" s="333" t="str">
        <f t="shared" si="5"/>
        <v>N/A</v>
      </c>
      <c r="AC36" s="235"/>
      <c r="AD36" s="235"/>
      <c r="AE36" s="235"/>
      <c r="AF36" s="328">
        <f t="shared" si="6"/>
        <v>0</v>
      </c>
      <c r="AG36" s="321"/>
      <c r="AH36" s="177"/>
      <c r="AI36" s="291" t="str">
        <f t="shared" si="7"/>
        <v>N/A</v>
      </c>
      <c r="AJ36" s="178"/>
      <c r="AK36" s="178"/>
      <c r="AL36" s="178"/>
      <c r="AM36" s="301">
        <f t="shared" si="8"/>
        <v>0</v>
      </c>
      <c r="AN36" s="314"/>
      <c r="AO36" s="334"/>
      <c r="AP36" s="335" t="str">
        <f t="shared" si="9"/>
        <v>N/A</v>
      </c>
      <c r="AQ36" s="336"/>
      <c r="AR36" s="235"/>
      <c r="AS36" s="235"/>
      <c r="AT36" s="300">
        <f t="shared" si="10"/>
        <v>0</v>
      </c>
      <c r="AU36" s="235"/>
    </row>
    <row r="37" spans="1:47" x14ac:dyDescent="0.2">
      <c r="C37" s="846" t="str">
        <f>IF(ISBLANK('Direct Labor Categories'!C37),"",'Direct Labor Categories'!C37)</f>
        <v/>
      </c>
      <c r="D37" s="847"/>
      <c r="E37" s="339"/>
      <c r="F37" s="177"/>
      <c r="G37" s="234"/>
      <c r="H37" s="235"/>
      <c r="I37" s="235"/>
      <c r="J37" s="235"/>
      <c r="K37" s="300">
        <f t="shared" si="0"/>
        <v>0</v>
      </c>
      <c r="L37" s="327"/>
      <c r="M37" s="233"/>
      <c r="N37" s="333" t="str">
        <f t="shared" si="1"/>
        <v>N/A</v>
      </c>
      <c r="O37" s="332"/>
      <c r="P37" s="235"/>
      <c r="Q37" s="235"/>
      <c r="R37" s="300">
        <f t="shared" si="2"/>
        <v>0</v>
      </c>
      <c r="S37" s="325"/>
      <c r="T37" s="177"/>
      <c r="U37" s="333" t="str">
        <f t="shared" si="3"/>
        <v>N/A</v>
      </c>
      <c r="V37" s="235"/>
      <c r="W37" s="235"/>
      <c r="X37" s="235"/>
      <c r="Y37" s="300">
        <f t="shared" si="4"/>
        <v>0</v>
      </c>
      <c r="Z37" s="323"/>
      <c r="AA37" s="177"/>
      <c r="AB37" s="333" t="str">
        <f t="shared" si="5"/>
        <v>N/A</v>
      </c>
      <c r="AC37" s="235"/>
      <c r="AD37" s="235"/>
      <c r="AE37" s="235"/>
      <c r="AF37" s="328">
        <f t="shared" si="6"/>
        <v>0</v>
      </c>
      <c r="AG37" s="321"/>
      <c r="AH37" s="177"/>
      <c r="AI37" s="291" t="str">
        <f t="shared" si="7"/>
        <v>N/A</v>
      </c>
      <c r="AJ37" s="178"/>
      <c r="AK37" s="178"/>
      <c r="AL37" s="178"/>
      <c r="AM37" s="301">
        <f t="shared" si="8"/>
        <v>0</v>
      </c>
      <c r="AN37" s="314"/>
      <c r="AO37" s="334"/>
      <c r="AP37" s="335" t="str">
        <f t="shared" si="9"/>
        <v>N/A</v>
      </c>
      <c r="AQ37" s="336"/>
      <c r="AR37" s="235"/>
      <c r="AS37" s="235"/>
      <c r="AT37" s="300">
        <f t="shared" si="10"/>
        <v>0</v>
      </c>
      <c r="AU37" s="235"/>
    </row>
    <row r="38" spans="1:47" x14ac:dyDescent="0.2">
      <c r="C38" s="846" t="str">
        <f>IF(ISBLANK('Direct Labor Categories'!C38),"",'Direct Labor Categories'!C38)</f>
        <v/>
      </c>
      <c r="D38" s="847"/>
      <c r="E38" s="339"/>
      <c r="F38" s="177"/>
      <c r="G38" s="234"/>
      <c r="H38" s="235"/>
      <c r="I38" s="235"/>
      <c r="J38" s="235"/>
      <c r="K38" s="300">
        <f t="shared" si="0"/>
        <v>0</v>
      </c>
      <c r="L38" s="327"/>
      <c r="M38" s="233"/>
      <c r="N38" s="333" t="str">
        <f t="shared" si="1"/>
        <v>N/A</v>
      </c>
      <c r="O38" s="332"/>
      <c r="P38" s="235"/>
      <c r="Q38" s="235"/>
      <c r="R38" s="300">
        <f t="shared" si="2"/>
        <v>0</v>
      </c>
      <c r="S38" s="325"/>
      <c r="T38" s="177"/>
      <c r="U38" s="333" t="str">
        <f t="shared" si="3"/>
        <v>N/A</v>
      </c>
      <c r="V38" s="235"/>
      <c r="W38" s="235"/>
      <c r="X38" s="235"/>
      <c r="Y38" s="300">
        <f t="shared" si="4"/>
        <v>0</v>
      </c>
      <c r="Z38" s="323"/>
      <c r="AA38" s="177"/>
      <c r="AB38" s="333" t="str">
        <f t="shared" si="5"/>
        <v>N/A</v>
      </c>
      <c r="AC38" s="235"/>
      <c r="AD38" s="235"/>
      <c r="AE38" s="235"/>
      <c r="AF38" s="328">
        <f t="shared" si="6"/>
        <v>0</v>
      </c>
      <c r="AG38" s="321"/>
      <c r="AH38" s="177"/>
      <c r="AI38" s="291" t="str">
        <f t="shared" si="7"/>
        <v>N/A</v>
      </c>
      <c r="AJ38" s="178"/>
      <c r="AK38" s="178"/>
      <c r="AL38" s="178"/>
      <c r="AM38" s="301">
        <f t="shared" si="8"/>
        <v>0</v>
      </c>
      <c r="AN38" s="314"/>
      <c r="AO38" s="334"/>
      <c r="AP38" s="335" t="str">
        <f t="shared" si="9"/>
        <v>N/A</v>
      </c>
      <c r="AQ38" s="336"/>
      <c r="AR38" s="235"/>
      <c r="AS38" s="235"/>
      <c r="AT38" s="300">
        <f t="shared" si="10"/>
        <v>0</v>
      </c>
      <c r="AU38" s="235"/>
    </row>
    <row r="39" spans="1:47" x14ac:dyDescent="0.2">
      <c r="C39" s="846" t="str">
        <f>IF(ISBLANK('Direct Labor Categories'!C39),"",'Direct Labor Categories'!C39)</f>
        <v/>
      </c>
      <c r="D39" s="847"/>
      <c r="E39" s="339"/>
      <c r="F39" s="177"/>
      <c r="G39" s="234"/>
      <c r="H39" s="235"/>
      <c r="I39" s="235"/>
      <c r="J39" s="235"/>
      <c r="K39" s="300">
        <f t="shared" si="0"/>
        <v>0</v>
      </c>
      <c r="L39" s="327"/>
      <c r="M39" s="233"/>
      <c r="N39" s="333" t="str">
        <f t="shared" si="1"/>
        <v>N/A</v>
      </c>
      <c r="O39" s="332"/>
      <c r="P39" s="235"/>
      <c r="Q39" s="235"/>
      <c r="R39" s="300">
        <f t="shared" si="2"/>
        <v>0</v>
      </c>
      <c r="S39" s="325"/>
      <c r="T39" s="177"/>
      <c r="U39" s="333" t="str">
        <f t="shared" si="3"/>
        <v>N/A</v>
      </c>
      <c r="V39" s="235"/>
      <c r="W39" s="235"/>
      <c r="X39" s="235"/>
      <c r="Y39" s="300">
        <f t="shared" si="4"/>
        <v>0</v>
      </c>
      <c r="Z39" s="323"/>
      <c r="AA39" s="177"/>
      <c r="AB39" s="333" t="str">
        <f t="shared" si="5"/>
        <v>N/A</v>
      </c>
      <c r="AC39" s="235"/>
      <c r="AD39" s="235"/>
      <c r="AE39" s="235"/>
      <c r="AF39" s="328">
        <f t="shared" si="6"/>
        <v>0</v>
      </c>
      <c r="AG39" s="321"/>
      <c r="AH39" s="177"/>
      <c r="AI39" s="291" t="str">
        <f t="shared" si="7"/>
        <v>N/A</v>
      </c>
      <c r="AJ39" s="178"/>
      <c r="AK39" s="178"/>
      <c r="AL39" s="178"/>
      <c r="AM39" s="301">
        <f t="shared" si="8"/>
        <v>0</v>
      </c>
      <c r="AN39" s="314"/>
      <c r="AO39" s="334"/>
      <c r="AP39" s="335" t="str">
        <f t="shared" si="9"/>
        <v>N/A</v>
      </c>
      <c r="AQ39" s="336"/>
      <c r="AR39" s="235"/>
      <c r="AS39" s="235"/>
      <c r="AT39" s="300">
        <f t="shared" si="10"/>
        <v>0</v>
      </c>
      <c r="AU39" s="235"/>
    </row>
    <row r="40" spans="1:47" x14ac:dyDescent="0.2">
      <c r="C40" s="846" t="str">
        <f>IF(ISBLANK('Direct Labor Categories'!C40),"",'Direct Labor Categories'!C40)</f>
        <v/>
      </c>
      <c r="D40" s="847"/>
      <c r="E40" s="339"/>
      <c r="F40" s="177"/>
      <c r="G40" s="234"/>
      <c r="H40" s="235"/>
      <c r="I40" s="235"/>
      <c r="J40" s="235"/>
      <c r="K40" s="300">
        <f t="shared" si="0"/>
        <v>0</v>
      </c>
      <c r="L40" s="327"/>
      <c r="M40" s="233"/>
      <c r="N40" s="333" t="str">
        <f t="shared" si="1"/>
        <v>N/A</v>
      </c>
      <c r="O40" s="332"/>
      <c r="P40" s="235"/>
      <c r="Q40" s="235"/>
      <c r="R40" s="300">
        <f t="shared" si="2"/>
        <v>0</v>
      </c>
      <c r="S40" s="325"/>
      <c r="T40" s="177"/>
      <c r="U40" s="333" t="str">
        <f t="shared" si="3"/>
        <v>N/A</v>
      </c>
      <c r="V40" s="235"/>
      <c r="W40" s="235"/>
      <c r="X40" s="235"/>
      <c r="Y40" s="300">
        <f t="shared" si="4"/>
        <v>0</v>
      </c>
      <c r="Z40" s="323"/>
      <c r="AA40" s="233"/>
      <c r="AB40" s="333" t="str">
        <f t="shared" si="5"/>
        <v>N/A</v>
      </c>
      <c r="AC40" s="235"/>
      <c r="AD40" s="235"/>
      <c r="AE40" s="235"/>
      <c r="AF40" s="328">
        <f t="shared" si="6"/>
        <v>0</v>
      </c>
      <c r="AG40" s="321"/>
      <c r="AH40" s="177"/>
      <c r="AI40" s="291" t="str">
        <f t="shared" si="7"/>
        <v>N/A</v>
      </c>
      <c r="AJ40" s="178"/>
      <c r="AK40" s="178"/>
      <c r="AL40" s="178"/>
      <c r="AM40" s="301">
        <f t="shared" si="8"/>
        <v>0</v>
      </c>
      <c r="AN40" s="314"/>
      <c r="AO40" s="334"/>
      <c r="AP40" s="335" t="str">
        <f t="shared" si="9"/>
        <v>N/A</v>
      </c>
      <c r="AQ40" s="336"/>
      <c r="AR40" s="235"/>
      <c r="AS40" s="235"/>
      <c r="AT40" s="300">
        <f t="shared" si="10"/>
        <v>0</v>
      </c>
      <c r="AU40" s="235"/>
    </row>
    <row r="41" spans="1:47" x14ac:dyDescent="0.2">
      <c r="C41" s="846" t="str">
        <f>IF(ISBLANK('Direct Labor Categories'!C41),"",'Direct Labor Categories'!C41)</f>
        <v/>
      </c>
      <c r="D41" s="847"/>
      <c r="E41" s="339"/>
      <c r="F41" s="177"/>
      <c r="G41" s="234"/>
      <c r="H41" s="235"/>
      <c r="I41" s="235"/>
      <c r="J41" s="235"/>
      <c r="K41" s="300">
        <f t="shared" si="0"/>
        <v>0</v>
      </c>
      <c r="L41" s="327"/>
      <c r="M41" s="233"/>
      <c r="N41" s="333" t="str">
        <f t="shared" si="1"/>
        <v>N/A</v>
      </c>
      <c r="O41" s="332"/>
      <c r="P41" s="235"/>
      <c r="Q41" s="235"/>
      <c r="R41" s="300">
        <f t="shared" si="2"/>
        <v>0</v>
      </c>
      <c r="S41" s="325"/>
      <c r="T41" s="177"/>
      <c r="U41" s="333" t="str">
        <f t="shared" si="3"/>
        <v>N/A</v>
      </c>
      <c r="V41" s="235"/>
      <c r="W41" s="235"/>
      <c r="X41" s="235"/>
      <c r="Y41" s="300">
        <f t="shared" si="4"/>
        <v>0</v>
      </c>
      <c r="Z41" s="323"/>
      <c r="AA41" s="233"/>
      <c r="AB41" s="333" t="str">
        <f t="shared" si="5"/>
        <v>N/A</v>
      </c>
      <c r="AC41" s="235"/>
      <c r="AD41" s="235"/>
      <c r="AE41" s="235"/>
      <c r="AF41" s="328">
        <f t="shared" si="6"/>
        <v>0</v>
      </c>
      <c r="AG41" s="321"/>
      <c r="AH41" s="177"/>
      <c r="AI41" s="291" t="str">
        <f t="shared" si="7"/>
        <v>N/A</v>
      </c>
      <c r="AJ41" s="178"/>
      <c r="AK41" s="178"/>
      <c r="AL41" s="178"/>
      <c r="AM41" s="301">
        <f t="shared" si="8"/>
        <v>0</v>
      </c>
      <c r="AN41" s="314"/>
      <c r="AO41" s="334"/>
      <c r="AP41" s="335" t="str">
        <f t="shared" si="9"/>
        <v>N/A</v>
      </c>
      <c r="AQ41" s="336"/>
      <c r="AR41" s="235"/>
      <c r="AS41" s="235"/>
      <c r="AT41" s="300">
        <f t="shared" si="10"/>
        <v>0</v>
      </c>
      <c r="AU41" s="235"/>
    </row>
    <row r="42" spans="1:47" x14ac:dyDescent="0.2">
      <c r="C42" s="846" t="str">
        <f>IF(ISBLANK('Direct Labor Categories'!C42),"",'Direct Labor Categories'!C42)</f>
        <v/>
      </c>
      <c r="D42" s="847"/>
      <c r="E42" s="339"/>
      <c r="F42" s="177"/>
      <c r="G42" s="234"/>
      <c r="H42" s="235"/>
      <c r="I42" s="235"/>
      <c r="J42" s="235"/>
      <c r="K42" s="300">
        <f t="shared" si="0"/>
        <v>0</v>
      </c>
      <c r="L42" s="327"/>
      <c r="M42" s="233"/>
      <c r="N42" s="333" t="str">
        <f t="shared" si="1"/>
        <v>N/A</v>
      </c>
      <c r="O42" s="332"/>
      <c r="P42" s="235"/>
      <c r="Q42" s="235"/>
      <c r="R42" s="300">
        <f t="shared" si="2"/>
        <v>0</v>
      </c>
      <c r="S42" s="325"/>
      <c r="T42" s="177"/>
      <c r="U42" s="333" t="str">
        <f t="shared" si="3"/>
        <v>N/A</v>
      </c>
      <c r="V42" s="235"/>
      <c r="W42" s="235"/>
      <c r="X42" s="235"/>
      <c r="Y42" s="300">
        <f t="shared" si="4"/>
        <v>0</v>
      </c>
      <c r="Z42" s="323"/>
      <c r="AA42" s="233"/>
      <c r="AB42" s="333" t="str">
        <f t="shared" si="5"/>
        <v>N/A</v>
      </c>
      <c r="AC42" s="235"/>
      <c r="AD42" s="235"/>
      <c r="AE42" s="235"/>
      <c r="AF42" s="328">
        <f t="shared" si="6"/>
        <v>0</v>
      </c>
      <c r="AG42" s="321"/>
      <c r="AH42" s="177"/>
      <c r="AI42" s="291" t="str">
        <f t="shared" si="7"/>
        <v>N/A</v>
      </c>
      <c r="AJ42" s="178"/>
      <c r="AK42" s="178"/>
      <c r="AL42" s="178"/>
      <c r="AM42" s="301">
        <f t="shared" si="8"/>
        <v>0</v>
      </c>
      <c r="AN42" s="314"/>
      <c r="AO42" s="334"/>
      <c r="AP42" s="335" t="str">
        <f t="shared" si="9"/>
        <v>N/A</v>
      </c>
      <c r="AQ42" s="336"/>
      <c r="AR42" s="235"/>
      <c r="AS42" s="235"/>
      <c r="AT42" s="300">
        <f t="shared" si="10"/>
        <v>0</v>
      </c>
      <c r="AU42" s="235"/>
    </row>
    <row r="43" spans="1:47" x14ac:dyDescent="0.2">
      <c r="C43" s="846" t="str">
        <f>IF(ISBLANK('Direct Labor Categories'!C43),"",'Direct Labor Categories'!C43)</f>
        <v/>
      </c>
      <c r="D43" s="847"/>
      <c r="E43" s="339"/>
      <c r="F43" s="177"/>
      <c r="G43" s="234"/>
      <c r="H43" s="235"/>
      <c r="I43" s="235"/>
      <c r="J43" s="235"/>
      <c r="K43" s="300">
        <f t="shared" si="0"/>
        <v>0</v>
      </c>
      <c r="L43" s="327"/>
      <c r="M43" s="233"/>
      <c r="N43" s="333" t="str">
        <f t="shared" si="1"/>
        <v>N/A</v>
      </c>
      <c r="O43" s="332"/>
      <c r="P43" s="235"/>
      <c r="Q43" s="235"/>
      <c r="R43" s="300">
        <f t="shared" si="2"/>
        <v>0</v>
      </c>
      <c r="S43" s="325"/>
      <c r="T43" s="177"/>
      <c r="U43" s="333" t="str">
        <f t="shared" si="3"/>
        <v>N/A</v>
      </c>
      <c r="V43" s="235"/>
      <c r="W43" s="235"/>
      <c r="X43" s="235"/>
      <c r="Y43" s="300">
        <f t="shared" si="4"/>
        <v>0</v>
      </c>
      <c r="Z43" s="323"/>
      <c r="AA43" s="233"/>
      <c r="AB43" s="333" t="str">
        <f t="shared" si="5"/>
        <v>N/A</v>
      </c>
      <c r="AC43" s="235"/>
      <c r="AD43" s="235"/>
      <c r="AE43" s="235"/>
      <c r="AF43" s="328">
        <f t="shared" si="6"/>
        <v>0</v>
      </c>
      <c r="AG43" s="321"/>
      <c r="AH43" s="177"/>
      <c r="AI43" s="291" t="str">
        <f t="shared" si="7"/>
        <v>N/A</v>
      </c>
      <c r="AJ43" s="178"/>
      <c r="AK43" s="178"/>
      <c r="AL43" s="178"/>
      <c r="AM43" s="301">
        <f t="shared" si="8"/>
        <v>0</v>
      </c>
      <c r="AN43" s="314"/>
      <c r="AO43" s="334"/>
      <c r="AP43" s="335" t="str">
        <f t="shared" si="9"/>
        <v>N/A</v>
      </c>
      <c r="AQ43" s="336"/>
      <c r="AR43" s="235"/>
      <c r="AS43" s="235"/>
      <c r="AT43" s="300">
        <f t="shared" si="10"/>
        <v>0</v>
      </c>
      <c r="AU43" s="235"/>
    </row>
    <row r="44" spans="1:47" x14ac:dyDescent="0.2">
      <c r="C44" s="846" t="str">
        <f>IF(ISBLANK('Direct Labor Categories'!C44),"",'Direct Labor Categories'!C44)</f>
        <v/>
      </c>
      <c r="D44" s="847"/>
      <c r="E44" s="339"/>
      <c r="F44" s="177"/>
      <c r="G44" s="234"/>
      <c r="H44" s="235"/>
      <c r="I44" s="235"/>
      <c r="J44" s="235"/>
      <c r="K44" s="300">
        <f t="shared" si="0"/>
        <v>0</v>
      </c>
      <c r="L44" s="327"/>
      <c r="M44" s="233"/>
      <c r="N44" s="333" t="str">
        <f t="shared" si="1"/>
        <v>N/A</v>
      </c>
      <c r="O44" s="332"/>
      <c r="P44" s="235"/>
      <c r="Q44" s="235"/>
      <c r="R44" s="300">
        <f t="shared" si="2"/>
        <v>0</v>
      </c>
      <c r="S44" s="325"/>
      <c r="T44" s="177"/>
      <c r="U44" s="333" t="str">
        <f t="shared" si="3"/>
        <v>N/A</v>
      </c>
      <c r="V44" s="235"/>
      <c r="W44" s="235"/>
      <c r="X44" s="235"/>
      <c r="Y44" s="300">
        <f t="shared" si="4"/>
        <v>0</v>
      </c>
      <c r="Z44" s="323"/>
      <c r="AA44" s="233"/>
      <c r="AB44" s="333" t="str">
        <f t="shared" si="5"/>
        <v>N/A</v>
      </c>
      <c r="AC44" s="235"/>
      <c r="AD44" s="235"/>
      <c r="AE44" s="235"/>
      <c r="AF44" s="328">
        <f t="shared" si="6"/>
        <v>0</v>
      </c>
      <c r="AG44" s="321"/>
      <c r="AH44" s="177"/>
      <c r="AI44" s="291" t="str">
        <f t="shared" si="7"/>
        <v>N/A</v>
      </c>
      <c r="AJ44" s="178"/>
      <c r="AK44" s="178"/>
      <c r="AL44" s="178"/>
      <c r="AM44" s="301">
        <f t="shared" si="8"/>
        <v>0</v>
      </c>
      <c r="AN44" s="314"/>
      <c r="AO44" s="334"/>
      <c r="AP44" s="335" t="str">
        <f t="shared" si="9"/>
        <v>N/A</v>
      </c>
      <c r="AQ44" s="336"/>
      <c r="AR44" s="235"/>
      <c r="AS44" s="235"/>
      <c r="AT44" s="300">
        <f t="shared" si="10"/>
        <v>0</v>
      </c>
      <c r="AU44" s="235"/>
    </row>
    <row r="45" spans="1:47" x14ac:dyDescent="0.2">
      <c r="C45" s="846" t="str">
        <f>IF(ISBLANK('Direct Labor Categories'!C45),"",'Direct Labor Categories'!C45)</f>
        <v/>
      </c>
      <c r="D45" s="847"/>
      <c r="E45" s="339"/>
      <c r="F45" s="177"/>
      <c r="G45" s="234"/>
      <c r="H45" s="235"/>
      <c r="I45" s="235"/>
      <c r="J45" s="235"/>
      <c r="K45" s="300">
        <f t="shared" si="0"/>
        <v>0</v>
      </c>
      <c r="L45" s="327"/>
      <c r="M45" s="233"/>
      <c r="N45" s="333" t="str">
        <f t="shared" si="1"/>
        <v>N/A</v>
      </c>
      <c r="O45" s="332"/>
      <c r="P45" s="235"/>
      <c r="Q45" s="235"/>
      <c r="R45" s="300">
        <f t="shared" si="2"/>
        <v>0</v>
      </c>
      <c r="S45" s="325"/>
      <c r="T45" s="177"/>
      <c r="U45" s="333" t="str">
        <f t="shared" si="3"/>
        <v>N/A</v>
      </c>
      <c r="V45" s="235"/>
      <c r="W45" s="235"/>
      <c r="X45" s="235"/>
      <c r="Y45" s="300">
        <f t="shared" si="4"/>
        <v>0</v>
      </c>
      <c r="Z45" s="323"/>
      <c r="AA45" s="233"/>
      <c r="AB45" s="333" t="str">
        <f t="shared" si="5"/>
        <v>N/A</v>
      </c>
      <c r="AC45" s="235"/>
      <c r="AD45" s="235"/>
      <c r="AE45" s="235"/>
      <c r="AF45" s="328">
        <f t="shared" si="6"/>
        <v>0</v>
      </c>
      <c r="AG45" s="321"/>
      <c r="AH45" s="177"/>
      <c r="AI45" s="291" t="str">
        <f t="shared" si="7"/>
        <v>N/A</v>
      </c>
      <c r="AJ45" s="178"/>
      <c r="AK45" s="178"/>
      <c r="AL45" s="178"/>
      <c r="AM45" s="301">
        <f t="shared" si="8"/>
        <v>0</v>
      </c>
      <c r="AN45" s="314"/>
      <c r="AO45" s="334"/>
      <c r="AP45" s="335" t="str">
        <f t="shared" si="9"/>
        <v>N/A</v>
      </c>
      <c r="AQ45" s="336"/>
      <c r="AR45" s="235"/>
      <c r="AS45" s="235"/>
      <c r="AT45" s="300">
        <f t="shared" si="10"/>
        <v>0</v>
      </c>
      <c r="AU45" s="235"/>
    </row>
    <row r="46" spans="1:47" x14ac:dyDescent="0.2">
      <c r="C46" s="846" t="str">
        <f>IF(ISBLANK('Direct Labor Categories'!C46),"",'Direct Labor Categories'!C46)</f>
        <v/>
      </c>
      <c r="D46" s="847"/>
      <c r="E46" s="339"/>
      <c r="F46" s="177"/>
      <c r="G46" s="234"/>
      <c r="H46" s="235"/>
      <c r="I46" s="235"/>
      <c r="J46" s="235"/>
      <c r="K46" s="300">
        <f t="shared" si="0"/>
        <v>0</v>
      </c>
      <c r="L46" s="327"/>
      <c r="M46" s="233"/>
      <c r="N46" s="333" t="str">
        <f t="shared" si="1"/>
        <v>N/A</v>
      </c>
      <c r="O46" s="332"/>
      <c r="P46" s="235"/>
      <c r="Q46" s="235"/>
      <c r="R46" s="300">
        <f t="shared" si="2"/>
        <v>0</v>
      </c>
      <c r="S46" s="325"/>
      <c r="T46" s="177"/>
      <c r="U46" s="333" t="str">
        <f t="shared" si="3"/>
        <v>N/A</v>
      </c>
      <c r="V46" s="235"/>
      <c r="W46" s="235"/>
      <c r="X46" s="235"/>
      <c r="Y46" s="300">
        <f t="shared" si="4"/>
        <v>0</v>
      </c>
      <c r="Z46" s="323"/>
      <c r="AA46" s="233"/>
      <c r="AB46" s="333" t="str">
        <f t="shared" si="5"/>
        <v>N/A</v>
      </c>
      <c r="AC46" s="235"/>
      <c r="AD46" s="235"/>
      <c r="AE46" s="235"/>
      <c r="AF46" s="328">
        <f t="shared" si="6"/>
        <v>0</v>
      </c>
      <c r="AG46" s="321"/>
      <c r="AH46" s="177"/>
      <c r="AI46" s="291" t="str">
        <f t="shared" si="7"/>
        <v>N/A</v>
      </c>
      <c r="AJ46" s="178"/>
      <c r="AK46" s="178"/>
      <c r="AL46" s="178"/>
      <c r="AM46" s="301">
        <f t="shared" si="8"/>
        <v>0</v>
      </c>
      <c r="AN46" s="314"/>
      <c r="AO46" s="334"/>
      <c r="AP46" s="335" t="str">
        <f t="shared" si="9"/>
        <v>N/A</v>
      </c>
      <c r="AQ46" s="336"/>
      <c r="AR46" s="235"/>
      <c r="AS46" s="235"/>
      <c r="AT46" s="300">
        <f t="shared" si="10"/>
        <v>0</v>
      </c>
      <c r="AU46" s="235"/>
    </row>
    <row r="47" spans="1:47" x14ac:dyDescent="0.2">
      <c r="C47" s="846" t="str">
        <f>IF(ISBLANK('Direct Labor Categories'!C47),"",'Direct Labor Categories'!C47)</f>
        <v/>
      </c>
      <c r="D47" s="847"/>
      <c r="E47" s="339"/>
      <c r="F47" s="177">
        <v>206.666666666667</v>
      </c>
      <c r="G47" s="234"/>
      <c r="H47" s="235">
        <v>0.6</v>
      </c>
      <c r="I47" s="235">
        <v>0.2</v>
      </c>
      <c r="J47" s="235">
        <v>0.16</v>
      </c>
      <c r="K47" s="300">
        <f t="shared" si="0"/>
        <v>460.28800000000069</v>
      </c>
      <c r="L47" s="327"/>
      <c r="M47" s="233"/>
      <c r="N47" s="333">
        <f t="shared" si="1"/>
        <v>-1</v>
      </c>
      <c r="O47" s="332"/>
      <c r="P47" s="235"/>
      <c r="Q47" s="235"/>
      <c r="R47" s="300">
        <f t="shared" si="2"/>
        <v>0</v>
      </c>
      <c r="S47" s="325"/>
      <c r="T47" s="177"/>
      <c r="U47" s="333" t="str">
        <f t="shared" si="3"/>
        <v>N/A</v>
      </c>
      <c r="V47" s="235"/>
      <c r="W47" s="235"/>
      <c r="X47" s="235"/>
      <c r="Y47" s="300">
        <f t="shared" si="4"/>
        <v>0</v>
      </c>
      <c r="Z47" s="323"/>
      <c r="AA47" s="233"/>
      <c r="AB47" s="333" t="str">
        <f t="shared" si="5"/>
        <v>N/A</v>
      </c>
      <c r="AC47" s="235"/>
      <c r="AD47" s="235"/>
      <c r="AE47" s="235"/>
      <c r="AF47" s="328">
        <f t="shared" si="6"/>
        <v>0</v>
      </c>
      <c r="AG47" s="321"/>
      <c r="AH47" s="177"/>
      <c r="AI47" s="291" t="str">
        <f t="shared" si="7"/>
        <v>N/A</v>
      </c>
      <c r="AJ47" s="178"/>
      <c r="AK47" s="178"/>
      <c r="AL47" s="178"/>
      <c r="AM47" s="301">
        <f t="shared" si="8"/>
        <v>0</v>
      </c>
      <c r="AN47" s="314"/>
      <c r="AO47" s="334"/>
      <c r="AP47" s="335" t="str">
        <f t="shared" si="9"/>
        <v>N/A</v>
      </c>
      <c r="AQ47" s="336"/>
      <c r="AR47" s="235"/>
      <c r="AS47" s="235"/>
      <c r="AT47" s="300">
        <f t="shared" si="10"/>
        <v>0</v>
      </c>
      <c r="AU47" s="235"/>
    </row>
    <row r="48" spans="1:47" s="561" customFormat="1" x14ac:dyDescent="0.2">
      <c r="A48" s="565"/>
      <c r="B48" s="287"/>
      <c r="C48" s="841" t="s">
        <v>267</v>
      </c>
      <c r="D48" s="842"/>
      <c r="E48" s="842"/>
      <c r="F48" s="842"/>
      <c r="G48" s="842"/>
      <c r="H48" s="842"/>
      <c r="I48" s="842"/>
      <c r="J48" s="842"/>
      <c r="K48" s="842"/>
      <c r="L48" s="842"/>
      <c r="M48" s="842"/>
      <c r="N48" s="842"/>
      <c r="O48" s="842"/>
      <c r="P48" s="842"/>
      <c r="Q48" s="842"/>
      <c r="R48" s="842"/>
      <c r="S48" s="842"/>
      <c r="T48" s="842"/>
      <c r="U48" s="842"/>
      <c r="V48" s="842"/>
      <c r="W48" s="842"/>
      <c r="X48" s="842"/>
      <c r="Y48" s="842"/>
      <c r="Z48" s="842"/>
      <c r="AA48" s="842"/>
      <c r="AB48" s="842"/>
      <c r="AC48" s="842"/>
      <c r="AD48" s="842"/>
      <c r="AE48" s="842"/>
      <c r="AF48" s="842"/>
      <c r="AG48" s="843"/>
      <c r="AH48" s="842"/>
      <c r="AI48" s="842"/>
      <c r="AJ48" s="842"/>
      <c r="AK48" s="842"/>
      <c r="AL48" s="842"/>
      <c r="AM48" s="842"/>
      <c r="AN48" s="843"/>
      <c r="AO48" s="842"/>
      <c r="AP48" s="842"/>
      <c r="AQ48" s="842"/>
      <c r="AR48" s="842"/>
      <c r="AS48" s="842"/>
      <c r="AT48" s="842"/>
      <c r="AU48" s="842"/>
    </row>
    <row r="49" spans="3:48" s="287" customFormat="1" x14ac:dyDescent="0.2"/>
    <row r="50" spans="3:48" s="287" customFormat="1" x14ac:dyDescent="0.2">
      <c r="C50" s="844" t="s">
        <v>81</v>
      </c>
    </row>
    <row r="51" spans="3:48" s="287" customFormat="1" ht="92.25" customHeight="1" x14ac:dyDescent="0.2">
      <c r="C51" s="845" t="s">
        <v>42</v>
      </c>
      <c r="D51" s="1451" t="s">
        <v>271</v>
      </c>
      <c r="E51" s="1451"/>
      <c r="F51" s="1452"/>
      <c r="G51" s="1452"/>
      <c r="H51" s="1452"/>
      <c r="I51" s="1452"/>
      <c r="J51" s="1452"/>
      <c r="K51" s="1452"/>
      <c r="L51" s="1452"/>
      <c r="M51" s="1452"/>
      <c r="N51" s="1452"/>
      <c r="O51" s="288"/>
      <c r="P51" s="288"/>
      <c r="Q51" s="288"/>
      <c r="R51" s="288"/>
      <c r="S51" s="288"/>
      <c r="T51" s="289"/>
      <c r="U51" s="289"/>
      <c r="V51" s="289"/>
      <c r="AC51" s="288"/>
      <c r="AD51" s="288"/>
      <c r="AE51" s="288"/>
      <c r="AF51" s="288"/>
      <c r="AG51" s="288"/>
      <c r="AH51" s="289"/>
      <c r="AI51" s="289"/>
      <c r="AJ51" s="289"/>
      <c r="AQ51" s="288"/>
      <c r="AR51" s="288"/>
      <c r="AS51" s="288"/>
      <c r="AT51" s="288"/>
      <c r="AU51" s="289"/>
      <c r="AV51" s="289"/>
    </row>
    <row r="79" spans="3:3" x14ac:dyDescent="0.2">
      <c r="C79" s="60" t="s">
        <v>522</v>
      </c>
    </row>
  </sheetData>
  <mergeCells count="7">
    <mergeCell ref="AH5:AM5"/>
    <mergeCell ref="AO5:AT5"/>
    <mergeCell ref="D51:N51"/>
    <mergeCell ref="F5:K5"/>
    <mergeCell ref="M5:R5"/>
    <mergeCell ref="T5:Y5"/>
    <mergeCell ref="AA5:AF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DC800"/>
    <pageSetUpPr fitToPage="1"/>
  </sheetPr>
  <dimension ref="B1:AY104"/>
  <sheetViews>
    <sheetView zoomScale="85" zoomScaleNormal="85" workbookViewId="0">
      <pane xSplit="4" ySplit="7" topLeftCell="E8" activePane="bottomRight" state="frozen"/>
      <selection pane="topRight" activeCell="E1" sqref="E1"/>
      <selection pane="bottomLeft" activeCell="A8" sqref="A8"/>
      <selection pane="bottomRight" activeCell="C4" sqref="C4"/>
    </sheetView>
  </sheetViews>
  <sheetFormatPr defaultColWidth="8.7109375" defaultRowHeight="12.75" outlineLevelCol="1" x14ac:dyDescent="0.2"/>
  <cols>
    <col min="1" max="1" width="0.85546875" style="35" customWidth="1"/>
    <col min="2" max="2" width="19.42578125" style="35" customWidth="1"/>
    <col min="3" max="3" width="42.42578125" style="35" customWidth="1"/>
    <col min="4" max="4" width="33" style="35" customWidth="1"/>
    <col min="5" max="5" width="3.28515625" style="35" customWidth="1"/>
    <col min="6" max="7" width="9.7109375" style="35" customWidth="1"/>
    <col min="8" max="8" width="14.7109375" style="35" customWidth="1"/>
    <col min="9" max="9" width="3.28515625" style="35" customWidth="1"/>
    <col min="10" max="11" width="12.7109375" style="35" customWidth="1" outlineLevel="1"/>
    <col min="12" max="12" width="14.7109375" style="35" customWidth="1" outlineLevel="1"/>
    <col min="13" max="13" width="3.28515625" style="35" customWidth="1"/>
    <col min="14" max="15" width="9.7109375" style="35" customWidth="1" outlineLevel="1"/>
    <col min="16" max="16" width="14.7109375" style="35" customWidth="1" outlineLevel="1"/>
    <col min="17" max="17" width="3.28515625" style="35" customWidth="1"/>
    <col min="18" max="19" width="9.7109375" style="35" customWidth="1" outlineLevel="1"/>
    <col min="20" max="20" width="14.7109375" style="35" customWidth="1" outlineLevel="1"/>
    <col min="21" max="21" width="3.28515625" style="35" customWidth="1"/>
    <col min="22" max="23" width="9.7109375" style="35" customWidth="1" outlineLevel="1"/>
    <col min="24" max="24" width="14.7109375" style="35" customWidth="1" outlineLevel="1"/>
    <col min="25" max="25" width="3.28515625" style="35" customWidth="1"/>
    <col min="26" max="27" width="9.7109375" style="35" customWidth="1" outlineLevel="1"/>
    <col min="28" max="28" width="14.7109375" style="35" customWidth="1" outlineLevel="1"/>
    <col min="29" max="29" width="3.28515625" style="35" customWidth="1"/>
    <col min="30" max="30" width="9.7109375" style="35" customWidth="1"/>
    <col min="31" max="31" width="14.7109375" style="35" customWidth="1"/>
    <col min="32" max="16384" width="8.7109375" style="35"/>
  </cols>
  <sheetData>
    <row r="1" spans="2:51" s="516" customFormat="1" ht="18.75" x14ac:dyDescent="0.3">
      <c r="B1" s="869" t="s">
        <v>387</v>
      </c>
      <c r="C1" s="867"/>
      <c r="D1" s="868"/>
      <c r="E1" s="868"/>
      <c r="F1" s="868"/>
      <c r="G1" s="868"/>
      <c r="H1" s="868"/>
      <c r="I1" s="868"/>
      <c r="J1" s="868"/>
      <c r="K1" s="868"/>
      <c r="L1" s="868"/>
      <c r="M1" s="868"/>
      <c r="N1" s="868"/>
      <c r="O1" s="868"/>
      <c r="P1" s="868"/>
      <c r="Q1" s="868"/>
      <c r="R1" s="868"/>
      <c r="S1" s="868"/>
      <c r="T1" s="868"/>
      <c r="U1" s="868"/>
      <c r="V1" s="868"/>
      <c r="W1" s="868"/>
      <c r="X1" s="868"/>
      <c r="Y1" s="868"/>
      <c r="Z1" s="868"/>
      <c r="AA1" s="868"/>
      <c r="AB1" s="868"/>
      <c r="AC1" s="868"/>
      <c r="AD1" s="868"/>
      <c r="AE1" s="868"/>
    </row>
    <row r="2" spans="2:51" s="147" customFormat="1" ht="15.75" x14ac:dyDescent="0.25">
      <c r="B2" s="517" t="s">
        <v>291</v>
      </c>
      <c r="C2" s="1465" t="str">
        <f>INITIALIZATION!C5</f>
        <v>Proposer's Name (Prime or Sub)</v>
      </c>
      <c r="D2" s="1465"/>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20"/>
      <c r="AY2" s="147" t="s">
        <v>507</v>
      </c>
    </row>
    <row r="3" spans="2:51" s="147" customFormat="1" ht="15.75" x14ac:dyDescent="0.25">
      <c r="B3" s="521" t="s">
        <v>191</v>
      </c>
      <c r="C3" s="1465" t="str">
        <f>INITIALIZATION!C6</f>
        <v>Prime Contractor (Fill-in) (if applicable)</v>
      </c>
      <c r="D3" s="1465"/>
      <c r="E3" s="519"/>
      <c r="F3" s="519"/>
      <c r="G3" s="519"/>
      <c r="H3" s="519"/>
      <c r="I3" s="519"/>
      <c r="J3" s="519"/>
      <c r="K3" s="519"/>
      <c r="L3" s="519"/>
      <c r="M3" s="519"/>
      <c r="N3" s="519"/>
      <c r="O3" s="519"/>
      <c r="P3" s="519"/>
      <c r="Q3" s="519"/>
      <c r="R3" s="519"/>
      <c r="S3" s="519"/>
      <c r="T3" s="519"/>
      <c r="U3" s="519"/>
      <c r="V3" s="519"/>
      <c r="W3" s="519"/>
      <c r="X3" s="519"/>
      <c r="Y3" s="519"/>
      <c r="Z3" s="519"/>
      <c r="AA3" s="519"/>
      <c r="AB3" s="519"/>
      <c r="AC3" s="519"/>
      <c r="AD3" s="519"/>
      <c r="AE3" s="520"/>
    </row>
    <row r="4" spans="2:51" ht="13.5" thickBot="1" x14ac:dyDescent="0.25">
      <c r="B4" s="1195"/>
      <c r="C4" s="1196"/>
      <c r="D4" s="1196"/>
      <c r="E4" s="1196"/>
      <c r="F4" s="1197"/>
      <c r="G4" s="1198"/>
      <c r="H4" s="1197"/>
      <c r="I4" s="1196"/>
      <c r="J4" s="1197"/>
      <c r="K4" s="1198"/>
      <c r="L4" s="1197"/>
      <c r="M4" s="1196"/>
      <c r="N4" s="1197"/>
      <c r="O4" s="1198"/>
      <c r="P4" s="1197"/>
      <c r="Q4" s="1196"/>
      <c r="R4" s="1198"/>
      <c r="S4" s="1198"/>
      <c r="T4" s="1197"/>
      <c r="U4" s="1196"/>
      <c r="V4" s="1197"/>
      <c r="W4" s="1198"/>
      <c r="X4" s="1197"/>
      <c r="Y4" s="1196"/>
      <c r="Z4" s="1197"/>
      <c r="AA4" s="1198"/>
      <c r="AB4" s="1199"/>
      <c r="AC4" s="1200"/>
      <c r="AD4" s="1197"/>
      <c r="AE4" s="1201"/>
    </row>
    <row r="5" spans="2:51" x14ac:dyDescent="0.2">
      <c r="C5" s="1"/>
      <c r="D5" s="6"/>
      <c r="E5" s="348"/>
      <c r="F5" s="718"/>
      <c r="G5" s="719" t="s">
        <v>66</v>
      </c>
      <c r="H5" s="720"/>
      <c r="I5" s="735"/>
      <c r="J5" s="734"/>
      <c r="K5" s="736" t="s">
        <v>68</v>
      </c>
      <c r="L5" s="737"/>
      <c r="M5" s="798"/>
      <c r="N5" s="789"/>
      <c r="O5" s="790" t="s">
        <v>67</v>
      </c>
      <c r="P5" s="791"/>
      <c r="Q5" s="750"/>
      <c r="R5" s="733"/>
      <c r="S5" s="745" t="s">
        <v>69</v>
      </c>
      <c r="T5" s="746"/>
      <c r="U5" s="805"/>
      <c r="V5" s="766"/>
      <c r="W5" s="767" t="s">
        <v>70</v>
      </c>
      <c r="X5" s="768"/>
      <c r="Y5" s="815"/>
      <c r="Z5" s="775"/>
      <c r="AA5" s="776" t="s">
        <v>61</v>
      </c>
      <c r="AB5" s="777"/>
      <c r="AC5" s="818"/>
      <c r="AD5" s="784" t="s">
        <v>451</v>
      </c>
      <c r="AE5" s="785" t="s">
        <v>452</v>
      </c>
    </row>
    <row r="6" spans="2:51" x14ac:dyDescent="0.2">
      <c r="B6" s="14" t="s">
        <v>83</v>
      </c>
      <c r="C6" s="1"/>
      <c r="D6" s="6"/>
      <c r="E6" s="348"/>
      <c r="F6" s="721"/>
      <c r="G6" s="722" t="str">
        <f>'Base (Ph1)'!$D1</f>
        <v>Enter proposed PoP as "MM/YY to MM/YY"</v>
      </c>
      <c r="H6" s="723"/>
      <c r="I6" s="735"/>
      <c r="J6" s="738"/>
      <c r="K6" s="739" t="str">
        <f>'O-I (Ph2)'!$D1</f>
        <v>Enter proposed PoP as "MM/YY to MM/YY"</v>
      </c>
      <c r="L6" s="740"/>
      <c r="M6" s="798"/>
      <c r="N6" s="792"/>
      <c r="O6" s="793" t="str">
        <f>'O-II (Ph3)'!$D1</f>
        <v>Enter proposed PoP as "MM/YY to MM/YY"</v>
      </c>
      <c r="P6" s="794"/>
      <c r="Q6" s="750"/>
      <c r="R6" s="747"/>
      <c r="S6" s="748" t="str">
        <f>'O-III (Ph4)'!$D1</f>
        <v>Enter proposed PoP as "MM/YY to MM/YY"</v>
      </c>
      <c r="T6" s="749"/>
      <c r="U6" s="806"/>
      <c r="V6" s="769"/>
      <c r="W6" s="770" t="str">
        <f>'O-IV (Ph5)'!$D1</f>
        <v>Enter proposed PoP as "MM/YY to MM/YY"</v>
      </c>
      <c r="X6" s="771"/>
      <c r="Y6" s="815"/>
      <c r="Z6" s="778"/>
      <c r="AA6" s="779" t="str">
        <f>'O-V (Ph6)'!$D1</f>
        <v>Enter proposed PoP as "MM/YY to MM/YY"</v>
      </c>
      <c r="AB6" s="780"/>
      <c r="AC6" s="818"/>
      <c r="AD6" s="788" t="s">
        <v>82</v>
      </c>
      <c r="AE6" s="583">
        <f>PoP_mos_All</f>
        <v>0</v>
      </c>
    </row>
    <row r="7" spans="2:51" ht="13.5" thickBot="1" x14ac:dyDescent="0.25">
      <c r="B7" s="8"/>
      <c r="C7" s="23" t="s">
        <v>290</v>
      </c>
      <c r="D7" s="17" t="s">
        <v>22</v>
      </c>
      <c r="E7" s="724"/>
      <c r="F7" s="757" t="s">
        <v>239</v>
      </c>
      <c r="G7" s="758" t="s">
        <v>26</v>
      </c>
      <c r="H7" s="759" t="s">
        <v>247</v>
      </c>
      <c r="I7" s="741"/>
      <c r="J7" s="760" t="s">
        <v>239</v>
      </c>
      <c r="K7" s="761" t="s">
        <v>26</v>
      </c>
      <c r="L7" s="762" t="s">
        <v>247</v>
      </c>
      <c r="M7" s="799"/>
      <c r="N7" s="795" t="s">
        <v>239</v>
      </c>
      <c r="O7" s="796" t="s">
        <v>26</v>
      </c>
      <c r="P7" s="797" t="s">
        <v>247</v>
      </c>
      <c r="Q7" s="751"/>
      <c r="R7" s="763" t="s">
        <v>239</v>
      </c>
      <c r="S7" s="764" t="s">
        <v>26</v>
      </c>
      <c r="T7" s="765" t="s">
        <v>247</v>
      </c>
      <c r="U7" s="807"/>
      <c r="V7" s="772" t="s">
        <v>239</v>
      </c>
      <c r="W7" s="773" t="s">
        <v>26</v>
      </c>
      <c r="X7" s="774" t="s">
        <v>247</v>
      </c>
      <c r="Y7" s="816"/>
      <c r="Z7" s="781" t="s">
        <v>239</v>
      </c>
      <c r="AA7" s="782" t="s">
        <v>26</v>
      </c>
      <c r="AB7" s="783" t="s">
        <v>247</v>
      </c>
      <c r="AC7" s="819"/>
      <c r="AD7" s="786" t="s">
        <v>449</v>
      </c>
      <c r="AE7" s="787" t="s">
        <v>450</v>
      </c>
    </row>
    <row r="8" spans="2:51" x14ac:dyDescent="0.2">
      <c r="B8" s="8"/>
      <c r="C8" s="329" t="str">
        <f>IF(ISBLANK('Labor Rates'!C8),"",'Labor Rates'!C8)</f>
        <v/>
      </c>
      <c r="D8" s="413" t="str">
        <f>IF(ISBLANK('Labor Rates'!D8),"",'Labor Rates'!D8)</f>
        <v/>
      </c>
      <c r="E8" s="729"/>
      <c r="F8" s="754">
        <f>'Base (Ph1)'!$BH8</f>
        <v>0</v>
      </c>
      <c r="G8" s="755" t="s">
        <v>245</v>
      </c>
      <c r="H8" s="756">
        <f>'Base (Ph1)'!$BI8</f>
        <v>0</v>
      </c>
      <c r="I8" s="742"/>
      <c r="J8" s="754">
        <f>'O-I (Ph2)'!$BH8</f>
        <v>0</v>
      </c>
      <c r="K8" s="755" t="s">
        <v>246</v>
      </c>
      <c r="L8" s="756">
        <f>'O-I (Ph2)'!$BI8</f>
        <v>0</v>
      </c>
      <c r="M8" s="800"/>
      <c r="N8" s="754">
        <f>'O-II (Ph3)'!$BH8</f>
        <v>0</v>
      </c>
      <c r="O8" s="755" t="s">
        <v>248</v>
      </c>
      <c r="P8" s="756">
        <f>'O-II (Ph3)'!$BI8</f>
        <v>0</v>
      </c>
      <c r="Q8" s="752"/>
      <c r="R8" s="754">
        <f>'O-III (Ph4)'!$BH8</f>
        <v>0</v>
      </c>
      <c r="S8" s="755" t="s">
        <v>249</v>
      </c>
      <c r="T8" s="756">
        <f>'O-III (Ph4)'!$BI8</f>
        <v>0</v>
      </c>
      <c r="U8" s="808"/>
      <c r="V8" s="754">
        <f>'O-IV (Ph5)'!$BH8</f>
        <v>0</v>
      </c>
      <c r="W8" s="755" t="s">
        <v>250</v>
      </c>
      <c r="X8" s="756">
        <f>'O-IV (Ph5)'!$BI8</f>
        <v>0</v>
      </c>
      <c r="Y8" s="817"/>
      <c r="Z8" s="754">
        <f>'O-V (Ph6)'!$BH8</f>
        <v>0</v>
      </c>
      <c r="AA8" s="755" t="s">
        <v>251</v>
      </c>
      <c r="AB8" s="756">
        <f>'O-V (Ph6)'!$BI8</f>
        <v>0</v>
      </c>
      <c r="AC8" s="820"/>
      <c r="AD8" s="924">
        <f>F8+J8+N8+R8+V8+Z8</f>
        <v>0</v>
      </c>
      <c r="AE8" s="756">
        <f>H8+L8+P8+T8+X8+AB8</f>
        <v>0</v>
      </c>
    </row>
    <row r="9" spans="2:51" x14ac:dyDescent="0.2">
      <c r="B9" s="8"/>
      <c r="C9" s="329" t="str">
        <f>IF(ISBLANK('Labor Rates'!C9),"",'Labor Rates'!C9)</f>
        <v/>
      </c>
      <c r="D9" s="413" t="str">
        <f>IF(ISBLANK('Labor Rates'!D9),"",'Labor Rates'!D9)</f>
        <v/>
      </c>
      <c r="E9" s="729"/>
      <c r="F9" s="728">
        <f>'Base (Ph1)'!$BH9</f>
        <v>0</v>
      </c>
      <c r="G9" s="330" t="s">
        <v>245</v>
      </c>
      <c r="H9" s="331">
        <f>'Base (Ph1)'!$BI9</f>
        <v>0</v>
      </c>
      <c r="I9" s="742"/>
      <c r="J9" s="728">
        <f>'O-I (Ph2)'!$BH9</f>
        <v>0</v>
      </c>
      <c r="K9" s="330" t="s">
        <v>246</v>
      </c>
      <c r="L9" s="331">
        <f>'O-I (Ph2)'!$BI9</f>
        <v>0</v>
      </c>
      <c r="M9" s="800"/>
      <c r="N9" s="728">
        <f>'O-II (Ph3)'!$BH9</f>
        <v>0</v>
      </c>
      <c r="O9" s="330" t="s">
        <v>248</v>
      </c>
      <c r="P9" s="331">
        <f>'O-II (Ph3)'!$BI9</f>
        <v>0</v>
      </c>
      <c r="Q9" s="752"/>
      <c r="R9" s="728">
        <f>'O-III (Ph4)'!$BH9</f>
        <v>0</v>
      </c>
      <c r="S9" s="330" t="s">
        <v>249</v>
      </c>
      <c r="T9" s="331">
        <f>'O-III (Ph4)'!$BI9</f>
        <v>0</v>
      </c>
      <c r="U9" s="808"/>
      <c r="V9" s="728">
        <f>'O-IV (Ph5)'!$BH9</f>
        <v>0</v>
      </c>
      <c r="W9" s="330" t="s">
        <v>250</v>
      </c>
      <c r="X9" s="331">
        <f>'O-IV (Ph5)'!$BI9</f>
        <v>0</v>
      </c>
      <c r="Y9" s="817"/>
      <c r="Z9" s="728">
        <f>'O-V (Ph6)'!$BH9</f>
        <v>0</v>
      </c>
      <c r="AA9" s="330" t="s">
        <v>251</v>
      </c>
      <c r="AB9" s="331">
        <f>'O-V (Ph6)'!$BI9</f>
        <v>0</v>
      </c>
      <c r="AC9" s="820"/>
      <c r="AD9" s="925">
        <f>F9+J9+N9+R9+V9+Z9</f>
        <v>0</v>
      </c>
      <c r="AE9" s="331">
        <f>H9+L9+P9+T9+X9+AB9</f>
        <v>0</v>
      </c>
    </row>
    <row r="10" spans="2:51" x14ac:dyDescent="0.2">
      <c r="B10" s="8"/>
      <c r="C10" s="329" t="str">
        <f>IF(ISBLANK('Labor Rates'!C10),"",'Labor Rates'!C10)</f>
        <v/>
      </c>
      <c r="D10" s="413" t="str">
        <f>IF(ISBLANK('Labor Rates'!D10),"",'Labor Rates'!D10)</f>
        <v/>
      </c>
      <c r="E10" s="729"/>
      <c r="F10" s="728">
        <f>'Base (Ph1)'!$BH10</f>
        <v>0</v>
      </c>
      <c r="G10" s="330" t="s">
        <v>245</v>
      </c>
      <c r="H10" s="331">
        <f>'Base (Ph1)'!$BI10</f>
        <v>0</v>
      </c>
      <c r="I10" s="742"/>
      <c r="J10" s="728">
        <f>'O-I (Ph2)'!$BH10</f>
        <v>0</v>
      </c>
      <c r="K10" s="330" t="s">
        <v>246</v>
      </c>
      <c r="L10" s="331">
        <f>'O-I (Ph2)'!$BI10</f>
        <v>0</v>
      </c>
      <c r="M10" s="800"/>
      <c r="N10" s="728">
        <f>'O-II (Ph3)'!$BH10</f>
        <v>0</v>
      </c>
      <c r="O10" s="330" t="s">
        <v>248</v>
      </c>
      <c r="P10" s="331">
        <f>'O-II (Ph3)'!$BI10</f>
        <v>0</v>
      </c>
      <c r="Q10" s="752"/>
      <c r="R10" s="728">
        <f>'O-III (Ph4)'!$BH10</f>
        <v>0</v>
      </c>
      <c r="S10" s="330" t="s">
        <v>249</v>
      </c>
      <c r="T10" s="331">
        <f>'O-III (Ph4)'!$BI10</f>
        <v>0</v>
      </c>
      <c r="U10" s="808"/>
      <c r="V10" s="728">
        <f>'O-IV (Ph5)'!$BH10</f>
        <v>0</v>
      </c>
      <c r="W10" s="330" t="s">
        <v>250</v>
      </c>
      <c r="X10" s="331">
        <f>'O-IV (Ph5)'!$BI10</f>
        <v>0</v>
      </c>
      <c r="Y10" s="817"/>
      <c r="Z10" s="728">
        <f>'O-V (Ph6)'!$BH10</f>
        <v>0</v>
      </c>
      <c r="AA10" s="330" t="s">
        <v>251</v>
      </c>
      <c r="AB10" s="331">
        <f>'O-V (Ph6)'!$BI10</f>
        <v>0</v>
      </c>
      <c r="AC10" s="820"/>
      <c r="AD10" s="925">
        <f t="shared" ref="AD10:AD47" si="0">F10+J10+N10+R10+V10+Z10</f>
        <v>0</v>
      </c>
      <c r="AE10" s="331">
        <f t="shared" ref="AE10:AE47" si="1">H10+L10+P10+T10+X10+AB10</f>
        <v>0</v>
      </c>
    </row>
    <row r="11" spans="2:51" x14ac:dyDescent="0.2">
      <c r="B11" s="8"/>
      <c r="C11" s="329" t="str">
        <f>IF(ISBLANK('Labor Rates'!C11),"",'Labor Rates'!C11)</f>
        <v/>
      </c>
      <c r="D11" s="413" t="str">
        <f>IF(ISBLANK('Labor Rates'!D11),"",'Labor Rates'!D11)</f>
        <v/>
      </c>
      <c r="E11" s="729"/>
      <c r="F11" s="728">
        <f>'Base (Ph1)'!$BH11</f>
        <v>0</v>
      </c>
      <c r="G11" s="330" t="s">
        <v>245</v>
      </c>
      <c r="H11" s="331">
        <f>'Base (Ph1)'!$BI11</f>
        <v>0</v>
      </c>
      <c r="I11" s="742"/>
      <c r="J11" s="728">
        <f>'O-I (Ph2)'!$BH11</f>
        <v>0</v>
      </c>
      <c r="K11" s="330" t="s">
        <v>246</v>
      </c>
      <c r="L11" s="331">
        <f>'O-I (Ph2)'!$BI11</f>
        <v>0</v>
      </c>
      <c r="M11" s="800"/>
      <c r="N11" s="728">
        <f>'O-II (Ph3)'!$BH11</f>
        <v>0</v>
      </c>
      <c r="O11" s="330" t="s">
        <v>248</v>
      </c>
      <c r="P11" s="331">
        <f>'O-II (Ph3)'!$BI11</f>
        <v>0</v>
      </c>
      <c r="Q11" s="752"/>
      <c r="R11" s="728">
        <f>'O-III (Ph4)'!$BH11</f>
        <v>0</v>
      </c>
      <c r="S11" s="330" t="s">
        <v>249</v>
      </c>
      <c r="T11" s="331">
        <f>'O-III (Ph4)'!$BI11</f>
        <v>0</v>
      </c>
      <c r="U11" s="808"/>
      <c r="V11" s="728">
        <f>'O-IV (Ph5)'!$BH11</f>
        <v>0</v>
      </c>
      <c r="W11" s="330" t="s">
        <v>250</v>
      </c>
      <c r="X11" s="331">
        <f>'O-IV (Ph5)'!$BI11</f>
        <v>0</v>
      </c>
      <c r="Y11" s="817"/>
      <c r="Z11" s="728">
        <f>'O-V (Ph6)'!$BH11</f>
        <v>0</v>
      </c>
      <c r="AA11" s="330" t="s">
        <v>251</v>
      </c>
      <c r="AB11" s="331">
        <f>'O-V (Ph6)'!$BI11</f>
        <v>0</v>
      </c>
      <c r="AC11" s="820"/>
      <c r="AD11" s="925">
        <f t="shared" si="0"/>
        <v>0</v>
      </c>
      <c r="AE11" s="331">
        <f t="shared" si="1"/>
        <v>0</v>
      </c>
    </row>
    <row r="12" spans="2:51" x14ac:dyDescent="0.2">
      <c r="B12" s="8"/>
      <c r="C12" s="329" t="str">
        <f>IF(ISBLANK('Labor Rates'!C12),"",'Labor Rates'!C12)</f>
        <v/>
      </c>
      <c r="D12" s="413" t="str">
        <f>IF(ISBLANK('Labor Rates'!D12),"",'Labor Rates'!D12)</f>
        <v/>
      </c>
      <c r="E12" s="729"/>
      <c r="F12" s="728">
        <f>'Base (Ph1)'!$BH12</f>
        <v>0</v>
      </c>
      <c r="G12" s="330" t="s">
        <v>245</v>
      </c>
      <c r="H12" s="331">
        <f>'Base (Ph1)'!$BI12</f>
        <v>0</v>
      </c>
      <c r="I12" s="742"/>
      <c r="J12" s="728">
        <f>'O-I (Ph2)'!$BH12</f>
        <v>0</v>
      </c>
      <c r="K12" s="330" t="s">
        <v>246</v>
      </c>
      <c r="L12" s="331">
        <f>'O-I (Ph2)'!$BI12</f>
        <v>0</v>
      </c>
      <c r="M12" s="800"/>
      <c r="N12" s="728">
        <f>'O-II (Ph3)'!$BH12</f>
        <v>0</v>
      </c>
      <c r="O12" s="330" t="s">
        <v>248</v>
      </c>
      <c r="P12" s="331">
        <f>'O-II (Ph3)'!$BI12</f>
        <v>0</v>
      </c>
      <c r="Q12" s="752"/>
      <c r="R12" s="728">
        <f>'O-III (Ph4)'!$BH12</f>
        <v>0</v>
      </c>
      <c r="S12" s="330" t="s">
        <v>249</v>
      </c>
      <c r="T12" s="331">
        <f>'O-III (Ph4)'!$BI12</f>
        <v>0</v>
      </c>
      <c r="U12" s="808"/>
      <c r="V12" s="728">
        <f>'O-IV (Ph5)'!$BH12</f>
        <v>0</v>
      </c>
      <c r="W12" s="330" t="s">
        <v>250</v>
      </c>
      <c r="X12" s="331">
        <f>'O-IV (Ph5)'!$BI12</f>
        <v>0</v>
      </c>
      <c r="Y12" s="817"/>
      <c r="Z12" s="728">
        <f>'O-V (Ph6)'!$BH12</f>
        <v>0</v>
      </c>
      <c r="AA12" s="330" t="s">
        <v>251</v>
      </c>
      <c r="AB12" s="331">
        <f>'O-V (Ph6)'!$BI12</f>
        <v>0</v>
      </c>
      <c r="AC12" s="820"/>
      <c r="AD12" s="925">
        <f t="shared" si="0"/>
        <v>0</v>
      </c>
      <c r="AE12" s="331">
        <f t="shared" si="1"/>
        <v>0</v>
      </c>
    </row>
    <row r="13" spans="2:51" x14ac:dyDescent="0.2">
      <c r="B13" s="8"/>
      <c r="C13" s="329" t="str">
        <f>IF(ISBLANK('Labor Rates'!C13),"",'Labor Rates'!C13)</f>
        <v/>
      </c>
      <c r="D13" s="413" t="str">
        <f>IF(ISBLANK('Labor Rates'!D13),"",'Labor Rates'!D13)</f>
        <v/>
      </c>
      <c r="E13" s="729"/>
      <c r="F13" s="728">
        <f>'Base (Ph1)'!$BH13</f>
        <v>0</v>
      </c>
      <c r="G13" s="330" t="s">
        <v>245</v>
      </c>
      <c r="H13" s="331">
        <f>'Base (Ph1)'!$BI13</f>
        <v>0</v>
      </c>
      <c r="I13" s="742"/>
      <c r="J13" s="728">
        <f>'O-I (Ph2)'!$BH13</f>
        <v>0</v>
      </c>
      <c r="K13" s="330" t="s">
        <v>246</v>
      </c>
      <c r="L13" s="331">
        <f>'O-I (Ph2)'!$BI13</f>
        <v>0</v>
      </c>
      <c r="M13" s="800"/>
      <c r="N13" s="728">
        <f>'O-II (Ph3)'!$BH13</f>
        <v>0</v>
      </c>
      <c r="O13" s="330" t="s">
        <v>248</v>
      </c>
      <c r="P13" s="331">
        <f>'O-II (Ph3)'!$BI13</f>
        <v>0</v>
      </c>
      <c r="Q13" s="752"/>
      <c r="R13" s="728">
        <f>'O-III (Ph4)'!$BH13</f>
        <v>0</v>
      </c>
      <c r="S13" s="330" t="s">
        <v>249</v>
      </c>
      <c r="T13" s="331">
        <f>'O-III (Ph4)'!$BI13</f>
        <v>0</v>
      </c>
      <c r="U13" s="808"/>
      <c r="V13" s="728">
        <f>'O-IV (Ph5)'!$BH13</f>
        <v>0</v>
      </c>
      <c r="W13" s="330" t="s">
        <v>250</v>
      </c>
      <c r="X13" s="331">
        <f>'O-IV (Ph5)'!$BI13</f>
        <v>0</v>
      </c>
      <c r="Y13" s="817"/>
      <c r="Z13" s="728">
        <f>'O-V (Ph6)'!$BH13</f>
        <v>0</v>
      </c>
      <c r="AA13" s="330" t="s">
        <v>251</v>
      </c>
      <c r="AB13" s="331">
        <f>'O-V (Ph6)'!$BI13</f>
        <v>0</v>
      </c>
      <c r="AC13" s="820"/>
      <c r="AD13" s="925">
        <f t="shared" si="0"/>
        <v>0</v>
      </c>
      <c r="AE13" s="331">
        <f t="shared" si="1"/>
        <v>0</v>
      </c>
    </row>
    <row r="14" spans="2:51" x14ac:dyDescent="0.2">
      <c r="B14" s="8"/>
      <c r="C14" s="329" t="str">
        <f>IF(ISBLANK('Labor Rates'!C14),"",'Labor Rates'!C14)</f>
        <v/>
      </c>
      <c r="D14" s="413" t="str">
        <f>IF(ISBLANK('Labor Rates'!D14),"",'Labor Rates'!D14)</f>
        <v/>
      </c>
      <c r="E14" s="729"/>
      <c r="F14" s="728">
        <f>'Base (Ph1)'!$BH14</f>
        <v>0</v>
      </c>
      <c r="G14" s="330" t="s">
        <v>245</v>
      </c>
      <c r="H14" s="331">
        <f>'Base (Ph1)'!$BI14</f>
        <v>0</v>
      </c>
      <c r="I14" s="742"/>
      <c r="J14" s="728">
        <f>'O-I (Ph2)'!$BH14</f>
        <v>0</v>
      </c>
      <c r="K14" s="330" t="s">
        <v>246</v>
      </c>
      <c r="L14" s="331">
        <f>'O-I (Ph2)'!$BI14</f>
        <v>0</v>
      </c>
      <c r="M14" s="800"/>
      <c r="N14" s="728">
        <f>'O-II (Ph3)'!$BH14</f>
        <v>0</v>
      </c>
      <c r="O14" s="330" t="s">
        <v>248</v>
      </c>
      <c r="P14" s="331">
        <f>'O-II (Ph3)'!$BI14</f>
        <v>0</v>
      </c>
      <c r="Q14" s="752"/>
      <c r="R14" s="728">
        <f>'O-III (Ph4)'!$BH14</f>
        <v>0</v>
      </c>
      <c r="S14" s="330" t="s">
        <v>249</v>
      </c>
      <c r="T14" s="331">
        <f>'O-III (Ph4)'!$BI14</f>
        <v>0</v>
      </c>
      <c r="U14" s="808"/>
      <c r="V14" s="728">
        <f>'O-IV (Ph5)'!$BH14</f>
        <v>0</v>
      </c>
      <c r="W14" s="330" t="s">
        <v>250</v>
      </c>
      <c r="X14" s="331">
        <f>'O-IV (Ph5)'!$BI14</f>
        <v>0</v>
      </c>
      <c r="Y14" s="817"/>
      <c r="Z14" s="728">
        <f>'O-V (Ph6)'!$BH14</f>
        <v>0</v>
      </c>
      <c r="AA14" s="330" t="s">
        <v>251</v>
      </c>
      <c r="AB14" s="331">
        <f>'O-V (Ph6)'!$BI14</f>
        <v>0</v>
      </c>
      <c r="AC14" s="820"/>
      <c r="AD14" s="925">
        <f t="shared" si="0"/>
        <v>0</v>
      </c>
      <c r="AE14" s="331">
        <f t="shared" si="1"/>
        <v>0</v>
      </c>
    </row>
    <row r="15" spans="2:51" x14ac:dyDescent="0.2">
      <c r="B15" s="8"/>
      <c r="C15" s="329" t="str">
        <f>IF(ISBLANK('Labor Rates'!C15),"",'Labor Rates'!C15)</f>
        <v/>
      </c>
      <c r="D15" s="413" t="str">
        <f>IF(ISBLANK('Labor Rates'!D15),"",'Labor Rates'!D15)</f>
        <v/>
      </c>
      <c r="E15" s="729"/>
      <c r="F15" s="728">
        <f>'Base (Ph1)'!$BH15</f>
        <v>0</v>
      </c>
      <c r="G15" s="330" t="s">
        <v>245</v>
      </c>
      <c r="H15" s="331">
        <f>'Base (Ph1)'!$BI15</f>
        <v>0</v>
      </c>
      <c r="I15" s="742"/>
      <c r="J15" s="728">
        <f>'O-I (Ph2)'!$BH15</f>
        <v>0</v>
      </c>
      <c r="K15" s="330" t="s">
        <v>246</v>
      </c>
      <c r="L15" s="331">
        <f>'O-I (Ph2)'!$BI15</f>
        <v>0</v>
      </c>
      <c r="M15" s="800"/>
      <c r="N15" s="728">
        <f>'O-II (Ph3)'!$BH15</f>
        <v>0</v>
      </c>
      <c r="O15" s="330" t="s">
        <v>248</v>
      </c>
      <c r="P15" s="331">
        <f>'O-II (Ph3)'!$BI15</f>
        <v>0</v>
      </c>
      <c r="Q15" s="752"/>
      <c r="R15" s="728">
        <f>'O-III (Ph4)'!$BH15</f>
        <v>0</v>
      </c>
      <c r="S15" s="330" t="s">
        <v>249</v>
      </c>
      <c r="T15" s="331">
        <f>'O-III (Ph4)'!$BI15</f>
        <v>0</v>
      </c>
      <c r="U15" s="808"/>
      <c r="V15" s="728">
        <f>'O-IV (Ph5)'!$BH15</f>
        <v>0</v>
      </c>
      <c r="W15" s="330" t="s">
        <v>250</v>
      </c>
      <c r="X15" s="331">
        <f>'O-IV (Ph5)'!$BI15</f>
        <v>0</v>
      </c>
      <c r="Y15" s="817"/>
      <c r="Z15" s="728">
        <f>'O-V (Ph6)'!$BH15</f>
        <v>0</v>
      </c>
      <c r="AA15" s="330" t="s">
        <v>251</v>
      </c>
      <c r="AB15" s="331">
        <f>'O-V (Ph6)'!$BI15</f>
        <v>0</v>
      </c>
      <c r="AC15" s="820"/>
      <c r="AD15" s="925">
        <f t="shared" si="0"/>
        <v>0</v>
      </c>
      <c r="AE15" s="331">
        <f t="shared" si="1"/>
        <v>0</v>
      </c>
    </row>
    <row r="16" spans="2:51" x14ac:dyDescent="0.2">
      <c r="B16" s="8"/>
      <c r="C16" s="329" t="str">
        <f>IF(ISBLANK('Labor Rates'!C16),"",'Labor Rates'!C16)</f>
        <v/>
      </c>
      <c r="D16" s="413" t="str">
        <f>IF(ISBLANK('Labor Rates'!D16),"",'Labor Rates'!D16)</f>
        <v/>
      </c>
      <c r="E16" s="729"/>
      <c r="F16" s="728">
        <f>'Base (Ph1)'!$BH16</f>
        <v>0</v>
      </c>
      <c r="G16" s="330" t="s">
        <v>245</v>
      </c>
      <c r="H16" s="331">
        <f>'Base (Ph1)'!$BI16</f>
        <v>0</v>
      </c>
      <c r="I16" s="742"/>
      <c r="J16" s="728">
        <f>'O-I (Ph2)'!$BH16</f>
        <v>0</v>
      </c>
      <c r="K16" s="330" t="s">
        <v>246</v>
      </c>
      <c r="L16" s="331">
        <f>'O-I (Ph2)'!$BI16</f>
        <v>0</v>
      </c>
      <c r="M16" s="800"/>
      <c r="N16" s="728">
        <f>'O-II (Ph3)'!$BH16</f>
        <v>0</v>
      </c>
      <c r="O16" s="330" t="s">
        <v>248</v>
      </c>
      <c r="P16" s="331">
        <f>'O-II (Ph3)'!$BI16</f>
        <v>0</v>
      </c>
      <c r="Q16" s="752"/>
      <c r="R16" s="728">
        <f>'O-III (Ph4)'!$BH16</f>
        <v>0</v>
      </c>
      <c r="S16" s="330" t="s">
        <v>249</v>
      </c>
      <c r="T16" s="331">
        <f>'O-III (Ph4)'!$BI16</f>
        <v>0</v>
      </c>
      <c r="U16" s="808"/>
      <c r="V16" s="728">
        <f>'O-IV (Ph5)'!$BH16</f>
        <v>0</v>
      </c>
      <c r="W16" s="330" t="s">
        <v>250</v>
      </c>
      <c r="X16" s="331">
        <f>'O-IV (Ph5)'!$BI16</f>
        <v>0</v>
      </c>
      <c r="Y16" s="817"/>
      <c r="Z16" s="728">
        <f>'O-V (Ph6)'!$BH16</f>
        <v>0</v>
      </c>
      <c r="AA16" s="330" t="s">
        <v>251</v>
      </c>
      <c r="AB16" s="331">
        <f>'O-V (Ph6)'!$BI16</f>
        <v>0</v>
      </c>
      <c r="AC16" s="820"/>
      <c r="AD16" s="925">
        <f t="shared" si="0"/>
        <v>0</v>
      </c>
      <c r="AE16" s="331">
        <f t="shared" si="1"/>
        <v>0</v>
      </c>
    </row>
    <row r="17" spans="2:31" x14ac:dyDescent="0.2">
      <c r="B17" s="8"/>
      <c r="C17" s="329" t="str">
        <f>IF(ISBLANK('Labor Rates'!C17),"",'Labor Rates'!C17)</f>
        <v/>
      </c>
      <c r="D17" s="413" t="str">
        <f>IF(ISBLANK('Labor Rates'!D17),"",'Labor Rates'!D17)</f>
        <v/>
      </c>
      <c r="E17" s="729"/>
      <c r="F17" s="728">
        <f>'Base (Ph1)'!$BH17</f>
        <v>0</v>
      </c>
      <c r="G17" s="330" t="s">
        <v>245</v>
      </c>
      <c r="H17" s="331">
        <f>'Base (Ph1)'!$BI17</f>
        <v>0</v>
      </c>
      <c r="I17" s="742"/>
      <c r="J17" s="728">
        <f>'O-I (Ph2)'!$BH17</f>
        <v>0</v>
      </c>
      <c r="K17" s="330" t="s">
        <v>246</v>
      </c>
      <c r="L17" s="331">
        <f>'O-I (Ph2)'!$BI17</f>
        <v>0</v>
      </c>
      <c r="M17" s="800"/>
      <c r="N17" s="728">
        <f>'O-II (Ph3)'!$BH17</f>
        <v>0</v>
      </c>
      <c r="O17" s="330" t="s">
        <v>248</v>
      </c>
      <c r="P17" s="331">
        <f>'O-II (Ph3)'!$BI17</f>
        <v>0</v>
      </c>
      <c r="Q17" s="752"/>
      <c r="R17" s="728">
        <f>'O-III (Ph4)'!$BH17</f>
        <v>0</v>
      </c>
      <c r="S17" s="330" t="s">
        <v>249</v>
      </c>
      <c r="T17" s="331">
        <f>'O-III (Ph4)'!$BI17</f>
        <v>0</v>
      </c>
      <c r="U17" s="808"/>
      <c r="V17" s="728">
        <f>'O-IV (Ph5)'!$BH17</f>
        <v>0</v>
      </c>
      <c r="W17" s="330" t="s">
        <v>250</v>
      </c>
      <c r="X17" s="331">
        <f>'O-IV (Ph5)'!$BI17</f>
        <v>0</v>
      </c>
      <c r="Y17" s="817"/>
      <c r="Z17" s="728">
        <f>'O-V (Ph6)'!$BH17</f>
        <v>0</v>
      </c>
      <c r="AA17" s="330" t="s">
        <v>251</v>
      </c>
      <c r="AB17" s="331">
        <f>'O-V (Ph6)'!$BI17</f>
        <v>0</v>
      </c>
      <c r="AC17" s="820"/>
      <c r="AD17" s="925">
        <f t="shared" si="0"/>
        <v>0</v>
      </c>
      <c r="AE17" s="331">
        <f t="shared" si="1"/>
        <v>0</v>
      </c>
    </row>
    <row r="18" spans="2:31" x14ac:dyDescent="0.2">
      <c r="B18" s="8"/>
      <c r="C18" s="329" t="str">
        <f>IF(ISBLANK('Labor Rates'!C18),"",'Labor Rates'!C18)</f>
        <v/>
      </c>
      <c r="D18" s="413" t="str">
        <f>IF(ISBLANK('Labor Rates'!D18),"",'Labor Rates'!D18)</f>
        <v/>
      </c>
      <c r="E18" s="729"/>
      <c r="F18" s="728">
        <f>'Base (Ph1)'!$BH18</f>
        <v>0</v>
      </c>
      <c r="G18" s="330" t="s">
        <v>245</v>
      </c>
      <c r="H18" s="331">
        <f>'Base (Ph1)'!$BI18</f>
        <v>0</v>
      </c>
      <c r="I18" s="742"/>
      <c r="J18" s="728">
        <f>'O-I (Ph2)'!$BH18</f>
        <v>0</v>
      </c>
      <c r="K18" s="330" t="s">
        <v>246</v>
      </c>
      <c r="L18" s="331">
        <f>'O-I (Ph2)'!$BI18</f>
        <v>0</v>
      </c>
      <c r="M18" s="800"/>
      <c r="N18" s="728">
        <f>'O-II (Ph3)'!$BH18</f>
        <v>0</v>
      </c>
      <c r="O18" s="330" t="s">
        <v>248</v>
      </c>
      <c r="P18" s="331">
        <f>'O-II (Ph3)'!$BI18</f>
        <v>0</v>
      </c>
      <c r="Q18" s="752"/>
      <c r="R18" s="728">
        <f>'O-III (Ph4)'!$BH18</f>
        <v>0</v>
      </c>
      <c r="S18" s="330" t="s">
        <v>249</v>
      </c>
      <c r="T18" s="331">
        <f>'O-III (Ph4)'!$BI18</f>
        <v>0</v>
      </c>
      <c r="U18" s="808"/>
      <c r="V18" s="728">
        <f>'O-IV (Ph5)'!$BH18</f>
        <v>0</v>
      </c>
      <c r="W18" s="330" t="s">
        <v>250</v>
      </c>
      <c r="X18" s="331">
        <f>'O-IV (Ph5)'!$BI18</f>
        <v>0</v>
      </c>
      <c r="Y18" s="817"/>
      <c r="Z18" s="728">
        <f>'O-V (Ph6)'!$BH18</f>
        <v>0</v>
      </c>
      <c r="AA18" s="330" t="s">
        <v>251</v>
      </c>
      <c r="AB18" s="331">
        <f>'O-V (Ph6)'!$BI18</f>
        <v>0</v>
      </c>
      <c r="AC18" s="820"/>
      <c r="AD18" s="925">
        <f t="shared" si="0"/>
        <v>0</v>
      </c>
      <c r="AE18" s="331">
        <f t="shared" si="1"/>
        <v>0</v>
      </c>
    </row>
    <row r="19" spans="2:31" x14ac:dyDescent="0.2">
      <c r="B19" s="8"/>
      <c r="C19" s="329" t="str">
        <f>IF(ISBLANK('Labor Rates'!C19),"",'Labor Rates'!C19)</f>
        <v/>
      </c>
      <c r="D19" s="413" t="str">
        <f>IF(ISBLANK('Labor Rates'!D19),"",'Labor Rates'!D19)</f>
        <v/>
      </c>
      <c r="E19" s="729"/>
      <c r="F19" s="728">
        <f>'Base (Ph1)'!$BH19</f>
        <v>0</v>
      </c>
      <c r="G19" s="330" t="s">
        <v>245</v>
      </c>
      <c r="H19" s="331">
        <f>'Base (Ph1)'!$BI19</f>
        <v>0</v>
      </c>
      <c r="I19" s="742"/>
      <c r="J19" s="728">
        <f>'O-I (Ph2)'!$BH19</f>
        <v>0</v>
      </c>
      <c r="K19" s="330" t="s">
        <v>246</v>
      </c>
      <c r="L19" s="331">
        <f>'O-I (Ph2)'!$BI19</f>
        <v>0</v>
      </c>
      <c r="M19" s="800"/>
      <c r="N19" s="728">
        <f>'O-II (Ph3)'!$BH19</f>
        <v>0</v>
      </c>
      <c r="O19" s="330" t="s">
        <v>248</v>
      </c>
      <c r="P19" s="331">
        <f>'O-II (Ph3)'!$BI19</f>
        <v>0</v>
      </c>
      <c r="Q19" s="752"/>
      <c r="R19" s="728">
        <f>'O-III (Ph4)'!$BH19</f>
        <v>0</v>
      </c>
      <c r="S19" s="330" t="s">
        <v>249</v>
      </c>
      <c r="T19" s="331">
        <f>'O-III (Ph4)'!$BI19</f>
        <v>0</v>
      </c>
      <c r="U19" s="808"/>
      <c r="V19" s="728">
        <f>'O-IV (Ph5)'!$BH19</f>
        <v>0</v>
      </c>
      <c r="W19" s="330" t="s">
        <v>250</v>
      </c>
      <c r="X19" s="331">
        <f>'O-IV (Ph5)'!$BI19</f>
        <v>0</v>
      </c>
      <c r="Y19" s="817"/>
      <c r="Z19" s="728">
        <f>'O-V (Ph6)'!$BH19</f>
        <v>0</v>
      </c>
      <c r="AA19" s="330" t="s">
        <v>251</v>
      </c>
      <c r="AB19" s="331">
        <f>'O-V (Ph6)'!$BI19</f>
        <v>0</v>
      </c>
      <c r="AC19" s="820"/>
      <c r="AD19" s="925">
        <f t="shared" si="0"/>
        <v>0</v>
      </c>
      <c r="AE19" s="331">
        <f t="shared" si="1"/>
        <v>0</v>
      </c>
    </row>
    <row r="20" spans="2:31" x14ac:dyDescent="0.2">
      <c r="B20" s="8"/>
      <c r="C20" s="329" t="str">
        <f>IF(ISBLANK('Labor Rates'!C20),"",'Labor Rates'!C20)</f>
        <v/>
      </c>
      <c r="D20" s="413" t="str">
        <f>IF(ISBLANK('Labor Rates'!D20),"",'Labor Rates'!D20)</f>
        <v/>
      </c>
      <c r="E20" s="729"/>
      <c r="F20" s="728">
        <f>'Base (Ph1)'!$BH20</f>
        <v>0</v>
      </c>
      <c r="G20" s="330" t="s">
        <v>245</v>
      </c>
      <c r="H20" s="331">
        <f>'Base (Ph1)'!$BI20</f>
        <v>0</v>
      </c>
      <c r="I20" s="742"/>
      <c r="J20" s="728">
        <f>'O-I (Ph2)'!$BH20</f>
        <v>0</v>
      </c>
      <c r="K20" s="330" t="s">
        <v>246</v>
      </c>
      <c r="L20" s="331">
        <f>'O-I (Ph2)'!$BI20</f>
        <v>0</v>
      </c>
      <c r="M20" s="800"/>
      <c r="N20" s="728">
        <f>'O-II (Ph3)'!$BH20</f>
        <v>0</v>
      </c>
      <c r="O20" s="330" t="s">
        <v>248</v>
      </c>
      <c r="P20" s="331">
        <f>'O-II (Ph3)'!$BI20</f>
        <v>0</v>
      </c>
      <c r="Q20" s="752"/>
      <c r="R20" s="728">
        <f>'O-III (Ph4)'!$BH20</f>
        <v>0</v>
      </c>
      <c r="S20" s="330" t="s">
        <v>249</v>
      </c>
      <c r="T20" s="331">
        <f>'O-III (Ph4)'!$BI20</f>
        <v>0</v>
      </c>
      <c r="U20" s="808"/>
      <c r="V20" s="728">
        <f>'O-IV (Ph5)'!$BH20</f>
        <v>0</v>
      </c>
      <c r="W20" s="330" t="s">
        <v>250</v>
      </c>
      <c r="X20" s="331">
        <f>'O-IV (Ph5)'!$BI20</f>
        <v>0</v>
      </c>
      <c r="Y20" s="817"/>
      <c r="Z20" s="728">
        <f>'O-V (Ph6)'!$BH20</f>
        <v>0</v>
      </c>
      <c r="AA20" s="330" t="s">
        <v>251</v>
      </c>
      <c r="AB20" s="331">
        <f>'O-V (Ph6)'!$BI20</f>
        <v>0</v>
      </c>
      <c r="AC20" s="820"/>
      <c r="AD20" s="925">
        <f t="shared" si="0"/>
        <v>0</v>
      </c>
      <c r="AE20" s="331">
        <f t="shared" si="1"/>
        <v>0</v>
      </c>
    </row>
    <row r="21" spans="2:31" x14ac:dyDescent="0.2">
      <c r="B21" s="8"/>
      <c r="C21" s="329" t="str">
        <f>IF(ISBLANK('Labor Rates'!C21),"",'Labor Rates'!C21)</f>
        <v/>
      </c>
      <c r="D21" s="413" t="str">
        <f>IF(ISBLANK('Labor Rates'!D21),"",'Labor Rates'!D21)</f>
        <v/>
      </c>
      <c r="E21" s="729"/>
      <c r="F21" s="728">
        <f>'Base (Ph1)'!$BH21</f>
        <v>0</v>
      </c>
      <c r="G21" s="330" t="s">
        <v>245</v>
      </c>
      <c r="H21" s="331">
        <f>'Base (Ph1)'!$BI21</f>
        <v>0</v>
      </c>
      <c r="I21" s="742"/>
      <c r="J21" s="728">
        <f>'O-I (Ph2)'!$BH21</f>
        <v>0</v>
      </c>
      <c r="K21" s="330" t="s">
        <v>246</v>
      </c>
      <c r="L21" s="331">
        <f>'O-I (Ph2)'!$BI21</f>
        <v>0</v>
      </c>
      <c r="M21" s="800"/>
      <c r="N21" s="728">
        <f>'O-II (Ph3)'!$BH21</f>
        <v>0</v>
      </c>
      <c r="O21" s="330" t="s">
        <v>248</v>
      </c>
      <c r="P21" s="331">
        <f>'O-II (Ph3)'!$BI21</f>
        <v>0</v>
      </c>
      <c r="Q21" s="752"/>
      <c r="R21" s="728">
        <f>'O-III (Ph4)'!$BH21</f>
        <v>0</v>
      </c>
      <c r="S21" s="330" t="s">
        <v>249</v>
      </c>
      <c r="T21" s="331">
        <f>'O-III (Ph4)'!$BI21</f>
        <v>0</v>
      </c>
      <c r="U21" s="808"/>
      <c r="V21" s="728">
        <f>'O-IV (Ph5)'!$BH21</f>
        <v>0</v>
      </c>
      <c r="W21" s="330" t="s">
        <v>250</v>
      </c>
      <c r="X21" s="331">
        <f>'O-IV (Ph5)'!$BI21</f>
        <v>0</v>
      </c>
      <c r="Y21" s="817"/>
      <c r="Z21" s="728">
        <f>'O-V (Ph6)'!$BH21</f>
        <v>0</v>
      </c>
      <c r="AA21" s="330" t="s">
        <v>251</v>
      </c>
      <c r="AB21" s="331">
        <f>'O-V (Ph6)'!$BI21</f>
        <v>0</v>
      </c>
      <c r="AC21" s="820"/>
      <c r="AD21" s="925">
        <f t="shared" si="0"/>
        <v>0</v>
      </c>
      <c r="AE21" s="331">
        <f t="shared" si="1"/>
        <v>0</v>
      </c>
    </row>
    <row r="22" spans="2:31" x14ac:dyDescent="0.2">
      <c r="B22" s="8"/>
      <c r="C22" s="329" t="str">
        <f>IF(ISBLANK('Labor Rates'!C22),"",'Labor Rates'!C22)</f>
        <v/>
      </c>
      <c r="D22" s="413" t="str">
        <f>IF(ISBLANK('Labor Rates'!D22),"",'Labor Rates'!D22)</f>
        <v/>
      </c>
      <c r="E22" s="729"/>
      <c r="F22" s="728">
        <f>'Base (Ph1)'!$BH22</f>
        <v>0</v>
      </c>
      <c r="G22" s="330" t="s">
        <v>245</v>
      </c>
      <c r="H22" s="331">
        <f>'Base (Ph1)'!$BI22</f>
        <v>0</v>
      </c>
      <c r="I22" s="742"/>
      <c r="J22" s="728">
        <f>'O-I (Ph2)'!$BH22</f>
        <v>0</v>
      </c>
      <c r="K22" s="330" t="s">
        <v>246</v>
      </c>
      <c r="L22" s="331">
        <f>'O-I (Ph2)'!$BI22</f>
        <v>0</v>
      </c>
      <c r="M22" s="800"/>
      <c r="N22" s="728">
        <f>'O-II (Ph3)'!$BH22</f>
        <v>0</v>
      </c>
      <c r="O22" s="330" t="s">
        <v>248</v>
      </c>
      <c r="P22" s="331">
        <f>'O-II (Ph3)'!$BI22</f>
        <v>0</v>
      </c>
      <c r="Q22" s="752"/>
      <c r="R22" s="728">
        <f>'O-III (Ph4)'!$BH22</f>
        <v>0</v>
      </c>
      <c r="S22" s="330" t="s">
        <v>249</v>
      </c>
      <c r="T22" s="331">
        <f>'O-III (Ph4)'!$BI22</f>
        <v>0</v>
      </c>
      <c r="U22" s="808"/>
      <c r="V22" s="728">
        <f>'O-IV (Ph5)'!$BH22</f>
        <v>0</v>
      </c>
      <c r="W22" s="330" t="s">
        <v>250</v>
      </c>
      <c r="X22" s="331">
        <f>'O-IV (Ph5)'!$BI22</f>
        <v>0</v>
      </c>
      <c r="Y22" s="817"/>
      <c r="Z22" s="728">
        <f>'O-V (Ph6)'!$BH22</f>
        <v>0</v>
      </c>
      <c r="AA22" s="330" t="s">
        <v>251</v>
      </c>
      <c r="AB22" s="331">
        <f>'O-V (Ph6)'!$BI22</f>
        <v>0</v>
      </c>
      <c r="AC22" s="820"/>
      <c r="AD22" s="925">
        <f t="shared" si="0"/>
        <v>0</v>
      </c>
      <c r="AE22" s="331">
        <f t="shared" si="1"/>
        <v>0</v>
      </c>
    </row>
    <row r="23" spans="2:31" x14ac:dyDescent="0.2">
      <c r="B23" s="8"/>
      <c r="C23" s="329" t="str">
        <f>IF(ISBLANK('Labor Rates'!C23),"",'Labor Rates'!C23)</f>
        <v/>
      </c>
      <c r="D23" s="413" t="str">
        <f>IF(ISBLANK('Labor Rates'!D23),"",'Labor Rates'!D23)</f>
        <v/>
      </c>
      <c r="E23" s="729"/>
      <c r="F23" s="728">
        <f>'Base (Ph1)'!$BH23</f>
        <v>0</v>
      </c>
      <c r="G23" s="330" t="s">
        <v>245</v>
      </c>
      <c r="H23" s="331">
        <f>'Base (Ph1)'!$BI23</f>
        <v>0</v>
      </c>
      <c r="I23" s="742"/>
      <c r="J23" s="728">
        <f>'O-I (Ph2)'!$BH23</f>
        <v>0</v>
      </c>
      <c r="K23" s="330" t="s">
        <v>246</v>
      </c>
      <c r="L23" s="331">
        <f>'O-I (Ph2)'!$BI23</f>
        <v>0</v>
      </c>
      <c r="M23" s="800"/>
      <c r="N23" s="728">
        <f>'O-II (Ph3)'!$BH23</f>
        <v>0</v>
      </c>
      <c r="O23" s="330" t="s">
        <v>248</v>
      </c>
      <c r="P23" s="331">
        <f>'O-II (Ph3)'!$BI23</f>
        <v>0</v>
      </c>
      <c r="Q23" s="752"/>
      <c r="R23" s="728">
        <f>'O-III (Ph4)'!$BH23</f>
        <v>0</v>
      </c>
      <c r="S23" s="330" t="s">
        <v>249</v>
      </c>
      <c r="T23" s="331">
        <f>'O-III (Ph4)'!$BI23</f>
        <v>0</v>
      </c>
      <c r="U23" s="808"/>
      <c r="V23" s="728">
        <f>'O-IV (Ph5)'!$BH23</f>
        <v>0</v>
      </c>
      <c r="W23" s="330" t="s">
        <v>250</v>
      </c>
      <c r="X23" s="331">
        <f>'O-IV (Ph5)'!$BI23</f>
        <v>0</v>
      </c>
      <c r="Y23" s="817"/>
      <c r="Z23" s="728">
        <f>'O-V (Ph6)'!$BH23</f>
        <v>0</v>
      </c>
      <c r="AA23" s="330" t="s">
        <v>251</v>
      </c>
      <c r="AB23" s="331">
        <f>'O-V (Ph6)'!$BI23</f>
        <v>0</v>
      </c>
      <c r="AC23" s="820"/>
      <c r="AD23" s="925">
        <f t="shared" si="0"/>
        <v>0</v>
      </c>
      <c r="AE23" s="331">
        <f t="shared" si="1"/>
        <v>0</v>
      </c>
    </row>
    <row r="24" spans="2:31" x14ac:dyDescent="0.2">
      <c r="B24" s="8"/>
      <c r="C24" s="329" t="str">
        <f>IF(ISBLANK('Labor Rates'!C24),"",'Labor Rates'!C24)</f>
        <v/>
      </c>
      <c r="D24" s="413" t="str">
        <f>IF(ISBLANK('Labor Rates'!D24),"",'Labor Rates'!D24)</f>
        <v/>
      </c>
      <c r="E24" s="729"/>
      <c r="F24" s="728">
        <f>'Base (Ph1)'!$BH24</f>
        <v>0</v>
      </c>
      <c r="G24" s="330" t="s">
        <v>245</v>
      </c>
      <c r="H24" s="331">
        <f>'Base (Ph1)'!$BI24</f>
        <v>0</v>
      </c>
      <c r="I24" s="742"/>
      <c r="J24" s="728">
        <f>'O-I (Ph2)'!$BH24</f>
        <v>0</v>
      </c>
      <c r="K24" s="330" t="s">
        <v>246</v>
      </c>
      <c r="L24" s="331">
        <f>'O-I (Ph2)'!$BI24</f>
        <v>0</v>
      </c>
      <c r="M24" s="800"/>
      <c r="N24" s="728">
        <f>'O-II (Ph3)'!$BH24</f>
        <v>0</v>
      </c>
      <c r="O24" s="330" t="s">
        <v>248</v>
      </c>
      <c r="P24" s="331">
        <f>'O-II (Ph3)'!$BI24</f>
        <v>0</v>
      </c>
      <c r="Q24" s="752"/>
      <c r="R24" s="728">
        <f>'O-III (Ph4)'!$BH24</f>
        <v>0</v>
      </c>
      <c r="S24" s="330" t="s">
        <v>249</v>
      </c>
      <c r="T24" s="331">
        <f>'O-III (Ph4)'!$BI24</f>
        <v>0</v>
      </c>
      <c r="U24" s="808"/>
      <c r="V24" s="728">
        <f>'O-IV (Ph5)'!$BH24</f>
        <v>0</v>
      </c>
      <c r="W24" s="330" t="s">
        <v>250</v>
      </c>
      <c r="X24" s="331">
        <f>'O-IV (Ph5)'!$BI24</f>
        <v>0</v>
      </c>
      <c r="Y24" s="817"/>
      <c r="Z24" s="728">
        <f>'O-V (Ph6)'!$BH24</f>
        <v>0</v>
      </c>
      <c r="AA24" s="330" t="s">
        <v>251</v>
      </c>
      <c r="AB24" s="331">
        <f>'O-V (Ph6)'!$BI24</f>
        <v>0</v>
      </c>
      <c r="AC24" s="820"/>
      <c r="AD24" s="925">
        <f t="shared" si="0"/>
        <v>0</v>
      </c>
      <c r="AE24" s="331">
        <f t="shared" si="1"/>
        <v>0</v>
      </c>
    </row>
    <row r="25" spans="2:31" x14ac:dyDescent="0.2">
      <c r="B25" s="8"/>
      <c r="C25" s="329" t="str">
        <f>IF(ISBLANK('Labor Rates'!C25),"",'Labor Rates'!C25)</f>
        <v/>
      </c>
      <c r="D25" s="413" t="str">
        <f>IF(ISBLANK('Labor Rates'!D25),"",'Labor Rates'!D25)</f>
        <v/>
      </c>
      <c r="E25" s="729"/>
      <c r="F25" s="728">
        <f>'Base (Ph1)'!$BH25</f>
        <v>0</v>
      </c>
      <c r="G25" s="330" t="s">
        <v>245</v>
      </c>
      <c r="H25" s="331">
        <f>'Base (Ph1)'!$BI25</f>
        <v>0</v>
      </c>
      <c r="I25" s="742"/>
      <c r="J25" s="728">
        <f>'O-I (Ph2)'!$BH25</f>
        <v>0</v>
      </c>
      <c r="K25" s="330" t="s">
        <v>246</v>
      </c>
      <c r="L25" s="331">
        <f>'O-I (Ph2)'!$BI25</f>
        <v>0</v>
      </c>
      <c r="M25" s="800"/>
      <c r="N25" s="728">
        <f>'O-II (Ph3)'!$BH25</f>
        <v>0</v>
      </c>
      <c r="O25" s="330" t="s">
        <v>248</v>
      </c>
      <c r="P25" s="331">
        <f>'O-II (Ph3)'!$BI25</f>
        <v>0</v>
      </c>
      <c r="Q25" s="752"/>
      <c r="R25" s="728">
        <f>'O-III (Ph4)'!$BH25</f>
        <v>0</v>
      </c>
      <c r="S25" s="330" t="s">
        <v>249</v>
      </c>
      <c r="T25" s="331">
        <f>'O-III (Ph4)'!$BI25</f>
        <v>0</v>
      </c>
      <c r="U25" s="808"/>
      <c r="V25" s="728">
        <f>'O-IV (Ph5)'!$BH25</f>
        <v>0</v>
      </c>
      <c r="W25" s="330" t="s">
        <v>250</v>
      </c>
      <c r="X25" s="331">
        <f>'O-IV (Ph5)'!$BI25</f>
        <v>0</v>
      </c>
      <c r="Y25" s="817"/>
      <c r="Z25" s="728">
        <f>'O-V (Ph6)'!$BH25</f>
        <v>0</v>
      </c>
      <c r="AA25" s="330" t="s">
        <v>251</v>
      </c>
      <c r="AB25" s="331">
        <f>'O-V (Ph6)'!$BI25</f>
        <v>0</v>
      </c>
      <c r="AC25" s="820"/>
      <c r="AD25" s="925">
        <f t="shared" si="0"/>
        <v>0</v>
      </c>
      <c r="AE25" s="331">
        <f t="shared" si="1"/>
        <v>0</v>
      </c>
    </row>
    <row r="26" spans="2:31" x14ac:dyDescent="0.2">
      <c r="B26" s="8"/>
      <c r="C26" s="329" t="str">
        <f>IF(ISBLANK('Labor Rates'!C26),"",'Labor Rates'!C26)</f>
        <v/>
      </c>
      <c r="D26" s="413" t="str">
        <f>IF(ISBLANK('Labor Rates'!D26),"",'Labor Rates'!D26)</f>
        <v/>
      </c>
      <c r="E26" s="729"/>
      <c r="F26" s="728">
        <f>'Base (Ph1)'!$BH26</f>
        <v>0</v>
      </c>
      <c r="G26" s="330" t="s">
        <v>245</v>
      </c>
      <c r="H26" s="331">
        <f>'Base (Ph1)'!$BI26</f>
        <v>0</v>
      </c>
      <c r="I26" s="742"/>
      <c r="J26" s="728">
        <f>'O-I (Ph2)'!$BH26</f>
        <v>0</v>
      </c>
      <c r="K26" s="330" t="s">
        <v>246</v>
      </c>
      <c r="L26" s="331">
        <f>'O-I (Ph2)'!$BI26</f>
        <v>0</v>
      </c>
      <c r="M26" s="800"/>
      <c r="N26" s="728">
        <f>'O-II (Ph3)'!$BH26</f>
        <v>0</v>
      </c>
      <c r="O26" s="330" t="s">
        <v>248</v>
      </c>
      <c r="P26" s="331">
        <f>'O-II (Ph3)'!$BI26</f>
        <v>0</v>
      </c>
      <c r="Q26" s="752"/>
      <c r="R26" s="728">
        <f>'O-III (Ph4)'!$BH26</f>
        <v>0</v>
      </c>
      <c r="S26" s="330" t="s">
        <v>249</v>
      </c>
      <c r="T26" s="331">
        <f>'O-III (Ph4)'!$BI26</f>
        <v>0</v>
      </c>
      <c r="U26" s="808"/>
      <c r="V26" s="728">
        <f>'O-IV (Ph5)'!$BH26</f>
        <v>0</v>
      </c>
      <c r="W26" s="330" t="s">
        <v>250</v>
      </c>
      <c r="X26" s="331">
        <f>'O-IV (Ph5)'!$BI26</f>
        <v>0</v>
      </c>
      <c r="Y26" s="817"/>
      <c r="Z26" s="728">
        <f>'O-V (Ph6)'!$BH26</f>
        <v>0</v>
      </c>
      <c r="AA26" s="330" t="s">
        <v>251</v>
      </c>
      <c r="AB26" s="331">
        <f>'O-V (Ph6)'!$BI26</f>
        <v>0</v>
      </c>
      <c r="AC26" s="820"/>
      <c r="AD26" s="925">
        <f t="shared" si="0"/>
        <v>0</v>
      </c>
      <c r="AE26" s="331">
        <f t="shared" si="1"/>
        <v>0</v>
      </c>
    </row>
    <row r="27" spans="2:31" x14ac:dyDescent="0.2">
      <c r="B27" s="8"/>
      <c r="C27" s="329" t="str">
        <f>IF(ISBLANK('Labor Rates'!C27),"",'Labor Rates'!C27)</f>
        <v/>
      </c>
      <c r="D27" s="413" t="str">
        <f>IF(ISBLANK('Labor Rates'!D27),"",'Labor Rates'!D27)</f>
        <v/>
      </c>
      <c r="E27" s="729"/>
      <c r="F27" s="728">
        <f>'Base (Ph1)'!$BH27</f>
        <v>0</v>
      </c>
      <c r="G27" s="330" t="s">
        <v>245</v>
      </c>
      <c r="H27" s="331">
        <f>'Base (Ph1)'!$BI27</f>
        <v>0</v>
      </c>
      <c r="I27" s="742"/>
      <c r="J27" s="728">
        <f>'O-I (Ph2)'!$BH27</f>
        <v>0</v>
      </c>
      <c r="K27" s="330" t="s">
        <v>246</v>
      </c>
      <c r="L27" s="331">
        <f>'O-I (Ph2)'!$BI27</f>
        <v>0</v>
      </c>
      <c r="M27" s="800"/>
      <c r="N27" s="728">
        <f>'O-II (Ph3)'!$BH27</f>
        <v>0</v>
      </c>
      <c r="O27" s="330" t="s">
        <v>248</v>
      </c>
      <c r="P27" s="331">
        <f>'O-II (Ph3)'!$BI27</f>
        <v>0</v>
      </c>
      <c r="Q27" s="752"/>
      <c r="R27" s="728">
        <f>'O-III (Ph4)'!$BH27</f>
        <v>0</v>
      </c>
      <c r="S27" s="330" t="s">
        <v>249</v>
      </c>
      <c r="T27" s="331">
        <f>'O-III (Ph4)'!$BI27</f>
        <v>0</v>
      </c>
      <c r="U27" s="808"/>
      <c r="V27" s="728">
        <f>'O-IV (Ph5)'!$BH27</f>
        <v>0</v>
      </c>
      <c r="W27" s="330" t="s">
        <v>250</v>
      </c>
      <c r="X27" s="331">
        <f>'O-IV (Ph5)'!$BI27</f>
        <v>0</v>
      </c>
      <c r="Y27" s="817"/>
      <c r="Z27" s="728">
        <f>'O-V (Ph6)'!$BH27</f>
        <v>0</v>
      </c>
      <c r="AA27" s="330" t="s">
        <v>251</v>
      </c>
      <c r="AB27" s="331">
        <f>'O-V (Ph6)'!$BI27</f>
        <v>0</v>
      </c>
      <c r="AC27" s="820"/>
      <c r="AD27" s="925">
        <f t="shared" si="0"/>
        <v>0</v>
      </c>
      <c r="AE27" s="331">
        <f t="shared" si="1"/>
        <v>0</v>
      </c>
    </row>
    <row r="28" spans="2:31" x14ac:dyDescent="0.2">
      <c r="B28" s="8"/>
      <c r="C28" s="329" t="str">
        <f>IF(ISBLANK('Labor Rates'!C28),"",'Labor Rates'!C28)</f>
        <v/>
      </c>
      <c r="D28" s="413" t="str">
        <f>IF(ISBLANK('Labor Rates'!D28),"",'Labor Rates'!D28)</f>
        <v/>
      </c>
      <c r="E28" s="729"/>
      <c r="F28" s="728">
        <f>'Base (Ph1)'!$BH28</f>
        <v>0</v>
      </c>
      <c r="G28" s="330" t="s">
        <v>245</v>
      </c>
      <c r="H28" s="331">
        <f>'Base (Ph1)'!$BI28</f>
        <v>0</v>
      </c>
      <c r="I28" s="742"/>
      <c r="J28" s="728">
        <f>'O-I (Ph2)'!$BH28</f>
        <v>0</v>
      </c>
      <c r="K28" s="330" t="s">
        <v>246</v>
      </c>
      <c r="L28" s="331">
        <f>'O-I (Ph2)'!$BI28</f>
        <v>0</v>
      </c>
      <c r="M28" s="800"/>
      <c r="N28" s="728">
        <f>'O-II (Ph3)'!$BH28</f>
        <v>0</v>
      </c>
      <c r="O28" s="330" t="s">
        <v>248</v>
      </c>
      <c r="P28" s="331">
        <f>'O-II (Ph3)'!$BI28</f>
        <v>0</v>
      </c>
      <c r="Q28" s="752"/>
      <c r="R28" s="728">
        <f>'O-III (Ph4)'!$BH28</f>
        <v>0</v>
      </c>
      <c r="S28" s="330" t="s">
        <v>249</v>
      </c>
      <c r="T28" s="331">
        <f>'O-III (Ph4)'!$BI28</f>
        <v>0</v>
      </c>
      <c r="U28" s="808"/>
      <c r="V28" s="728">
        <f>'O-IV (Ph5)'!$BH28</f>
        <v>0</v>
      </c>
      <c r="W28" s="330" t="s">
        <v>250</v>
      </c>
      <c r="X28" s="331">
        <f>'O-IV (Ph5)'!$BI28</f>
        <v>0</v>
      </c>
      <c r="Y28" s="817"/>
      <c r="Z28" s="728">
        <f>'O-V (Ph6)'!$BH28</f>
        <v>0</v>
      </c>
      <c r="AA28" s="330" t="s">
        <v>251</v>
      </c>
      <c r="AB28" s="331">
        <f>'O-V (Ph6)'!$BI28</f>
        <v>0</v>
      </c>
      <c r="AC28" s="820"/>
      <c r="AD28" s="925">
        <f t="shared" si="0"/>
        <v>0</v>
      </c>
      <c r="AE28" s="331">
        <f t="shared" si="1"/>
        <v>0</v>
      </c>
    </row>
    <row r="29" spans="2:31" x14ac:dyDescent="0.2">
      <c r="B29" s="8"/>
      <c r="C29" s="329" t="str">
        <f>IF(ISBLANK('Labor Rates'!C29),"",'Labor Rates'!C29)</f>
        <v/>
      </c>
      <c r="D29" s="413" t="str">
        <f>IF(ISBLANK('Labor Rates'!D29),"",'Labor Rates'!D29)</f>
        <v/>
      </c>
      <c r="E29" s="729"/>
      <c r="F29" s="728">
        <f>'Base (Ph1)'!$BH29</f>
        <v>0</v>
      </c>
      <c r="G29" s="330" t="s">
        <v>245</v>
      </c>
      <c r="H29" s="331">
        <f>'Base (Ph1)'!$BI29</f>
        <v>0</v>
      </c>
      <c r="I29" s="742"/>
      <c r="J29" s="728">
        <f>'O-I (Ph2)'!$BH29</f>
        <v>0</v>
      </c>
      <c r="K29" s="330" t="s">
        <v>246</v>
      </c>
      <c r="L29" s="331">
        <f>'O-I (Ph2)'!$BI29</f>
        <v>0</v>
      </c>
      <c r="M29" s="800"/>
      <c r="N29" s="728">
        <f>'O-II (Ph3)'!$BH29</f>
        <v>0</v>
      </c>
      <c r="O29" s="330" t="s">
        <v>248</v>
      </c>
      <c r="P29" s="331">
        <f>'O-II (Ph3)'!$BI29</f>
        <v>0</v>
      </c>
      <c r="Q29" s="752"/>
      <c r="R29" s="728">
        <f>'O-III (Ph4)'!$BH29</f>
        <v>0</v>
      </c>
      <c r="S29" s="330" t="s">
        <v>249</v>
      </c>
      <c r="T29" s="331">
        <f>'O-III (Ph4)'!$BI29</f>
        <v>0</v>
      </c>
      <c r="U29" s="808"/>
      <c r="V29" s="728">
        <f>'O-IV (Ph5)'!$BH29</f>
        <v>0</v>
      </c>
      <c r="W29" s="330" t="s">
        <v>250</v>
      </c>
      <c r="X29" s="331">
        <f>'O-IV (Ph5)'!$BI29</f>
        <v>0</v>
      </c>
      <c r="Y29" s="817"/>
      <c r="Z29" s="728">
        <f>'O-V (Ph6)'!$BH29</f>
        <v>0</v>
      </c>
      <c r="AA29" s="330" t="s">
        <v>251</v>
      </c>
      <c r="AB29" s="331">
        <f>'O-V (Ph6)'!$BI29</f>
        <v>0</v>
      </c>
      <c r="AC29" s="820"/>
      <c r="AD29" s="925">
        <f t="shared" si="0"/>
        <v>0</v>
      </c>
      <c r="AE29" s="331">
        <f t="shared" si="1"/>
        <v>0</v>
      </c>
    </row>
    <row r="30" spans="2:31" x14ac:dyDescent="0.2">
      <c r="B30" s="8"/>
      <c r="C30" s="329" t="str">
        <f>IF(ISBLANK('Labor Rates'!C30),"",'Labor Rates'!C30)</f>
        <v/>
      </c>
      <c r="D30" s="413" t="str">
        <f>IF(ISBLANK('Labor Rates'!D30),"",'Labor Rates'!D30)</f>
        <v/>
      </c>
      <c r="E30" s="729"/>
      <c r="F30" s="728">
        <f>'Base (Ph1)'!$BH30</f>
        <v>0</v>
      </c>
      <c r="G30" s="330" t="s">
        <v>245</v>
      </c>
      <c r="H30" s="331">
        <f>'Base (Ph1)'!$BI30</f>
        <v>0</v>
      </c>
      <c r="I30" s="742"/>
      <c r="J30" s="728">
        <f>'O-I (Ph2)'!$BH30</f>
        <v>0</v>
      </c>
      <c r="K30" s="330" t="s">
        <v>246</v>
      </c>
      <c r="L30" s="331">
        <f>'O-I (Ph2)'!$BI30</f>
        <v>0</v>
      </c>
      <c r="M30" s="800"/>
      <c r="N30" s="728">
        <f>'O-II (Ph3)'!$BH30</f>
        <v>0</v>
      </c>
      <c r="O30" s="330" t="s">
        <v>248</v>
      </c>
      <c r="P30" s="331">
        <f>'O-II (Ph3)'!$BI30</f>
        <v>0</v>
      </c>
      <c r="Q30" s="752"/>
      <c r="R30" s="728">
        <f>'O-III (Ph4)'!$BH30</f>
        <v>0</v>
      </c>
      <c r="S30" s="330" t="s">
        <v>249</v>
      </c>
      <c r="T30" s="331">
        <f>'O-III (Ph4)'!$BI30</f>
        <v>0</v>
      </c>
      <c r="U30" s="808"/>
      <c r="V30" s="728">
        <f>'O-IV (Ph5)'!$BH30</f>
        <v>0</v>
      </c>
      <c r="W30" s="330" t="s">
        <v>250</v>
      </c>
      <c r="X30" s="331">
        <f>'O-IV (Ph5)'!$BI30</f>
        <v>0</v>
      </c>
      <c r="Y30" s="817"/>
      <c r="Z30" s="728">
        <f>'O-V (Ph6)'!$BH30</f>
        <v>0</v>
      </c>
      <c r="AA30" s="330" t="s">
        <v>251</v>
      </c>
      <c r="AB30" s="331">
        <f>'O-V (Ph6)'!$BI30</f>
        <v>0</v>
      </c>
      <c r="AC30" s="820"/>
      <c r="AD30" s="925">
        <f t="shared" si="0"/>
        <v>0</v>
      </c>
      <c r="AE30" s="331">
        <f t="shared" si="1"/>
        <v>0</v>
      </c>
    </row>
    <row r="31" spans="2:31" x14ac:dyDescent="0.2">
      <c r="B31" s="8"/>
      <c r="C31" s="329" t="str">
        <f>IF(ISBLANK('Labor Rates'!C31),"",'Labor Rates'!C31)</f>
        <v/>
      </c>
      <c r="D31" s="413" t="str">
        <f>IF(ISBLANK('Labor Rates'!D31),"",'Labor Rates'!D31)</f>
        <v/>
      </c>
      <c r="E31" s="729"/>
      <c r="F31" s="728">
        <f>'Base (Ph1)'!$BH31</f>
        <v>0</v>
      </c>
      <c r="G31" s="330" t="s">
        <v>245</v>
      </c>
      <c r="H31" s="331">
        <f>'Base (Ph1)'!$BI31</f>
        <v>0</v>
      </c>
      <c r="I31" s="742"/>
      <c r="J31" s="728">
        <f>'O-I (Ph2)'!$BH31</f>
        <v>0</v>
      </c>
      <c r="K31" s="330" t="s">
        <v>246</v>
      </c>
      <c r="L31" s="331">
        <f>'O-I (Ph2)'!$BI31</f>
        <v>0</v>
      </c>
      <c r="M31" s="800"/>
      <c r="N31" s="728">
        <f>'O-II (Ph3)'!$BH31</f>
        <v>0</v>
      </c>
      <c r="O31" s="330" t="s">
        <v>248</v>
      </c>
      <c r="P31" s="331">
        <f>'O-II (Ph3)'!$BI31</f>
        <v>0</v>
      </c>
      <c r="Q31" s="752"/>
      <c r="R31" s="728">
        <f>'O-III (Ph4)'!$BH31</f>
        <v>0</v>
      </c>
      <c r="S31" s="330" t="s">
        <v>249</v>
      </c>
      <c r="T31" s="331">
        <f>'O-III (Ph4)'!$BI31</f>
        <v>0</v>
      </c>
      <c r="U31" s="808"/>
      <c r="V31" s="728">
        <f>'O-IV (Ph5)'!$BH31</f>
        <v>0</v>
      </c>
      <c r="W31" s="330" t="s">
        <v>250</v>
      </c>
      <c r="X31" s="331">
        <f>'O-IV (Ph5)'!$BI31</f>
        <v>0</v>
      </c>
      <c r="Y31" s="817"/>
      <c r="Z31" s="728">
        <f>'O-V (Ph6)'!$BH31</f>
        <v>0</v>
      </c>
      <c r="AA31" s="330" t="s">
        <v>251</v>
      </c>
      <c r="AB31" s="331">
        <f>'O-V (Ph6)'!$BI31</f>
        <v>0</v>
      </c>
      <c r="AC31" s="820"/>
      <c r="AD31" s="925">
        <f t="shared" si="0"/>
        <v>0</v>
      </c>
      <c r="AE31" s="331">
        <f t="shared" si="1"/>
        <v>0</v>
      </c>
    </row>
    <row r="32" spans="2:31" x14ac:dyDescent="0.2">
      <c r="B32" s="8"/>
      <c r="C32" s="329" t="str">
        <f>IF(ISBLANK('Labor Rates'!C32),"",'Labor Rates'!C32)</f>
        <v/>
      </c>
      <c r="D32" s="413" t="str">
        <f>IF(ISBLANK('Labor Rates'!D32),"",'Labor Rates'!D32)</f>
        <v/>
      </c>
      <c r="E32" s="729"/>
      <c r="F32" s="728">
        <f>'Base (Ph1)'!$BH32</f>
        <v>0</v>
      </c>
      <c r="G32" s="330" t="s">
        <v>245</v>
      </c>
      <c r="H32" s="331">
        <f>'Base (Ph1)'!$BI32</f>
        <v>0</v>
      </c>
      <c r="I32" s="742"/>
      <c r="J32" s="728">
        <f>'O-I (Ph2)'!$BH32</f>
        <v>0</v>
      </c>
      <c r="K32" s="330" t="s">
        <v>246</v>
      </c>
      <c r="L32" s="331">
        <f>'O-I (Ph2)'!$BI32</f>
        <v>0</v>
      </c>
      <c r="M32" s="800"/>
      <c r="N32" s="728">
        <f>'O-II (Ph3)'!$BH32</f>
        <v>0</v>
      </c>
      <c r="O32" s="330" t="s">
        <v>248</v>
      </c>
      <c r="P32" s="331">
        <f>'O-II (Ph3)'!$BI32</f>
        <v>0</v>
      </c>
      <c r="Q32" s="752"/>
      <c r="R32" s="728">
        <f>'O-III (Ph4)'!$BH32</f>
        <v>0</v>
      </c>
      <c r="S32" s="330" t="s">
        <v>249</v>
      </c>
      <c r="T32" s="331">
        <f>'O-III (Ph4)'!$BI32</f>
        <v>0</v>
      </c>
      <c r="U32" s="808"/>
      <c r="V32" s="728">
        <f>'O-IV (Ph5)'!$BH32</f>
        <v>0</v>
      </c>
      <c r="W32" s="330" t="s">
        <v>250</v>
      </c>
      <c r="X32" s="331">
        <f>'O-IV (Ph5)'!$BI32</f>
        <v>0</v>
      </c>
      <c r="Y32" s="817"/>
      <c r="Z32" s="728">
        <f>'O-V (Ph6)'!$BH32</f>
        <v>0</v>
      </c>
      <c r="AA32" s="330" t="s">
        <v>251</v>
      </c>
      <c r="AB32" s="331">
        <f>'O-V (Ph6)'!$BI32</f>
        <v>0</v>
      </c>
      <c r="AC32" s="820"/>
      <c r="AD32" s="925">
        <f t="shared" si="0"/>
        <v>0</v>
      </c>
      <c r="AE32" s="331">
        <f t="shared" si="1"/>
        <v>0</v>
      </c>
    </row>
    <row r="33" spans="2:31" x14ac:dyDescent="0.2">
      <c r="B33" s="8"/>
      <c r="C33" s="329" t="str">
        <f>IF(ISBLANK('Labor Rates'!C33),"",'Labor Rates'!C33)</f>
        <v/>
      </c>
      <c r="D33" s="413" t="str">
        <f>IF(ISBLANK('Labor Rates'!D33),"",'Labor Rates'!D33)</f>
        <v/>
      </c>
      <c r="E33" s="729"/>
      <c r="F33" s="728">
        <f>'Base (Ph1)'!$BH33</f>
        <v>0</v>
      </c>
      <c r="G33" s="330" t="s">
        <v>245</v>
      </c>
      <c r="H33" s="331">
        <f>'Base (Ph1)'!$BI33</f>
        <v>0</v>
      </c>
      <c r="I33" s="742"/>
      <c r="J33" s="728">
        <f>'O-I (Ph2)'!$BH33</f>
        <v>0</v>
      </c>
      <c r="K33" s="330" t="s">
        <v>246</v>
      </c>
      <c r="L33" s="331">
        <f>'O-I (Ph2)'!$BI33</f>
        <v>0</v>
      </c>
      <c r="M33" s="800"/>
      <c r="N33" s="728">
        <f>'O-II (Ph3)'!$BH33</f>
        <v>0</v>
      </c>
      <c r="O33" s="330" t="s">
        <v>248</v>
      </c>
      <c r="P33" s="331">
        <f>'O-II (Ph3)'!$BI33</f>
        <v>0</v>
      </c>
      <c r="Q33" s="752"/>
      <c r="R33" s="728">
        <f>'O-III (Ph4)'!$BH33</f>
        <v>0</v>
      </c>
      <c r="S33" s="330" t="s">
        <v>249</v>
      </c>
      <c r="T33" s="331">
        <f>'O-III (Ph4)'!$BI33</f>
        <v>0</v>
      </c>
      <c r="U33" s="808"/>
      <c r="V33" s="728">
        <f>'O-IV (Ph5)'!$BH33</f>
        <v>0</v>
      </c>
      <c r="W33" s="330" t="s">
        <v>250</v>
      </c>
      <c r="X33" s="331">
        <f>'O-IV (Ph5)'!$BI33</f>
        <v>0</v>
      </c>
      <c r="Y33" s="817"/>
      <c r="Z33" s="728">
        <f>'O-V (Ph6)'!$BH33</f>
        <v>0</v>
      </c>
      <c r="AA33" s="330" t="s">
        <v>251</v>
      </c>
      <c r="AB33" s="331">
        <f>'O-V (Ph6)'!$BI33</f>
        <v>0</v>
      </c>
      <c r="AC33" s="820"/>
      <c r="AD33" s="925">
        <f t="shared" si="0"/>
        <v>0</v>
      </c>
      <c r="AE33" s="331">
        <f t="shared" si="1"/>
        <v>0</v>
      </c>
    </row>
    <row r="34" spans="2:31" x14ac:dyDescent="0.2">
      <c r="B34" s="8"/>
      <c r="C34" s="329" t="str">
        <f>IF(ISBLANK('Labor Rates'!C34),"",'Labor Rates'!C34)</f>
        <v/>
      </c>
      <c r="D34" s="413" t="str">
        <f>IF(ISBLANK('Labor Rates'!D34),"",'Labor Rates'!D34)</f>
        <v/>
      </c>
      <c r="E34" s="729"/>
      <c r="F34" s="728">
        <f>'Base (Ph1)'!$BH34</f>
        <v>0</v>
      </c>
      <c r="G34" s="330" t="s">
        <v>245</v>
      </c>
      <c r="H34" s="331">
        <f>'Base (Ph1)'!$BI34</f>
        <v>0</v>
      </c>
      <c r="I34" s="742"/>
      <c r="J34" s="728">
        <f>'O-I (Ph2)'!$BH34</f>
        <v>0</v>
      </c>
      <c r="K34" s="330" t="s">
        <v>246</v>
      </c>
      <c r="L34" s="331">
        <f>'O-I (Ph2)'!$BI34</f>
        <v>0</v>
      </c>
      <c r="M34" s="800"/>
      <c r="N34" s="728">
        <f>'O-II (Ph3)'!$BH34</f>
        <v>0</v>
      </c>
      <c r="O34" s="330" t="s">
        <v>248</v>
      </c>
      <c r="P34" s="331">
        <f>'O-II (Ph3)'!$BI34</f>
        <v>0</v>
      </c>
      <c r="Q34" s="752"/>
      <c r="R34" s="728">
        <f>'O-III (Ph4)'!$BH34</f>
        <v>0</v>
      </c>
      <c r="S34" s="330" t="s">
        <v>249</v>
      </c>
      <c r="T34" s="331">
        <f>'O-III (Ph4)'!$BI34</f>
        <v>0</v>
      </c>
      <c r="U34" s="808"/>
      <c r="V34" s="728">
        <f>'O-IV (Ph5)'!$BH34</f>
        <v>0</v>
      </c>
      <c r="W34" s="330" t="s">
        <v>250</v>
      </c>
      <c r="X34" s="331">
        <f>'O-IV (Ph5)'!$BI34</f>
        <v>0</v>
      </c>
      <c r="Y34" s="817"/>
      <c r="Z34" s="728">
        <f>'O-V (Ph6)'!$BH34</f>
        <v>0</v>
      </c>
      <c r="AA34" s="330" t="s">
        <v>251</v>
      </c>
      <c r="AB34" s="331">
        <f>'O-V (Ph6)'!$BI34</f>
        <v>0</v>
      </c>
      <c r="AC34" s="820"/>
      <c r="AD34" s="925">
        <f t="shared" si="0"/>
        <v>0</v>
      </c>
      <c r="AE34" s="331">
        <f t="shared" si="1"/>
        <v>0</v>
      </c>
    </row>
    <row r="35" spans="2:31" x14ac:dyDescent="0.2">
      <c r="B35" s="8"/>
      <c r="C35" s="329" t="str">
        <f>IF(ISBLANK('Labor Rates'!C35),"",'Labor Rates'!C35)</f>
        <v/>
      </c>
      <c r="D35" s="413" t="str">
        <f>IF(ISBLANK('Labor Rates'!D35),"",'Labor Rates'!D35)</f>
        <v/>
      </c>
      <c r="E35" s="729"/>
      <c r="F35" s="728">
        <f>'Base (Ph1)'!$BH35</f>
        <v>0</v>
      </c>
      <c r="G35" s="330" t="s">
        <v>245</v>
      </c>
      <c r="H35" s="331">
        <f>'Base (Ph1)'!$BI35</f>
        <v>0</v>
      </c>
      <c r="I35" s="742"/>
      <c r="J35" s="728">
        <f>'O-I (Ph2)'!$BH35</f>
        <v>0</v>
      </c>
      <c r="K35" s="330" t="s">
        <v>246</v>
      </c>
      <c r="L35" s="331">
        <f>'O-I (Ph2)'!$BI35</f>
        <v>0</v>
      </c>
      <c r="M35" s="800"/>
      <c r="N35" s="728">
        <f>'O-II (Ph3)'!$BH35</f>
        <v>0</v>
      </c>
      <c r="O35" s="330" t="s">
        <v>248</v>
      </c>
      <c r="P35" s="331">
        <f>'O-II (Ph3)'!$BI35</f>
        <v>0</v>
      </c>
      <c r="Q35" s="752"/>
      <c r="R35" s="728">
        <f>'O-III (Ph4)'!$BH35</f>
        <v>0</v>
      </c>
      <c r="S35" s="330" t="s">
        <v>249</v>
      </c>
      <c r="T35" s="331">
        <f>'O-III (Ph4)'!$BI35</f>
        <v>0</v>
      </c>
      <c r="U35" s="808"/>
      <c r="V35" s="728">
        <f>'O-IV (Ph5)'!$BH35</f>
        <v>0</v>
      </c>
      <c r="W35" s="330" t="s">
        <v>250</v>
      </c>
      <c r="X35" s="331">
        <f>'O-IV (Ph5)'!$BI35</f>
        <v>0</v>
      </c>
      <c r="Y35" s="817"/>
      <c r="Z35" s="728">
        <f>'O-V (Ph6)'!$BH35</f>
        <v>0</v>
      </c>
      <c r="AA35" s="330" t="s">
        <v>251</v>
      </c>
      <c r="AB35" s="331">
        <f>'O-V (Ph6)'!$BI35</f>
        <v>0</v>
      </c>
      <c r="AC35" s="820"/>
      <c r="AD35" s="925">
        <f t="shared" si="0"/>
        <v>0</v>
      </c>
      <c r="AE35" s="331">
        <f t="shared" si="1"/>
        <v>0</v>
      </c>
    </row>
    <row r="36" spans="2:31" x14ac:dyDescent="0.2">
      <c r="B36" s="8"/>
      <c r="C36" s="329" t="str">
        <f>IF(ISBLANK('Labor Rates'!C36),"",'Labor Rates'!C36)</f>
        <v/>
      </c>
      <c r="D36" s="413" t="str">
        <f>IF(ISBLANK('Labor Rates'!D36),"",'Labor Rates'!D36)</f>
        <v/>
      </c>
      <c r="E36" s="729"/>
      <c r="F36" s="728">
        <f>'Base (Ph1)'!$BH36</f>
        <v>0</v>
      </c>
      <c r="G36" s="330" t="s">
        <v>245</v>
      </c>
      <c r="H36" s="331">
        <f>'Base (Ph1)'!$BI36</f>
        <v>0</v>
      </c>
      <c r="I36" s="742"/>
      <c r="J36" s="728">
        <f>'O-I (Ph2)'!$BH36</f>
        <v>0</v>
      </c>
      <c r="K36" s="330" t="s">
        <v>246</v>
      </c>
      <c r="L36" s="331">
        <f>'O-I (Ph2)'!$BI36</f>
        <v>0</v>
      </c>
      <c r="M36" s="800"/>
      <c r="N36" s="728">
        <f>'O-II (Ph3)'!$BH36</f>
        <v>0</v>
      </c>
      <c r="O36" s="330" t="s">
        <v>248</v>
      </c>
      <c r="P36" s="331">
        <f>'O-II (Ph3)'!$BI36</f>
        <v>0</v>
      </c>
      <c r="Q36" s="752"/>
      <c r="R36" s="728">
        <f>'O-III (Ph4)'!$BH36</f>
        <v>0</v>
      </c>
      <c r="S36" s="330" t="s">
        <v>249</v>
      </c>
      <c r="T36" s="331">
        <f>'O-III (Ph4)'!$BI36</f>
        <v>0</v>
      </c>
      <c r="U36" s="808"/>
      <c r="V36" s="728">
        <f>'O-IV (Ph5)'!$BH36</f>
        <v>0</v>
      </c>
      <c r="W36" s="330" t="s">
        <v>250</v>
      </c>
      <c r="X36" s="331">
        <f>'O-IV (Ph5)'!$BI36</f>
        <v>0</v>
      </c>
      <c r="Y36" s="817"/>
      <c r="Z36" s="728">
        <f>'O-V (Ph6)'!$BH36</f>
        <v>0</v>
      </c>
      <c r="AA36" s="330" t="s">
        <v>251</v>
      </c>
      <c r="AB36" s="331">
        <f>'O-V (Ph6)'!$BI36</f>
        <v>0</v>
      </c>
      <c r="AC36" s="820"/>
      <c r="AD36" s="925">
        <f t="shared" si="0"/>
        <v>0</v>
      </c>
      <c r="AE36" s="331">
        <f t="shared" si="1"/>
        <v>0</v>
      </c>
    </row>
    <row r="37" spans="2:31" x14ac:dyDescent="0.2">
      <c r="B37" s="8"/>
      <c r="C37" s="329" t="str">
        <f>IF(ISBLANK('Labor Rates'!C37),"",'Labor Rates'!C37)</f>
        <v/>
      </c>
      <c r="D37" s="413" t="str">
        <f>IF(ISBLANK('Labor Rates'!D37),"",'Labor Rates'!D37)</f>
        <v/>
      </c>
      <c r="E37" s="729"/>
      <c r="F37" s="728">
        <f>'Base (Ph1)'!$BH37</f>
        <v>0</v>
      </c>
      <c r="G37" s="330" t="s">
        <v>245</v>
      </c>
      <c r="H37" s="331">
        <f>'Base (Ph1)'!$BI37</f>
        <v>0</v>
      </c>
      <c r="I37" s="742"/>
      <c r="J37" s="728">
        <f>'O-I (Ph2)'!$BH37</f>
        <v>0</v>
      </c>
      <c r="K37" s="330" t="s">
        <v>246</v>
      </c>
      <c r="L37" s="331">
        <f>'O-I (Ph2)'!$BI37</f>
        <v>0</v>
      </c>
      <c r="M37" s="800"/>
      <c r="N37" s="728">
        <f>'O-II (Ph3)'!$BH37</f>
        <v>0</v>
      </c>
      <c r="O37" s="330" t="s">
        <v>248</v>
      </c>
      <c r="P37" s="331">
        <f>'O-II (Ph3)'!$BI37</f>
        <v>0</v>
      </c>
      <c r="Q37" s="752"/>
      <c r="R37" s="728">
        <f>'O-III (Ph4)'!$BH37</f>
        <v>0</v>
      </c>
      <c r="S37" s="330" t="s">
        <v>249</v>
      </c>
      <c r="T37" s="331">
        <f>'O-III (Ph4)'!$BI37</f>
        <v>0</v>
      </c>
      <c r="U37" s="808"/>
      <c r="V37" s="728">
        <f>'O-IV (Ph5)'!$BH37</f>
        <v>0</v>
      </c>
      <c r="W37" s="330" t="s">
        <v>250</v>
      </c>
      <c r="X37" s="331">
        <f>'O-IV (Ph5)'!$BI37</f>
        <v>0</v>
      </c>
      <c r="Y37" s="817"/>
      <c r="Z37" s="728">
        <f>'O-V (Ph6)'!$BH37</f>
        <v>0</v>
      </c>
      <c r="AA37" s="330" t="s">
        <v>251</v>
      </c>
      <c r="AB37" s="331">
        <f>'O-V (Ph6)'!$BI37</f>
        <v>0</v>
      </c>
      <c r="AC37" s="820"/>
      <c r="AD37" s="925">
        <f t="shared" si="0"/>
        <v>0</v>
      </c>
      <c r="AE37" s="331">
        <f t="shared" si="1"/>
        <v>0</v>
      </c>
    </row>
    <row r="38" spans="2:31" x14ac:dyDescent="0.2">
      <c r="B38" s="8"/>
      <c r="C38" s="329" t="str">
        <f>IF(ISBLANK('Labor Rates'!C38),"",'Labor Rates'!C38)</f>
        <v/>
      </c>
      <c r="D38" s="413" t="str">
        <f>IF(ISBLANK('Labor Rates'!D38),"",'Labor Rates'!D38)</f>
        <v/>
      </c>
      <c r="E38" s="729"/>
      <c r="F38" s="728">
        <f>'Base (Ph1)'!$BH38</f>
        <v>0</v>
      </c>
      <c r="G38" s="330" t="s">
        <v>245</v>
      </c>
      <c r="H38" s="331">
        <f>'Base (Ph1)'!$BI38</f>
        <v>0</v>
      </c>
      <c r="I38" s="742"/>
      <c r="J38" s="728">
        <f>'O-I (Ph2)'!$BH38</f>
        <v>0</v>
      </c>
      <c r="K38" s="330" t="s">
        <v>246</v>
      </c>
      <c r="L38" s="331">
        <f>'O-I (Ph2)'!$BI38</f>
        <v>0</v>
      </c>
      <c r="M38" s="800"/>
      <c r="N38" s="728">
        <f>'O-II (Ph3)'!$BH38</f>
        <v>0</v>
      </c>
      <c r="O38" s="330" t="s">
        <v>248</v>
      </c>
      <c r="P38" s="331">
        <f>'O-II (Ph3)'!$BI38</f>
        <v>0</v>
      </c>
      <c r="Q38" s="752"/>
      <c r="R38" s="728">
        <f>'O-III (Ph4)'!$BH38</f>
        <v>0</v>
      </c>
      <c r="S38" s="330" t="s">
        <v>249</v>
      </c>
      <c r="T38" s="331">
        <f>'O-III (Ph4)'!$BI38</f>
        <v>0</v>
      </c>
      <c r="U38" s="808"/>
      <c r="V38" s="728">
        <f>'O-IV (Ph5)'!$BH38</f>
        <v>0</v>
      </c>
      <c r="W38" s="330" t="s">
        <v>250</v>
      </c>
      <c r="X38" s="331">
        <f>'O-IV (Ph5)'!$BI38</f>
        <v>0</v>
      </c>
      <c r="Y38" s="817"/>
      <c r="Z38" s="728">
        <f>'O-V (Ph6)'!$BH38</f>
        <v>0</v>
      </c>
      <c r="AA38" s="330" t="s">
        <v>251</v>
      </c>
      <c r="AB38" s="331">
        <f>'O-V (Ph6)'!$BI38</f>
        <v>0</v>
      </c>
      <c r="AC38" s="820"/>
      <c r="AD38" s="925">
        <f t="shared" si="0"/>
        <v>0</v>
      </c>
      <c r="AE38" s="331">
        <f t="shared" si="1"/>
        <v>0</v>
      </c>
    </row>
    <row r="39" spans="2:31" x14ac:dyDescent="0.2">
      <c r="B39" s="8"/>
      <c r="C39" s="329" t="str">
        <f>IF(ISBLANK('Labor Rates'!C39),"",'Labor Rates'!C39)</f>
        <v/>
      </c>
      <c r="D39" s="413" t="str">
        <f>IF(ISBLANK('Labor Rates'!D39),"",'Labor Rates'!D39)</f>
        <v/>
      </c>
      <c r="E39" s="729"/>
      <c r="F39" s="728">
        <f>'Base (Ph1)'!$BH39</f>
        <v>0</v>
      </c>
      <c r="G39" s="330" t="s">
        <v>245</v>
      </c>
      <c r="H39" s="331">
        <f>'Base (Ph1)'!$BI39</f>
        <v>0</v>
      </c>
      <c r="I39" s="742"/>
      <c r="J39" s="728">
        <f>'O-I (Ph2)'!$BH39</f>
        <v>0</v>
      </c>
      <c r="K39" s="330" t="s">
        <v>246</v>
      </c>
      <c r="L39" s="331">
        <f>'O-I (Ph2)'!$BI39</f>
        <v>0</v>
      </c>
      <c r="M39" s="800"/>
      <c r="N39" s="728">
        <f>'O-II (Ph3)'!$BH39</f>
        <v>0</v>
      </c>
      <c r="O39" s="330" t="s">
        <v>248</v>
      </c>
      <c r="P39" s="331">
        <f>'O-II (Ph3)'!$BI39</f>
        <v>0</v>
      </c>
      <c r="Q39" s="752"/>
      <c r="R39" s="728">
        <f>'O-III (Ph4)'!$BH39</f>
        <v>0</v>
      </c>
      <c r="S39" s="330" t="s">
        <v>249</v>
      </c>
      <c r="T39" s="331">
        <f>'O-III (Ph4)'!$BI39</f>
        <v>0</v>
      </c>
      <c r="U39" s="808"/>
      <c r="V39" s="728">
        <f>'O-IV (Ph5)'!$BH39</f>
        <v>0</v>
      </c>
      <c r="W39" s="330" t="s">
        <v>250</v>
      </c>
      <c r="X39" s="331">
        <f>'O-IV (Ph5)'!$BI39</f>
        <v>0</v>
      </c>
      <c r="Y39" s="817"/>
      <c r="Z39" s="728">
        <f>'O-V (Ph6)'!$BH39</f>
        <v>0</v>
      </c>
      <c r="AA39" s="330" t="s">
        <v>251</v>
      </c>
      <c r="AB39" s="331">
        <f>'O-V (Ph6)'!$BI39</f>
        <v>0</v>
      </c>
      <c r="AC39" s="820"/>
      <c r="AD39" s="925">
        <f t="shared" si="0"/>
        <v>0</v>
      </c>
      <c r="AE39" s="331">
        <f t="shared" si="1"/>
        <v>0</v>
      </c>
    </row>
    <row r="40" spans="2:31" x14ac:dyDescent="0.2">
      <c r="B40" s="8"/>
      <c r="C40" s="329" t="str">
        <f>IF(ISBLANK('Labor Rates'!C40),"",'Labor Rates'!C40)</f>
        <v/>
      </c>
      <c r="D40" s="413" t="str">
        <f>IF(ISBLANK('Labor Rates'!D40),"",'Labor Rates'!D40)</f>
        <v/>
      </c>
      <c r="E40" s="729"/>
      <c r="F40" s="728">
        <f>'Base (Ph1)'!$BH40</f>
        <v>0</v>
      </c>
      <c r="G40" s="330" t="s">
        <v>245</v>
      </c>
      <c r="H40" s="331">
        <f>'Base (Ph1)'!$BI40</f>
        <v>0</v>
      </c>
      <c r="I40" s="742"/>
      <c r="J40" s="728">
        <f>'O-I (Ph2)'!$BH40</f>
        <v>0</v>
      </c>
      <c r="K40" s="330" t="s">
        <v>246</v>
      </c>
      <c r="L40" s="331">
        <f>'O-I (Ph2)'!$BI40</f>
        <v>0</v>
      </c>
      <c r="M40" s="800"/>
      <c r="N40" s="728">
        <f>'O-II (Ph3)'!$BH40</f>
        <v>0</v>
      </c>
      <c r="O40" s="330" t="s">
        <v>248</v>
      </c>
      <c r="P40" s="331">
        <f>'O-II (Ph3)'!$BI40</f>
        <v>0</v>
      </c>
      <c r="Q40" s="752"/>
      <c r="R40" s="728">
        <f>'O-III (Ph4)'!$BH40</f>
        <v>0</v>
      </c>
      <c r="S40" s="330" t="s">
        <v>249</v>
      </c>
      <c r="T40" s="331">
        <f>'O-III (Ph4)'!$BI40</f>
        <v>0</v>
      </c>
      <c r="U40" s="808"/>
      <c r="V40" s="728">
        <f>'O-IV (Ph5)'!$BH40</f>
        <v>0</v>
      </c>
      <c r="W40" s="330" t="s">
        <v>250</v>
      </c>
      <c r="X40" s="331">
        <f>'O-IV (Ph5)'!$BI40</f>
        <v>0</v>
      </c>
      <c r="Y40" s="817"/>
      <c r="Z40" s="728">
        <f>'O-V (Ph6)'!$BH40</f>
        <v>0</v>
      </c>
      <c r="AA40" s="330" t="s">
        <v>251</v>
      </c>
      <c r="AB40" s="331">
        <f>'O-V (Ph6)'!$BI40</f>
        <v>0</v>
      </c>
      <c r="AC40" s="820"/>
      <c r="AD40" s="925">
        <f t="shared" si="0"/>
        <v>0</v>
      </c>
      <c r="AE40" s="331">
        <f t="shared" si="1"/>
        <v>0</v>
      </c>
    </row>
    <row r="41" spans="2:31" x14ac:dyDescent="0.2">
      <c r="B41" s="8"/>
      <c r="C41" s="329" t="str">
        <f>IF(ISBLANK('Labor Rates'!C41),"",'Labor Rates'!C41)</f>
        <v/>
      </c>
      <c r="D41" s="413" t="str">
        <f>IF(ISBLANK('Labor Rates'!D41),"",'Labor Rates'!D41)</f>
        <v/>
      </c>
      <c r="E41" s="729"/>
      <c r="F41" s="728">
        <f>'Base (Ph1)'!$BH41</f>
        <v>0</v>
      </c>
      <c r="G41" s="330" t="s">
        <v>245</v>
      </c>
      <c r="H41" s="331">
        <f>'Base (Ph1)'!$BI41</f>
        <v>0</v>
      </c>
      <c r="I41" s="742"/>
      <c r="J41" s="728">
        <f>'O-I (Ph2)'!$BH41</f>
        <v>0</v>
      </c>
      <c r="K41" s="330" t="s">
        <v>246</v>
      </c>
      <c r="L41" s="331">
        <f>'O-I (Ph2)'!$BI41</f>
        <v>0</v>
      </c>
      <c r="M41" s="800"/>
      <c r="N41" s="728">
        <f>'O-II (Ph3)'!$BH41</f>
        <v>0</v>
      </c>
      <c r="O41" s="330" t="s">
        <v>248</v>
      </c>
      <c r="P41" s="331">
        <f>'O-II (Ph3)'!$BI41</f>
        <v>0</v>
      </c>
      <c r="Q41" s="752"/>
      <c r="R41" s="728">
        <f>'O-III (Ph4)'!$BH41</f>
        <v>0</v>
      </c>
      <c r="S41" s="330" t="s">
        <v>249</v>
      </c>
      <c r="T41" s="331">
        <f>'O-III (Ph4)'!$BI41</f>
        <v>0</v>
      </c>
      <c r="U41" s="808"/>
      <c r="V41" s="728">
        <f>'O-IV (Ph5)'!$BH41</f>
        <v>0</v>
      </c>
      <c r="W41" s="330" t="s">
        <v>250</v>
      </c>
      <c r="X41" s="331">
        <f>'O-IV (Ph5)'!$BI41</f>
        <v>0</v>
      </c>
      <c r="Y41" s="817"/>
      <c r="Z41" s="728">
        <f>'O-V (Ph6)'!$BH41</f>
        <v>0</v>
      </c>
      <c r="AA41" s="330" t="s">
        <v>251</v>
      </c>
      <c r="AB41" s="331">
        <f>'O-V (Ph6)'!$BI41</f>
        <v>0</v>
      </c>
      <c r="AC41" s="820"/>
      <c r="AD41" s="925">
        <f t="shared" si="0"/>
        <v>0</v>
      </c>
      <c r="AE41" s="331">
        <f t="shared" si="1"/>
        <v>0</v>
      </c>
    </row>
    <row r="42" spans="2:31" x14ac:dyDescent="0.2">
      <c r="B42" s="8"/>
      <c r="C42" s="329" t="str">
        <f>IF(ISBLANK('Labor Rates'!C42),"",'Labor Rates'!C42)</f>
        <v/>
      </c>
      <c r="D42" s="413" t="str">
        <f>IF(ISBLANK('Labor Rates'!D42),"",'Labor Rates'!D42)</f>
        <v/>
      </c>
      <c r="E42" s="729"/>
      <c r="F42" s="728">
        <f>'Base (Ph1)'!$BH42</f>
        <v>0</v>
      </c>
      <c r="G42" s="330" t="s">
        <v>245</v>
      </c>
      <c r="H42" s="331">
        <f>'Base (Ph1)'!$BI42</f>
        <v>0</v>
      </c>
      <c r="I42" s="742"/>
      <c r="J42" s="728">
        <f>'O-I (Ph2)'!$BH42</f>
        <v>0</v>
      </c>
      <c r="K42" s="330" t="s">
        <v>246</v>
      </c>
      <c r="L42" s="331">
        <f>'O-I (Ph2)'!$BI42</f>
        <v>0</v>
      </c>
      <c r="M42" s="800"/>
      <c r="N42" s="728">
        <f>'O-II (Ph3)'!$BH42</f>
        <v>0</v>
      </c>
      <c r="O42" s="330" t="s">
        <v>248</v>
      </c>
      <c r="P42" s="331">
        <f>'O-II (Ph3)'!$BI42</f>
        <v>0</v>
      </c>
      <c r="Q42" s="752"/>
      <c r="R42" s="728">
        <f>'O-III (Ph4)'!$BH42</f>
        <v>0</v>
      </c>
      <c r="S42" s="330" t="s">
        <v>249</v>
      </c>
      <c r="T42" s="331">
        <f>'O-III (Ph4)'!$BI42</f>
        <v>0</v>
      </c>
      <c r="U42" s="808"/>
      <c r="V42" s="728">
        <f>'O-IV (Ph5)'!$BH42</f>
        <v>0</v>
      </c>
      <c r="W42" s="330" t="s">
        <v>250</v>
      </c>
      <c r="X42" s="331">
        <f>'O-IV (Ph5)'!$BI42</f>
        <v>0</v>
      </c>
      <c r="Y42" s="817"/>
      <c r="Z42" s="728">
        <f>'O-V (Ph6)'!$BH42</f>
        <v>0</v>
      </c>
      <c r="AA42" s="330" t="s">
        <v>251</v>
      </c>
      <c r="AB42" s="331">
        <f>'O-V (Ph6)'!$BI42</f>
        <v>0</v>
      </c>
      <c r="AC42" s="820"/>
      <c r="AD42" s="925">
        <f t="shared" si="0"/>
        <v>0</v>
      </c>
      <c r="AE42" s="331">
        <f t="shared" si="1"/>
        <v>0</v>
      </c>
    </row>
    <row r="43" spans="2:31" x14ac:dyDescent="0.2">
      <c r="B43" s="8"/>
      <c r="C43" s="329" t="str">
        <f>IF(ISBLANK('Labor Rates'!C43),"",'Labor Rates'!C43)</f>
        <v/>
      </c>
      <c r="D43" s="413" t="str">
        <f>IF(ISBLANK('Labor Rates'!D43),"",'Labor Rates'!D43)</f>
        <v/>
      </c>
      <c r="E43" s="729"/>
      <c r="F43" s="728">
        <f>'Base (Ph1)'!$BH43</f>
        <v>0</v>
      </c>
      <c r="G43" s="330" t="s">
        <v>245</v>
      </c>
      <c r="H43" s="331">
        <f>'Base (Ph1)'!$BI43</f>
        <v>0</v>
      </c>
      <c r="I43" s="742"/>
      <c r="J43" s="728">
        <f>'O-I (Ph2)'!$BH43</f>
        <v>0</v>
      </c>
      <c r="K43" s="330" t="s">
        <v>246</v>
      </c>
      <c r="L43" s="331">
        <f>'O-I (Ph2)'!$BI43</f>
        <v>0</v>
      </c>
      <c r="M43" s="800"/>
      <c r="N43" s="728">
        <f>'O-II (Ph3)'!$BH43</f>
        <v>0</v>
      </c>
      <c r="O43" s="330" t="s">
        <v>248</v>
      </c>
      <c r="P43" s="331">
        <f>'O-II (Ph3)'!$BI43</f>
        <v>0</v>
      </c>
      <c r="Q43" s="752"/>
      <c r="R43" s="728">
        <f>'O-III (Ph4)'!$BH43</f>
        <v>0</v>
      </c>
      <c r="S43" s="330" t="s">
        <v>249</v>
      </c>
      <c r="T43" s="331">
        <f>'O-III (Ph4)'!$BI43</f>
        <v>0</v>
      </c>
      <c r="U43" s="808"/>
      <c r="V43" s="728">
        <f>'O-IV (Ph5)'!$BH43</f>
        <v>0</v>
      </c>
      <c r="W43" s="330" t="s">
        <v>250</v>
      </c>
      <c r="X43" s="331">
        <f>'O-IV (Ph5)'!$BI43</f>
        <v>0</v>
      </c>
      <c r="Y43" s="817"/>
      <c r="Z43" s="728">
        <f>'O-V (Ph6)'!$BH43</f>
        <v>0</v>
      </c>
      <c r="AA43" s="330" t="s">
        <v>251</v>
      </c>
      <c r="AB43" s="331">
        <f>'O-V (Ph6)'!$BI43</f>
        <v>0</v>
      </c>
      <c r="AC43" s="820"/>
      <c r="AD43" s="925">
        <f t="shared" si="0"/>
        <v>0</v>
      </c>
      <c r="AE43" s="331">
        <f t="shared" si="1"/>
        <v>0</v>
      </c>
    </row>
    <row r="44" spans="2:31" x14ac:dyDescent="0.2">
      <c r="B44" s="8"/>
      <c r="C44" s="329" t="str">
        <f>IF(ISBLANK('Labor Rates'!C44),"",'Labor Rates'!C44)</f>
        <v/>
      </c>
      <c r="D44" s="413" t="str">
        <f>IF(ISBLANK('Labor Rates'!D44),"",'Labor Rates'!D44)</f>
        <v/>
      </c>
      <c r="E44" s="729"/>
      <c r="F44" s="728">
        <f>'Base (Ph1)'!$BH44</f>
        <v>0</v>
      </c>
      <c r="G44" s="330" t="s">
        <v>245</v>
      </c>
      <c r="H44" s="331">
        <f>'Base (Ph1)'!$BI44</f>
        <v>0</v>
      </c>
      <c r="I44" s="742"/>
      <c r="J44" s="728">
        <f>'O-I (Ph2)'!$BH44</f>
        <v>0</v>
      </c>
      <c r="K44" s="330" t="s">
        <v>246</v>
      </c>
      <c r="L44" s="331">
        <f>'O-I (Ph2)'!$BI44</f>
        <v>0</v>
      </c>
      <c r="M44" s="800"/>
      <c r="N44" s="728">
        <f>'O-II (Ph3)'!$BH44</f>
        <v>0</v>
      </c>
      <c r="O44" s="330" t="s">
        <v>248</v>
      </c>
      <c r="P44" s="331">
        <f>'O-II (Ph3)'!$BI44</f>
        <v>0</v>
      </c>
      <c r="Q44" s="752"/>
      <c r="R44" s="728">
        <f>'O-III (Ph4)'!$BH44</f>
        <v>0</v>
      </c>
      <c r="S44" s="330" t="s">
        <v>249</v>
      </c>
      <c r="T44" s="331">
        <f>'O-III (Ph4)'!$BI44</f>
        <v>0</v>
      </c>
      <c r="U44" s="808"/>
      <c r="V44" s="728">
        <f>'O-IV (Ph5)'!$BH44</f>
        <v>0</v>
      </c>
      <c r="W44" s="330" t="s">
        <v>250</v>
      </c>
      <c r="X44" s="331">
        <f>'O-IV (Ph5)'!$BI44</f>
        <v>0</v>
      </c>
      <c r="Y44" s="817"/>
      <c r="Z44" s="728">
        <f>'O-V (Ph6)'!$BH44</f>
        <v>0</v>
      </c>
      <c r="AA44" s="330" t="s">
        <v>251</v>
      </c>
      <c r="AB44" s="331">
        <f>'O-V (Ph6)'!$BI44</f>
        <v>0</v>
      </c>
      <c r="AC44" s="820"/>
      <c r="AD44" s="925">
        <f t="shared" si="0"/>
        <v>0</v>
      </c>
      <c r="AE44" s="331">
        <f t="shared" si="1"/>
        <v>0</v>
      </c>
    </row>
    <row r="45" spans="2:31" x14ac:dyDescent="0.2">
      <c r="B45" s="8"/>
      <c r="C45" s="329" t="str">
        <f>IF(ISBLANK('Labor Rates'!C45),"",'Labor Rates'!C45)</f>
        <v/>
      </c>
      <c r="D45" s="413" t="str">
        <f>IF(ISBLANK('Labor Rates'!D45),"",'Labor Rates'!D45)</f>
        <v/>
      </c>
      <c r="E45" s="729"/>
      <c r="F45" s="728">
        <f>'Base (Ph1)'!$BH45</f>
        <v>0</v>
      </c>
      <c r="G45" s="330" t="s">
        <v>245</v>
      </c>
      <c r="H45" s="331">
        <f>'Base (Ph1)'!$BI45</f>
        <v>0</v>
      </c>
      <c r="I45" s="742"/>
      <c r="J45" s="728">
        <f>'O-I (Ph2)'!$BH45</f>
        <v>0</v>
      </c>
      <c r="K45" s="330" t="s">
        <v>246</v>
      </c>
      <c r="L45" s="331">
        <f>'O-I (Ph2)'!$BI45</f>
        <v>0</v>
      </c>
      <c r="M45" s="800"/>
      <c r="N45" s="728">
        <f>'O-II (Ph3)'!$BH45</f>
        <v>0</v>
      </c>
      <c r="O45" s="330" t="s">
        <v>248</v>
      </c>
      <c r="P45" s="331">
        <f>'O-II (Ph3)'!$BI45</f>
        <v>0</v>
      </c>
      <c r="Q45" s="752"/>
      <c r="R45" s="728">
        <f>'O-III (Ph4)'!$BH45</f>
        <v>0</v>
      </c>
      <c r="S45" s="330" t="s">
        <v>249</v>
      </c>
      <c r="T45" s="331">
        <f>'O-III (Ph4)'!$BI45</f>
        <v>0</v>
      </c>
      <c r="U45" s="808"/>
      <c r="V45" s="728">
        <f>'O-IV (Ph5)'!$BH45</f>
        <v>0</v>
      </c>
      <c r="W45" s="330" t="s">
        <v>250</v>
      </c>
      <c r="X45" s="331">
        <f>'O-IV (Ph5)'!$BI45</f>
        <v>0</v>
      </c>
      <c r="Y45" s="817"/>
      <c r="Z45" s="728">
        <f>'O-V (Ph6)'!$BH45</f>
        <v>0</v>
      </c>
      <c r="AA45" s="330" t="s">
        <v>251</v>
      </c>
      <c r="AB45" s="331">
        <f>'O-V (Ph6)'!$BI45</f>
        <v>0</v>
      </c>
      <c r="AC45" s="820"/>
      <c r="AD45" s="925">
        <f t="shared" si="0"/>
        <v>0</v>
      </c>
      <c r="AE45" s="331">
        <f t="shared" si="1"/>
        <v>0</v>
      </c>
    </row>
    <row r="46" spans="2:31" x14ac:dyDescent="0.2">
      <c r="B46" s="8"/>
      <c r="C46" s="329" t="str">
        <f>IF(ISBLANK('Labor Rates'!C46),"",'Labor Rates'!C46)</f>
        <v/>
      </c>
      <c r="D46" s="413" t="str">
        <f>IF(ISBLANK('Labor Rates'!D46),"",'Labor Rates'!D46)</f>
        <v/>
      </c>
      <c r="E46" s="729"/>
      <c r="F46" s="728">
        <f>'Base (Ph1)'!$BH46</f>
        <v>0</v>
      </c>
      <c r="G46" s="330" t="s">
        <v>245</v>
      </c>
      <c r="H46" s="331">
        <f>'Base (Ph1)'!$BI46</f>
        <v>0</v>
      </c>
      <c r="I46" s="742"/>
      <c r="J46" s="728">
        <f>'O-I (Ph2)'!$BH46</f>
        <v>0</v>
      </c>
      <c r="K46" s="330" t="s">
        <v>246</v>
      </c>
      <c r="L46" s="331">
        <f>'O-I (Ph2)'!$BI46</f>
        <v>0</v>
      </c>
      <c r="M46" s="800"/>
      <c r="N46" s="728">
        <f>'O-II (Ph3)'!$BH46</f>
        <v>0</v>
      </c>
      <c r="O46" s="330" t="s">
        <v>248</v>
      </c>
      <c r="P46" s="331">
        <f>'O-II (Ph3)'!$BI46</f>
        <v>0</v>
      </c>
      <c r="Q46" s="752"/>
      <c r="R46" s="728">
        <f>'O-III (Ph4)'!$BH46</f>
        <v>0</v>
      </c>
      <c r="S46" s="330" t="s">
        <v>249</v>
      </c>
      <c r="T46" s="331">
        <f>'O-III (Ph4)'!$BI46</f>
        <v>0</v>
      </c>
      <c r="U46" s="808"/>
      <c r="V46" s="728">
        <f>'O-IV (Ph5)'!$BH46</f>
        <v>0</v>
      </c>
      <c r="W46" s="330" t="s">
        <v>250</v>
      </c>
      <c r="X46" s="331">
        <f>'O-IV (Ph5)'!$BI46</f>
        <v>0</v>
      </c>
      <c r="Y46" s="817"/>
      <c r="Z46" s="728">
        <f>'O-V (Ph6)'!$BH46</f>
        <v>0</v>
      </c>
      <c r="AA46" s="330" t="s">
        <v>251</v>
      </c>
      <c r="AB46" s="331">
        <f>'O-V (Ph6)'!$BI46</f>
        <v>0</v>
      </c>
      <c r="AC46" s="820"/>
      <c r="AD46" s="925">
        <f t="shared" si="0"/>
        <v>0</v>
      </c>
      <c r="AE46" s="331">
        <f t="shared" si="1"/>
        <v>0</v>
      </c>
    </row>
    <row r="47" spans="2:31" ht="13.5" thickBot="1" x14ac:dyDescent="0.25">
      <c r="B47" s="8"/>
      <c r="C47" s="329" t="str">
        <f>IF(ISBLANK('Labor Rates'!C47),"",'Labor Rates'!C47)</f>
        <v/>
      </c>
      <c r="D47" s="413" t="str">
        <f>IF(ISBLANK('Labor Rates'!D47),"",'Labor Rates'!D47)</f>
        <v/>
      </c>
      <c r="E47" s="729"/>
      <c r="F47" s="728">
        <f>'Base (Ph1)'!$BH47</f>
        <v>0</v>
      </c>
      <c r="G47" s="330" t="s">
        <v>245</v>
      </c>
      <c r="H47" s="404">
        <f>'Base (Ph1)'!$BI47</f>
        <v>0</v>
      </c>
      <c r="I47" s="742"/>
      <c r="J47" s="728">
        <f>'O-I (Ph2)'!$BH47</f>
        <v>0</v>
      </c>
      <c r="K47" s="330" t="s">
        <v>246</v>
      </c>
      <c r="L47" s="331">
        <f>'O-I (Ph2)'!$BI47</f>
        <v>0</v>
      </c>
      <c r="M47" s="800"/>
      <c r="N47" s="728">
        <f>'O-II (Ph3)'!$BH47</f>
        <v>0</v>
      </c>
      <c r="O47" s="330" t="s">
        <v>248</v>
      </c>
      <c r="P47" s="331">
        <f>'O-II (Ph3)'!$BI47</f>
        <v>0</v>
      </c>
      <c r="Q47" s="752"/>
      <c r="R47" s="728">
        <f>'O-III (Ph4)'!$BH47</f>
        <v>0</v>
      </c>
      <c r="S47" s="330" t="s">
        <v>249</v>
      </c>
      <c r="T47" s="331">
        <f>'O-III (Ph4)'!$BI47</f>
        <v>0</v>
      </c>
      <c r="U47" s="808"/>
      <c r="V47" s="728">
        <f>'O-IV (Ph5)'!$BH47</f>
        <v>0</v>
      </c>
      <c r="W47" s="330" t="s">
        <v>250</v>
      </c>
      <c r="X47" s="331">
        <f>'O-IV (Ph5)'!$BI47</f>
        <v>0</v>
      </c>
      <c r="Y47" s="817"/>
      <c r="Z47" s="728">
        <f>'O-V (Ph6)'!$BH47</f>
        <v>0</v>
      </c>
      <c r="AA47" s="330" t="s">
        <v>251</v>
      </c>
      <c r="AB47" s="331">
        <f>'O-V (Ph6)'!$BI47</f>
        <v>0</v>
      </c>
      <c r="AC47" s="820"/>
      <c r="AD47" s="925">
        <f t="shared" si="0"/>
        <v>0</v>
      </c>
      <c r="AE47" s="331">
        <f t="shared" si="1"/>
        <v>0</v>
      </c>
    </row>
    <row r="48" spans="2:31" ht="13.5" thickBot="1" x14ac:dyDescent="0.25">
      <c r="B48" s="8"/>
      <c r="C48" s="61" t="s">
        <v>35</v>
      </c>
      <c r="D48" s="62"/>
      <c r="E48" s="729"/>
      <c r="F48" s="78">
        <f>SUM(F8:F47)</f>
        <v>0</v>
      </c>
      <c r="G48" s="7"/>
      <c r="H48" s="918">
        <f>SUM(H8:H47)</f>
        <v>0</v>
      </c>
      <c r="I48" s="742"/>
      <c r="J48" s="78">
        <f>SUM(J8:J47)</f>
        <v>0</v>
      </c>
      <c r="K48" s="3"/>
      <c r="L48" s="918">
        <f>SUM(L8:L47)</f>
        <v>0</v>
      </c>
      <c r="M48" s="800"/>
      <c r="N48" s="78">
        <f>SUM(N8:N47)</f>
        <v>0</v>
      </c>
      <c r="O48" s="3"/>
      <c r="P48" s="918">
        <f>SUM(P8:P47)</f>
        <v>0</v>
      </c>
      <c r="Q48" s="752"/>
      <c r="R48" s="78">
        <f>SUM(R8:R47)</f>
        <v>0</v>
      </c>
      <c r="S48" s="3"/>
      <c r="T48" s="918">
        <f>SUM(T8:T47)</f>
        <v>0</v>
      </c>
      <c r="U48" s="808"/>
      <c r="V48" s="78">
        <f>SUM(V8:V47)</f>
        <v>0</v>
      </c>
      <c r="W48" s="3"/>
      <c r="X48" s="918">
        <f>SUM(X8:X47)</f>
        <v>0</v>
      </c>
      <c r="Y48" s="817"/>
      <c r="Z48" s="78">
        <f>SUM(Z8:Z47)</f>
        <v>0</v>
      </c>
      <c r="AA48" s="3"/>
      <c r="AB48" s="918">
        <f>SUM(AB8:AB47)</f>
        <v>0</v>
      </c>
      <c r="AC48" s="820"/>
      <c r="AD48" s="926">
        <f>SUM(AD8:AD47)</f>
        <v>0</v>
      </c>
      <c r="AE48" s="918">
        <f>H48+L48+P48+T48+X48+AB48</f>
        <v>0</v>
      </c>
    </row>
    <row r="49" spans="2:31" ht="13.5" thickBot="1" x14ac:dyDescent="0.25">
      <c r="B49" s="14"/>
      <c r="C49" s="4" t="s">
        <v>243</v>
      </c>
      <c r="D49" s="37"/>
      <c r="E49" s="729"/>
      <c r="F49" s="730"/>
      <c r="G49" s="399"/>
      <c r="H49" s="756">
        <f>'Base (Ph1)'!$BI49</f>
        <v>0</v>
      </c>
      <c r="I49" s="742"/>
      <c r="J49" s="753"/>
      <c r="K49" s="396"/>
      <c r="L49" s="756">
        <f>'O-I (Ph2)'!$BI49</f>
        <v>0</v>
      </c>
      <c r="M49" s="800"/>
      <c r="N49" s="753"/>
      <c r="O49" s="396"/>
      <c r="P49" s="756">
        <f>'O-II (Ph3)'!$BI49</f>
        <v>0</v>
      </c>
      <c r="Q49" s="752"/>
      <c r="R49" s="753"/>
      <c r="S49" s="396"/>
      <c r="T49" s="756">
        <f>'O-III (Ph4)'!$BI49</f>
        <v>0</v>
      </c>
      <c r="U49" s="808"/>
      <c r="V49" s="753"/>
      <c r="W49" s="396"/>
      <c r="X49" s="756">
        <f>'O-IV (Ph5)'!$BI49</f>
        <v>0</v>
      </c>
      <c r="Y49" s="817"/>
      <c r="Z49" s="753"/>
      <c r="AA49" s="396"/>
      <c r="AB49" s="756">
        <f>'O-V (Ph6)'!$BI49</f>
        <v>0</v>
      </c>
      <c r="AC49" s="820"/>
      <c r="AD49" s="401"/>
      <c r="AE49" s="756">
        <f t="shared" ref="AE49:AE54" si="2">H49+L49+P49+T49+X49+AB49</f>
        <v>0</v>
      </c>
    </row>
    <row r="50" spans="2:31" ht="13.5" hidden="1" thickBot="1" x14ac:dyDescent="0.25">
      <c r="B50" s="14"/>
      <c r="C50" s="4" t="str">
        <f>'Base (Ph1)'!C50</f>
        <v>Insert line(s) &amp; title(s) for any other F/B rates</v>
      </c>
      <c r="D50" s="6"/>
      <c r="E50" s="729"/>
      <c r="F50" s="80"/>
      <c r="G50" s="5"/>
      <c r="H50" s="913">
        <f>'Base (Ph1)'!$BI50</f>
        <v>0</v>
      </c>
      <c r="I50" s="742"/>
      <c r="J50" s="80"/>
      <c r="K50" s="5"/>
      <c r="L50" s="913">
        <f>'O-I (Ph2)'!$BI50</f>
        <v>0</v>
      </c>
      <c r="M50" s="800"/>
      <c r="N50" s="80"/>
      <c r="O50" s="5"/>
      <c r="P50" s="913">
        <f>'O-II (Ph3)'!$BI50</f>
        <v>0</v>
      </c>
      <c r="Q50" s="752"/>
      <c r="R50" s="80"/>
      <c r="S50" s="5"/>
      <c r="T50" s="913">
        <f>'O-III (Ph4)'!$BI50</f>
        <v>0</v>
      </c>
      <c r="U50" s="808"/>
      <c r="V50" s="80"/>
      <c r="W50" s="5"/>
      <c r="X50" s="913">
        <f>'O-IV (Ph5)'!$BI50</f>
        <v>0</v>
      </c>
      <c r="Y50" s="817"/>
      <c r="Z50" s="80"/>
      <c r="AA50" s="5"/>
      <c r="AB50" s="913">
        <f>'O-V (Ph6)'!$BI50</f>
        <v>0</v>
      </c>
      <c r="AC50" s="820"/>
      <c r="AD50" s="94"/>
      <c r="AE50" s="913">
        <f t="shared" si="2"/>
        <v>0</v>
      </c>
    </row>
    <row r="51" spans="2:31" ht="13.5" thickBot="1" x14ac:dyDescent="0.25">
      <c r="B51" s="14"/>
      <c r="C51" s="3" t="s">
        <v>36</v>
      </c>
      <c r="D51" s="7"/>
      <c r="E51" s="729"/>
      <c r="F51" s="81"/>
      <c r="G51" s="7"/>
      <c r="H51" s="918">
        <f>SUM(H49:H50)</f>
        <v>0</v>
      </c>
      <c r="I51" s="742"/>
      <c r="J51" s="81"/>
      <c r="K51" s="3"/>
      <c r="L51" s="918">
        <f>SUM(L49:L50)</f>
        <v>0</v>
      </c>
      <c r="M51" s="800"/>
      <c r="N51" s="81"/>
      <c r="O51" s="3"/>
      <c r="P51" s="918">
        <f>SUM(P49:P50)</f>
        <v>0</v>
      </c>
      <c r="Q51" s="752"/>
      <c r="R51" s="81"/>
      <c r="S51" s="3"/>
      <c r="T51" s="918">
        <f>SUM(T49:T50)</f>
        <v>0</v>
      </c>
      <c r="U51" s="808"/>
      <c r="V51" s="81"/>
      <c r="W51" s="3"/>
      <c r="X51" s="918">
        <f>SUM(X49:X50)</f>
        <v>0</v>
      </c>
      <c r="Y51" s="817"/>
      <c r="Z51" s="81"/>
      <c r="AA51" s="3"/>
      <c r="AB51" s="918">
        <f>SUM(AB49:AB50)</f>
        <v>0</v>
      </c>
      <c r="AC51" s="820"/>
      <c r="AD51" s="95"/>
      <c r="AE51" s="918">
        <f t="shared" si="2"/>
        <v>0</v>
      </c>
    </row>
    <row r="52" spans="2:31" ht="13.5" thickBot="1" x14ac:dyDescent="0.25">
      <c r="B52" s="14"/>
      <c r="C52" s="4" t="s">
        <v>244</v>
      </c>
      <c r="D52" s="37"/>
      <c r="E52" s="729"/>
      <c r="F52" s="730"/>
      <c r="G52" s="399"/>
      <c r="H52" s="756">
        <f>'Base (Ph1)'!$BI52</f>
        <v>0</v>
      </c>
      <c r="I52" s="742"/>
      <c r="J52" s="753"/>
      <c r="K52" s="396"/>
      <c r="L52" s="756">
        <f>'O-I (Ph2)'!$BI52</f>
        <v>0</v>
      </c>
      <c r="M52" s="800"/>
      <c r="N52" s="753"/>
      <c r="O52" s="396"/>
      <c r="P52" s="756">
        <f>'O-II (Ph3)'!$BI52</f>
        <v>0</v>
      </c>
      <c r="Q52" s="752"/>
      <c r="R52" s="753"/>
      <c r="S52" s="396"/>
      <c r="T52" s="756">
        <f>'O-III (Ph4)'!$BI52</f>
        <v>0</v>
      </c>
      <c r="U52" s="808"/>
      <c r="V52" s="753"/>
      <c r="W52" s="396"/>
      <c r="X52" s="756">
        <f>'O-IV (Ph5)'!$BI52</f>
        <v>0</v>
      </c>
      <c r="Y52" s="817"/>
      <c r="Z52" s="753"/>
      <c r="AA52" s="396"/>
      <c r="AB52" s="756">
        <f>'O-V (Ph6)'!$BI52</f>
        <v>0</v>
      </c>
      <c r="AC52" s="820"/>
      <c r="AD52" s="401"/>
      <c r="AE52" s="756">
        <f t="shared" si="2"/>
        <v>0</v>
      </c>
    </row>
    <row r="53" spans="2:31" ht="13.5" hidden="1" thickBot="1" x14ac:dyDescent="0.25">
      <c r="B53" s="14"/>
      <c r="C53" s="4" t="str">
        <f>'Base (Ph1)'!C53</f>
        <v>Insert line(s) &amp; title(s) for any other O/H rates</v>
      </c>
      <c r="D53" s="6"/>
      <c r="E53" s="729"/>
      <c r="F53" s="80"/>
      <c r="G53" s="5"/>
      <c r="H53" s="913">
        <f>'Base (Ph1)'!$BI53</f>
        <v>0</v>
      </c>
      <c r="I53" s="742"/>
      <c r="J53" s="80"/>
      <c r="K53" s="5"/>
      <c r="L53" s="913">
        <f>'O-I (Ph2)'!$BI53</f>
        <v>0</v>
      </c>
      <c r="M53" s="800"/>
      <c r="N53" s="80"/>
      <c r="O53" s="5"/>
      <c r="P53" s="913">
        <f>'O-II (Ph3)'!$BI53</f>
        <v>0</v>
      </c>
      <c r="Q53" s="752"/>
      <c r="R53" s="80"/>
      <c r="S53" s="5"/>
      <c r="T53" s="913">
        <f>'O-III (Ph4)'!$BI53</f>
        <v>0</v>
      </c>
      <c r="U53" s="808"/>
      <c r="V53" s="80"/>
      <c r="W53" s="5"/>
      <c r="X53" s="913">
        <f>'O-IV (Ph5)'!$BI53</f>
        <v>0</v>
      </c>
      <c r="Y53" s="817"/>
      <c r="Z53" s="80"/>
      <c r="AA53" s="5"/>
      <c r="AB53" s="913">
        <f>'O-V (Ph6)'!$BI53</f>
        <v>0</v>
      </c>
      <c r="AC53" s="820"/>
      <c r="AD53" s="94"/>
      <c r="AE53" s="913">
        <f t="shared" si="2"/>
        <v>0</v>
      </c>
    </row>
    <row r="54" spans="2:31" ht="13.5" thickBot="1" x14ac:dyDescent="0.25">
      <c r="B54" s="14"/>
      <c r="C54" s="3" t="s">
        <v>37</v>
      </c>
      <c r="D54" s="7"/>
      <c r="E54" s="729"/>
      <c r="F54" s="81"/>
      <c r="G54" s="7"/>
      <c r="H54" s="918">
        <f>SUM(H52:H53)</f>
        <v>0</v>
      </c>
      <c r="I54" s="742"/>
      <c r="J54" s="81"/>
      <c r="K54" s="3"/>
      <c r="L54" s="918">
        <f>SUM(L52:L53)</f>
        <v>0</v>
      </c>
      <c r="M54" s="800"/>
      <c r="N54" s="81"/>
      <c r="O54" s="3"/>
      <c r="P54" s="918">
        <f>SUM(P52:P53)</f>
        <v>0</v>
      </c>
      <c r="Q54" s="752"/>
      <c r="R54" s="81"/>
      <c r="S54" s="3"/>
      <c r="T54" s="918">
        <f>SUM(T52:T53)</f>
        <v>0</v>
      </c>
      <c r="U54" s="808"/>
      <c r="V54" s="81"/>
      <c r="W54" s="3"/>
      <c r="X54" s="918">
        <f>SUM(X52:X53)</f>
        <v>0</v>
      </c>
      <c r="Y54" s="817"/>
      <c r="Z54" s="81"/>
      <c r="AA54" s="3"/>
      <c r="AB54" s="918">
        <f>SUM(AB52:AB53)</f>
        <v>0</v>
      </c>
      <c r="AC54" s="820"/>
      <c r="AD54" s="95"/>
      <c r="AE54" s="918">
        <f t="shared" si="2"/>
        <v>0</v>
      </c>
    </row>
    <row r="55" spans="2:31" x14ac:dyDescent="0.2">
      <c r="B55" s="14" t="s">
        <v>48</v>
      </c>
      <c r="C55" s="1"/>
      <c r="D55" s="17" t="s">
        <v>16</v>
      </c>
      <c r="E55" s="729"/>
      <c r="F55" s="79"/>
      <c r="G55" s="1"/>
      <c r="H55" s="914" t="s">
        <v>388</v>
      </c>
      <c r="I55" s="742"/>
      <c r="J55" s="79"/>
      <c r="K55" s="1"/>
      <c r="L55" s="914" t="s">
        <v>388</v>
      </c>
      <c r="M55" s="800"/>
      <c r="N55" s="79"/>
      <c r="O55" s="1"/>
      <c r="P55" s="914" t="s">
        <v>388</v>
      </c>
      <c r="Q55" s="752"/>
      <c r="R55" s="79"/>
      <c r="S55" s="1"/>
      <c r="T55" s="914" t="s">
        <v>388</v>
      </c>
      <c r="U55" s="808"/>
      <c r="V55" s="79"/>
      <c r="W55" s="1"/>
      <c r="X55" s="914" t="s">
        <v>388</v>
      </c>
      <c r="Y55" s="817"/>
      <c r="Z55" s="79"/>
      <c r="AA55" s="1"/>
      <c r="AB55" s="914" t="s">
        <v>388</v>
      </c>
      <c r="AC55" s="820"/>
      <c r="AD55" s="93"/>
      <c r="AE55" s="914" t="s">
        <v>388</v>
      </c>
    </row>
    <row r="56" spans="2:31" x14ac:dyDescent="0.2">
      <c r="B56" s="41"/>
      <c r="C56" s="394" t="str">
        <f>'Base (Ph1)'!C56</f>
        <v>Subcontract/Interorganizational Name - #01</v>
      </c>
      <c r="D56" s="87" t="s">
        <v>78</v>
      </c>
      <c r="E56" s="729"/>
      <c r="F56" s="654"/>
      <c r="G56" s="25"/>
      <c r="H56" s="331">
        <f>'Base (Ph1)'!$BI56</f>
        <v>0</v>
      </c>
      <c r="I56" s="742"/>
      <c r="J56" s="654"/>
      <c r="K56" s="25"/>
      <c r="L56" s="331">
        <f>'O-I (Ph2)'!$BI56</f>
        <v>0</v>
      </c>
      <c r="M56" s="800"/>
      <c r="N56" s="654"/>
      <c r="O56" s="25"/>
      <c r="P56" s="331">
        <f>'O-II (Ph3)'!$BI56</f>
        <v>0</v>
      </c>
      <c r="Q56" s="752"/>
      <c r="R56" s="654"/>
      <c r="S56" s="25"/>
      <c r="T56" s="331">
        <f>'O-III (Ph4)'!$BI56</f>
        <v>0</v>
      </c>
      <c r="U56" s="808"/>
      <c r="V56" s="654"/>
      <c r="W56" s="25"/>
      <c r="X56" s="331">
        <f>'O-IV (Ph5)'!$BI56</f>
        <v>0</v>
      </c>
      <c r="Y56" s="817"/>
      <c r="Z56" s="654"/>
      <c r="AA56" s="25"/>
      <c r="AB56" s="331">
        <f>'O-V (Ph6)'!$BI56</f>
        <v>0</v>
      </c>
      <c r="AC56" s="820"/>
      <c r="AD56" s="97"/>
      <c r="AE56" s="331">
        <f>H56+L56+P56+T56+X56+AB56</f>
        <v>0</v>
      </c>
    </row>
    <row r="57" spans="2:31" x14ac:dyDescent="0.2">
      <c r="B57" s="8"/>
      <c r="C57" s="394" t="str">
        <f>'Base (Ph1)'!C57</f>
        <v>Subcontract/Interorganizational Name - #02</v>
      </c>
      <c r="D57" s="87" t="s">
        <v>78</v>
      </c>
      <c r="E57" s="729"/>
      <c r="F57" s="654"/>
      <c r="G57" s="25"/>
      <c r="H57" s="331">
        <f>'Base (Ph1)'!$BI57</f>
        <v>0</v>
      </c>
      <c r="I57" s="742"/>
      <c r="J57" s="654"/>
      <c r="K57" s="25"/>
      <c r="L57" s="331">
        <f>'O-I (Ph2)'!$BI57</f>
        <v>0</v>
      </c>
      <c r="M57" s="800"/>
      <c r="N57" s="654"/>
      <c r="O57" s="25"/>
      <c r="P57" s="331">
        <f>'O-II (Ph3)'!$BI57</f>
        <v>0</v>
      </c>
      <c r="Q57" s="752"/>
      <c r="R57" s="654"/>
      <c r="S57" s="25"/>
      <c r="T57" s="331">
        <f>'O-III (Ph4)'!$BI57</f>
        <v>0</v>
      </c>
      <c r="U57" s="808"/>
      <c r="V57" s="654"/>
      <c r="W57" s="25"/>
      <c r="X57" s="331">
        <f>'O-IV (Ph5)'!$BI57</f>
        <v>0</v>
      </c>
      <c r="Y57" s="817"/>
      <c r="Z57" s="654"/>
      <c r="AA57" s="25"/>
      <c r="AB57" s="331">
        <f>'O-V (Ph6)'!$BI57</f>
        <v>0</v>
      </c>
      <c r="AC57" s="820"/>
      <c r="AD57" s="97"/>
      <c r="AE57" s="331">
        <f>H57+L57+P57+T57+X57+AB57</f>
        <v>0</v>
      </c>
    </row>
    <row r="58" spans="2:31" x14ac:dyDescent="0.2">
      <c r="B58" s="8"/>
      <c r="C58" s="394" t="str">
        <f>'Base (Ph1)'!C58</f>
        <v>Subcontract/Interorganizational Name - #03</v>
      </c>
      <c r="D58" s="87" t="s">
        <v>78</v>
      </c>
      <c r="E58" s="729"/>
      <c r="F58" s="654"/>
      <c r="G58" s="25"/>
      <c r="H58" s="331">
        <f>'Base (Ph1)'!$BI58</f>
        <v>0</v>
      </c>
      <c r="I58" s="742"/>
      <c r="J58" s="654"/>
      <c r="K58" s="25"/>
      <c r="L58" s="331">
        <f>'O-I (Ph2)'!$BI58</f>
        <v>0</v>
      </c>
      <c r="M58" s="800"/>
      <c r="N58" s="654"/>
      <c r="O58" s="25"/>
      <c r="P58" s="331">
        <f>'O-II (Ph3)'!$BI58</f>
        <v>0</v>
      </c>
      <c r="Q58" s="752"/>
      <c r="R58" s="654"/>
      <c r="S58" s="25"/>
      <c r="T58" s="331">
        <f>'O-III (Ph4)'!$BI58</f>
        <v>0</v>
      </c>
      <c r="U58" s="808"/>
      <c r="V58" s="654"/>
      <c r="W58" s="25"/>
      <c r="X58" s="331">
        <f>'O-IV (Ph5)'!$BI58</f>
        <v>0</v>
      </c>
      <c r="Y58" s="817"/>
      <c r="Z58" s="654"/>
      <c r="AA58" s="25"/>
      <c r="AB58" s="331">
        <f>'O-V (Ph6)'!$BI58</f>
        <v>0</v>
      </c>
      <c r="AC58" s="820"/>
      <c r="AD58" s="97"/>
      <c r="AE58" s="331">
        <f>H58+L58+P58+T58+X58+AB58</f>
        <v>0</v>
      </c>
    </row>
    <row r="59" spans="2:31" ht="23.25" customHeight="1" thickBot="1" x14ac:dyDescent="0.25">
      <c r="B59" s="643"/>
      <c r="C59" s="394" t="str">
        <f>'Base (Ph1)'!C59</f>
        <v xml:space="preserve">Insert line(s) for any additional Subcontractors/Interorganizational </v>
      </c>
      <c r="D59" s="87" t="s">
        <v>78</v>
      </c>
      <c r="E59" s="729"/>
      <c r="F59" s="654"/>
      <c r="G59" s="25"/>
      <c r="H59" s="404">
        <f>'Base (Ph1)'!$BI59</f>
        <v>0</v>
      </c>
      <c r="I59" s="742"/>
      <c r="J59" s="654"/>
      <c r="K59" s="25"/>
      <c r="L59" s="404">
        <f>'O-I (Ph2)'!$BI59</f>
        <v>0</v>
      </c>
      <c r="M59" s="800"/>
      <c r="N59" s="654"/>
      <c r="O59" s="25"/>
      <c r="P59" s="404">
        <f>'O-II (Ph3)'!$BI59</f>
        <v>0</v>
      </c>
      <c r="Q59" s="752"/>
      <c r="R59" s="654"/>
      <c r="S59" s="25"/>
      <c r="T59" s="404">
        <f>'O-III (Ph4)'!$BI59</f>
        <v>0</v>
      </c>
      <c r="U59" s="808"/>
      <c r="V59" s="654"/>
      <c r="W59" s="25"/>
      <c r="X59" s="404">
        <f>'O-IV (Ph5)'!$BI59</f>
        <v>0</v>
      </c>
      <c r="Y59" s="817"/>
      <c r="Z59" s="654"/>
      <c r="AA59" s="25"/>
      <c r="AB59" s="404">
        <f>'O-V (Ph6)'!$BI59</f>
        <v>0</v>
      </c>
      <c r="AC59" s="820"/>
      <c r="AD59" s="97"/>
      <c r="AE59" s="404">
        <f>H59+L59+P59+T59+X59+AB59</f>
        <v>0</v>
      </c>
    </row>
    <row r="60" spans="2:31" ht="13.5" thickBot="1" x14ac:dyDescent="0.25">
      <c r="B60" s="8"/>
      <c r="C60" s="3" t="s">
        <v>62</v>
      </c>
      <c r="D60" s="38"/>
      <c r="E60" s="729"/>
      <c r="F60" s="81"/>
      <c r="G60" s="7"/>
      <c r="H60" s="918">
        <f>SUM(H56:H59)</f>
        <v>0</v>
      </c>
      <c r="I60" s="742"/>
      <c r="J60" s="81"/>
      <c r="K60" s="3"/>
      <c r="L60" s="918">
        <f>SUM(L56:L59)</f>
        <v>0</v>
      </c>
      <c r="M60" s="800"/>
      <c r="N60" s="81"/>
      <c r="O60" s="3"/>
      <c r="P60" s="918">
        <f>SUM(P56:P59)</f>
        <v>0</v>
      </c>
      <c r="Q60" s="752"/>
      <c r="R60" s="81"/>
      <c r="S60" s="3"/>
      <c r="T60" s="918">
        <f>SUM(T56:T59)</f>
        <v>0</v>
      </c>
      <c r="U60" s="808"/>
      <c r="V60" s="81"/>
      <c r="W60" s="3"/>
      <c r="X60" s="918">
        <f>SUM(X56:X59)</f>
        <v>0</v>
      </c>
      <c r="Y60" s="817"/>
      <c r="Z60" s="81"/>
      <c r="AA60" s="3"/>
      <c r="AB60" s="918">
        <f>SUM(AB56:AB59)</f>
        <v>0</v>
      </c>
      <c r="AC60" s="820"/>
      <c r="AD60" s="95"/>
      <c r="AE60" s="918">
        <f>H60+L60+P60+T60+X60+AB60</f>
        <v>0</v>
      </c>
    </row>
    <row r="61" spans="2:31" x14ac:dyDescent="0.2">
      <c r="B61" s="14" t="s">
        <v>17</v>
      </c>
      <c r="C61" s="1"/>
      <c r="D61" s="88"/>
      <c r="E61" s="729"/>
      <c r="F61" s="731"/>
      <c r="G61" s="402"/>
      <c r="H61" s="914" t="s">
        <v>388</v>
      </c>
      <c r="I61" s="742"/>
      <c r="J61" s="79"/>
      <c r="K61" s="1"/>
      <c r="L61" s="914" t="s">
        <v>388</v>
      </c>
      <c r="M61" s="800"/>
      <c r="N61" s="79"/>
      <c r="O61" s="1"/>
      <c r="P61" s="914" t="s">
        <v>388</v>
      </c>
      <c r="Q61" s="752"/>
      <c r="R61" s="341"/>
      <c r="S61" s="1"/>
      <c r="T61" s="914" t="s">
        <v>388</v>
      </c>
      <c r="U61" s="808"/>
      <c r="V61" s="654"/>
      <c r="W61" s="25"/>
      <c r="X61" s="914" t="s">
        <v>388</v>
      </c>
      <c r="Y61" s="817"/>
      <c r="Z61" s="79"/>
      <c r="AA61" s="126"/>
      <c r="AB61" s="914" t="s">
        <v>388</v>
      </c>
      <c r="AC61" s="820"/>
      <c r="AD61" s="93"/>
      <c r="AE61" s="914" t="s">
        <v>388</v>
      </c>
    </row>
    <row r="62" spans="2:31" x14ac:dyDescent="0.2">
      <c r="B62" s="41"/>
      <c r="C62" s="394" t="str">
        <f>'Base (Ph1)'!C62</f>
        <v>Consultant Name - #01</v>
      </c>
      <c r="D62" s="36" t="s">
        <v>79</v>
      </c>
      <c r="E62" s="729"/>
      <c r="F62" s="732"/>
      <c r="G62" s="398"/>
      <c r="H62" s="331">
        <f>'Base (Ph1)'!$BI62</f>
        <v>0</v>
      </c>
      <c r="I62" s="742"/>
      <c r="J62" s="732"/>
      <c r="K62" s="398"/>
      <c r="L62" s="331">
        <f>'O-I (Ph2)'!$BI62</f>
        <v>0</v>
      </c>
      <c r="M62" s="800"/>
      <c r="N62" s="732"/>
      <c r="O62" s="398"/>
      <c r="P62" s="331">
        <f>'O-II (Ph3)'!$BI62</f>
        <v>0</v>
      </c>
      <c r="Q62" s="752"/>
      <c r="R62" s="732"/>
      <c r="S62" s="398"/>
      <c r="T62" s="331">
        <f>'O-III (Ph4)'!$BI62</f>
        <v>0</v>
      </c>
      <c r="U62" s="808"/>
      <c r="V62" s="732"/>
      <c r="W62" s="398"/>
      <c r="X62" s="331">
        <f>'O-IV (Ph5)'!$BI62</f>
        <v>0</v>
      </c>
      <c r="Y62" s="817"/>
      <c r="Z62" s="732"/>
      <c r="AA62" s="398"/>
      <c r="AB62" s="331">
        <f>'O-V (Ph6)'!$BI62</f>
        <v>0</v>
      </c>
      <c r="AC62" s="820"/>
      <c r="AD62" s="401"/>
      <c r="AE62" s="331">
        <f>H62+L62+P62+T62+X62+AB62</f>
        <v>0</v>
      </c>
    </row>
    <row r="63" spans="2:31" x14ac:dyDescent="0.2">
      <c r="B63" s="8"/>
      <c r="C63" s="394" t="str">
        <f>'Base (Ph1)'!C63</f>
        <v>Consultant Name - #02</v>
      </c>
      <c r="D63" s="36" t="s">
        <v>79</v>
      </c>
      <c r="E63" s="729"/>
      <c r="F63" s="732"/>
      <c r="G63" s="398"/>
      <c r="H63" s="331">
        <f>'Base (Ph1)'!$BI63</f>
        <v>0</v>
      </c>
      <c r="I63" s="742"/>
      <c r="J63" s="732"/>
      <c r="K63" s="398"/>
      <c r="L63" s="331">
        <f>'O-I (Ph2)'!$BI63</f>
        <v>0</v>
      </c>
      <c r="M63" s="800"/>
      <c r="N63" s="732"/>
      <c r="O63" s="398"/>
      <c r="P63" s="331">
        <f>'O-II (Ph3)'!$BI63</f>
        <v>0</v>
      </c>
      <c r="Q63" s="752"/>
      <c r="R63" s="732"/>
      <c r="S63" s="398"/>
      <c r="T63" s="331">
        <f>'O-III (Ph4)'!$BI63</f>
        <v>0</v>
      </c>
      <c r="U63" s="808"/>
      <c r="V63" s="732"/>
      <c r="W63" s="398"/>
      <c r="X63" s="331">
        <f>'O-IV (Ph5)'!$BI63</f>
        <v>0</v>
      </c>
      <c r="Y63" s="817"/>
      <c r="Z63" s="732"/>
      <c r="AA63" s="398"/>
      <c r="AB63" s="331">
        <f>'O-V (Ph6)'!$BI63</f>
        <v>0</v>
      </c>
      <c r="AC63" s="820"/>
      <c r="AD63" s="401"/>
      <c r="AE63" s="331">
        <f>H63+L63+P63+T63+X63+AB63</f>
        <v>0</v>
      </c>
    </row>
    <row r="64" spans="2:31" x14ac:dyDescent="0.2">
      <c r="B64" s="8"/>
      <c r="C64" s="394" t="str">
        <f>'Base (Ph1)'!C64</f>
        <v>Consultant Name - #03</v>
      </c>
      <c r="D64" s="36" t="s">
        <v>79</v>
      </c>
      <c r="E64" s="729"/>
      <c r="F64" s="732"/>
      <c r="G64" s="398"/>
      <c r="H64" s="331">
        <f>'Base (Ph1)'!$BI64</f>
        <v>0</v>
      </c>
      <c r="I64" s="742"/>
      <c r="J64" s="732"/>
      <c r="K64" s="398"/>
      <c r="L64" s="331">
        <f>'O-I (Ph2)'!$BI64</f>
        <v>0</v>
      </c>
      <c r="M64" s="800"/>
      <c r="N64" s="732"/>
      <c r="O64" s="398"/>
      <c r="P64" s="331">
        <f>'O-II (Ph3)'!$BI64</f>
        <v>0</v>
      </c>
      <c r="Q64" s="752"/>
      <c r="R64" s="732"/>
      <c r="S64" s="398"/>
      <c r="T64" s="331">
        <f>'O-III (Ph4)'!$BI64</f>
        <v>0</v>
      </c>
      <c r="U64" s="808"/>
      <c r="V64" s="732"/>
      <c r="W64" s="398"/>
      <c r="X64" s="331">
        <f>'O-IV (Ph5)'!$BI64</f>
        <v>0</v>
      </c>
      <c r="Y64" s="817"/>
      <c r="Z64" s="732"/>
      <c r="AA64" s="398"/>
      <c r="AB64" s="331">
        <f>'O-V (Ph6)'!$BI64</f>
        <v>0</v>
      </c>
      <c r="AC64" s="820"/>
      <c r="AD64" s="401"/>
      <c r="AE64" s="331">
        <f>H64+L64+P64+T64+X64+AB64</f>
        <v>0</v>
      </c>
    </row>
    <row r="65" spans="2:31" ht="13.5" thickBot="1" x14ac:dyDescent="0.25">
      <c r="B65" s="643"/>
      <c r="C65" s="394" t="str">
        <f>'Base (Ph1)'!C65</f>
        <v>Insert line(s) for any additional Consultants</v>
      </c>
      <c r="D65" s="36" t="s">
        <v>79</v>
      </c>
      <c r="E65" s="729"/>
      <c r="F65" s="732"/>
      <c r="G65" s="398"/>
      <c r="H65" s="404">
        <f>'Base (Ph1)'!$BI65</f>
        <v>0</v>
      </c>
      <c r="I65" s="742"/>
      <c r="J65" s="732"/>
      <c r="K65" s="398"/>
      <c r="L65" s="404">
        <f>'O-I (Ph2)'!$BI65</f>
        <v>0</v>
      </c>
      <c r="M65" s="800"/>
      <c r="N65" s="732"/>
      <c r="O65" s="398"/>
      <c r="P65" s="404">
        <f>'O-II (Ph3)'!$BI65</f>
        <v>0</v>
      </c>
      <c r="Q65" s="752"/>
      <c r="R65" s="732"/>
      <c r="S65" s="398"/>
      <c r="T65" s="404">
        <f>'O-III (Ph4)'!$BI65</f>
        <v>0</v>
      </c>
      <c r="U65" s="808"/>
      <c r="V65" s="732"/>
      <c r="W65" s="398"/>
      <c r="X65" s="404">
        <f>'O-IV (Ph5)'!$BI65</f>
        <v>0</v>
      </c>
      <c r="Y65" s="817"/>
      <c r="Z65" s="732"/>
      <c r="AA65" s="398"/>
      <c r="AB65" s="404">
        <f>'O-V (Ph6)'!$BI65</f>
        <v>0</v>
      </c>
      <c r="AC65" s="820"/>
      <c r="AD65" s="401"/>
      <c r="AE65" s="404">
        <f>H65+L65+P65+T65+X65+AB65</f>
        <v>0</v>
      </c>
    </row>
    <row r="66" spans="2:31" ht="13.5" thickBot="1" x14ac:dyDescent="0.25">
      <c r="B66" s="8"/>
      <c r="C66" s="3" t="s">
        <v>63</v>
      </c>
      <c r="D66" s="38"/>
      <c r="E66" s="729"/>
      <c r="F66" s="81"/>
      <c r="G66" s="7"/>
      <c r="H66" s="918">
        <f>SUM(H62:H65)</f>
        <v>0</v>
      </c>
      <c r="I66" s="742"/>
      <c r="J66" s="81"/>
      <c r="K66" s="3"/>
      <c r="L66" s="918">
        <f>SUM(L62:L65)</f>
        <v>0</v>
      </c>
      <c r="M66" s="800"/>
      <c r="N66" s="81"/>
      <c r="O66" s="3"/>
      <c r="P66" s="918">
        <f>SUM(P62:P65)</f>
        <v>0</v>
      </c>
      <c r="Q66" s="752"/>
      <c r="R66" s="81"/>
      <c r="S66" s="3"/>
      <c r="T66" s="918">
        <f>SUM(T62:T65)</f>
        <v>0</v>
      </c>
      <c r="U66" s="808"/>
      <c r="V66" s="81"/>
      <c r="W66" s="3"/>
      <c r="X66" s="918">
        <f>SUM(X62:X65)</f>
        <v>0</v>
      </c>
      <c r="Y66" s="817"/>
      <c r="Z66" s="81"/>
      <c r="AA66" s="3"/>
      <c r="AB66" s="918">
        <f>SUM(AB62:AB65)</f>
        <v>0</v>
      </c>
      <c r="AC66" s="820"/>
      <c r="AD66" s="95"/>
      <c r="AE66" s="918">
        <f>H66+L66+P66+T66+X66+AB66</f>
        <v>0</v>
      </c>
    </row>
    <row r="67" spans="2:31" x14ac:dyDescent="0.2">
      <c r="B67" s="14" t="s">
        <v>7</v>
      </c>
      <c r="C67" s="24"/>
      <c r="D67" s="37"/>
      <c r="E67" s="729"/>
      <c r="F67" s="82"/>
      <c r="G67" s="24"/>
      <c r="H67" s="914" t="s">
        <v>388</v>
      </c>
      <c r="I67" s="742"/>
      <c r="J67" s="82"/>
      <c r="K67" s="24"/>
      <c r="L67" s="914" t="s">
        <v>388</v>
      </c>
      <c r="M67" s="800"/>
      <c r="N67" s="82"/>
      <c r="O67" s="24"/>
      <c r="P67" s="914" t="s">
        <v>388</v>
      </c>
      <c r="Q67" s="752"/>
      <c r="R67" s="82"/>
      <c r="S67" s="24"/>
      <c r="T67" s="914" t="s">
        <v>388</v>
      </c>
      <c r="U67" s="808"/>
      <c r="V67" s="82"/>
      <c r="W67" s="24"/>
      <c r="X67" s="914" t="s">
        <v>388</v>
      </c>
      <c r="Y67" s="817"/>
      <c r="Z67" s="82"/>
      <c r="AA67" s="24"/>
      <c r="AB67" s="914" t="s">
        <v>388</v>
      </c>
      <c r="AC67" s="820"/>
      <c r="AD67" s="96"/>
      <c r="AE67" s="914" t="s">
        <v>388</v>
      </c>
    </row>
    <row r="68" spans="2:31" x14ac:dyDescent="0.2">
      <c r="B68" s="8"/>
      <c r="C68" s="394" t="str">
        <f>'Base (Ph1)'!C68</f>
        <v>Materials/Supplies</v>
      </c>
      <c r="D68" s="36" t="s">
        <v>74</v>
      </c>
      <c r="E68" s="729"/>
      <c r="F68" s="654"/>
      <c r="G68" s="25"/>
      <c r="H68" s="331">
        <f>'Base (Ph1)'!$BI68</f>
        <v>0</v>
      </c>
      <c r="I68" s="742"/>
      <c r="J68" s="654"/>
      <c r="K68" s="25"/>
      <c r="L68" s="331">
        <f>'O-I (Ph2)'!$BI68</f>
        <v>0</v>
      </c>
      <c r="M68" s="800"/>
      <c r="N68" s="654"/>
      <c r="O68" s="25"/>
      <c r="P68" s="331">
        <f>'O-II (Ph3)'!$BI68</f>
        <v>0</v>
      </c>
      <c r="Q68" s="752"/>
      <c r="R68" s="654"/>
      <c r="S68" s="25"/>
      <c r="T68" s="331">
        <f>'O-III (Ph4)'!$BI68</f>
        <v>0</v>
      </c>
      <c r="U68" s="808"/>
      <c r="V68" s="654"/>
      <c r="W68" s="25"/>
      <c r="X68" s="331">
        <f>'O-IV (Ph5)'!$BI68</f>
        <v>0</v>
      </c>
      <c r="Y68" s="817"/>
      <c r="Z68" s="654"/>
      <c r="AA68" s="25"/>
      <c r="AB68" s="331">
        <f>'O-V (Ph6)'!$BI68</f>
        <v>0</v>
      </c>
      <c r="AC68" s="820"/>
      <c r="AD68" s="97"/>
      <c r="AE68" s="331">
        <f>H68+L68+P68+T68+X68+AB68</f>
        <v>0</v>
      </c>
    </row>
    <row r="69" spans="2:31" x14ac:dyDescent="0.2">
      <c r="B69" s="41"/>
      <c r="C69" s="394" t="str">
        <f>'Base (Ph1)'!C69</f>
        <v>Equipment</v>
      </c>
      <c r="D69" s="36" t="s">
        <v>75</v>
      </c>
      <c r="E69" s="729"/>
      <c r="F69" s="654"/>
      <c r="G69" s="25"/>
      <c r="H69" s="331">
        <f>'Base (Ph1)'!$BI69</f>
        <v>0</v>
      </c>
      <c r="I69" s="742"/>
      <c r="J69" s="654"/>
      <c r="K69" s="25"/>
      <c r="L69" s="331">
        <f>'O-I (Ph2)'!$BI69</f>
        <v>0</v>
      </c>
      <c r="M69" s="800"/>
      <c r="N69" s="654"/>
      <c r="O69" s="25"/>
      <c r="P69" s="331">
        <f>'O-II (Ph3)'!$BI69</f>
        <v>0</v>
      </c>
      <c r="Q69" s="752"/>
      <c r="R69" s="654"/>
      <c r="S69" s="25"/>
      <c r="T69" s="331">
        <f>'O-III (Ph4)'!$BI69</f>
        <v>0</v>
      </c>
      <c r="U69" s="808"/>
      <c r="V69" s="654"/>
      <c r="W69" s="25"/>
      <c r="X69" s="331">
        <f>'O-IV (Ph5)'!$BI69</f>
        <v>0</v>
      </c>
      <c r="Y69" s="817"/>
      <c r="Z69" s="654"/>
      <c r="AA69" s="25"/>
      <c r="AB69" s="331">
        <f>'O-V (Ph6)'!$BI69</f>
        <v>0</v>
      </c>
      <c r="AC69" s="820"/>
      <c r="AD69" s="97"/>
      <c r="AE69" s="331">
        <f>H69+L69+P69+T69+X69+AB69</f>
        <v>0</v>
      </c>
    </row>
    <row r="70" spans="2:31" x14ac:dyDescent="0.2">
      <c r="B70" s="8"/>
      <c r="C70" s="394" t="str">
        <f>'Base (Ph1)'!C70</f>
        <v>Travel</v>
      </c>
      <c r="D70" s="36" t="s">
        <v>77</v>
      </c>
      <c r="E70" s="729"/>
      <c r="F70" s="654"/>
      <c r="G70" s="25"/>
      <c r="H70" s="331">
        <f>'Base (Ph1)'!$BI70</f>
        <v>0</v>
      </c>
      <c r="I70" s="742"/>
      <c r="J70" s="654"/>
      <c r="K70" s="25"/>
      <c r="L70" s="331">
        <f>'O-I (Ph2)'!$BI70</f>
        <v>0</v>
      </c>
      <c r="M70" s="800"/>
      <c r="N70" s="654"/>
      <c r="O70" s="25"/>
      <c r="P70" s="331">
        <f>'O-II (Ph3)'!$BI70</f>
        <v>0</v>
      </c>
      <c r="Q70" s="752"/>
      <c r="R70" s="654"/>
      <c r="S70" s="25"/>
      <c r="T70" s="331">
        <f>'O-III (Ph4)'!$BI70</f>
        <v>0</v>
      </c>
      <c r="U70" s="808"/>
      <c r="V70" s="654"/>
      <c r="W70" s="25"/>
      <c r="X70" s="331">
        <f>'O-IV (Ph5)'!$BI70</f>
        <v>0</v>
      </c>
      <c r="Y70" s="817"/>
      <c r="Z70" s="654"/>
      <c r="AA70" s="25"/>
      <c r="AB70" s="331">
        <f>'O-V (Ph6)'!$BI70</f>
        <v>0</v>
      </c>
      <c r="AC70" s="820"/>
      <c r="AD70" s="97"/>
      <c r="AE70" s="331">
        <f>H70+L70+P70+T70+X70+AB70</f>
        <v>0</v>
      </c>
    </row>
    <row r="71" spans="2:31" ht="13.5" thickBot="1" x14ac:dyDescent="0.25">
      <c r="B71" s="8"/>
      <c r="C71" s="394" t="str">
        <f>'Base (Ph1)'!C71</f>
        <v>Insert line(s) for any other types of ODCs</v>
      </c>
      <c r="D71" s="36" t="s">
        <v>76</v>
      </c>
      <c r="E71" s="729"/>
      <c r="F71" s="654"/>
      <c r="G71" s="25"/>
      <c r="H71" s="404">
        <f>'Base (Ph1)'!$BI71</f>
        <v>0</v>
      </c>
      <c r="I71" s="742"/>
      <c r="J71" s="654"/>
      <c r="K71" s="25"/>
      <c r="L71" s="404">
        <f>'O-I (Ph2)'!$BI71</f>
        <v>0</v>
      </c>
      <c r="M71" s="800"/>
      <c r="N71" s="654"/>
      <c r="O71" s="25"/>
      <c r="P71" s="404">
        <f>'O-II (Ph3)'!$BI71</f>
        <v>0</v>
      </c>
      <c r="Q71" s="752"/>
      <c r="R71" s="654"/>
      <c r="S71" s="25"/>
      <c r="T71" s="404">
        <f>'O-III (Ph4)'!$BI71</f>
        <v>0</v>
      </c>
      <c r="U71" s="808"/>
      <c r="V71" s="654"/>
      <c r="W71" s="25"/>
      <c r="X71" s="404">
        <f>'O-IV (Ph5)'!$BI71</f>
        <v>0</v>
      </c>
      <c r="Y71" s="817"/>
      <c r="Z71" s="654"/>
      <c r="AA71" s="25"/>
      <c r="AB71" s="404">
        <f>'O-V (Ph6)'!$BI71</f>
        <v>0</v>
      </c>
      <c r="AC71" s="820"/>
      <c r="AD71" s="97"/>
      <c r="AE71" s="404">
        <f>H71+L71+P71+T71+X71+AB71</f>
        <v>0</v>
      </c>
    </row>
    <row r="72" spans="2:31" ht="13.5" thickBot="1" x14ac:dyDescent="0.25">
      <c r="B72" s="8"/>
      <c r="C72" s="3" t="s">
        <v>38</v>
      </c>
      <c r="D72" s="7"/>
      <c r="E72" s="729"/>
      <c r="F72" s="81"/>
      <c r="G72" s="7"/>
      <c r="H72" s="918">
        <f>SUM(H68:H71)</f>
        <v>0</v>
      </c>
      <c r="I72" s="742"/>
      <c r="J72" s="81"/>
      <c r="K72" s="3"/>
      <c r="L72" s="918">
        <f>SUM(L68:L71)</f>
        <v>0</v>
      </c>
      <c r="M72" s="800"/>
      <c r="N72" s="81"/>
      <c r="O72" s="3"/>
      <c r="P72" s="918">
        <f>SUM(P68:P71)</f>
        <v>0</v>
      </c>
      <c r="Q72" s="752"/>
      <c r="R72" s="81"/>
      <c r="S72" s="3"/>
      <c r="T72" s="918">
        <f>SUM(T68:T71)</f>
        <v>0</v>
      </c>
      <c r="U72" s="808"/>
      <c r="V72" s="81"/>
      <c r="W72" s="3"/>
      <c r="X72" s="918">
        <f>SUM(X68:X71)</f>
        <v>0</v>
      </c>
      <c r="Y72" s="817"/>
      <c r="Z72" s="81"/>
      <c r="AA72" s="3"/>
      <c r="AB72" s="918">
        <f>SUM(AB68:AB71)</f>
        <v>0</v>
      </c>
      <c r="AC72" s="820"/>
      <c r="AD72" s="95"/>
      <c r="AE72" s="918">
        <f>H72+L72+P72+T72+X72+AB72</f>
        <v>0</v>
      </c>
    </row>
    <row r="73" spans="2:31" x14ac:dyDescent="0.2">
      <c r="B73" s="14" t="s">
        <v>58</v>
      </c>
      <c r="C73" s="1"/>
      <c r="D73" s="6"/>
      <c r="E73" s="729"/>
      <c r="F73" s="341"/>
      <c r="G73" s="125"/>
      <c r="H73" s="914" t="s">
        <v>388</v>
      </c>
      <c r="I73" s="742"/>
      <c r="J73" s="79"/>
      <c r="K73" s="1"/>
      <c r="L73" s="914" t="s">
        <v>388</v>
      </c>
      <c r="M73" s="800"/>
      <c r="N73" s="79"/>
      <c r="O73" s="1"/>
      <c r="P73" s="914" t="s">
        <v>388</v>
      </c>
      <c r="Q73" s="752"/>
      <c r="R73" s="341"/>
      <c r="S73" s="1"/>
      <c r="T73" s="914" t="s">
        <v>388</v>
      </c>
      <c r="U73" s="808"/>
      <c r="V73" s="79"/>
      <c r="W73" s="1"/>
      <c r="X73" s="914" t="s">
        <v>388</v>
      </c>
      <c r="Y73" s="817"/>
      <c r="Z73" s="79"/>
      <c r="AA73" s="126"/>
      <c r="AB73" s="914" t="s">
        <v>388</v>
      </c>
      <c r="AC73" s="820"/>
      <c r="AD73" s="93"/>
      <c r="AE73" s="914" t="s">
        <v>388</v>
      </c>
    </row>
    <row r="74" spans="2:31" x14ac:dyDescent="0.2">
      <c r="B74" s="41"/>
      <c r="C74" s="394" t="str">
        <f>'Base (Ph1)'!C74</f>
        <v>Insert M/H O/H rate title</v>
      </c>
      <c r="D74" s="37"/>
      <c r="E74" s="729"/>
      <c r="F74" s="730"/>
      <c r="G74" s="399"/>
      <c r="H74" s="331">
        <f>'Base (Ph1)'!$BI74</f>
        <v>0</v>
      </c>
      <c r="I74" s="742"/>
      <c r="J74" s="730"/>
      <c r="K74" s="399"/>
      <c r="L74" s="331">
        <f>'O-I (Ph2)'!$BI74</f>
        <v>0</v>
      </c>
      <c r="M74" s="800"/>
      <c r="N74" s="730"/>
      <c r="O74" s="399"/>
      <c r="P74" s="331">
        <f>'O-II (Ph3)'!$BI74</f>
        <v>0</v>
      </c>
      <c r="Q74" s="752"/>
      <c r="R74" s="730"/>
      <c r="S74" s="399"/>
      <c r="T74" s="331">
        <f>'O-III (Ph4)'!$BI74</f>
        <v>0</v>
      </c>
      <c r="U74" s="808"/>
      <c r="V74" s="730"/>
      <c r="W74" s="399"/>
      <c r="X74" s="331">
        <f>'O-IV (Ph5)'!$BI74</f>
        <v>0</v>
      </c>
      <c r="Y74" s="817"/>
      <c r="Z74" s="730"/>
      <c r="AA74" s="399"/>
      <c r="AB74" s="331">
        <f>'O-V (Ph6)'!$BI74</f>
        <v>0</v>
      </c>
      <c r="AC74" s="820"/>
      <c r="AD74" s="97"/>
      <c r="AE74" s="331">
        <f>H74+L74+P74+T74+X74+AB74</f>
        <v>0</v>
      </c>
    </row>
    <row r="75" spans="2:31" ht="13.5" thickBot="1" x14ac:dyDescent="0.25">
      <c r="B75" s="643"/>
      <c r="C75" s="394" t="str">
        <f>'Base (Ph1)'!C75</f>
        <v>Insert line(s) &amp; title(s) for any other M/H O/H rates</v>
      </c>
      <c r="D75" s="395"/>
      <c r="E75" s="729"/>
      <c r="F75" s="730"/>
      <c r="G75" s="399"/>
      <c r="H75" s="404">
        <f>'Base (Ph1)'!$BI75</f>
        <v>0</v>
      </c>
      <c r="I75" s="742"/>
      <c r="J75" s="730"/>
      <c r="K75" s="399"/>
      <c r="L75" s="404">
        <f>'O-I (Ph2)'!$BI75</f>
        <v>0</v>
      </c>
      <c r="M75" s="800"/>
      <c r="N75" s="730"/>
      <c r="O75" s="399"/>
      <c r="P75" s="404">
        <f>'O-II (Ph3)'!$BI75</f>
        <v>0</v>
      </c>
      <c r="Q75" s="752"/>
      <c r="R75" s="730"/>
      <c r="S75" s="399"/>
      <c r="T75" s="404">
        <f>'O-III (Ph4)'!$BI75</f>
        <v>0</v>
      </c>
      <c r="U75" s="808"/>
      <c r="V75" s="730"/>
      <c r="W75" s="399"/>
      <c r="X75" s="404">
        <f>'O-IV (Ph5)'!$BI75</f>
        <v>0</v>
      </c>
      <c r="Y75" s="817"/>
      <c r="Z75" s="730"/>
      <c r="AA75" s="399"/>
      <c r="AB75" s="404">
        <f>'O-V (Ph6)'!$BI75</f>
        <v>0</v>
      </c>
      <c r="AC75" s="820"/>
      <c r="AD75" s="97"/>
      <c r="AE75" s="404">
        <f>H75+L75+P75+T75+X75+AB75</f>
        <v>0</v>
      </c>
    </row>
    <row r="76" spans="2:31" ht="13.5" thickBot="1" x14ac:dyDescent="0.25">
      <c r="B76" s="8"/>
      <c r="C76" s="3" t="s">
        <v>34</v>
      </c>
      <c r="D76" s="7"/>
      <c r="E76" s="729"/>
      <c r="F76" s="81"/>
      <c r="G76" s="7"/>
      <c r="H76" s="918">
        <f>SUM(H74:H75)</f>
        <v>0</v>
      </c>
      <c r="I76" s="742"/>
      <c r="J76" s="81"/>
      <c r="K76" s="3"/>
      <c r="L76" s="918">
        <f>SUM(L74:L75)</f>
        <v>0</v>
      </c>
      <c r="M76" s="800"/>
      <c r="N76" s="81"/>
      <c r="O76" s="3"/>
      <c r="P76" s="918">
        <f>SUM(P74:P75)</f>
        <v>0</v>
      </c>
      <c r="Q76" s="752"/>
      <c r="R76" s="81"/>
      <c r="S76" s="3"/>
      <c r="T76" s="918">
        <f>SUM(T74:T75)</f>
        <v>0</v>
      </c>
      <c r="U76" s="808"/>
      <c r="V76" s="81"/>
      <c r="W76" s="3"/>
      <c r="X76" s="918">
        <f>SUM(X74:X75)</f>
        <v>0</v>
      </c>
      <c r="Y76" s="817"/>
      <c r="Z76" s="81"/>
      <c r="AA76" s="3"/>
      <c r="AB76" s="918">
        <f>SUM(AB74:AB75)</f>
        <v>0</v>
      </c>
      <c r="AC76" s="820"/>
      <c r="AD76" s="95"/>
      <c r="AE76" s="918">
        <f>H76+L76+P76+T76+X76+AB76</f>
        <v>0</v>
      </c>
    </row>
    <row r="77" spans="2:31" s="134" customFormat="1" x14ac:dyDescent="0.2">
      <c r="B77" s="107" t="s">
        <v>18</v>
      </c>
      <c r="C77" s="108"/>
      <c r="D77" s="109"/>
      <c r="E77" s="729"/>
      <c r="F77" s="111"/>
      <c r="G77" s="108"/>
      <c r="H77" s="915">
        <f>H48+H51+H54+H60+H66+H72+H76</f>
        <v>0</v>
      </c>
      <c r="I77" s="742"/>
      <c r="J77" s="111"/>
      <c r="K77" s="108"/>
      <c r="L77" s="915">
        <f>L48+L51+L54+L60+L66+L72+L76</f>
        <v>0</v>
      </c>
      <c r="M77" s="800"/>
      <c r="N77" s="111"/>
      <c r="O77" s="108"/>
      <c r="P77" s="915">
        <f>P48+P51+P54+P60+P66+P72+P76</f>
        <v>0</v>
      </c>
      <c r="Q77" s="752"/>
      <c r="R77" s="111"/>
      <c r="S77" s="108"/>
      <c r="T77" s="915">
        <f>T48+T51+T54+T60+T66+T72+T76</f>
        <v>0</v>
      </c>
      <c r="U77" s="808"/>
      <c r="V77" s="111"/>
      <c r="W77" s="108"/>
      <c r="X77" s="915">
        <f>X48+X51+X54+X60+X66+X72+X76</f>
        <v>0</v>
      </c>
      <c r="Y77" s="817"/>
      <c r="Z77" s="111"/>
      <c r="AA77" s="108"/>
      <c r="AB77" s="915">
        <f>AB48+AB51+AB54+AB60+AB66+AB72+AB76</f>
        <v>0</v>
      </c>
      <c r="AC77" s="820"/>
      <c r="AD77" s="112"/>
      <c r="AE77" s="915">
        <f>H77+L77+P77+T77+X77+AB77</f>
        <v>0</v>
      </c>
    </row>
    <row r="78" spans="2:31" x14ac:dyDescent="0.2">
      <c r="B78" s="14" t="s">
        <v>59</v>
      </c>
      <c r="C78" s="1"/>
      <c r="D78" s="6"/>
      <c r="E78" s="729"/>
      <c r="F78" s="341"/>
      <c r="G78" s="125"/>
      <c r="H78" s="92" t="s">
        <v>388</v>
      </c>
      <c r="I78" s="742"/>
      <c r="J78" s="79"/>
      <c r="K78" s="1"/>
      <c r="L78" s="92" t="s">
        <v>388</v>
      </c>
      <c r="M78" s="800"/>
      <c r="N78" s="79"/>
      <c r="O78" s="1"/>
      <c r="P78" s="92" t="s">
        <v>388</v>
      </c>
      <c r="Q78" s="752"/>
      <c r="R78" s="341"/>
      <c r="S78" s="1"/>
      <c r="T78" s="92" t="s">
        <v>388</v>
      </c>
      <c r="U78" s="808"/>
      <c r="V78" s="79"/>
      <c r="W78" s="1"/>
      <c r="X78" s="92" t="s">
        <v>388</v>
      </c>
      <c r="Y78" s="817"/>
      <c r="Z78" s="79"/>
      <c r="AA78" s="126"/>
      <c r="AB78" s="92" t="s">
        <v>388</v>
      </c>
      <c r="AC78" s="820"/>
      <c r="AD78" s="93"/>
      <c r="AE78" s="92" t="s">
        <v>388</v>
      </c>
    </row>
    <row r="79" spans="2:31" x14ac:dyDescent="0.2">
      <c r="B79" s="8"/>
      <c r="C79" s="4" t="str">
        <f>'Base (Ph1)'!C79</f>
        <v>G&amp;A</v>
      </c>
      <c r="D79" s="6"/>
      <c r="E79" s="729"/>
      <c r="F79" s="80"/>
      <c r="G79" s="5"/>
      <c r="H79" s="331">
        <f>'Base (Ph1)'!$BI79</f>
        <v>0</v>
      </c>
      <c r="I79" s="742"/>
      <c r="J79" s="80"/>
      <c r="K79" s="5"/>
      <c r="L79" s="331">
        <f>'O-I (Ph2)'!$BI79</f>
        <v>0</v>
      </c>
      <c r="M79" s="800"/>
      <c r="N79" s="80"/>
      <c r="O79" s="5"/>
      <c r="P79" s="331">
        <f>'O-II (Ph3)'!$BI79</f>
        <v>0</v>
      </c>
      <c r="Q79" s="752"/>
      <c r="R79" s="80"/>
      <c r="S79" s="5"/>
      <c r="T79" s="331">
        <f>'O-III (Ph4)'!$BI79</f>
        <v>0</v>
      </c>
      <c r="U79" s="808"/>
      <c r="V79" s="80"/>
      <c r="W79" s="5"/>
      <c r="X79" s="331">
        <f>'O-IV (Ph5)'!$BI79</f>
        <v>0</v>
      </c>
      <c r="Y79" s="817"/>
      <c r="Z79" s="80"/>
      <c r="AA79" s="5"/>
      <c r="AB79" s="331">
        <f>'O-V (Ph6)'!$BI79</f>
        <v>0</v>
      </c>
      <c r="AC79" s="820"/>
      <c r="AD79" s="94"/>
      <c r="AE79" s="331">
        <f>H79+L79+P79+T79+X79+AB79</f>
        <v>0</v>
      </c>
    </row>
    <row r="80" spans="2:31" ht="13.5" thickBot="1" x14ac:dyDescent="0.25">
      <c r="B80" s="8"/>
      <c r="C80" s="4" t="str">
        <f>'Base (Ph1)'!C80</f>
        <v>Insert line(s) &amp; title(s) for any other G&amp;A rates</v>
      </c>
      <c r="D80" s="6"/>
      <c r="E80" s="729"/>
      <c r="F80" s="80"/>
      <c r="G80" s="5"/>
      <c r="H80" s="404">
        <f>'Base (Ph1)'!$BI80</f>
        <v>0</v>
      </c>
      <c r="I80" s="742"/>
      <c r="J80" s="80"/>
      <c r="K80" s="5"/>
      <c r="L80" s="404">
        <f>'O-I (Ph2)'!$BI80</f>
        <v>0</v>
      </c>
      <c r="M80" s="800"/>
      <c r="N80" s="80"/>
      <c r="O80" s="5"/>
      <c r="P80" s="404">
        <f>'O-II (Ph3)'!$BI80</f>
        <v>0</v>
      </c>
      <c r="Q80" s="752"/>
      <c r="R80" s="80"/>
      <c r="S80" s="5"/>
      <c r="T80" s="404">
        <f>'O-III (Ph4)'!$BI80</f>
        <v>0</v>
      </c>
      <c r="U80" s="808"/>
      <c r="V80" s="80"/>
      <c r="W80" s="5"/>
      <c r="X80" s="404">
        <f>'O-IV (Ph5)'!$BI80</f>
        <v>0</v>
      </c>
      <c r="Y80" s="817"/>
      <c r="Z80" s="80"/>
      <c r="AA80" s="5"/>
      <c r="AB80" s="404">
        <f>'O-V (Ph6)'!$BI80</f>
        <v>0</v>
      </c>
      <c r="AC80" s="820"/>
      <c r="AD80" s="94"/>
      <c r="AE80" s="404">
        <f>H80+L80+P80+T80+X80+AB80</f>
        <v>0</v>
      </c>
    </row>
    <row r="81" spans="2:31" ht="13.5" thickBot="1" x14ac:dyDescent="0.25">
      <c r="B81" s="8"/>
      <c r="C81" s="3" t="s">
        <v>39</v>
      </c>
      <c r="D81" s="7"/>
      <c r="E81" s="729"/>
      <c r="F81" s="81"/>
      <c r="G81" s="7"/>
      <c r="H81" s="918">
        <f>SUM(H79:H80)</f>
        <v>0</v>
      </c>
      <c r="I81" s="742"/>
      <c r="J81" s="81"/>
      <c r="K81" s="3"/>
      <c r="L81" s="918">
        <f>SUM(L79:L80)</f>
        <v>0</v>
      </c>
      <c r="M81" s="800"/>
      <c r="N81" s="81"/>
      <c r="O81" s="3"/>
      <c r="P81" s="918">
        <f>SUM(P79:P80)</f>
        <v>0</v>
      </c>
      <c r="Q81" s="752"/>
      <c r="R81" s="81"/>
      <c r="S81" s="3"/>
      <c r="T81" s="918">
        <f>SUM(T79:T80)</f>
        <v>0</v>
      </c>
      <c r="U81" s="808"/>
      <c r="V81" s="81"/>
      <c r="W81" s="3"/>
      <c r="X81" s="918">
        <f>SUM(X79:X80)</f>
        <v>0</v>
      </c>
      <c r="Y81" s="817"/>
      <c r="Z81" s="81"/>
      <c r="AA81" s="3"/>
      <c r="AB81" s="918">
        <f>SUM(AB79:AB80)</f>
        <v>0</v>
      </c>
      <c r="AC81" s="820"/>
      <c r="AD81" s="95"/>
      <c r="AE81" s="918">
        <f>H81+L81+P81+T81+X81+AB81</f>
        <v>0</v>
      </c>
    </row>
    <row r="82" spans="2:31" s="134" customFormat="1" x14ac:dyDescent="0.2">
      <c r="B82" s="107" t="s">
        <v>18</v>
      </c>
      <c r="C82" s="108"/>
      <c r="D82" s="109"/>
      <c r="E82" s="729"/>
      <c r="F82" s="111"/>
      <c r="G82" s="108"/>
      <c r="H82" s="916">
        <f>H48+H51+H54+H60+H66+H72+H76+H81</f>
        <v>0</v>
      </c>
      <c r="I82" s="742"/>
      <c r="J82" s="111"/>
      <c r="K82" s="108"/>
      <c r="L82" s="916">
        <f>L48+L51+L54+L60+L66+L72+L76+L81</f>
        <v>0</v>
      </c>
      <c r="M82" s="800"/>
      <c r="N82" s="111"/>
      <c r="O82" s="108"/>
      <c r="P82" s="916">
        <f>P48+P51+P54+P60+P66+P72+P76+P81</f>
        <v>0</v>
      </c>
      <c r="Q82" s="752"/>
      <c r="R82" s="111"/>
      <c r="S82" s="108"/>
      <c r="T82" s="916">
        <f>T48+T51+T54+T60+T66+T72+T76+T81</f>
        <v>0</v>
      </c>
      <c r="U82" s="808"/>
      <c r="V82" s="111"/>
      <c r="W82" s="108"/>
      <c r="X82" s="916">
        <f>X48+X51+X54+X60+X66+X72+X76+X81</f>
        <v>0</v>
      </c>
      <c r="Y82" s="817"/>
      <c r="Z82" s="111"/>
      <c r="AA82" s="108"/>
      <c r="AB82" s="916">
        <f>AB48+AB51+AB54+AB60+AB66+AB72+AB76+AB81</f>
        <v>0</v>
      </c>
      <c r="AC82" s="820"/>
      <c r="AD82" s="112"/>
      <c r="AE82" s="916">
        <f>H82+L82+P82+T82+X82+AB82</f>
        <v>0</v>
      </c>
    </row>
    <row r="83" spans="2:31" x14ac:dyDescent="0.2">
      <c r="B83" s="14" t="s">
        <v>60</v>
      </c>
      <c r="C83" s="1"/>
      <c r="D83" s="6"/>
      <c r="E83" s="729"/>
      <c r="F83" s="341"/>
      <c r="G83" s="125"/>
      <c r="H83" s="92" t="s">
        <v>388</v>
      </c>
      <c r="I83" s="742"/>
      <c r="J83" s="79"/>
      <c r="K83" s="1"/>
      <c r="L83" s="92" t="s">
        <v>388</v>
      </c>
      <c r="M83" s="800"/>
      <c r="N83" s="79"/>
      <c r="O83" s="1"/>
      <c r="P83" s="92" t="s">
        <v>388</v>
      </c>
      <c r="Q83" s="752"/>
      <c r="R83" s="341"/>
      <c r="S83" s="1"/>
      <c r="T83" s="92" t="s">
        <v>388</v>
      </c>
      <c r="U83" s="808"/>
      <c r="V83" s="79"/>
      <c r="W83" s="1"/>
      <c r="X83" s="92" t="s">
        <v>388</v>
      </c>
      <c r="Y83" s="817"/>
      <c r="Z83" s="79"/>
      <c r="AA83" s="126"/>
      <c r="AB83" s="92" t="s">
        <v>388</v>
      </c>
      <c r="AC83" s="820"/>
      <c r="AD83" s="93"/>
      <c r="AE83" s="92" t="s">
        <v>388</v>
      </c>
    </row>
    <row r="84" spans="2:31" x14ac:dyDescent="0.2">
      <c r="B84" s="643"/>
      <c r="C84" s="394" t="str">
        <f>'Base (Ph1)'!C84</f>
        <v>Insert COM rate title</v>
      </c>
      <c r="D84" s="6"/>
      <c r="E84" s="729"/>
      <c r="F84" s="80"/>
      <c r="G84" s="5"/>
      <c r="H84" s="331">
        <f>'Base (Ph1)'!$BI84</f>
        <v>0</v>
      </c>
      <c r="I84" s="742"/>
      <c r="J84" s="80"/>
      <c r="K84" s="5"/>
      <c r="L84" s="331">
        <f>'O-I (Ph2)'!$BI84</f>
        <v>0</v>
      </c>
      <c r="M84" s="800"/>
      <c r="N84" s="80"/>
      <c r="O84" s="5"/>
      <c r="P84" s="331">
        <f>'O-II (Ph3)'!$BI84</f>
        <v>0</v>
      </c>
      <c r="Q84" s="752"/>
      <c r="R84" s="80"/>
      <c r="S84" s="5"/>
      <c r="T84" s="331">
        <f>'O-III (Ph4)'!$BI84</f>
        <v>0</v>
      </c>
      <c r="U84" s="808"/>
      <c r="V84" s="80"/>
      <c r="W84" s="5"/>
      <c r="X84" s="331">
        <f>'O-IV (Ph5)'!$BI84</f>
        <v>0</v>
      </c>
      <c r="Y84" s="817"/>
      <c r="Z84" s="80"/>
      <c r="AA84" s="5"/>
      <c r="AB84" s="331">
        <f>'O-V (Ph6)'!$BI84</f>
        <v>0</v>
      </c>
      <c r="AC84" s="820"/>
      <c r="AD84" s="94"/>
      <c r="AE84" s="331">
        <f t="shared" ref="AE84:AE90" si="3">H84+L84+P84+T84+X84+AB84</f>
        <v>0</v>
      </c>
    </row>
    <row r="85" spans="2:31" ht="13.5" thickBot="1" x14ac:dyDescent="0.25">
      <c r="B85" s="643"/>
      <c r="C85" s="394" t="str">
        <f>'Base (Ph1)'!C85</f>
        <v>Insert line(s) &amp; title(s) for any other COM rates</v>
      </c>
      <c r="D85" s="6"/>
      <c r="E85" s="729"/>
      <c r="F85" s="80"/>
      <c r="G85" s="5"/>
      <c r="H85" s="404">
        <f>'Base (Ph1)'!$BI85</f>
        <v>0</v>
      </c>
      <c r="I85" s="742"/>
      <c r="J85" s="80"/>
      <c r="K85" s="5"/>
      <c r="L85" s="404">
        <f>'O-I (Ph2)'!$BI85</f>
        <v>0</v>
      </c>
      <c r="M85" s="800"/>
      <c r="N85" s="80"/>
      <c r="O85" s="5"/>
      <c r="P85" s="404">
        <f>'O-II (Ph3)'!$BI85</f>
        <v>0</v>
      </c>
      <c r="Q85" s="752"/>
      <c r="R85" s="80"/>
      <c r="S85" s="5"/>
      <c r="T85" s="404">
        <f>'O-III (Ph4)'!$BI85</f>
        <v>0</v>
      </c>
      <c r="U85" s="808"/>
      <c r="V85" s="80"/>
      <c r="W85" s="5"/>
      <c r="X85" s="404">
        <f>'O-IV (Ph5)'!$BI85</f>
        <v>0</v>
      </c>
      <c r="Y85" s="817"/>
      <c r="Z85" s="80"/>
      <c r="AA85" s="5"/>
      <c r="AB85" s="404">
        <f>'O-V (Ph6)'!$BI85</f>
        <v>0</v>
      </c>
      <c r="AC85" s="820"/>
      <c r="AD85" s="94"/>
      <c r="AE85" s="404">
        <f t="shared" si="3"/>
        <v>0</v>
      </c>
    </row>
    <row r="86" spans="2:31" ht="13.5" thickBot="1" x14ac:dyDescent="0.25">
      <c r="B86" s="8"/>
      <c r="C86" s="3" t="s">
        <v>20</v>
      </c>
      <c r="D86" s="7"/>
      <c r="E86" s="729"/>
      <c r="F86" s="81"/>
      <c r="G86" s="7"/>
      <c r="H86" s="918">
        <f>SUM(H84:H85)</f>
        <v>0</v>
      </c>
      <c r="I86" s="742"/>
      <c r="J86" s="81"/>
      <c r="K86" s="3"/>
      <c r="L86" s="918">
        <f>SUM(L84:L85)</f>
        <v>0</v>
      </c>
      <c r="M86" s="800"/>
      <c r="N86" s="81"/>
      <c r="O86" s="3"/>
      <c r="P86" s="918">
        <f>SUM(P84:P85)</f>
        <v>0</v>
      </c>
      <c r="Q86" s="752"/>
      <c r="R86" s="81"/>
      <c r="S86" s="3"/>
      <c r="T86" s="918">
        <f>SUM(T84:T85)</f>
        <v>0</v>
      </c>
      <c r="U86" s="808"/>
      <c r="V86" s="81"/>
      <c r="W86" s="3"/>
      <c r="X86" s="918">
        <f>SUM(X84:X85)</f>
        <v>0</v>
      </c>
      <c r="Y86" s="817"/>
      <c r="Z86" s="81"/>
      <c r="AA86" s="3"/>
      <c r="AB86" s="918">
        <f>SUM(AB84:AB85)</f>
        <v>0</v>
      </c>
      <c r="AC86" s="820"/>
      <c r="AD86" s="95"/>
      <c r="AE86" s="918">
        <f t="shared" si="3"/>
        <v>0</v>
      </c>
    </row>
    <row r="87" spans="2:31" x14ac:dyDescent="0.2">
      <c r="B87" s="662" t="s">
        <v>19</v>
      </c>
      <c r="C87" s="663"/>
      <c r="D87" s="664"/>
      <c r="E87" s="729"/>
      <c r="F87" s="665"/>
      <c r="G87" s="663"/>
      <c r="H87" s="756">
        <f>'Base (Ph1)'!$BI87</f>
        <v>0</v>
      </c>
      <c r="I87" s="742"/>
      <c r="J87" s="665"/>
      <c r="K87" s="663"/>
      <c r="L87" s="756">
        <f>'O-I (Ph2)'!$BI87</f>
        <v>0</v>
      </c>
      <c r="M87" s="800"/>
      <c r="N87" s="665"/>
      <c r="O87" s="663"/>
      <c r="P87" s="756">
        <f>'O-II (Ph3)'!$BI87</f>
        <v>0</v>
      </c>
      <c r="Q87" s="752"/>
      <c r="R87" s="665"/>
      <c r="S87" s="663"/>
      <c r="T87" s="756">
        <f>'O-III (Ph4)'!$BI87</f>
        <v>0</v>
      </c>
      <c r="U87" s="808"/>
      <c r="V87" s="665"/>
      <c r="W87" s="663"/>
      <c r="X87" s="756">
        <f>'O-IV (Ph5)'!$BI87</f>
        <v>0</v>
      </c>
      <c r="Y87" s="817"/>
      <c r="Z87" s="665"/>
      <c r="AA87" s="663"/>
      <c r="AB87" s="756">
        <f>'O-V (Ph6)'!$BI87</f>
        <v>0</v>
      </c>
      <c r="AC87" s="820"/>
      <c r="AD87" s="666"/>
      <c r="AE87" s="756">
        <f t="shared" si="3"/>
        <v>0</v>
      </c>
    </row>
    <row r="88" spans="2:31" x14ac:dyDescent="0.2">
      <c r="B88" s="644" t="s">
        <v>499</v>
      </c>
      <c r="C88" s="645"/>
      <c r="D88" s="646"/>
      <c r="E88" s="729"/>
      <c r="F88" s="667"/>
      <c r="G88" s="645"/>
      <c r="H88" s="331">
        <f>'Base (Ph1)'!$BI88</f>
        <v>0</v>
      </c>
      <c r="I88" s="742"/>
      <c r="J88" s="667"/>
      <c r="K88" s="645"/>
      <c r="L88" s="331">
        <f>'O-I (Ph2)'!$BI88</f>
        <v>0</v>
      </c>
      <c r="M88" s="800"/>
      <c r="N88" s="667"/>
      <c r="O88" s="645"/>
      <c r="P88" s="756">
        <f>'O-II (Ph3)'!$BI88</f>
        <v>0</v>
      </c>
      <c r="Q88" s="752"/>
      <c r="R88" s="667"/>
      <c r="S88" s="645"/>
      <c r="T88" s="756">
        <f>'O-III (Ph4)'!$BI88</f>
        <v>0</v>
      </c>
      <c r="U88" s="808"/>
      <c r="V88" s="667"/>
      <c r="W88" s="645"/>
      <c r="X88" s="756">
        <f>'O-IV (Ph5)'!$BI88</f>
        <v>0</v>
      </c>
      <c r="Y88" s="817"/>
      <c r="Z88" s="667"/>
      <c r="AB88" s="756">
        <f>'O-V (Ph6)'!$BI88</f>
        <v>0</v>
      </c>
      <c r="AC88" s="928"/>
      <c r="AD88" s="920" t="s">
        <v>544</v>
      </c>
      <c r="AE88" s="331">
        <f>AE87-AE70</f>
        <v>0</v>
      </c>
    </row>
    <row r="89" spans="2:31" ht="13.5" thickBot="1" x14ac:dyDescent="0.25">
      <c r="B89" s="21" t="s">
        <v>258</v>
      </c>
      <c r="C89" s="16"/>
      <c r="E89" s="729"/>
      <c r="F89" s="922" t="s">
        <v>541</v>
      </c>
      <c r="G89" s="923" t="e">
        <f>'Base (Ph1)'!$BH89</f>
        <v>#DIV/0!</v>
      </c>
      <c r="H89" s="404">
        <f>'Base (Ph1)'!$BI89</f>
        <v>0</v>
      </c>
      <c r="I89" s="742"/>
      <c r="J89" s="922" t="s">
        <v>541</v>
      </c>
      <c r="K89" s="923" t="e">
        <f>'O-I (Ph2)'!$BH89</f>
        <v>#DIV/0!</v>
      </c>
      <c r="L89" s="404">
        <f>'O-I (Ph2)'!$BI89</f>
        <v>0</v>
      </c>
      <c r="M89" s="800"/>
      <c r="N89" s="922" t="s">
        <v>541</v>
      </c>
      <c r="O89" s="923" t="e">
        <f>'O-II (Ph3)'!$BH89</f>
        <v>#DIV/0!</v>
      </c>
      <c r="P89" s="756">
        <f>'O-II (Ph3)'!$BI89</f>
        <v>0</v>
      </c>
      <c r="Q89" s="752"/>
      <c r="R89" s="922" t="s">
        <v>541</v>
      </c>
      <c r="S89" s="923" t="e">
        <f>'O-III (Ph4)'!$BH89</f>
        <v>#DIV/0!</v>
      </c>
      <c r="T89" s="756">
        <f>'O-III (Ph4)'!$BI89</f>
        <v>0</v>
      </c>
      <c r="U89" s="808"/>
      <c r="V89" s="922" t="s">
        <v>541</v>
      </c>
      <c r="W89" s="923" t="e">
        <f>'O-IV (Ph5)'!$BH89</f>
        <v>#DIV/0!</v>
      </c>
      <c r="X89" s="756">
        <f>'O-IV (Ph5)'!$BI89</f>
        <v>0</v>
      </c>
      <c r="Y89" s="817"/>
      <c r="Z89" s="922" t="s">
        <v>541</v>
      </c>
      <c r="AA89" s="923" t="e">
        <f>'O-V (Ph6)'!$BH89</f>
        <v>#DIV/0!</v>
      </c>
      <c r="AB89" s="756">
        <f>'O-V (Ph6)'!$BI89</f>
        <v>0</v>
      </c>
      <c r="AC89" s="927"/>
      <c r="AD89" s="1669" t="e">
        <f>AE89/AE88</f>
        <v>#DIV/0!</v>
      </c>
      <c r="AE89" s="756">
        <f t="shared" si="3"/>
        <v>0</v>
      </c>
    </row>
    <row r="90" spans="2:31" ht="13.5" thickBot="1" x14ac:dyDescent="0.25">
      <c r="B90" s="22" t="s">
        <v>28</v>
      </c>
      <c r="C90" s="119"/>
      <c r="D90" s="120"/>
      <c r="E90" s="729"/>
      <c r="F90" s="684"/>
      <c r="G90" s="725"/>
      <c r="H90" s="919">
        <f>'Base (Ph1)'!$BI90</f>
        <v>0</v>
      </c>
      <c r="I90" s="742"/>
      <c r="J90" s="684"/>
      <c r="K90" s="725"/>
      <c r="L90" s="919">
        <f>'O-I (Ph2)'!$BI90</f>
        <v>0</v>
      </c>
      <c r="M90" s="800"/>
      <c r="N90" s="684"/>
      <c r="O90" s="725"/>
      <c r="P90" s="918">
        <f>'O-II (Ph3)'!$BI90</f>
        <v>0</v>
      </c>
      <c r="Q90" s="752"/>
      <c r="R90" s="684"/>
      <c r="S90" s="725"/>
      <c r="T90" s="918">
        <f>'O-III (Ph4)'!$BI90</f>
        <v>0</v>
      </c>
      <c r="U90" s="808"/>
      <c r="V90" s="684"/>
      <c r="W90" s="725"/>
      <c r="X90" s="918">
        <f>'O-IV (Ph5)'!$BI90</f>
        <v>0</v>
      </c>
      <c r="Y90" s="817"/>
      <c r="Z90" s="684"/>
      <c r="AA90" s="725"/>
      <c r="AB90" s="918">
        <f>'O-V (Ph6)'!$BI90</f>
        <v>0</v>
      </c>
      <c r="AC90" s="821"/>
      <c r="AD90" s="649"/>
      <c r="AE90" s="918">
        <f t="shared" si="3"/>
        <v>0</v>
      </c>
    </row>
    <row r="91" spans="2:31" ht="13.5" thickBot="1" x14ac:dyDescent="0.25">
      <c r="E91" s="727"/>
      <c r="F91" s="726"/>
      <c r="G91" s="726"/>
      <c r="H91" s="917"/>
      <c r="I91" s="744"/>
      <c r="J91" s="743"/>
      <c r="K91" s="743"/>
      <c r="L91" s="743"/>
      <c r="M91" s="826"/>
      <c r="N91" s="801"/>
      <c r="O91" s="801"/>
      <c r="P91" s="802"/>
      <c r="Q91" s="825"/>
      <c r="R91" s="803"/>
      <c r="S91" s="803"/>
      <c r="T91" s="804"/>
      <c r="U91" s="824"/>
      <c r="V91" s="809"/>
      <c r="W91" s="809"/>
      <c r="X91" s="810"/>
      <c r="Y91" s="823"/>
      <c r="Z91" s="813"/>
      <c r="AA91" s="813"/>
      <c r="AB91" s="814"/>
      <c r="AC91" s="822"/>
      <c r="AD91" s="811"/>
      <c r="AE91" s="812"/>
    </row>
    <row r="92" spans="2:31" ht="15" x14ac:dyDescent="0.2">
      <c r="C92" s="425"/>
    </row>
    <row r="93" spans="2:31" x14ac:dyDescent="0.2">
      <c r="B93" s="921" t="s">
        <v>42</v>
      </c>
      <c r="C93" s="35" t="s">
        <v>543</v>
      </c>
    </row>
    <row r="94" spans="2:31" x14ac:dyDescent="0.2">
      <c r="B94" s="921" t="s">
        <v>13</v>
      </c>
      <c r="C94" s="426" t="s">
        <v>542</v>
      </c>
    </row>
    <row r="95" spans="2:31" x14ac:dyDescent="0.2">
      <c r="B95" s="921" t="s">
        <v>44</v>
      </c>
      <c r="C95" s="35" t="s">
        <v>781</v>
      </c>
    </row>
    <row r="96" spans="2:31" ht="15" x14ac:dyDescent="0.2">
      <c r="C96" s="425"/>
    </row>
    <row r="97" spans="3:5" ht="15" x14ac:dyDescent="0.2">
      <c r="C97" s="425"/>
    </row>
    <row r="98" spans="3:5" ht="15" x14ac:dyDescent="0.2">
      <c r="C98" s="425"/>
    </row>
    <row r="99" spans="3:5" ht="15" x14ac:dyDescent="0.2">
      <c r="C99" s="425"/>
    </row>
    <row r="100" spans="3:5" ht="15" x14ac:dyDescent="0.2">
      <c r="C100" s="425"/>
    </row>
    <row r="101" spans="3:5" ht="15" x14ac:dyDescent="0.2">
      <c r="C101" s="425"/>
    </row>
    <row r="102" spans="3:5" ht="15" x14ac:dyDescent="0.2">
      <c r="C102" s="425"/>
    </row>
    <row r="103" spans="3:5" x14ac:dyDescent="0.2">
      <c r="C103" s="426"/>
    </row>
    <row r="104" spans="3:5" ht="15" x14ac:dyDescent="0.2">
      <c r="C104" s="425"/>
      <c r="D104" s="425"/>
      <c r="E104" s="425"/>
    </row>
  </sheetData>
  <mergeCells count="2">
    <mergeCell ref="C2:D2"/>
    <mergeCell ref="C3:D3"/>
  </mergeCells>
  <phoneticPr fontId="18" type="noConversion"/>
  <pageMargins left="0.25" right="0.25" top="0.75" bottom="0.75" header="0.3" footer="0.3"/>
  <pageSetup scale="39" fitToHeight="3" orientation="landscape"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D8C5FF"/>
    <pageSetUpPr fitToPage="1"/>
  </sheetPr>
  <dimension ref="A1:CF139"/>
  <sheetViews>
    <sheetView zoomScale="85" zoomScaleNormal="85" zoomScalePageLayoutView="65" workbookViewId="0">
      <pane xSplit="4" ySplit="7" topLeftCell="E8" activePane="bottomRight" state="frozen"/>
      <selection activeCell="S2" sqref="S2"/>
      <selection pane="topRight" activeCell="S2" sqref="S2"/>
      <selection pane="bottomLeft" activeCell="S2" sqref="S2"/>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192</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F2" s="669"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828"/>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199"/>
      <c r="F4" s="1202"/>
      <c r="G4" s="1203"/>
      <c r="H4" s="1203"/>
      <c r="I4" s="1472" t="s">
        <v>85</v>
      </c>
      <c r="J4" s="1473"/>
      <c r="K4" s="1203"/>
      <c r="L4" s="1203"/>
      <c r="M4" s="1204"/>
      <c r="N4" s="1205"/>
      <c r="O4" s="1202"/>
      <c r="P4" s="1206"/>
      <c r="Q4" s="1203"/>
      <c r="R4" s="1472" t="s">
        <v>85</v>
      </c>
      <c r="S4" s="1473"/>
      <c r="T4" s="1203"/>
      <c r="U4" s="1203"/>
      <c r="V4" s="1204"/>
      <c r="W4" s="1205"/>
      <c r="X4" s="1202"/>
      <c r="Y4" s="1203"/>
      <c r="Z4" s="1203"/>
      <c r="AA4" s="1203" t="s">
        <v>85</v>
      </c>
      <c r="AB4" s="1203"/>
      <c r="AC4" s="1203"/>
      <c r="AD4" s="1203"/>
      <c r="AE4" s="1204"/>
      <c r="AF4" s="1205"/>
      <c r="AG4" s="1202"/>
      <c r="AH4" s="1206"/>
      <c r="AI4" s="1206"/>
      <c r="AJ4" s="1472" t="s">
        <v>85</v>
      </c>
      <c r="AK4" s="1473"/>
      <c r="AL4" s="1206"/>
      <c r="AM4" s="1203"/>
      <c r="AN4" s="1204"/>
      <c r="AO4" s="1205"/>
      <c r="AP4" s="1202"/>
      <c r="AQ4" s="1206"/>
      <c r="AR4" s="1206"/>
      <c r="AS4" s="1472" t="s">
        <v>85</v>
      </c>
      <c r="AT4" s="1473"/>
      <c r="AU4" s="1206"/>
      <c r="AV4" s="1203"/>
      <c r="AW4" s="1204"/>
      <c r="AX4" s="1205"/>
      <c r="AY4" s="1202"/>
      <c r="AZ4" s="1206"/>
      <c r="BA4" s="1206"/>
      <c r="BB4" s="1206"/>
      <c r="BC4" s="1203" t="s">
        <v>85</v>
      </c>
      <c r="BD4" s="1206"/>
      <c r="BE4" s="1203"/>
      <c r="BF4" s="1204"/>
      <c r="BG4" s="1207"/>
      <c r="BH4" s="1202"/>
      <c r="BI4" s="1203"/>
      <c r="BJ4" s="1204"/>
    </row>
    <row r="5" spans="2:84" x14ac:dyDescent="0.2">
      <c r="C5" s="636" t="s">
        <v>495</v>
      </c>
      <c r="D5" s="6"/>
      <c r="E5" s="348"/>
      <c r="F5" s="1664"/>
      <c r="G5" s="1406"/>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6"/>
      <c r="BI5" s="671" t="s">
        <v>15</v>
      </c>
      <c r="BJ5" s="673"/>
    </row>
    <row r="6" spans="2:84" x14ac:dyDescent="0.2">
      <c r="C6" s="14" t="s">
        <v>83</v>
      </c>
      <c r="D6" s="6"/>
      <c r="E6" s="351"/>
      <c r="F6" s="1665"/>
      <c r="G6" s="1407"/>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Ph1_PoP_mos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7"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F9+O9+X9+AG9+AP9+AY9</f>
        <v>0</v>
      </c>
      <c r="BI9" s="415">
        <f t="shared" ref="BI9:BI47" si="24">H9+Q9+Z9+AI9+AR9+BA9</f>
        <v>0</v>
      </c>
      <c r="BJ9" s="416">
        <f t="shared" ref="BJ9:BJ47" si="25">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ref="BH10:BH47" si="26">F10+O10+X10+AG10+AP10+AY10</f>
        <v>0</v>
      </c>
      <c r="BI10" s="415">
        <f t="shared" si="24"/>
        <v>0</v>
      </c>
      <c r="BJ10" s="416">
        <f t="shared" si="25"/>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6"/>
        <v>0</v>
      </c>
      <c r="BI11" s="415">
        <f t="shared" si="24"/>
        <v>0</v>
      </c>
      <c r="BJ11" s="416">
        <f t="shared" si="25"/>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6"/>
        <v>0</v>
      </c>
      <c r="BI12" s="415">
        <f t="shared" si="24"/>
        <v>0</v>
      </c>
      <c r="BJ12" s="416">
        <f t="shared" si="25"/>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6"/>
        <v>0</v>
      </c>
      <c r="BI13" s="415">
        <f t="shared" si="24"/>
        <v>0</v>
      </c>
      <c r="BJ13" s="416">
        <f t="shared" si="25"/>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6"/>
        <v>0</v>
      </c>
      <c r="BI14" s="415">
        <f t="shared" si="24"/>
        <v>0</v>
      </c>
      <c r="BJ14" s="416">
        <f t="shared" si="25"/>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6"/>
        <v>0</v>
      </c>
      <c r="BI15" s="415">
        <f t="shared" si="24"/>
        <v>0</v>
      </c>
      <c r="BJ15" s="416">
        <f t="shared" si="25"/>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6"/>
        <v>0</v>
      </c>
      <c r="BI16" s="415">
        <f t="shared" si="24"/>
        <v>0</v>
      </c>
      <c r="BJ16" s="416">
        <f t="shared" si="25"/>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6"/>
        <v>0</v>
      </c>
      <c r="BI17" s="415">
        <f t="shared" si="24"/>
        <v>0</v>
      </c>
      <c r="BJ17" s="416">
        <f t="shared" si="25"/>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6"/>
        <v>0</v>
      </c>
      <c r="BI18" s="415">
        <f t="shared" si="24"/>
        <v>0</v>
      </c>
      <c r="BJ18" s="416">
        <f t="shared" si="25"/>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6"/>
        <v>0</v>
      </c>
      <c r="BI19" s="415">
        <f t="shared" si="24"/>
        <v>0</v>
      </c>
      <c r="BJ19" s="416">
        <f t="shared" si="25"/>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6"/>
        <v>0</v>
      </c>
      <c r="BI20" s="415">
        <f t="shared" si="24"/>
        <v>0</v>
      </c>
      <c r="BJ20" s="416">
        <f t="shared" si="25"/>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6"/>
        <v>0</v>
      </c>
      <c r="BI21" s="415">
        <f t="shared" si="24"/>
        <v>0</v>
      </c>
      <c r="BJ21" s="416">
        <f t="shared" si="25"/>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6"/>
        <v>0</v>
      </c>
      <c r="BI22" s="415">
        <f t="shared" si="24"/>
        <v>0</v>
      </c>
      <c r="BJ22" s="416">
        <f t="shared" si="25"/>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6"/>
        <v>0</v>
      </c>
      <c r="BI23" s="415">
        <f t="shared" si="24"/>
        <v>0</v>
      </c>
      <c r="BJ23" s="416">
        <f t="shared" si="25"/>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6"/>
        <v>0</v>
      </c>
      <c r="BI24" s="415">
        <f t="shared" si="24"/>
        <v>0</v>
      </c>
      <c r="BJ24" s="416">
        <f t="shared" si="25"/>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6"/>
        <v>0</v>
      </c>
      <c r="BI25" s="415">
        <f t="shared" si="24"/>
        <v>0</v>
      </c>
      <c r="BJ25" s="416">
        <f t="shared" si="25"/>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6"/>
        <v>0</v>
      </c>
      <c r="BI26" s="415">
        <f t="shared" si="24"/>
        <v>0</v>
      </c>
      <c r="BJ26" s="416">
        <f t="shared" si="25"/>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6"/>
        <v>0</v>
      </c>
      <c r="BI27" s="415">
        <f t="shared" si="24"/>
        <v>0</v>
      </c>
      <c r="BJ27" s="416">
        <f t="shared" si="25"/>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6"/>
        <v>0</v>
      </c>
      <c r="BI28" s="415">
        <f t="shared" si="24"/>
        <v>0</v>
      </c>
      <c r="BJ28" s="416">
        <f t="shared" si="25"/>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6"/>
        <v>0</v>
      </c>
      <c r="BI29" s="415">
        <f t="shared" si="24"/>
        <v>0</v>
      </c>
      <c r="BJ29" s="416">
        <f t="shared" si="25"/>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6"/>
        <v>0</v>
      </c>
      <c r="BI30" s="415">
        <f t="shared" si="24"/>
        <v>0</v>
      </c>
      <c r="BJ30" s="416">
        <f t="shared" si="25"/>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6"/>
        <v>0</v>
      </c>
      <c r="BI31" s="415">
        <f t="shared" si="24"/>
        <v>0</v>
      </c>
      <c r="BJ31" s="416">
        <f t="shared" si="25"/>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6"/>
        <v>0</v>
      </c>
      <c r="BI32" s="415">
        <f t="shared" si="24"/>
        <v>0</v>
      </c>
      <c r="BJ32" s="416">
        <f t="shared" si="25"/>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6"/>
        <v>0</v>
      </c>
      <c r="BI33" s="415">
        <f t="shared" si="24"/>
        <v>0</v>
      </c>
      <c r="BJ33" s="416">
        <f t="shared" si="25"/>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6"/>
        <v>0</v>
      </c>
      <c r="BI34" s="415">
        <f t="shared" si="24"/>
        <v>0</v>
      </c>
      <c r="BJ34" s="416">
        <f t="shared" si="25"/>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6"/>
        <v>0</v>
      </c>
      <c r="BI35" s="415">
        <f t="shared" si="24"/>
        <v>0</v>
      </c>
      <c r="BJ35" s="416">
        <f t="shared" si="25"/>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6"/>
        <v>0</v>
      </c>
      <c r="BI36" s="415">
        <f t="shared" si="24"/>
        <v>0</v>
      </c>
      <c r="BJ36" s="416">
        <f t="shared" si="25"/>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6"/>
        <v>0</v>
      </c>
      <c r="BI37" s="415">
        <f t="shared" si="24"/>
        <v>0</v>
      </c>
      <c r="BJ37" s="416">
        <f t="shared" si="25"/>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6"/>
        <v>0</v>
      </c>
      <c r="BI38" s="415">
        <f t="shared" si="24"/>
        <v>0</v>
      </c>
      <c r="BJ38" s="416">
        <f t="shared" si="25"/>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6"/>
        <v>0</v>
      </c>
      <c r="BI39" s="415">
        <f t="shared" si="24"/>
        <v>0</v>
      </c>
      <c r="BJ39" s="416">
        <f t="shared" si="25"/>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6"/>
        <v>0</v>
      </c>
      <c r="BI40" s="415">
        <f t="shared" si="24"/>
        <v>0</v>
      </c>
      <c r="BJ40" s="416">
        <f t="shared" si="25"/>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6"/>
        <v>0</v>
      </c>
      <c r="BI41" s="415">
        <f t="shared" si="24"/>
        <v>0</v>
      </c>
      <c r="BJ41" s="416">
        <f t="shared" si="25"/>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6"/>
        <v>0</v>
      </c>
      <c r="BI42" s="415">
        <f t="shared" si="24"/>
        <v>0</v>
      </c>
      <c r="BJ42" s="416">
        <f t="shared" si="25"/>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6"/>
        <v>0</v>
      </c>
      <c r="BI43" s="415">
        <f t="shared" si="24"/>
        <v>0</v>
      </c>
      <c r="BJ43" s="416">
        <f t="shared" si="25"/>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6"/>
        <v>0</v>
      </c>
      <c r="BI44" s="415">
        <f t="shared" si="24"/>
        <v>0</v>
      </c>
      <c r="BJ44" s="416">
        <f t="shared" si="25"/>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6"/>
        <v>0</v>
      </c>
      <c r="BI45" s="415">
        <f t="shared" si="24"/>
        <v>0</v>
      </c>
      <c r="BJ45" s="416">
        <f t="shared" si="25"/>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6"/>
        <v>0</v>
      </c>
      <c r="BI46" s="415">
        <f t="shared" si="24"/>
        <v>0</v>
      </c>
      <c r="BJ46" s="416">
        <f t="shared" si="25"/>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6"/>
        <v>0</v>
      </c>
      <c r="BI47" s="415">
        <f t="shared" si="24"/>
        <v>0</v>
      </c>
      <c r="BJ47" s="416">
        <f t="shared" si="25"/>
        <v>0</v>
      </c>
    </row>
    <row r="48" spans="2:62" x14ac:dyDescent="0.2">
      <c r="B48" s="8"/>
      <c r="C48" s="2" t="s">
        <v>240</v>
      </c>
      <c r="D48" s="7"/>
      <c r="E48" s="350"/>
      <c r="F48" s="412">
        <f>SUM(F8:F47)</f>
        <v>0</v>
      </c>
      <c r="G48" s="71"/>
      <c r="H48" s="74">
        <f>SUM(H8:H47)</f>
        <v>0</v>
      </c>
      <c r="I48" s="7"/>
      <c r="J48" s="73"/>
      <c r="K48" s="7"/>
      <c r="L48" s="7"/>
      <c r="M48" s="85"/>
      <c r="N48" s="354"/>
      <c r="O48" s="412">
        <f>SUM(O8:O47)</f>
        <v>0</v>
      </c>
      <c r="P48" s="3"/>
      <c r="Q48" s="74">
        <f>SUM(Q8:Q47)</f>
        <v>0</v>
      </c>
      <c r="R48" s="7"/>
      <c r="S48" s="7"/>
      <c r="T48" s="7"/>
      <c r="U48" s="7"/>
      <c r="V48" s="85"/>
      <c r="W48" s="359"/>
      <c r="X48" s="78">
        <f>SUM(X8:X47)</f>
        <v>0</v>
      </c>
      <c r="Y48" s="3"/>
      <c r="Z48" s="73">
        <f>SUM(Z8:Z47)</f>
        <v>0</v>
      </c>
      <c r="AA48" s="7"/>
      <c r="AB48" s="7"/>
      <c r="AC48" s="7"/>
      <c r="AD48" s="7"/>
      <c r="AE48" s="85"/>
      <c r="AF48" s="365"/>
      <c r="AG48" s="78">
        <f>SUM(AG8:AG47)</f>
        <v>0</v>
      </c>
      <c r="AH48" s="3"/>
      <c r="AI48" s="73">
        <f>SUM(AI8:AI47)</f>
        <v>0</v>
      </c>
      <c r="AJ48" s="7"/>
      <c r="AK48" s="7"/>
      <c r="AL48" s="7"/>
      <c r="AM48" s="7"/>
      <c r="AN48" s="85"/>
      <c r="AO48" s="318"/>
      <c r="AP48" s="78">
        <f>SUM(AP8:AP47)</f>
        <v>0</v>
      </c>
      <c r="AQ48" s="3"/>
      <c r="AR48" s="73">
        <f>SUM(AR8:AR47)</f>
        <v>0</v>
      </c>
      <c r="AS48" s="7"/>
      <c r="AT48" s="7"/>
      <c r="AU48" s="7"/>
      <c r="AV48" s="7"/>
      <c r="AW48" s="85"/>
      <c r="AX48" s="372"/>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4" t="s">
        <v>235</v>
      </c>
      <c r="D49" s="6"/>
      <c r="E49" s="350"/>
      <c r="F49" s="80"/>
      <c r="G49" s="5"/>
      <c r="H49" s="64"/>
      <c r="I49" s="64"/>
      <c r="J49" s="74">
        <f>SUM(J8:J47)</f>
        <v>0</v>
      </c>
      <c r="K49" s="64"/>
      <c r="L49" s="64"/>
      <c r="M49" s="232">
        <f>J49</f>
        <v>0</v>
      </c>
      <c r="N49" s="354"/>
      <c r="O49" s="80"/>
      <c r="P49" s="5"/>
      <c r="Q49" s="64"/>
      <c r="R49" s="64"/>
      <c r="S49" s="74">
        <f>SUM(S8:S47)</f>
        <v>0</v>
      </c>
      <c r="T49" s="64"/>
      <c r="U49" s="64"/>
      <c r="V49" s="232">
        <f>S49</f>
        <v>0</v>
      </c>
      <c r="W49" s="359"/>
      <c r="X49" s="80"/>
      <c r="Y49" s="5"/>
      <c r="Z49" s="64"/>
      <c r="AA49" s="64"/>
      <c r="AB49" s="74">
        <f>SUM(AB8:AB47)</f>
        <v>0</v>
      </c>
      <c r="AC49" s="64"/>
      <c r="AD49" s="64"/>
      <c r="AE49" s="232">
        <f>AB49</f>
        <v>0</v>
      </c>
      <c r="AF49" s="365"/>
      <c r="AG49" s="80"/>
      <c r="AH49" s="5"/>
      <c r="AI49" s="64"/>
      <c r="AJ49" s="64"/>
      <c r="AK49" s="74">
        <f>SUM(AK8:AK47)</f>
        <v>0</v>
      </c>
      <c r="AL49" s="64"/>
      <c r="AM49" s="64"/>
      <c r="AN49" s="232">
        <f>AK49</f>
        <v>0</v>
      </c>
      <c r="AO49" s="318"/>
      <c r="AP49" s="80"/>
      <c r="AQ49" s="5"/>
      <c r="AR49" s="64"/>
      <c r="AS49" s="64"/>
      <c r="AT49" s="74">
        <f>SUM(AT8:AT47)</f>
        <v>0</v>
      </c>
      <c r="AU49" s="64"/>
      <c r="AV49" s="64"/>
      <c r="AW49" s="232">
        <f>AT49</f>
        <v>0</v>
      </c>
      <c r="AX49" s="372"/>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
        <v>1</v>
      </c>
      <c r="D50" s="6"/>
      <c r="E50" s="350"/>
      <c r="F50" s="84">
        <f>H48</f>
        <v>0</v>
      </c>
      <c r="G50" s="76">
        <v>0</v>
      </c>
      <c r="H50" s="64"/>
      <c r="I50" s="64"/>
      <c r="J50" s="64"/>
      <c r="K50" s="64"/>
      <c r="L50" s="64"/>
      <c r="M50" s="929">
        <f>F50*G50</f>
        <v>0</v>
      </c>
      <c r="N50" s="354"/>
      <c r="O50" s="84">
        <f>Q48</f>
        <v>0</v>
      </c>
      <c r="P50" s="76"/>
      <c r="Q50" s="64"/>
      <c r="R50" s="64"/>
      <c r="S50" s="64"/>
      <c r="T50" s="64"/>
      <c r="U50" s="64"/>
      <c r="V50" s="929">
        <f>O50*P50</f>
        <v>0</v>
      </c>
      <c r="W50" s="359"/>
      <c r="X50" s="84">
        <f>Z48</f>
        <v>0</v>
      </c>
      <c r="Y50" s="76"/>
      <c r="Z50" s="64"/>
      <c r="AA50" s="64"/>
      <c r="AB50" s="64"/>
      <c r="AC50" s="64"/>
      <c r="AD50" s="64"/>
      <c r="AE50" s="929">
        <f>X50*Y50</f>
        <v>0</v>
      </c>
      <c r="AF50" s="365"/>
      <c r="AG50" s="84">
        <f>AI48</f>
        <v>0</v>
      </c>
      <c r="AH50" s="76"/>
      <c r="AI50" s="64"/>
      <c r="AJ50" s="64"/>
      <c r="AK50" s="64"/>
      <c r="AL50" s="64"/>
      <c r="AM50" s="64"/>
      <c r="AN50" s="929">
        <f>AG50*AH50</f>
        <v>0</v>
      </c>
      <c r="AO50" s="318"/>
      <c r="AP50" s="84">
        <f>AR48</f>
        <v>0</v>
      </c>
      <c r="AQ50" s="76"/>
      <c r="AR50" s="64"/>
      <c r="AS50" s="64"/>
      <c r="AT50" s="64"/>
      <c r="AU50" s="64"/>
      <c r="AV50" s="64"/>
      <c r="AW50" s="929">
        <f>AP50*AQ50</f>
        <v>0</v>
      </c>
      <c r="AX50" s="372"/>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350"/>
      <c r="F51" s="81"/>
      <c r="G51" s="3"/>
      <c r="H51" s="7"/>
      <c r="I51" s="7"/>
      <c r="J51" s="7"/>
      <c r="K51" s="7"/>
      <c r="L51" s="7"/>
      <c r="M51" s="936">
        <f>SUM(M49:M50)</f>
        <v>0</v>
      </c>
      <c r="N51" s="354"/>
      <c r="O51" s="81"/>
      <c r="P51" s="3"/>
      <c r="Q51" s="7"/>
      <c r="R51" s="7"/>
      <c r="S51" s="7"/>
      <c r="T51" s="7"/>
      <c r="U51" s="7"/>
      <c r="V51" s="936">
        <f>SUM(V49:V50)</f>
        <v>0</v>
      </c>
      <c r="W51" s="359"/>
      <c r="X51" s="81"/>
      <c r="Y51" s="3"/>
      <c r="Z51" s="7"/>
      <c r="AA51" s="7"/>
      <c r="AB51" s="7"/>
      <c r="AC51" s="7"/>
      <c r="AD51" s="7"/>
      <c r="AE51" s="936">
        <f>SUM(AE49:AE50)</f>
        <v>0</v>
      </c>
      <c r="AF51" s="365"/>
      <c r="AG51" s="81"/>
      <c r="AH51" s="3"/>
      <c r="AI51" s="7"/>
      <c r="AJ51" s="7"/>
      <c r="AK51" s="7"/>
      <c r="AL51" s="7"/>
      <c r="AM51" s="7"/>
      <c r="AN51" s="936">
        <f>SUM(AN49:AN50)</f>
        <v>0</v>
      </c>
      <c r="AO51" s="318"/>
      <c r="AP51" s="81"/>
      <c r="AQ51" s="3"/>
      <c r="AR51" s="7"/>
      <c r="AS51" s="7"/>
      <c r="AT51" s="7"/>
      <c r="AU51" s="7"/>
      <c r="AV51" s="7"/>
      <c r="AW51" s="936">
        <f>SUM(AW49:AW50)</f>
        <v>0</v>
      </c>
      <c r="AX51" s="372"/>
      <c r="AY51" s="11"/>
      <c r="AZ51" s="3"/>
      <c r="BA51" s="7"/>
      <c r="BB51" s="7"/>
      <c r="BC51" s="7"/>
      <c r="BD51" s="7"/>
      <c r="BE51" s="7"/>
      <c r="BF51" s="936">
        <f>SUM(BF49:BF50)</f>
        <v>0</v>
      </c>
      <c r="BG51" s="683"/>
      <c r="BH51" s="20"/>
      <c r="BI51" s="403">
        <f>SUM(F51:BF51)</f>
        <v>0</v>
      </c>
    </row>
    <row r="52" spans="2:61" ht="13.5" thickBot="1" x14ac:dyDescent="0.25">
      <c r="B52" s="14"/>
      <c r="C52" s="4" t="s">
        <v>237</v>
      </c>
      <c r="D52" s="6"/>
      <c r="E52" s="350"/>
      <c r="F52" s="80"/>
      <c r="G52" s="5"/>
      <c r="H52" s="64"/>
      <c r="I52" s="64"/>
      <c r="J52" s="64"/>
      <c r="K52" s="64"/>
      <c r="L52" s="74">
        <f>SUM(L8:L47)</f>
        <v>0</v>
      </c>
      <c r="M52" s="232">
        <f>L52</f>
        <v>0</v>
      </c>
      <c r="N52" s="354"/>
      <c r="O52" s="80"/>
      <c r="P52" s="5"/>
      <c r="Q52" s="64"/>
      <c r="R52" s="64"/>
      <c r="S52" s="64"/>
      <c r="T52" s="64"/>
      <c r="U52" s="74">
        <f>SUM(U8:U47)</f>
        <v>0</v>
      </c>
      <c r="V52" s="232">
        <f>U52</f>
        <v>0</v>
      </c>
      <c r="W52" s="359"/>
      <c r="X52" s="80"/>
      <c r="Y52" s="5"/>
      <c r="Z52" s="64"/>
      <c r="AA52" s="64"/>
      <c r="AB52" s="64"/>
      <c r="AC52" s="64"/>
      <c r="AD52" s="74">
        <f>SUM(AD8:AD47)</f>
        <v>0</v>
      </c>
      <c r="AE52" s="232">
        <f>AD52</f>
        <v>0</v>
      </c>
      <c r="AF52" s="365"/>
      <c r="AG52" s="80"/>
      <c r="AH52" s="5"/>
      <c r="AI52" s="64"/>
      <c r="AJ52" s="64"/>
      <c r="AK52" s="64"/>
      <c r="AL52" s="64"/>
      <c r="AM52" s="74">
        <f>SUM(AM8:AM47)</f>
        <v>0</v>
      </c>
      <c r="AN52" s="232">
        <f>AM52</f>
        <v>0</v>
      </c>
      <c r="AO52" s="318"/>
      <c r="AP52" s="80"/>
      <c r="AQ52" s="5"/>
      <c r="AR52" s="64"/>
      <c r="AS52" s="64"/>
      <c r="AT52" s="64"/>
      <c r="AU52" s="64"/>
      <c r="AV52" s="74">
        <f>SUM(AV8:AV47)</f>
        <v>0</v>
      </c>
      <c r="AW52" s="232">
        <f>AV52</f>
        <v>0</v>
      </c>
      <c r="AX52" s="372"/>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
        <v>2</v>
      </c>
      <c r="D53" s="6"/>
      <c r="E53" s="350"/>
      <c r="F53" s="84">
        <f>H48+M51</f>
        <v>0</v>
      </c>
      <c r="G53" s="76">
        <v>0</v>
      </c>
      <c r="H53" s="64"/>
      <c r="I53" s="64"/>
      <c r="J53" s="64"/>
      <c r="K53" s="64"/>
      <c r="L53" s="64"/>
      <c r="M53" s="929">
        <f>F53*G53</f>
        <v>0</v>
      </c>
      <c r="N53" s="354"/>
      <c r="O53" s="84">
        <f>Q48+V51</f>
        <v>0</v>
      </c>
      <c r="P53" s="76"/>
      <c r="Q53" s="64"/>
      <c r="R53" s="64"/>
      <c r="S53" s="64"/>
      <c r="T53" s="64"/>
      <c r="U53" s="64"/>
      <c r="V53" s="929">
        <f>O53*P53</f>
        <v>0</v>
      </c>
      <c r="W53" s="359"/>
      <c r="X53" s="84">
        <f>Z48+AE51</f>
        <v>0</v>
      </c>
      <c r="Y53" s="76"/>
      <c r="Z53" s="64"/>
      <c r="AA53" s="64"/>
      <c r="AB53" s="64"/>
      <c r="AC53" s="64"/>
      <c r="AD53" s="64"/>
      <c r="AE53" s="929">
        <f>X53*Y53</f>
        <v>0</v>
      </c>
      <c r="AF53" s="365"/>
      <c r="AG53" s="84">
        <f>AI48+AN51</f>
        <v>0</v>
      </c>
      <c r="AH53" s="76"/>
      <c r="AI53" s="64"/>
      <c r="AJ53" s="64"/>
      <c r="AK53" s="64"/>
      <c r="AL53" s="64"/>
      <c r="AM53" s="64"/>
      <c r="AN53" s="929">
        <f>AG53*AH53</f>
        <v>0</v>
      </c>
      <c r="AO53" s="318"/>
      <c r="AP53" s="84">
        <f>AR48+AW51</f>
        <v>0</v>
      </c>
      <c r="AQ53" s="76"/>
      <c r="AR53" s="64"/>
      <c r="AS53" s="64"/>
      <c r="AT53" s="64"/>
      <c r="AU53" s="64"/>
      <c r="AV53" s="64"/>
      <c r="AW53" s="929">
        <f>AP53*AQ53</f>
        <v>0</v>
      </c>
      <c r="AX53" s="372"/>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350"/>
      <c r="F54" s="81"/>
      <c r="G54" s="3"/>
      <c r="H54" s="7"/>
      <c r="I54" s="7"/>
      <c r="J54" s="7"/>
      <c r="K54" s="7"/>
      <c r="L54" s="7"/>
      <c r="M54" s="936">
        <f>SUM(M52:M53)</f>
        <v>0</v>
      </c>
      <c r="N54" s="354"/>
      <c r="O54" s="81"/>
      <c r="P54" s="3"/>
      <c r="Q54" s="7"/>
      <c r="R54" s="7"/>
      <c r="S54" s="7"/>
      <c r="T54" s="7"/>
      <c r="U54" s="7"/>
      <c r="V54" s="936">
        <f>SUM(V52:V53)</f>
        <v>0</v>
      </c>
      <c r="W54" s="359"/>
      <c r="X54" s="81"/>
      <c r="Y54" s="3"/>
      <c r="Z54" s="7"/>
      <c r="AA54" s="7"/>
      <c r="AB54" s="7"/>
      <c r="AC54" s="7"/>
      <c r="AD54" s="7"/>
      <c r="AE54" s="936">
        <f>SUM(AE52:AE53)</f>
        <v>0</v>
      </c>
      <c r="AF54" s="365"/>
      <c r="AG54" s="81"/>
      <c r="AH54" s="3"/>
      <c r="AI54" s="7"/>
      <c r="AJ54" s="7"/>
      <c r="AK54" s="7"/>
      <c r="AL54" s="7"/>
      <c r="AM54" s="7"/>
      <c r="AN54" s="936">
        <f>SUM(AN52:AN53)</f>
        <v>0</v>
      </c>
      <c r="AO54" s="318"/>
      <c r="AP54" s="81"/>
      <c r="AQ54" s="3"/>
      <c r="AR54" s="7"/>
      <c r="AS54" s="7"/>
      <c r="AT54" s="7"/>
      <c r="AU54" s="7"/>
      <c r="AV54" s="7"/>
      <c r="AW54" s="936">
        <f>SUM(AW52:AW53)</f>
        <v>0</v>
      </c>
      <c r="AX54" s="372"/>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50"/>
      <c r="F55" s="79"/>
      <c r="G55" s="1"/>
      <c r="H55" s="6"/>
      <c r="I55" s="6"/>
      <c r="J55" s="6"/>
      <c r="K55" s="6"/>
      <c r="L55" s="6"/>
      <c r="M55" s="932"/>
      <c r="N55" s="354"/>
      <c r="O55" s="79"/>
      <c r="P55" s="1"/>
      <c r="Q55" s="6"/>
      <c r="R55" s="6"/>
      <c r="S55" s="6"/>
      <c r="T55" s="6"/>
      <c r="U55" s="6"/>
      <c r="V55" s="932"/>
      <c r="W55" s="359"/>
      <c r="X55" s="79"/>
      <c r="Y55" s="1"/>
      <c r="Z55" s="6"/>
      <c r="AA55" s="6"/>
      <c r="AB55" s="6"/>
      <c r="AC55" s="6"/>
      <c r="AD55" s="6"/>
      <c r="AE55" s="932"/>
      <c r="AF55" s="365"/>
      <c r="AG55" s="79"/>
      <c r="AH55" s="79"/>
      <c r="AI55" s="79"/>
      <c r="AJ55" s="79"/>
      <c r="AK55" s="79"/>
      <c r="AL55" s="79"/>
      <c r="AM55" s="6"/>
      <c r="AN55" s="932"/>
      <c r="AO55" s="318"/>
      <c r="AP55" s="79"/>
      <c r="AQ55" s="79"/>
      <c r="AR55" s="79"/>
      <c r="AS55" s="79"/>
      <c r="AT55" s="79"/>
      <c r="AU55" s="79"/>
      <c r="AV55" s="6"/>
      <c r="AW55" s="932"/>
      <c r="AX55" s="372"/>
      <c r="AY55" s="8"/>
      <c r="AZ55" s="79"/>
      <c r="BA55" s="79"/>
      <c r="BB55" s="79"/>
      <c r="BC55" s="79"/>
      <c r="BD55" s="79"/>
      <c r="BE55" s="6"/>
      <c r="BF55" s="932"/>
      <c r="BG55" s="714"/>
      <c r="BH55" s="93"/>
      <c r="BI55" s="92"/>
    </row>
    <row r="56" spans="2:61" x14ac:dyDescent="0.2">
      <c r="B56" s="41"/>
      <c r="C56" s="381" t="s">
        <v>254</v>
      </c>
      <c r="D56" s="87" t="s">
        <v>78</v>
      </c>
      <c r="E56" s="350"/>
      <c r="F56" s="100"/>
      <c r="G56" s="101"/>
      <c r="H56" s="102"/>
      <c r="I56" s="102"/>
      <c r="J56" s="102"/>
      <c r="K56" s="102"/>
      <c r="L56" s="102"/>
      <c r="M56" s="385">
        <v>0</v>
      </c>
      <c r="N56" s="354"/>
      <c r="O56" s="100"/>
      <c r="P56" s="101"/>
      <c r="Q56" s="102"/>
      <c r="R56" s="102"/>
      <c r="S56" s="102"/>
      <c r="T56" s="102"/>
      <c r="U56" s="102"/>
      <c r="V56" s="385">
        <v>0</v>
      </c>
      <c r="W56" s="359"/>
      <c r="X56" s="100"/>
      <c r="Y56" s="101"/>
      <c r="Z56" s="102"/>
      <c r="AA56" s="102"/>
      <c r="AB56" s="102"/>
      <c r="AC56" s="102"/>
      <c r="AD56" s="102"/>
      <c r="AE56" s="385">
        <v>0</v>
      </c>
      <c r="AF56" s="365"/>
      <c r="AG56" s="100"/>
      <c r="AH56" s="101"/>
      <c r="AI56" s="102"/>
      <c r="AJ56" s="102"/>
      <c r="AK56" s="102"/>
      <c r="AL56" s="102"/>
      <c r="AM56" s="102"/>
      <c r="AN56" s="385">
        <v>0</v>
      </c>
      <c r="AO56" s="318"/>
      <c r="AP56" s="100"/>
      <c r="AQ56" s="101"/>
      <c r="AR56" s="102"/>
      <c r="AS56" s="102"/>
      <c r="AT56" s="102"/>
      <c r="AU56" s="102"/>
      <c r="AV56" s="102"/>
      <c r="AW56" s="385">
        <v>0</v>
      </c>
      <c r="AX56" s="372"/>
      <c r="AY56" s="103"/>
      <c r="AZ56" s="100"/>
      <c r="BA56" s="100"/>
      <c r="BB56" s="100"/>
      <c r="BC56" s="100"/>
      <c r="BD56" s="100"/>
      <c r="BE56" s="102"/>
      <c r="BF56" s="385">
        <v>0</v>
      </c>
      <c r="BG56" s="715"/>
      <c r="BH56" s="94"/>
      <c r="BI56" s="331">
        <f>M56+V56+AE56+AN56+AW56+BF56</f>
        <v>0</v>
      </c>
    </row>
    <row r="57" spans="2:61" x14ac:dyDescent="0.2">
      <c r="B57" s="8"/>
      <c r="C57" s="381" t="s">
        <v>51</v>
      </c>
      <c r="D57" s="87" t="s">
        <v>78</v>
      </c>
      <c r="E57" s="350"/>
      <c r="F57" s="100"/>
      <c r="G57" s="101"/>
      <c r="H57" s="102"/>
      <c r="I57" s="102"/>
      <c r="J57" s="102"/>
      <c r="K57" s="102"/>
      <c r="L57" s="102"/>
      <c r="M57" s="385">
        <v>0</v>
      </c>
      <c r="N57" s="354"/>
      <c r="O57" s="100"/>
      <c r="P57" s="101"/>
      <c r="Q57" s="102"/>
      <c r="R57" s="102"/>
      <c r="S57" s="102"/>
      <c r="T57" s="102"/>
      <c r="U57" s="102"/>
      <c r="V57" s="385">
        <v>0</v>
      </c>
      <c r="W57" s="359"/>
      <c r="X57" s="100"/>
      <c r="Y57" s="101"/>
      <c r="Z57" s="102"/>
      <c r="AA57" s="102"/>
      <c r="AB57" s="102"/>
      <c r="AC57" s="102"/>
      <c r="AD57" s="102"/>
      <c r="AE57" s="385">
        <v>0</v>
      </c>
      <c r="AF57" s="365"/>
      <c r="AG57" s="100"/>
      <c r="AH57" s="101"/>
      <c r="AI57" s="102"/>
      <c r="AJ57" s="102"/>
      <c r="AK57" s="102"/>
      <c r="AL57" s="102"/>
      <c r="AM57" s="102"/>
      <c r="AN57" s="385">
        <v>0</v>
      </c>
      <c r="AO57" s="318"/>
      <c r="AP57" s="100"/>
      <c r="AQ57" s="101"/>
      <c r="AR57" s="102"/>
      <c r="AS57" s="102"/>
      <c r="AT57" s="102"/>
      <c r="AU57" s="102"/>
      <c r="AV57" s="102"/>
      <c r="AW57" s="385">
        <v>0</v>
      </c>
      <c r="AX57" s="372"/>
      <c r="AY57" s="103"/>
      <c r="AZ57" s="100"/>
      <c r="BA57" s="100"/>
      <c r="BB57" s="100"/>
      <c r="BC57" s="100"/>
      <c r="BD57" s="100"/>
      <c r="BE57" s="102"/>
      <c r="BF57" s="385">
        <v>0</v>
      </c>
      <c r="BG57" s="715"/>
      <c r="BH57" s="94"/>
      <c r="BI57" s="331">
        <f>M57+V57+AE57+AN57+AW57+BF57</f>
        <v>0</v>
      </c>
    </row>
    <row r="58" spans="2:61" x14ac:dyDescent="0.2">
      <c r="B58" s="8"/>
      <c r="C58" s="381" t="s">
        <v>52</v>
      </c>
      <c r="D58" s="87" t="s">
        <v>78</v>
      </c>
      <c r="E58" s="350"/>
      <c r="F58" s="100"/>
      <c r="G58" s="101"/>
      <c r="H58" s="102"/>
      <c r="I58" s="102"/>
      <c r="J58" s="102"/>
      <c r="K58" s="102"/>
      <c r="L58" s="102"/>
      <c r="M58" s="385">
        <v>0</v>
      </c>
      <c r="N58" s="354"/>
      <c r="O58" s="100"/>
      <c r="P58" s="101"/>
      <c r="Q58" s="102"/>
      <c r="R58" s="102"/>
      <c r="S58" s="102"/>
      <c r="T58" s="102"/>
      <c r="U58" s="102"/>
      <c r="V58" s="385">
        <v>0</v>
      </c>
      <c r="W58" s="359"/>
      <c r="X58" s="100"/>
      <c r="Y58" s="101"/>
      <c r="Z58" s="102"/>
      <c r="AA58" s="102"/>
      <c r="AB58" s="102"/>
      <c r="AC58" s="102"/>
      <c r="AD58" s="102"/>
      <c r="AE58" s="385">
        <v>0</v>
      </c>
      <c r="AF58" s="365"/>
      <c r="AG58" s="100"/>
      <c r="AH58" s="101"/>
      <c r="AI58" s="102"/>
      <c r="AJ58" s="102"/>
      <c r="AK58" s="102"/>
      <c r="AL58" s="102"/>
      <c r="AM58" s="102"/>
      <c r="AN58" s="385">
        <v>0</v>
      </c>
      <c r="AO58" s="318"/>
      <c r="AP58" s="100"/>
      <c r="AQ58" s="101"/>
      <c r="AR58" s="102"/>
      <c r="AS58" s="102"/>
      <c r="AT58" s="102"/>
      <c r="AU58" s="102"/>
      <c r="AV58" s="102"/>
      <c r="AW58" s="385">
        <v>0</v>
      </c>
      <c r="AX58" s="372"/>
      <c r="AY58" s="103"/>
      <c r="AZ58" s="100"/>
      <c r="BA58" s="100"/>
      <c r="BB58" s="100"/>
      <c r="BC58" s="100"/>
      <c r="BD58" s="100"/>
      <c r="BE58" s="102"/>
      <c r="BF58" s="385">
        <v>0</v>
      </c>
      <c r="BG58" s="715"/>
      <c r="BH58" s="94"/>
      <c r="BI58" s="331">
        <f>M58+V58+AE58+AN58+AW58+BF58</f>
        <v>0</v>
      </c>
    </row>
    <row r="59" spans="2:61" ht="24.75" thickBot="1" x14ac:dyDescent="0.25">
      <c r="B59" s="643" t="s">
        <v>64</v>
      </c>
      <c r="C59" s="382" t="s">
        <v>53</v>
      </c>
      <c r="D59" s="87" t="s">
        <v>78</v>
      </c>
      <c r="E59" s="350"/>
      <c r="F59" s="100"/>
      <c r="G59" s="101"/>
      <c r="H59" s="102"/>
      <c r="I59" s="102"/>
      <c r="J59" s="102"/>
      <c r="K59" s="102"/>
      <c r="L59" s="102"/>
      <c r="M59" s="930">
        <v>0</v>
      </c>
      <c r="N59" s="354"/>
      <c r="O59" s="100"/>
      <c r="P59" s="101"/>
      <c r="Q59" s="102"/>
      <c r="R59" s="102"/>
      <c r="S59" s="102"/>
      <c r="T59" s="102"/>
      <c r="U59" s="102"/>
      <c r="V59" s="930">
        <v>0</v>
      </c>
      <c r="W59" s="359"/>
      <c r="X59" s="100"/>
      <c r="Y59" s="101"/>
      <c r="Z59" s="102"/>
      <c r="AA59" s="102"/>
      <c r="AB59" s="102"/>
      <c r="AC59" s="102"/>
      <c r="AD59" s="102"/>
      <c r="AE59" s="930">
        <v>0</v>
      </c>
      <c r="AF59" s="365"/>
      <c r="AG59" s="100"/>
      <c r="AH59" s="101"/>
      <c r="AI59" s="102"/>
      <c r="AJ59" s="102"/>
      <c r="AK59" s="102"/>
      <c r="AL59" s="102"/>
      <c r="AM59" s="102"/>
      <c r="AN59" s="930">
        <v>0</v>
      </c>
      <c r="AO59" s="318"/>
      <c r="AP59" s="100"/>
      <c r="AQ59" s="101"/>
      <c r="AR59" s="102"/>
      <c r="AS59" s="102"/>
      <c r="AT59" s="102"/>
      <c r="AU59" s="102"/>
      <c r="AV59" s="102"/>
      <c r="AW59" s="930">
        <v>0</v>
      </c>
      <c r="AX59" s="372"/>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50"/>
      <c r="F60" s="81"/>
      <c r="G60" s="3"/>
      <c r="H60" s="7"/>
      <c r="I60" s="7"/>
      <c r="J60" s="7"/>
      <c r="K60" s="7"/>
      <c r="L60" s="7"/>
      <c r="M60" s="936">
        <f>SUM(M55:M59)</f>
        <v>0</v>
      </c>
      <c r="N60" s="354"/>
      <c r="O60" s="81"/>
      <c r="P60" s="3"/>
      <c r="Q60" s="7"/>
      <c r="R60" s="7"/>
      <c r="S60" s="7"/>
      <c r="T60" s="7"/>
      <c r="U60" s="7"/>
      <c r="V60" s="936">
        <f>SUM(V55:V59)</f>
        <v>0</v>
      </c>
      <c r="W60" s="359"/>
      <c r="X60" s="81"/>
      <c r="Y60" s="3"/>
      <c r="Z60" s="7"/>
      <c r="AA60" s="7"/>
      <c r="AB60" s="7"/>
      <c r="AC60" s="7"/>
      <c r="AD60" s="7"/>
      <c r="AE60" s="936">
        <f>SUM(AE55:AE59)</f>
        <v>0</v>
      </c>
      <c r="AF60" s="365"/>
      <c r="AG60" s="81"/>
      <c r="AH60" s="3"/>
      <c r="AI60" s="7"/>
      <c r="AJ60" s="7"/>
      <c r="AK60" s="7"/>
      <c r="AL60" s="7"/>
      <c r="AM60" s="7"/>
      <c r="AN60" s="936">
        <f>SUM(AN55:AN59)</f>
        <v>0</v>
      </c>
      <c r="AO60" s="318"/>
      <c r="AP60" s="81"/>
      <c r="AQ60" s="3"/>
      <c r="AR60" s="7"/>
      <c r="AS60" s="7"/>
      <c r="AT60" s="7"/>
      <c r="AU60" s="7"/>
      <c r="AV60" s="7"/>
      <c r="AW60" s="936">
        <f>SUM(AW55:AW59)</f>
        <v>0</v>
      </c>
      <c r="AX60" s="372"/>
      <c r="AY60" s="3"/>
      <c r="AZ60" s="3"/>
      <c r="BA60" s="81"/>
      <c r="BB60" s="81"/>
      <c r="BC60" s="81"/>
      <c r="BD60" s="81"/>
      <c r="BE60" s="7"/>
      <c r="BF60" s="936">
        <f>SUM(BF55:BF59)</f>
        <v>0</v>
      </c>
      <c r="BG60" s="715"/>
      <c r="BH60" s="95"/>
      <c r="BI60" s="403">
        <f>M60+V60+AE60+AN60+AW60+BF60</f>
        <v>0</v>
      </c>
    </row>
    <row r="61" spans="2:61" x14ac:dyDescent="0.2">
      <c r="B61" s="14" t="s">
        <v>17</v>
      </c>
      <c r="C61" s="1"/>
      <c r="D61" s="88"/>
      <c r="E61" s="350"/>
      <c r="F61" s="125" t="s">
        <v>239</v>
      </c>
      <c r="G61" s="125" t="s">
        <v>11</v>
      </c>
      <c r="H61" s="79" t="s">
        <v>428</v>
      </c>
      <c r="J61" s="79" t="s">
        <v>12</v>
      </c>
      <c r="M61" s="932"/>
      <c r="N61" s="354"/>
      <c r="O61" s="125" t="s">
        <v>239</v>
      </c>
      <c r="P61" s="125" t="s">
        <v>11</v>
      </c>
      <c r="Q61" s="79" t="s">
        <v>428</v>
      </c>
      <c r="S61" s="79" t="s">
        <v>12</v>
      </c>
      <c r="V61" s="932"/>
      <c r="W61" s="359"/>
      <c r="X61" s="125" t="s">
        <v>239</v>
      </c>
      <c r="Y61" s="125" t="s">
        <v>11</v>
      </c>
      <c r="Z61" s="79" t="s">
        <v>428</v>
      </c>
      <c r="AB61" s="79" t="s">
        <v>12</v>
      </c>
      <c r="AE61" s="932"/>
      <c r="AF61" s="365"/>
      <c r="AG61" s="125" t="s">
        <v>239</v>
      </c>
      <c r="AH61" s="125" t="s">
        <v>11</v>
      </c>
      <c r="AI61" s="79" t="s">
        <v>428</v>
      </c>
      <c r="AK61" s="79" t="s">
        <v>12</v>
      </c>
      <c r="AN61" s="932"/>
      <c r="AO61" s="318"/>
      <c r="AP61" s="125" t="s">
        <v>239</v>
      </c>
      <c r="AQ61" s="125" t="s">
        <v>11</v>
      </c>
      <c r="AR61" s="79" t="s">
        <v>428</v>
      </c>
      <c r="AT61" s="79" t="s">
        <v>12</v>
      </c>
      <c r="AW61" s="932"/>
      <c r="AX61" s="372"/>
      <c r="AY61" s="125" t="s">
        <v>239</v>
      </c>
      <c r="AZ61" s="125" t="s">
        <v>11</v>
      </c>
      <c r="BA61" s="79" t="s">
        <v>428</v>
      </c>
      <c r="BC61" s="79" t="s">
        <v>12</v>
      </c>
      <c r="BF61" s="932"/>
      <c r="BG61" s="715"/>
      <c r="BH61" s="132" t="s">
        <v>239</v>
      </c>
      <c r="BI61" s="92"/>
    </row>
    <row r="62" spans="2:61" x14ac:dyDescent="0.2">
      <c r="B62" s="41"/>
      <c r="C62" s="381" t="s">
        <v>23</v>
      </c>
      <c r="D62" s="36" t="s">
        <v>79</v>
      </c>
      <c r="E62" s="350"/>
      <c r="F62" s="386"/>
      <c r="G62" s="387"/>
      <c r="H62" s="387"/>
      <c r="J62" s="387"/>
      <c r="M62" s="91">
        <f>SUM((F62*G62),H62,J62)</f>
        <v>0</v>
      </c>
      <c r="N62" s="354"/>
      <c r="O62" s="386"/>
      <c r="P62" s="387"/>
      <c r="Q62" s="387"/>
      <c r="S62" s="387"/>
      <c r="V62" s="91">
        <f>SUM((O62*P62),Q62,S62)</f>
        <v>0</v>
      </c>
      <c r="W62" s="359"/>
      <c r="X62" s="386"/>
      <c r="Y62" s="387"/>
      <c r="Z62" s="387"/>
      <c r="AB62" s="387"/>
      <c r="AE62" s="91">
        <f>SUM((X62*Y62),Z62,AB62)</f>
        <v>0</v>
      </c>
      <c r="AF62" s="365"/>
      <c r="AG62" s="386"/>
      <c r="AH62" s="387"/>
      <c r="AI62" s="387"/>
      <c r="AK62" s="387"/>
      <c r="AN62" s="91">
        <f>SUM((AG62*AH62),AI62,AK62)</f>
        <v>0</v>
      </c>
      <c r="AO62" s="318"/>
      <c r="AP62" s="386"/>
      <c r="AQ62" s="387"/>
      <c r="AR62" s="387"/>
      <c r="AT62" s="387"/>
      <c r="AW62" s="91">
        <f>SUM((AP62*AQ62),AR62,AT62)</f>
        <v>0</v>
      </c>
      <c r="AX62" s="372"/>
      <c r="AY62" s="386"/>
      <c r="AZ62" s="387"/>
      <c r="BA62" s="387"/>
      <c r="BC62" s="387"/>
      <c r="BF62" s="91">
        <f>SUM((AY62*AZ62),BA62,BC62)</f>
        <v>0</v>
      </c>
      <c r="BG62" s="715"/>
      <c r="BH62" s="400">
        <f>SUM(F62,O62,X62,AG62,AP62,AY62)</f>
        <v>0</v>
      </c>
      <c r="BI62" s="331">
        <f>M62+V62+AE62+AN62+AW62+BF62</f>
        <v>0</v>
      </c>
    </row>
    <row r="63" spans="2:61" x14ac:dyDescent="0.2">
      <c r="B63" s="8"/>
      <c r="C63" s="381" t="s">
        <v>24</v>
      </c>
      <c r="D63" s="36" t="s">
        <v>79</v>
      </c>
      <c r="E63" s="350"/>
      <c r="F63" s="386"/>
      <c r="G63" s="387"/>
      <c r="H63" s="387"/>
      <c r="J63" s="387"/>
      <c r="M63" s="91">
        <f>SUM((F63*G63),H63,J63)</f>
        <v>0</v>
      </c>
      <c r="N63" s="354"/>
      <c r="O63" s="386"/>
      <c r="P63" s="387"/>
      <c r="Q63" s="387"/>
      <c r="S63" s="387"/>
      <c r="V63" s="91">
        <f>SUM((O63*P63),Q63,S63)</f>
        <v>0</v>
      </c>
      <c r="W63" s="359"/>
      <c r="X63" s="386"/>
      <c r="Y63" s="387"/>
      <c r="Z63" s="387"/>
      <c r="AB63" s="387"/>
      <c r="AE63" s="91">
        <f>SUM((X63*Y63),Z63,AB63)</f>
        <v>0</v>
      </c>
      <c r="AF63" s="365"/>
      <c r="AG63" s="386"/>
      <c r="AH63" s="387"/>
      <c r="AI63" s="387"/>
      <c r="AK63" s="387"/>
      <c r="AN63" s="91">
        <f>SUM((AG63*AH63),AI63,AK63)</f>
        <v>0</v>
      </c>
      <c r="AO63" s="318"/>
      <c r="AP63" s="386"/>
      <c r="AQ63" s="387"/>
      <c r="AR63" s="387"/>
      <c r="AT63" s="387"/>
      <c r="AW63" s="91">
        <f>SUM((AP63*AQ63),AR63,AT63)</f>
        <v>0</v>
      </c>
      <c r="AX63" s="372"/>
      <c r="AY63" s="386"/>
      <c r="AZ63" s="387"/>
      <c r="BA63" s="387"/>
      <c r="BC63" s="387"/>
      <c r="BF63" s="91">
        <f>SUM((AY63*AZ63),BA63,BC63)</f>
        <v>0</v>
      </c>
      <c r="BG63" s="715"/>
      <c r="BH63" s="400">
        <f>SUM(F63,O63,X63,AG63,AP63,AY63)</f>
        <v>0</v>
      </c>
      <c r="BI63" s="331">
        <f>M63+V63+AE63+AN63+AW63+BF63</f>
        <v>0</v>
      </c>
    </row>
    <row r="64" spans="2:61" x14ac:dyDescent="0.2">
      <c r="B64" s="8"/>
      <c r="C64" s="381" t="s">
        <v>25</v>
      </c>
      <c r="D64" s="36" t="s">
        <v>79</v>
      </c>
      <c r="E64" s="350"/>
      <c r="F64" s="386"/>
      <c r="G64" s="387"/>
      <c r="H64" s="387"/>
      <c r="J64" s="387"/>
      <c r="M64" s="91">
        <f>SUM((F64*G64),H64,J64)</f>
        <v>0</v>
      </c>
      <c r="N64" s="354"/>
      <c r="O64" s="386"/>
      <c r="P64" s="387"/>
      <c r="Q64" s="387"/>
      <c r="S64" s="387"/>
      <c r="V64" s="91">
        <f>SUM((O64*P64),Q64,S64)</f>
        <v>0</v>
      </c>
      <c r="W64" s="359"/>
      <c r="X64" s="386"/>
      <c r="Y64" s="387"/>
      <c r="Z64" s="387"/>
      <c r="AB64" s="387"/>
      <c r="AE64" s="91">
        <f>SUM((X64*Y64),Z64,AB64)</f>
        <v>0</v>
      </c>
      <c r="AF64" s="365"/>
      <c r="AG64" s="386"/>
      <c r="AH64" s="387"/>
      <c r="AI64" s="387"/>
      <c r="AK64" s="387"/>
      <c r="AN64" s="91">
        <f>SUM((AG64*AH64),AI64,AK64)</f>
        <v>0</v>
      </c>
      <c r="AO64" s="318"/>
      <c r="AP64" s="386"/>
      <c r="AQ64" s="387"/>
      <c r="AR64" s="387"/>
      <c r="AT64" s="387"/>
      <c r="AW64" s="91">
        <f>SUM((AP64*AQ64),AR64,AT64)</f>
        <v>0</v>
      </c>
      <c r="AX64" s="372"/>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82" t="s">
        <v>33</v>
      </c>
      <c r="D65" s="36" t="s">
        <v>79</v>
      </c>
      <c r="E65" s="350"/>
      <c r="F65" s="386"/>
      <c r="G65" s="387"/>
      <c r="H65" s="387"/>
      <c r="J65" s="387"/>
      <c r="M65" s="91">
        <f>SUM((F65*G65),H65,J65)</f>
        <v>0</v>
      </c>
      <c r="N65" s="354"/>
      <c r="O65" s="386"/>
      <c r="P65" s="387"/>
      <c r="Q65" s="387"/>
      <c r="S65" s="387"/>
      <c r="V65" s="91">
        <f>SUM((O65*P65),Q65,S65)</f>
        <v>0</v>
      </c>
      <c r="W65" s="359"/>
      <c r="X65" s="386"/>
      <c r="Y65" s="387"/>
      <c r="Z65" s="387"/>
      <c r="AB65" s="387"/>
      <c r="AE65" s="91">
        <f>SUM((X65*Y65),Z65,AB65)</f>
        <v>0</v>
      </c>
      <c r="AF65" s="365"/>
      <c r="AG65" s="386"/>
      <c r="AH65" s="387"/>
      <c r="AI65" s="387"/>
      <c r="AK65" s="387"/>
      <c r="AN65" s="91">
        <f>SUM((AG65*AH65),AI65,AK65)</f>
        <v>0</v>
      </c>
      <c r="AO65" s="318"/>
      <c r="AP65" s="386"/>
      <c r="AQ65" s="387"/>
      <c r="AR65" s="387"/>
      <c r="AT65" s="387"/>
      <c r="AW65" s="91">
        <f>SUM((AP65*AQ65),AR65,AT65)</f>
        <v>0</v>
      </c>
      <c r="AX65" s="372"/>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50"/>
      <c r="F66" s="3"/>
      <c r="G66" s="3"/>
      <c r="H66" s="81"/>
      <c r="I66" s="81"/>
      <c r="J66" s="81"/>
      <c r="K66" s="81"/>
      <c r="L66" s="7"/>
      <c r="M66" s="936">
        <f>SUM(M61:M65)</f>
        <v>0</v>
      </c>
      <c r="N66" s="354"/>
      <c r="O66" s="3"/>
      <c r="P66" s="3"/>
      <c r="Q66" s="81"/>
      <c r="R66" s="81"/>
      <c r="S66" s="81"/>
      <c r="T66" s="81"/>
      <c r="U66" s="7"/>
      <c r="V66" s="936">
        <f>SUM(V61:V65)</f>
        <v>0</v>
      </c>
      <c r="W66" s="359"/>
      <c r="X66" s="3"/>
      <c r="Y66" s="3"/>
      <c r="Z66" s="81"/>
      <c r="AA66" s="81"/>
      <c r="AB66" s="81"/>
      <c r="AC66" s="81"/>
      <c r="AD66" s="7"/>
      <c r="AE66" s="936">
        <f>SUM(AE61:AE65)</f>
        <v>0</v>
      </c>
      <c r="AF66" s="365"/>
      <c r="AG66" s="3"/>
      <c r="AH66" s="3"/>
      <c r="AI66" s="81"/>
      <c r="AJ66" s="81"/>
      <c r="AK66" s="81"/>
      <c r="AL66" s="81"/>
      <c r="AM66" s="7"/>
      <c r="AN66" s="936">
        <f>SUM(AN61:AN65)</f>
        <v>0</v>
      </c>
      <c r="AO66" s="318"/>
      <c r="AP66" s="3"/>
      <c r="AQ66" s="3"/>
      <c r="AR66" s="81"/>
      <c r="AS66" s="81"/>
      <c r="AT66" s="81"/>
      <c r="AU66" s="81"/>
      <c r="AV66" s="7"/>
      <c r="AW66" s="936">
        <f>SUM(AW61:AW65)</f>
        <v>0</v>
      </c>
      <c r="AX66" s="372"/>
      <c r="AY66" s="3"/>
      <c r="AZ66" s="3"/>
      <c r="BA66" s="81"/>
      <c r="BB66" s="81"/>
      <c r="BC66" s="81"/>
      <c r="BD66" s="81"/>
      <c r="BE66" s="7"/>
      <c r="BF66" s="936">
        <f>SUM(BF61:BF65)</f>
        <v>0</v>
      </c>
      <c r="BG66" s="715"/>
      <c r="BH66" s="417">
        <f>SUM(BH62:BH65)</f>
        <v>0</v>
      </c>
      <c r="BI66" s="403">
        <f>M66+V66+AE66+AN66+AW66+BF66</f>
        <v>0</v>
      </c>
    </row>
    <row r="67" spans="1:61" x14ac:dyDescent="0.2">
      <c r="B67" s="14" t="s">
        <v>7</v>
      </c>
      <c r="C67" s="24"/>
      <c r="D67" s="37"/>
      <c r="E67" s="350"/>
      <c r="F67" s="82"/>
      <c r="G67" s="24"/>
      <c r="H67" s="65"/>
      <c r="I67" s="65"/>
      <c r="J67" s="65"/>
      <c r="K67" s="65"/>
      <c r="L67" s="65"/>
      <c r="M67" s="933"/>
      <c r="N67" s="354"/>
      <c r="O67" s="24"/>
      <c r="P67" s="24"/>
      <c r="Q67" s="65"/>
      <c r="R67" s="65"/>
      <c r="S67" s="65"/>
      <c r="T67" s="65"/>
      <c r="U67" s="65"/>
      <c r="V67" s="933"/>
      <c r="W67" s="359"/>
      <c r="X67" s="24"/>
      <c r="Y67" s="24"/>
      <c r="Z67" s="65"/>
      <c r="AA67" s="65"/>
      <c r="AB67" s="65"/>
      <c r="AC67" s="65"/>
      <c r="AD67" s="65"/>
      <c r="AE67" s="933"/>
      <c r="AF67" s="365"/>
      <c r="AG67" s="24"/>
      <c r="AH67" s="24"/>
      <c r="AI67" s="65"/>
      <c r="AJ67" s="65"/>
      <c r="AK67" s="65"/>
      <c r="AL67" s="65"/>
      <c r="AM67" s="65"/>
      <c r="AN67" s="933"/>
      <c r="AO67" s="318"/>
      <c r="AP67" s="24"/>
      <c r="AQ67" s="24"/>
      <c r="AR67" s="65"/>
      <c r="AS67" s="65"/>
      <c r="AT67" s="65"/>
      <c r="AU67" s="65"/>
      <c r="AV67" s="65"/>
      <c r="AW67" s="933"/>
      <c r="AX67" s="372"/>
      <c r="AY67" s="24"/>
      <c r="AZ67" s="24"/>
      <c r="BA67" s="82"/>
      <c r="BB67" s="82"/>
      <c r="BC67" s="82"/>
      <c r="BD67" s="82"/>
      <c r="BE67" s="65"/>
      <c r="BF67" s="933"/>
      <c r="BG67" s="715"/>
      <c r="BH67" s="96"/>
      <c r="BI67" s="653"/>
    </row>
    <row r="68" spans="1:61" x14ac:dyDescent="0.2">
      <c r="B68" s="8"/>
      <c r="C68" s="25" t="s">
        <v>29</v>
      </c>
      <c r="D68" s="36" t="s">
        <v>74</v>
      </c>
      <c r="E68" s="350"/>
      <c r="F68" s="100"/>
      <c r="G68" s="101"/>
      <c r="H68" s="102"/>
      <c r="I68" s="102"/>
      <c r="J68" s="102"/>
      <c r="K68" s="102"/>
      <c r="L68" s="102"/>
      <c r="M68" s="385">
        <v>0</v>
      </c>
      <c r="N68" s="354"/>
      <c r="O68" s="101"/>
      <c r="P68" s="101"/>
      <c r="Q68" s="102"/>
      <c r="R68" s="102"/>
      <c r="S68" s="102"/>
      <c r="T68" s="102"/>
      <c r="U68" s="102"/>
      <c r="V68" s="385">
        <v>0</v>
      </c>
      <c r="W68" s="359"/>
      <c r="X68" s="101"/>
      <c r="Y68" s="101"/>
      <c r="Z68" s="102"/>
      <c r="AA68" s="102"/>
      <c r="AB68" s="102"/>
      <c r="AC68" s="102"/>
      <c r="AD68" s="102"/>
      <c r="AE68" s="385">
        <v>0</v>
      </c>
      <c r="AF68" s="365"/>
      <c r="AG68" s="101"/>
      <c r="AH68" s="101"/>
      <c r="AI68" s="102"/>
      <c r="AJ68" s="102"/>
      <c r="AK68" s="102"/>
      <c r="AL68" s="102"/>
      <c r="AM68" s="102"/>
      <c r="AN68" s="385">
        <v>0</v>
      </c>
      <c r="AO68" s="318"/>
      <c r="AP68" s="101"/>
      <c r="AQ68" s="101"/>
      <c r="AR68" s="102"/>
      <c r="AS68" s="102"/>
      <c r="AT68" s="102"/>
      <c r="AU68" s="102"/>
      <c r="AV68" s="102"/>
      <c r="AW68" s="385">
        <v>0</v>
      </c>
      <c r="AX68" s="372"/>
      <c r="AY68" s="101"/>
      <c r="AZ68" s="101"/>
      <c r="BA68" s="100"/>
      <c r="BB68" s="100"/>
      <c r="BC68" s="100"/>
      <c r="BD68" s="100"/>
      <c r="BE68" s="102"/>
      <c r="BF68" s="385">
        <v>0</v>
      </c>
      <c r="BG68" s="715"/>
      <c r="BH68" s="97"/>
      <c r="BI68" s="331">
        <f>M68+V68+AE68+AN68+AW68+BF68</f>
        <v>0</v>
      </c>
    </row>
    <row r="69" spans="1:61" x14ac:dyDescent="0.2">
      <c r="B69" s="41"/>
      <c r="C69" s="25" t="s">
        <v>30</v>
      </c>
      <c r="D69" s="36" t="s">
        <v>75</v>
      </c>
      <c r="E69" s="350"/>
      <c r="F69" s="100"/>
      <c r="G69" s="101"/>
      <c r="H69" s="102"/>
      <c r="I69" s="102"/>
      <c r="J69" s="102"/>
      <c r="K69" s="102"/>
      <c r="L69" s="102"/>
      <c r="M69" s="385">
        <v>0</v>
      </c>
      <c r="N69" s="354"/>
      <c r="O69" s="101"/>
      <c r="P69" s="101"/>
      <c r="Q69" s="102"/>
      <c r="R69" s="102"/>
      <c r="S69" s="102"/>
      <c r="T69" s="102"/>
      <c r="U69" s="102"/>
      <c r="V69" s="385">
        <v>0</v>
      </c>
      <c r="W69" s="359"/>
      <c r="X69" s="101"/>
      <c r="Y69" s="101"/>
      <c r="Z69" s="102"/>
      <c r="AA69" s="102"/>
      <c r="AB69" s="102"/>
      <c r="AC69" s="102"/>
      <c r="AD69" s="102"/>
      <c r="AE69" s="385">
        <v>0</v>
      </c>
      <c r="AF69" s="365"/>
      <c r="AG69" s="101"/>
      <c r="AH69" s="101"/>
      <c r="AI69" s="102"/>
      <c r="AJ69" s="102"/>
      <c r="AK69" s="102"/>
      <c r="AL69" s="102"/>
      <c r="AM69" s="102"/>
      <c r="AN69" s="385">
        <v>0</v>
      </c>
      <c r="AO69" s="318"/>
      <c r="AP69" s="101"/>
      <c r="AQ69" s="101"/>
      <c r="AR69" s="102"/>
      <c r="AS69" s="102"/>
      <c r="AT69" s="102"/>
      <c r="AU69" s="102"/>
      <c r="AV69" s="102"/>
      <c r="AW69" s="385">
        <v>0</v>
      </c>
      <c r="AX69" s="372"/>
      <c r="AY69" s="101"/>
      <c r="AZ69" s="101"/>
      <c r="BA69" s="100"/>
      <c r="BB69" s="100"/>
      <c r="BC69" s="100"/>
      <c r="BD69" s="100"/>
      <c r="BE69" s="102"/>
      <c r="BF69" s="385">
        <v>0</v>
      </c>
      <c r="BG69" s="715"/>
      <c r="BH69" s="97"/>
      <c r="BI69" s="331">
        <f>M69+V69+AE69+AN69+AW69+BF69</f>
        <v>0</v>
      </c>
    </row>
    <row r="70" spans="1:61" x14ac:dyDescent="0.2">
      <c r="B70" s="8"/>
      <c r="C70" s="25" t="s">
        <v>31</v>
      </c>
      <c r="D70" s="36" t="s">
        <v>77</v>
      </c>
      <c r="E70" s="350"/>
      <c r="F70" s="100"/>
      <c r="G70" s="101"/>
      <c r="H70" s="102"/>
      <c r="I70" s="102"/>
      <c r="J70" s="102"/>
      <c r="K70" s="102"/>
      <c r="L70" s="102"/>
      <c r="M70" s="385">
        <v>0</v>
      </c>
      <c r="N70" s="354"/>
      <c r="O70" s="101"/>
      <c r="P70" s="101"/>
      <c r="Q70" s="102"/>
      <c r="R70" s="102"/>
      <c r="S70" s="102"/>
      <c r="T70" s="102"/>
      <c r="U70" s="102"/>
      <c r="V70" s="385">
        <v>0</v>
      </c>
      <c r="W70" s="359"/>
      <c r="X70" s="101"/>
      <c r="Y70" s="101"/>
      <c r="Z70" s="102"/>
      <c r="AA70" s="102"/>
      <c r="AB70" s="102"/>
      <c r="AC70" s="102"/>
      <c r="AD70" s="102"/>
      <c r="AE70" s="385">
        <v>0</v>
      </c>
      <c r="AF70" s="365"/>
      <c r="AG70" s="101"/>
      <c r="AH70" s="101"/>
      <c r="AI70" s="102"/>
      <c r="AJ70" s="102"/>
      <c r="AK70" s="102"/>
      <c r="AL70" s="102"/>
      <c r="AM70" s="102"/>
      <c r="AN70" s="385">
        <v>0</v>
      </c>
      <c r="AO70" s="318"/>
      <c r="AP70" s="101"/>
      <c r="AQ70" s="101"/>
      <c r="AR70" s="102"/>
      <c r="AS70" s="102"/>
      <c r="AT70" s="102"/>
      <c r="AU70" s="102"/>
      <c r="AV70" s="102"/>
      <c r="AW70" s="385">
        <v>0</v>
      </c>
      <c r="AX70" s="372"/>
      <c r="AY70" s="101"/>
      <c r="AZ70" s="101"/>
      <c r="BA70" s="100"/>
      <c r="BB70" s="100"/>
      <c r="BC70" s="100"/>
      <c r="BD70" s="100"/>
      <c r="BE70" s="102"/>
      <c r="BF70" s="385">
        <v>0</v>
      </c>
      <c r="BG70" s="715"/>
      <c r="BH70" s="97"/>
      <c r="BI70" s="331">
        <f>M70+V70+AE70+AN70+AW70+BF70</f>
        <v>0</v>
      </c>
    </row>
    <row r="71" spans="1:61" ht="13.5" thickBot="1" x14ac:dyDescent="0.25">
      <c r="B71" s="8"/>
      <c r="C71" s="382" t="s">
        <v>32</v>
      </c>
      <c r="D71" s="36" t="s">
        <v>76</v>
      </c>
      <c r="E71" s="350"/>
      <c r="F71" s="100"/>
      <c r="G71" s="101"/>
      <c r="H71" s="102"/>
      <c r="I71" s="102"/>
      <c r="J71" s="102"/>
      <c r="K71" s="102"/>
      <c r="L71" s="102"/>
      <c r="M71" s="930">
        <v>0</v>
      </c>
      <c r="N71" s="354"/>
      <c r="O71" s="101"/>
      <c r="P71" s="101"/>
      <c r="Q71" s="102"/>
      <c r="R71" s="102"/>
      <c r="S71" s="102"/>
      <c r="T71" s="102"/>
      <c r="U71" s="102"/>
      <c r="V71" s="930">
        <v>0</v>
      </c>
      <c r="W71" s="359"/>
      <c r="X71" s="101"/>
      <c r="Y71" s="101"/>
      <c r="Z71" s="102"/>
      <c r="AA71" s="102"/>
      <c r="AB71" s="102"/>
      <c r="AC71" s="102"/>
      <c r="AD71" s="102"/>
      <c r="AE71" s="930">
        <v>0</v>
      </c>
      <c r="AF71" s="365"/>
      <c r="AG71" s="101"/>
      <c r="AH71" s="101"/>
      <c r="AI71" s="102"/>
      <c r="AJ71" s="102"/>
      <c r="AK71" s="102"/>
      <c r="AL71" s="102"/>
      <c r="AM71" s="102"/>
      <c r="AN71" s="930">
        <v>0</v>
      </c>
      <c r="AO71" s="318"/>
      <c r="AP71" s="101"/>
      <c r="AQ71" s="101"/>
      <c r="AR71" s="102"/>
      <c r="AS71" s="102"/>
      <c r="AT71" s="102"/>
      <c r="AU71" s="102"/>
      <c r="AV71" s="102"/>
      <c r="AW71" s="930">
        <v>0</v>
      </c>
      <c r="AX71" s="372"/>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350"/>
      <c r="F72" s="81"/>
      <c r="G72" s="3"/>
      <c r="H72" s="7"/>
      <c r="I72" s="7"/>
      <c r="J72" s="7"/>
      <c r="K72" s="7"/>
      <c r="L72" s="7"/>
      <c r="M72" s="936">
        <f>SUM(M67:M71)</f>
        <v>0</v>
      </c>
      <c r="N72" s="354"/>
      <c r="O72" s="3"/>
      <c r="P72" s="3"/>
      <c r="Q72" s="7"/>
      <c r="R72" s="7"/>
      <c r="S72" s="7"/>
      <c r="T72" s="7"/>
      <c r="U72" s="7"/>
      <c r="V72" s="936">
        <f>SUM(V67:V71)</f>
        <v>0</v>
      </c>
      <c r="W72" s="359"/>
      <c r="X72" s="3"/>
      <c r="Y72" s="3"/>
      <c r="Z72" s="7"/>
      <c r="AA72" s="7"/>
      <c r="AB72" s="7"/>
      <c r="AC72" s="7"/>
      <c r="AD72" s="7"/>
      <c r="AE72" s="936">
        <f>SUM(AE67:AE71)</f>
        <v>0</v>
      </c>
      <c r="AF72" s="365"/>
      <c r="AG72" s="3"/>
      <c r="AH72" s="3"/>
      <c r="AI72" s="7"/>
      <c r="AJ72" s="7"/>
      <c r="AK72" s="7"/>
      <c r="AL72" s="7"/>
      <c r="AM72" s="7"/>
      <c r="AN72" s="936">
        <f>SUM(AN67:AN71)</f>
        <v>0</v>
      </c>
      <c r="AO72" s="318"/>
      <c r="AP72" s="3"/>
      <c r="AQ72" s="3"/>
      <c r="AR72" s="7"/>
      <c r="AS72" s="7"/>
      <c r="AT72" s="7"/>
      <c r="AU72" s="7"/>
      <c r="AV72" s="7"/>
      <c r="AW72" s="936">
        <f>SUM(AW67:AW71)</f>
        <v>0</v>
      </c>
      <c r="AX72" s="372"/>
      <c r="AY72" s="3"/>
      <c r="AZ72" s="3"/>
      <c r="BA72" s="81"/>
      <c r="BB72" s="81"/>
      <c r="BC72" s="81"/>
      <c r="BD72" s="81"/>
      <c r="BE72" s="7"/>
      <c r="BF72" s="936">
        <f>SUM(BF67:BF71)</f>
        <v>0</v>
      </c>
      <c r="BG72" s="715"/>
      <c r="BH72" s="95"/>
      <c r="BI72" s="403">
        <f>M72+V72+AE72+AN72+AW72+BF72</f>
        <v>0</v>
      </c>
    </row>
    <row r="73" spans="1:61" x14ac:dyDescent="0.2">
      <c r="B73" s="14" t="s">
        <v>194</v>
      </c>
      <c r="C73" s="1"/>
      <c r="D73" s="6"/>
      <c r="E73" s="350"/>
      <c r="G73" s="125" t="s">
        <v>26</v>
      </c>
      <c r="H73" s="341" t="s">
        <v>49</v>
      </c>
      <c r="I73" s="6"/>
      <c r="J73" s="6"/>
      <c r="K73" s="6"/>
      <c r="L73" s="6"/>
      <c r="M73" s="932"/>
      <c r="N73" s="354"/>
      <c r="P73" s="125" t="s">
        <v>26</v>
      </c>
      <c r="Q73" s="125" t="s">
        <v>49</v>
      </c>
      <c r="R73" s="6"/>
      <c r="S73" s="6"/>
      <c r="T73" s="6"/>
      <c r="U73" s="6"/>
      <c r="V73" s="932"/>
      <c r="W73" s="359"/>
      <c r="Y73" s="125" t="s">
        <v>26</v>
      </c>
      <c r="Z73" s="125" t="s">
        <v>49</v>
      </c>
      <c r="AA73" s="6"/>
      <c r="AB73" s="6"/>
      <c r="AC73" s="6"/>
      <c r="AD73" s="6"/>
      <c r="AE73" s="932"/>
      <c r="AF73" s="365"/>
      <c r="AH73" s="125" t="s">
        <v>26</v>
      </c>
      <c r="AI73" s="125" t="s">
        <v>49</v>
      </c>
      <c r="AJ73" s="6"/>
      <c r="AK73" s="6"/>
      <c r="AL73" s="6"/>
      <c r="AM73" s="6"/>
      <c r="AN73" s="932"/>
      <c r="AO73" s="318"/>
      <c r="AQ73" s="125" t="s">
        <v>26</v>
      </c>
      <c r="AR73" s="125" t="s">
        <v>49</v>
      </c>
      <c r="AS73" s="6"/>
      <c r="AT73" s="6"/>
      <c r="AU73" s="6"/>
      <c r="AV73" s="6"/>
      <c r="AW73" s="932"/>
      <c r="AX73" s="372"/>
      <c r="AZ73" s="125" t="s">
        <v>26</v>
      </c>
      <c r="BA73" s="125" t="s">
        <v>49</v>
      </c>
      <c r="BB73" s="79"/>
      <c r="BC73" s="79"/>
      <c r="BD73" s="79"/>
      <c r="BE73" s="6"/>
      <c r="BF73" s="932"/>
      <c r="BG73" s="715"/>
      <c r="BH73" s="93"/>
      <c r="BI73" s="92"/>
    </row>
    <row r="74" spans="1:61" x14ac:dyDescent="0.2">
      <c r="B74" s="41"/>
      <c r="C74" s="382" t="s">
        <v>41</v>
      </c>
      <c r="D74" s="6"/>
      <c r="E74" s="350"/>
      <c r="G74" s="384">
        <v>0</v>
      </c>
      <c r="H74" s="383">
        <v>0</v>
      </c>
      <c r="I74" s="104"/>
      <c r="J74" s="104"/>
      <c r="K74" s="104"/>
      <c r="L74" s="104"/>
      <c r="M74" s="91">
        <f>H74*G74</f>
        <v>0</v>
      </c>
      <c r="N74" s="354"/>
      <c r="P74" s="384">
        <v>0</v>
      </c>
      <c r="Q74" s="383">
        <v>0</v>
      </c>
      <c r="R74" s="104"/>
      <c r="S74" s="104"/>
      <c r="T74" s="104"/>
      <c r="U74" s="104"/>
      <c r="V74" s="91">
        <f>Q74*P74</f>
        <v>0</v>
      </c>
      <c r="W74" s="359"/>
      <c r="Y74" s="384">
        <v>0</v>
      </c>
      <c r="Z74" s="383">
        <v>0</v>
      </c>
      <c r="AA74" s="104"/>
      <c r="AB74" s="104"/>
      <c r="AC74" s="104"/>
      <c r="AD74" s="104"/>
      <c r="AE74" s="91">
        <f>Z74*Y74</f>
        <v>0</v>
      </c>
      <c r="AF74" s="365"/>
      <c r="AH74" s="384">
        <v>0</v>
      </c>
      <c r="AI74" s="383">
        <v>0</v>
      </c>
      <c r="AJ74" s="104"/>
      <c r="AK74" s="104"/>
      <c r="AL74" s="104"/>
      <c r="AM74" s="104"/>
      <c r="AN74" s="91">
        <f>AI74*AH74</f>
        <v>0</v>
      </c>
      <c r="AO74" s="318"/>
      <c r="AQ74" s="384">
        <v>0</v>
      </c>
      <c r="AR74" s="383">
        <v>0</v>
      </c>
      <c r="AS74" s="104"/>
      <c r="AT74" s="104"/>
      <c r="AU74" s="104"/>
      <c r="AV74" s="104"/>
      <c r="AW74" s="91">
        <f>AR74*AQ74</f>
        <v>0</v>
      </c>
      <c r="AX74" s="372"/>
      <c r="AZ74" s="384">
        <v>0</v>
      </c>
      <c r="BA74" s="383">
        <v>0</v>
      </c>
      <c r="BB74" s="106"/>
      <c r="BC74" s="106"/>
      <c r="BD74" s="106"/>
      <c r="BE74" s="104"/>
      <c r="BF74" s="91">
        <f>BA74*AZ74</f>
        <v>0</v>
      </c>
      <c r="BG74" s="715"/>
      <c r="BH74" s="94"/>
      <c r="BI74" s="331">
        <f>M74+V74+AE74+AN74+AW74+BF74</f>
        <v>0</v>
      </c>
    </row>
    <row r="75" spans="1:61" ht="13.5" thickBot="1" x14ac:dyDescent="0.25">
      <c r="B75" s="643" t="s">
        <v>64</v>
      </c>
      <c r="C75" s="382" t="s">
        <v>0</v>
      </c>
      <c r="D75" s="6"/>
      <c r="E75" s="350"/>
      <c r="G75" s="384"/>
      <c r="H75" s="383"/>
      <c r="I75" s="104"/>
      <c r="J75" s="104"/>
      <c r="K75" s="104"/>
      <c r="L75" s="104"/>
      <c r="M75" s="931">
        <f>H75*G75</f>
        <v>0</v>
      </c>
      <c r="N75" s="354"/>
      <c r="P75" s="384"/>
      <c r="Q75" s="383"/>
      <c r="R75" s="104"/>
      <c r="S75" s="104"/>
      <c r="T75" s="104"/>
      <c r="U75" s="104"/>
      <c r="V75" s="931">
        <f>Q75*P75</f>
        <v>0</v>
      </c>
      <c r="W75" s="359"/>
      <c r="Y75" s="384"/>
      <c r="Z75" s="383"/>
      <c r="AA75" s="104"/>
      <c r="AB75" s="104"/>
      <c r="AC75" s="104"/>
      <c r="AD75" s="104"/>
      <c r="AE75" s="931">
        <f>Z75*Y75</f>
        <v>0</v>
      </c>
      <c r="AF75" s="365"/>
      <c r="AH75" s="384"/>
      <c r="AI75" s="383"/>
      <c r="AJ75" s="104"/>
      <c r="AK75" s="104"/>
      <c r="AL75" s="104"/>
      <c r="AM75" s="104"/>
      <c r="AN75" s="931">
        <f>AI75*AH75</f>
        <v>0</v>
      </c>
      <c r="AO75" s="318"/>
      <c r="AQ75" s="384"/>
      <c r="AR75" s="383"/>
      <c r="AS75" s="104"/>
      <c r="AT75" s="104"/>
      <c r="AU75" s="104"/>
      <c r="AV75" s="104"/>
      <c r="AW75" s="931">
        <f>AR75*AQ75</f>
        <v>0</v>
      </c>
      <c r="AX75" s="372"/>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350"/>
      <c r="F76" s="81"/>
      <c r="G76" s="3"/>
      <c r="H76" s="7"/>
      <c r="I76" s="7"/>
      <c r="J76" s="7"/>
      <c r="K76" s="7"/>
      <c r="L76" s="7"/>
      <c r="M76" s="936">
        <f>SUM(M73:M75)</f>
        <v>0</v>
      </c>
      <c r="N76" s="354"/>
      <c r="O76" s="3"/>
      <c r="P76" s="3"/>
      <c r="Q76" s="7"/>
      <c r="R76" s="7"/>
      <c r="S76" s="7"/>
      <c r="T76" s="7"/>
      <c r="U76" s="7"/>
      <c r="V76" s="936">
        <f>SUM(V73:V75)</f>
        <v>0</v>
      </c>
      <c r="W76" s="359"/>
      <c r="X76" s="3"/>
      <c r="Y76" s="3"/>
      <c r="Z76" s="7"/>
      <c r="AA76" s="7"/>
      <c r="AB76" s="7"/>
      <c r="AC76" s="7"/>
      <c r="AD76" s="7"/>
      <c r="AE76" s="936">
        <f>SUM(AE73:AE75)</f>
        <v>0</v>
      </c>
      <c r="AF76" s="365"/>
      <c r="AG76" s="3"/>
      <c r="AH76" s="3"/>
      <c r="AI76" s="7"/>
      <c r="AJ76" s="7"/>
      <c r="AK76" s="7"/>
      <c r="AL76" s="7"/>
      <c r="AM76" s="7"/>
      <c r="AN76" s="936">
        <f>SUM(AN73:AN75)</f>
        <v>0</v>
      </c>
      <c r="AO76" s="318"/>
      <c r="AP76" s="3"/>
      <c r="AQ76" s="3"/>
      <c r="AR76" s="7"/>
      <c r="AS76" s="7"/>
      <c r="AT76" s="7"/>
      <c r="AU76" s="7"/>
      <c r="AV76" s="7"/>
      <c r="AW76" s="936">
        <f>SUM(AW73:AW75)</f>
        <v>0</v>
      </c>
      <c r="AX76" s="372"/>
      <c r="AY76" s="3"/>
      <c r="AZ76" s="3"/>
      <c r="BA76" s="81"/>
      <c r="BB76" s="81"/>
      <c r="BC76" s="81"/>
      <c r="BD76" s="81"/>
      <c r="BE76" s="7"/>
      <c r="BF76" s="936">
        <f>SUM(BF73:BF75)</f>
        <v>0</v>
      </c>
      <c r="BG76" s="715"/>
      <c r="BH76" s="95"/>
      <c r="BI76" s="403">
        <f>M76+V76+AE76+AN76+AW76+BF76</f>
        <v>0</v>
      </c>
    </row>
    <row r="77" spans="1:61" s="18" customFormat="1" x14ac:dyDescent="0.2">
      <c r="A77" s="134"/>
      <c r="B77" s="107" t="s">
        <v>18</v>
      </c>
      <c r="C77" s="108"/>
      <c r="D77" s="109"/>
      <c r="E77" s="350"/>
      <c r="F77" s="111"/>
      <c r="G77" s="108"/>
      <c r="H77" s="109"/>
      <c r="I77" s="109"/>
      <c r="J77" s="109"/>
      <c r="K77" s="109"/>
      <c r="L77" s="109"/>
      <c r="M77" s="934">
        <f>H48+M51+M54+M60+M66+M72+M76</f>
        <v>0</v>
      </c>
      <c r="N77" s="354"/>
      <c r="O77" s="108"/>
      <c r="P77" s="108"/>
      <c r="Q77" s="109"/>
      <c r="R77" s="109"/>
      <c r="S77" s="109"/>
      <c r="T77" s="109"/>
      <c r="U77" s="109"/>
      <c r="V77" s="934">
        <f>Q48+V51+V54+V60+V66+V72+V76</f>
        <v>0</v>
      </c>
      <c r="W77" s="359"/>
      <c r="X77" s="108"/>
      <c r="Y77" s="108"/>
      <c r="Z77" s="109"/>
      <c r="AA77" s="109"/>
      <c r="AB77" s="109"/>
      <c r="AC77" s="109"/>
      <c r="AD77" s="109"/>
      <c r="AE77" s="934">
        <f>Z48+AE51+AE54+AE60+AE66+AE72+AE76</f>
        <v>0</v>
      </c>
      <c r="AF77" s="365"/>
      <c r="AG77" s="108"/>
      <c r="AH77" s="108"/>
      <c r="AI77" s="109"/>
      <c r="AJ77" s="109"/>
      <c r="AK77" s="109"/>
      <c r="AL77" s="109"/>
      <c r="AM77" s="109"/>
      <c r="AN77" s="934">
        <f>AI48+AN51+AN54+AN60+AN66+AN72+AN76</f>
        <v>0</v>
      </c>
      <c r="AO77" s="318"/>
      <c r="AP77" s="108"/>
      <c r="AQ77" s="108"/>
      <c r="AR77" s="109"/>
      <c r="AS77" s="109"/>
      <c r="AT77" s="109"/>
      <c r="AU77" s="109"/>
      <c r="AV77" s="109"/>
      <c r="AW77" s="934">
        <f>AR48+AW51+AW54+AW60+AW66+AW72+AW76</f>
        <v>0</v>
      </c>
      <c r="AX77" s="372"/>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350"/>
      <c r="G78" s="125" t="s">
        <v>26</v>
      </c>
      <c r="H78" s="341" t="s">
        <v>49</v>
      </c>
      <c r="I78" s="6"/>
      <c r="J78" s="6"/>
      <c r="K78" s="6"/>
      <c r="L78" s="6"/>
      <c r="M78" s="86"/>
      <c r="N78" s="354"/>
      <c r="P78" s="125" t="s">
        <v>26</v>
      </c>
      <c r="Q78" s="125" t="s">
        <v>49</v>
      </c>
      <c r="R78" s="6"/>
      <c r="S78" s="6"/>
      <c r="T78" s="6"/>
      <c r="U78" s="6"/>
      <c r="V78" s="86"/>
      <c r="W78" s="359"/>
      <c r="Y78" s="125" t="s">
        <v>26</v>
      </c>
      <c r="Z78" s="125" t="s">
        <v>49</v>
      </c>
      <c r="AA78" s="6"/>
      <c r="AB78" s="6"/>
      <c r="AC78" s="6"/>
      <c r="AD78" s="6"/>
      <c r="AE78" s="86"/>
      <c r="AF78" s="365"/>
      <c r="AH78" s="125" t="s">
        <v>26</v>
      </c>
      <c r="AI78" s="125" t="s">
        <v>49</v>
      </c>
      <c r="AJ78" s="6"/>
      <c r="AK78" s="6"/>
      <c r="AL78" s="6"/>
      <c r="AM78" s="6"/>
      <c r="AN78" s="86"/>
      <c r="AO78" s="318"/>
      <c r="AQ78" s="125" t="s">
        <v>26</v>
      </c>
      <c r="AR78" s="125" t="s">
        <v>49</v>
      </c>
      <c r="AS78" s="6"/>
      <c r="AT78" s="6"/>
      <c r="AU78" s="6"/>
      <c r="AV78" s="6"/>
      <c r="AW78" s="86"/>
      <c r="AX78" s="372"/>
      <c r="AZ78" s="125" t="s">
        <v>26</v>
      </c>
      <c r="BA78" s="125" t="s">
        <v>49</v>
      </c>
      <c r="BB78" s="79"/>
      <c r="BC78" s="79"/>
      <c r="BD78" s="79"/>
      <c r="BE78" s="6"/>
      <c r="BF78" s="86"/>
      <c r="BG78" s="715"/>
      <c r="BH78" s="93"/>
      <c r="BI78" s="92"/>
    </row>
    <row r="79" spans="1:61" x14ac:dyDescent="0.2">
      <c r="B79" s="8"/>
      <c r="C79" t="str">
        <f>IF(LaborCollection="Academia","F&amp;A","G&amp;A")</f>
        <v>G&amp;A</v>
      </c>
      <c r="D79" s="6"/>
      <c r="E79" s="350"/>
      <c r="G79" s="384">
        <v>0</v>
      </c>
      <c r="H79" s="84">
        <f>M77</f>
        <v>0</v>
      </c>
      <c r="I79" s="104"/>
      <c r="J79" s="104"/>
      <c r="K79" s="104"/>
      <c r="L79" s="104"/>
      <c r="M79" s="91">
        <f>H79*G79</f>
        <v>0</v>
      </c>
      <c r="N79" s="354"/>
      <c r="P79" s="384">
        <v>0</v>
      </c>
      <c r="Q79" s="379">
        <f>V77</f>
        <v>0</v>
      </c>
      <c r="R79" s="104"/>
      <c r="S79" s="104"/>
      <c r="T79" s="104"/>
      <c r="U79" s="104"/>
      <c r="V79" s="91">
        <f>Q79*P79</f>
        <v>0</v>
      </c>
      <c r="W79" s="359"/>
      <c r="Y79" s="384">
        <v>0</v>
      </c>
      <c r="Z79" s="379">
        <f>AE77</f>
        <v>0</v>
      </c>
      <c r="AA79" s="104"/>
      <c r="AB79" s="104"/>
      <c r="AC79" s="104"/>
      <c r="AD79" s="104"/>
      <c r="AE79" s="91">
        <f>Z79*Y79</f>
        <v>0</v>
      </c>
      <c r="AF79" s="365"/>
      <c r="AH79" s="384">
        <v>0</v>
      </c>
      <c r="AI79" s="379">
        <f>AN77</f>
        <v>0</v>
      </c>
      <c r="AJ79" s="104"/>
      <c r="AK79" s="104"/>
      <c r="AL79" s="104"/>
      <c r="AM79" s="104"/>
      <c r="AN79" s="91">
        <f>AI79*AH79</f>
        <v>0</v>
      </c>
      <c r="AO79" s="318"/>
      <c r="AQ79" s="384">
        <v>0</v>
      </c>
      <c r="AR79" s="379">
        <f>AW77</f>
        <v>0</v>
      </c>
      <c r="AS79" s="104"/>
      <c r="AT79" s="104"/>
      <c r="AU79" s="104"/>
      <c r="AV79" s="104"/>
      <c r="AW79" s="91">
        <f>AR79*AQ79</f>
        <v>0</v>
      </c>
      <c r="AX79" s="372"/>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82" t="s">
        <v>3</v>
      </c>
      <c r="D80" s="6"/>
      <c r="E80" s="350"/>
      <c r="G80" s="384"/>
      <c r="H80" s="383"/>
      <c r="I80" s="104"/>
      <c r="J80" s="104"/>
      <c r="K80" s="104"/>
      <c r="L80" s="104"/>
      <c r="M80" s="931">
        <f>H80*G80</f>
        <v>0</v>
      </c>
      <c r="N80" s="354"/>
      <c r="P80" s="384"/>
      <c r="Q80" s="387"/>
      <c r="R80" s="104"/>
      <c r="S80" s="104"/>
      <c r="T80" s="104"/>
      <c r="U80" s="104"/>
      <c r="V80" s="931">
        <f>Q80*P80</f>
        <v>0</v>
      </c>
      <c r="W80" s="359"/>
      <c r="Y80" s="384"/>
      <c r="Z80" s="387"/>
      <c r="AA80" s="104"/>
      <c r="AB80" s="104"/>
      <c r="AC80" s="104"/>
      <c r="AD80" s="104"/>
      <c r="AE80" s="931">
        <f>Z80*Y80</f>
        <v>0</v>
      </c>
      <c r="AF80" s="365"/>
      <c r="AH80" s="384"/>
      <c r="AI80" s="387"/>
      <c r="AJ80" s="104"/>
      <c r="AK80" s="104"/>
      <c r="AL80" s="104"/>
      <c r="AM80" s="104"/>
      <c r="AN80" s="931">
        <f>AI80*AH80</f>
        <v>0</v>
      </c>
      <c r="AO80" s="318"/>
      <c r="AQ80" s="384"/>
      <c r="AR80" s="387"/>
      <c r="AS80" s="104"/>
      <c r="AT80" s="104"/>
      <c r="AU80" s="104"/>
      <c r="AV80" s="104"/>
      <c r="AW80" s="931">
        <f>AR80*AQ80</f>
        <v>0</v>
      </c>
      <c r="AX80" s="372"/>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350"/>
      <c r="F81" s="81"/>
      <c r="G81" s="3"/>
      <c r="H81" s="7"/>
      <c r="I81" s="7"/>
      <c r="J81" s="7"/>
      <c r="K81" s="7"/>
      <c r="L81" s="7"/>
      <c r="M81" s="936">
        <f>SUM(M78:M80)</f>
        <v>0</v>
      </c>
      <c r="N81" s="354"/>
      <c r="O81" s="3"/>
      <c r="P81" s="3"/>
      <c r="Q81" s="7"/>
      <c r="R81" s="7"/>
      <c r="S81" s="7"/>
      <c r="T81" s="7"/>
      <c r="U81" s="7"/>
      <c r="V81" s="936">
        <f>SUM(V79:V80)</f>
        <v>0</v>
      </c>
      <c r="W81" s="359"/>
      <c r="X81" s="3"/>
      <c r="Y81" s="3"/>
      <c r="Z81" s="7"/>
      <c r="AA81" s="7"/>
      <c r="AB81" s="7"/>
      <c r="AC81" s="7"/>
      <c r="AD81" s="7"/>
      <c r="AE81" s="936">
        <f>SUM(AE79:AE80)</f>
        <v>0</v>
      </c>
      <c r="AF81" s="365"/>
      <c r="AG81" s="3"/>
      <c r="AH81" s="3"/>
      <c r="AI81" s="7"/>
      <c r="AJ81" s="7"/>
      <c r="AK81" s="7"/>
      <c r="AL81" s="7"/>
      <c r="AM81" s="7"/>
      <c r="AN81" s="936">
        <f>SUM(AN79:AN80)</f>
        <v>0</v>
      </c>
      <c r="AO81" s="318"/>
      <c r="AP81" s="3"/>
      <c r="AQ81" s="3"/>
      <c r="AR81" s="7"/>
      <c r="AS81" s="7"/>
      <c r="AT81" s="7"/>
      <c r="AU81" s="7"/>
      <c r="AV81" s="7"/>
      <c r="AW81" s="936">
        <f>SUM(AW79:AW80)</f>
        <v>0</v>
      </c>
      <c r="AX81" s="372"/>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350"/>
      <c r="F82" s="116"/>
      <c r="G82" s="113"/>
      <c r="H82" s="114"/>
      <c r="I82" s="114"/>
      <c r="J82" s="114"/>
      <c r="K82" s="114"/>
      <c r="L82" s="114"/>
      <c r="M82" s="936">
        <f>M77+M81</f>
        <v>0</v>
      </c>
      <c r="N82" s="354"/>
      <c r="O82" s="113"/>
      <c r="P82" s="113"/>
      <c r="Q82" s="114"/>
      <c r="R82" s="114"/>
      <c r="S82" s="114"/>
      <c r="T82" s="114"/>
      <c r="U82" s="114"/>
      <c r="V82" s="936">
        <f>V77+V81</f>
        <v>0</v>
      </c>
      <c r="W82" s="359"/>
      <c r="X82" s="113"/>
      <c r="Y82" s="113"/>
      <c r="Z82" s="114"/>
      <c r="AA82" s="114"/>
      <c r="AB82" s="114"/>
      <c r="AC82" s="114"/>
      <c r="AD82" s="114"/>
      <c r="AE82" s="936">
        <f>AE77+AE81</f>
        <v>0</v>
      </c>
      <c r="AF82" s="365"/>
      <c r="AG82" s="113"/>
      <c r="AH82" s="113"/>
      <c r="AI82" s="114"/>
      <c r="AJ82" s="114"/>
      <c r="AK82" s="114"/>
      <c r="AL82" s="114"/>
      <c r="AM82" s="114"/>
      <c r="AN82" s="936">
        <f>AN77+AN81</f>
        <v>0</v>
      </c>
      <c r="AO82" s="318"/>
      <c r="AP82" s="113"/>
      <c r="AQ82" s="113"/>
      <c r="AR82" s="114"/>
      <c r="AS82" s="114"/>
      <c r="AT82" s="114"/>
      <c r="AU82" s="114"/>
      <c r="AV82" s="114"/>
      <c r="AW82" s="936">
        <f>AW77+AW81</f>
        <v>0</v>
      </c>
      <c r="AX82" s="372"/>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350"/>
      <c r="G83" s="125" t="s">
        <v>26</v>
      </c>
      <c r="H83" s="341" t="s">
        <v>49</v>
      </c>
      <c r="I83" s="6"/>
      <c r="J83" s="6"/>
      <c r="K83" s="6"/>
      <c r="L83" s="6"/>
      <c r="M83" s="932"/>
      <c r="N83" s="354"/>
      <c r="P83" s="125" t="s">
        <v>26</v>
      </c>
      <c r="Q83" s="125" t="s">
        <v>49</v>
      </c>
      <c r="R83" s="6"/>
      <c r="S83" s="6"/>
      <c r="T83" s="6"/>
      <c r="U83" s="6"/>
      <c r="V83" s="932"/>
      <c r="W83" s="359"/>
      <c r="Y83" s="125" t="s">
        <v>26</v>
      </c>
      <c r="Z83" s="125" t="s">
        <v>49</v>
      </c>
      <c r="AA83" s="6"/>
      <c r="AB83" s="6"/>
      <c r="AC83" s="6"/>
      <c r="AD83" s="6"/>
      <c r="AE83" s="932"/>
      <c r="AF83" s="365"/>
      <c r="AH83" s="125" t="s">
        <v>26</v>
      </c>
      <c r="AI83" s="125" t="s">
        <v>49</v>
      </c>
      <c r="AJ83" s="6"/>
      <c r="AK83" s="6"/>
      <c r="AL83" s="6"/>
      <c r="AM83" s="6"/>
      <c r="AN83" s="932"/>
      <c r="AO83" s="318"/>
      <c r="AQ83" s="125" t="s">
        <v>26</v>
      </c>
      <c r="AR83" s="125" t="s">
        <v>49</v>
      </c>
      <c r="AS83" s="6"/>
      <c r="AT83" s="6"/>
      <c r="AU83" s="6"/>
      <c r="AV83" s="6"/>
      <c r="AW83" s="932"/>
      <c r="AX83" s="372"/>
      <c r="AZ83" s="125" t="s">
        <v>26</v>
      </c>
      <c r="BA83" s="125" t="s">
        <v>49</v>
      </c>
      <c r="BB83" s="79"/>
      <c r="BC83" s="79"/>
      <c r="BD83" s="79"/>
      <c r="BE83" s="6"/>
      <c r="BF83" s="932"/>
      <c r="BG83" s="715"/>
      <c r="BH83" s="93"/>
      <c r="BI83" s="92"/>
    </row>
    <row r="84" spans="2:61" x14ac:dyDescent="0.2">
      <c r="B84" s="643" t="s">
        <v>64</v>
      </c>
      <c r="C84" s="4" t="s">
        <v>4</v>
      </c>
      <c r="D84" s="6"/>
      <c r="E84" s="350"/>
      <c r="G84" s="384">
        <v>0</v>
      </c>
      <c r="H84" s="383">
        <v>0</v>
      </c>
      <c r="I84" s="104"/>
      <c r="J84" s="104"/>
      <c r="K84" s="104"/>
      <c r="L84" s="104"/>
      <c r="M84" s="91">
        <f>H84*G84</f>
        <v>0</v>
      </c>
      <c r="N84" s="354"/>
      <c r="P84" s="384">
        <v>0</v>
      </c>
      <c r="Q84" s="383">
        <v>0</v>
      </c>
      <c r="R84" s="104"/>
      <c r="S84" s="104"/>
      <c r="T84" s="104"/>
      <c r="U84" s="104"/>
      <c r="V84" s="91">
        <f>Q84*P84</f>
        <v>0</v>
      </c>
      <c r="W84" s="359"/>
      <c r="Y84" s="384">
        <v>0</v>
      </c>
      <c r="Z84" s="383">
        <v>0</v>
      </c>
      <c r="AA84" s="104"/>
      <c r="AB84" s="104"/>
      <c r="AC84" s="104"/>
      <c r="AD84" s="104"/>
      <c r="AE84" s="91">
        <f>Z84*Y84</f>
        <v>0</v>
      </c>
      <c r="AF84" s="365"/>
      <c r="AH84" s="384">
        <v>0</v>
      </c>
      <c r="AI84" s="383">
        <v>0</v>
      </c>
      <c r="AJ84" s="104"/>
      <c r="AK84" s="104"/>
      <c r="AL84" s="104"/>
      <c r="AM84" s="104"/>
      <c r="AN84" s="91">
        <f>AI84*AH84</f>
        <v>0</v>
      </c>
      <c r="AO84" s="318"/>
      <c r="AQ84" s="384">
        <v>0</v>
      </c>
      <c r="AR84" s="383">
        <v>0</v>
      </c>
      <c r="AS84" s="104"/>
      <c r="AT84" s="104"/>
      <c r="AU84" s="104"/>
      <c r="AV84" s="104"/>
      <c r="AW84" s="91">
        <f>AR84*AQ84</f>
        <v>0</v>
      </c>
      <c r="AX84" s="372"/>
      <c r="AZ84" s="384">
        <v>0</v>
      </c>
      <c r="BA84" s="383">
        <v>0</v>
      </c>
      <c r="BB84" s="106"/>
      <c r="BC84" s="106"/>
      <c r="BD84" s="106"/>
      <c r="BE84" s="104"/>
      <c r="BF84" s="91">
        <f>BA84*AZ84</f>
        <v>0</v>
      </c>
      <c r="BG84" s="715"/>
      <c r="BH84" s="94"/>
      <c r="BI84" s="331">
        <f>M84+V84+AE84+AN84+AW84+BF84</f>
        <v>0</v>
      </c>
    </row>
    <row r="85" spans="2:61" ht="13.5" thickBot="1" x14ac:dyDescent="0.25">
      <c r="B85" s="643" t="s">
        <v>64</v>
      </c>
      <c r="C85" s="382" t="s">
        <v>5</v>
      </c>
      <c r="D85" s="6"/>
      <c r="E85" s="350"/>
      <c r="G85" s="384"/>
      <c r="H85" s="383"/>
      <c r="I85" s="104"/>
      <c r="J85" s="104"/>
      <c r="K85" s="104"/>
      <c r="L85" s="104"/>
      <c r="M85" s="931">
        <f>H85*G85</f>
        <v>0</v>
      </c>
      <c r="N85" s="354"/>
      <c r="P85" s="384"/>
      <c r="Q85" s="383"/>
      <c r="R85" s="104"/>
      <c r="S85" s="104"/>
      <c r="T85" s="104"/>
      <c r="U85" s="104"/>
      <c r="V85" s="931">
        <f>Q85*P85</f>
        <v>0</v>
      </c>
      <c r="W85" s="359"/>
      <c r="Y85" s="384"/>
      <c r="Z85" s="383"/>
      <c r="AA85" s="104"/>
      <c r="AB85" s="104"/>
      <c r="AC85" s="104"/>
      <c r="AD85" s="104"/>
      <c r="AE85" s="931">
        <f>Z85*Y85</f>
        <v>0</v>
      </c>
      <c r="AF85" s="365"/>
      <c r="AH85" s="384"/>
      <c r="AI85" s="383"/>
      <c r="AJ85" s="104"/>
      <c r="AK85" s="104"/>
      <c r="AL85" s="104"/>
      <c r="AM85" s="104"/>
      <c r="AN85" s="931">
        <f>AI85*AH85</f>
        <v>0</v>
      </c>
      <c r="AO85" s="318"/>
      <c r="AQ85" s="384"/>
      <c r="AR85" s="383"/>
      <c r="AS85" s="104"/>
      <c r="AT85" s="104"/>
      <c r="AU85" s="104"/>
      <c r="AV85" s="104"/>
      <c r="AW85" s="931">
        <f>AR85*AQ85</f>
        <v>0</v>
      </c>
      <c r="AX85" s="372"/>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350"/>
      <c r="F86" s="81"/>
      <c r="G86" s="3"/>
      <c r="H86" s="7"/>
      <c r="I86" s="7"/>
      <c r="J86" s="7"/>
      <c r="K86" s="7"/>
      <c r="L86" s="7"/>
      <c r="M86" s="936">
        <f>SUM(M83:M85)</f>
        <v>0</v>
      </c>
      <c r="N86" s="354"/>
      <c r="O86" s="3"/>
      <c r="P86" s="3"/>
      <c r="Q86" s="7"/>
      <c r="R86" s="7"/>
      <c r="S86" s="7"/>
      <c r="T86" s="7"/>
      <c r="U86" s="7"/>
      <c r="V86" s="936">
        <f>SUM(V84:V85)</f>
        <v>0</v>
      </c>
      <c r="W86" s="359"/>
      <c r="X86" s="3"/>
      <c r="Y86" s="3"/>
      <c r="Z86" s="7"/>
      <c r="AA86" s="7"/>
      <c r="AB86" s="7"/>
      <c r="AC86" s="7"/>
      <c r="AD86" s="7"/>
      <c r="AE86" s="936">
        <f>SUM(AE84:AE85)</f>
        <v>0</v>
      </c>
      <c r="AF86" s="365"/>
      <c r="AG86" s="3"/>
      <c r="AH86" s="3"/>
      <c r="AI86" s="7"/>
      <c r="AJ86" s="7"/>
      <c r="AK86" s="7"/>
      <c r="AL86" s="7"/>
      <c r="AM86" s="7"/>
      <c r="AN86" s="936">
        <f>SUM(AN84:AN85)</f>
        <v>0</v>
      </c>
      <c r="AO86" s="318"/>
      <c r="AP86" s="3"/>
      <c r="AQ86" s="3"/>
      <c r="AR86" s="7"/>
      <c r="AS86" s="7"/>
      <c r="AT86" s="7"/>
      <c r="AU86" s="7"/>
      <c r="AV86" s="7"/>
      <c r="AW86" s="936">
        <f>SUM(AW84:AW85)</f>
        <v>0</v>
      </c>
      <c r="AX86" s="372"/>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350"/>
      <c r="F87" s="665"/>
      <c r="G87" s="663"/>
      <c r="H87" s="664"/>
      <c r="I87" s="664"/>
      <c r="J87" s="664"/>
      <c r="K87" s="664"/>
      <c r="L87" s="664"/>
      <c r="M87" s="937">
        <f>M82+M86</f>
        <v>0</v>
      </c>
      <c r="N87" s="354"/>
      <c r="O87" s="663"/>
      <c r="P87" s="663"/>
      <c r="Q87" s="664"/>
      <c r="R87" s="664"/>
      <c r="S87" s="664"/>
      <c r="T87" s="664"/>
      <c r="U87" s="664"/>
      <c r="V87" s="937">
        <f>V82+V86</f>
        <v>0</v>
      </c>
      <c r="W87" s="359"/>
      <c r="X87" s="663"/>
      <c r="Y87" s="663"/>
      <c r="Z87" s="664"/>
      <c r="AA87" s="664"/>
      <c r="AB87" s="664"/>
      <c r="AC87" s="664"/>
      <c r="AD87" s="664"/>
      <c r="AE87" s="937">
        <f>AE82+AE86</f>
        <v>0</v>
      </c>
      <c r="AF87" s="365"/>
      <c r="AG87" s="663"/>
      <c r="AH87" s="663"/>
      <c r="AI87" s="664"/>
      <c r="AJ87" s="664"/>
      <c r="AK87" s="664"/>
      <c r="AL87" s="664"/>
      <c r="AM87" s="664"/>
      <c r="AN87" s="937">
        <f>AN82+AN86</f>
        <v>0</v>
      </c>
      <c r="AO87" s="318"/>
      <c r="AP87" s="663"/>
      <c r="AQ87" s="663"/>
      <c r="AR87" s="664"/>
      <c r="AS87" s="664"/>
      <c r="AT87" s="664"/>
      <c r="AU87" s="664"/>
      <c r="AV87" s="664"/>
      <c r="AW87" s="937">
        <f>AW82+AW86</f>
        <v>0</v>
      </c>
      <c r="AX87" s="372"/>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350"/>
      <c r="F88" s="647"/>
      <c r="G88" s="647"/>
      <c r="H88" s="647"/>
      <c r="I88" s="647"/>
      <c r="J88" s="647"/>
      <c r="K88" s="647"/>
      <c r="L88" s="647"/>
      <c r="M88" s="935"/>
      <c r="N88" s="354"/>
      <c r="O88" s="647"/>
      <c r="P88" s="647"/>
      <c r="Q88" s="647"/>
      <c r="R88" s="647"/>
      <c r="S88" s="647"/>
      <c r="T88" s="647"/>
      <c r="U88" s="647"/>
      <c r="V88" s="703"/>
      <c r="W88" s="359"/>
      <c r="X88" s="647"/>
      <c r="Y88" s="647"/>
      <c r="Z88" s="647"/>
      <c r="AA88" s="647"/>
      <c r="AB88" s="647"/>
      <c r="AC88" s="647"/>
      <c r="AD88" s="647"/>
      <c r="AE88" s="703"/>
      <c r="AF88" s="365"/>
      <c r="AG88" s="647"/>
      <c r="AH88" s="647"/>
      <c r="AI88" s="647"/>
      <c r="AJ88" s="647"/>
      <c r="AK88" s="647"/>
      <c r="AL88" s="647"/>
      <c r="AM88" s="647"/>
      <c r="AN88" s="703"/>
      <c r="AO88" s="318"/>
      <c r="AP88" s="647"/>
      <c r="AQ88" s="647"/>
      <c r="AR88" s="647"/>
      <c r="AS88" s="647"/>
      <c r="AT88" s="647"/>
      <c r="AU88" s="647"/>
      <c r="AV88" s="647"/>
      <c r="AW88" s="703"/>
      <c r="AX88" s="372"/>
      <c r="AY88" s="647"/>
      <c r="AZ88" s="647"/>
      <c r="BA88" s="647"/>
      <c r="BB88" s="647"/>
      <c r="BC88" s="647"/>
      <c r="BD88" s="647"/>
      <c r="BE88" s="654"/>
      <c r="BF88" s="654"/>
      <c r="BG88" s="675"/>
      <c r="BH88" s="650" t="s">
        <v>501</v>
      </c>
      <c r="BI88" s="405">
        <f>BI87-BI70</f>
        <v>0</v>
      </c>
    </row>
    <row r="89" spans="2:61" ht="13.5" thickBot="1" x14ac:dyDescent="0.25">
      <c r="B89" s="21" t="s">
        <v>258</v>
      </c>
      <c r="C89" s="16"/>
      <c r="E89" s="350"/>
      <c r="F89" s="105"/>
      <c r="G89" s="105"/>
      <c r="H89" s="105"/>
      <c r="I89" s="105"/>
      <c r="J89" s="105"/>
      <c r="K89" s="704"/>
      <c r="L89" s="105"/>
      <c r="M89" s="705"/>
      <c r="N89" s="354"/>
      <c r="O89" s="105"/>
      <c r="P89" s="105"/>
      <c r="Q89" s="105"/>
      <c r="R89" s="105"/>
      <c r="S89" s="105"/>
      <c r="T89" s="105"/>
      <c r="U89" s="105"/>
      <c r="V89" s="705"/>
      <c r="W89" s="359"/>
      <c r="X89" s="105"/>
      <c r="Y89" s="105"/>
      <c r="Z89" s="105"/>
      <c r="AA89" s="105"/>
      <c r="AB89" s="105"/>
      <c r="AC89" s="105"/>
      <c r="AD89" s="105"/>
      <c r="AE89" s="705"/>
      <c r="AF89" s="365"/>
      <c r="AG89" s="105"/>
      <c r="AH89" s="105"/>
      <c r="AI89" s="105"/>
      <c r="AJ89" s="105"/>
      <c r="AK89" s="105"/>
      <c r="AL89" s="105"/>
      <c r="AM89" s="105"/>
      <c r="AN89" s="705"/>
      <c r="AO89" s="318"/>
      <c r="AP89" s="105"/>
      <c r="AQ89" s="105"/>
      <c r="AR89" s="105"/>
      <c r="AS89" s="105"/>
      <c r="AT89" s="105"/>
      <c r="AU89" s="105"/>
      <c r="AV89" s="105"/>
      <c r="AW89" s="705"/>
      <c r="AX89" s="372"/>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350"/>
      <c r="F90" s="684"/>
      <c r="G90" s="684"/>
      <c r="H90" s="684"/>
      <c r="I90" s="684"/>
      <c r="J90" s="684"/>
      <c r="K90" s="684"/>
      <c r="L90" s="684"/>
      <c r="M90" s="706"/>
      <c r="N90" s="354"/>
      <c r="O90" s="121"/>
      <c r="P90" s="121"/>
      <c r="Q90" s="121"/>
      <c r="R90" s="121"/>
      <c r="S90" s="121"/>
      <c r="T90" s="121"/>
      <c r="U90" s="121"/>
      <c r="V90" s="706"/>
      <c r="W90" s="359"/>
      <c r="X90" s="121"/>
      <c r="Y90" s="121"/>
      <c r="Z90" s="121"/>
      <c r="AA90" s="121"/>
      <c r="AB90" s="121"/>
      <c r="AC90" s="121"/>
      <c r="AD90" s="121"/>
      <c r="AE90" s="706"/>
      <c r="AF90" s="365"/>
      <c r="AG90" s="121"/>
      <c r="AH90" s="121"/>
      <c r="AI90" s="121"/>
      <c r="AJ90" s="121"/>
      <c r="AK90" s="121"/>
      <c r="AL90" s="121"/>
      <c r="AM90" s="121"/>
      <c r="AN90" s="706"/>
      <c r="AO90" s="318"/>
      <c r="AP90" s="121"/>
      <c r="AQ90" s="121"/>
      <c r="AR90" s="121"/>
      <c r="AS90" s="121"/>
      <c r="AT90" s="121"/>
      <c r="AU90" s="121"/>
      <c r="AV90" s="121"/>
      <c r="AW90" s="706"/>
      <c r="AX90" s="372"/>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6" customHeight="1" x14ac:dyDescent="0.2">
      <c r="B92" s="566" t="s">
        <v>81</v>
      </c>
      <c r="C92" s="1444" t="s">
        <v>494</v>
      </c>
      <c r="D92" s="1444"/>
      <c r="E92" s="630"/>
      <c r="F92" s="630"/>
      <c r="G92" s="630"/>
      <c r="H92" s="630"/>
      <c r="I92" s="630"/>
      <c r="J92" s="630"/>
      <c r="K92" s="630"/>
      <c r="L92" s="630"/>
      <c r="M92" s="630"/>
      <c r="N92" s="630"/>
      <c r="O92" s="630"/>
      <c r="P92" s="635"/>
      <c r="Q92" s="635"/>
      <c r="R92" s="635"/>
      <c r="Z92" s="29"/>
      <c r="BH92" s="60"/>
    </row>
    <row r="93" spans="2:61" ht="30" customHeight="1" x14ac:dyDescent="0.2">
      <c r="B93" s="610" t="s">
        <v>42</v>
      </c>
      <c r="C93" s="1441" t="s">
        <v>651</v>
      </c>
      <c r="D93" s="1441"/>
      <c r="E93" s="635"/>
      <c r="F93" s="635"/>
      <c r="G93" s="635"/>
      <c r="H93" s="635"/>
      <c r="I93" s="635"/>
      <c r="J93" s="635"/>
      <c r="K93" s="635"/>
      <c r="L93" s="635"/>
      <c r="M93" s="635"/>
      <c r="N93" s="635"/>
      <c r="O93" s="635"/>
      <c r="P93" s="635"/>
      <c r="Q93" s="635"/>
      <c r="R93" s="635"/>
    </row>
    <row r="94" spans="2:61" ht="43.5" customHeight="1" x14ac:dyDescent="0.2">
      <c r="B94" s="641" t="s">
        <v>13</v>
      </c>
      <c r="C94" s="1441" t="s">
        <v>652</v>
      </c>
      <c r="D94" s="1441"/>
      <c r="E94" s="635"/>
      <c r="F94" s="635"/>
      <c r="G94" s="635"/>
      <c r="H94" s="635"/>
      <c r="I94" s="635"/>
      <c r="J94" s="635"/>
      <c r="K94" s="635"/>
      <c r="L94" s="635"/>
      <c r="M94" s="635"/>
      <c r="N94" s="635"/>
      <c r="O94" s="635"/>
      <c r="P94" s="635"/>
      <c r="Q94" s="635"/>
      <c r="R94" s="635"/>
    </row>
    <row r="95" spans="2:61" ht="60" customHeight="1" x14ac:dyDescent="0.2">
      <c r="B95" s="641" t="s">
        <v>44</v>
      </c>
      <c r="C95" s="1488" t="s">
        <v>653</v>
      </c>
      <c r="D95" s="1488"/>
      <c r="E95" s="640"/>
      <c r="F95" s="640"/>
      <c r="G95" s="640"/>
      <c r="H95" s="640"/>
      <c r="I95" s="640"/>
      <c r="J95" s="640"/>
      <c r="K95" s="640"/>
      <c r="L95" s="640"/>
      <c r="M95" s="640"/>
      <c r="N95" s="640"/>
      <c r="O95" s="640"/>
      <c r="P95" s="640"/>
      <c r="Q95" s="639"/>
      <c r="R95" s="639"/>
      <c r="T95" s="57"/>
      <c r="U95" s="57"/>
      <c r="V95" s="57"/>
      <c r="W95" s="57"/>
      <c r="X95" s="57"/>
      <c r="AF95" s="57"/>
      <c r="AO95" s="57"/>
      <c r="AX95" s="57"/>
    </row>
    <row r="96" spans="2:61" ht="45" customHeight="1" x14ac:dyDescent="0.2">
      <c r="B96" s="641" t="s">
        <v>45</v>
      </c>
      <c r="C96" s="1489" t="s">
        <v>654</v>
      </c>
      <c r="D96" s="1489"/>
      <c r="E96" s="642"/>
      <c r="F96" s="642"/>
      <c r="G96" s="642"/>
      <c r="H96" s="642"/>
      <c r="I96" s="642"/>
      <c r="J96" s="642"/>
      <c r="K96" s="642"/>
      <c r="L96" s="642"/>
      <c r="M96" s="642"/>
      <c r="N96" s="642"/>
      <c r="O96" s="642"/>
      <c r="P96" s="642"/>
      <c r="Q96" s="642"/>
      <c r="R96" s="642"/>
    </row>
    <row r="97" spans="2:4" ht="55.5" customHeight="1" x14ac:dyDescent="0.2">
      <c r="B97" s="641" t="s">
        <v>497</v>
      </c>
      <c r="C97" s="1489" t="s">
        <v>496</v>
      </c>
      <c r="D97" s="1489"/>
    </row>
    <row r="98" spans="2:4" ht="16.5" thickBot="1" x14ac:dyDescent="0.25">
      <c r="C98" s="39"/>
    </row>
    <row r="99" spans="2:4" ht="16.5" thickBot="1" x14ac:dyDescent="0.3">
      <c r="C99" s="1315" t="s">
        <v>511</v>
      </c>
    </row>
    <row r="100" spans="2:4" ht="15.75" x14ac:dyDescent="0.2">
      <c r="B100" s="872" t="s">
        <v>512</v>
      </c>
      <c r="C100" s="1490" t="s">
        <v>530</v>
      </c>
      <c r="D100" s="1491"/>
    </row>
    <row r="101" spans="2:4" ht="15.75" x14ac:dyDescent="0.2">
      <c r="B101" s="873"/>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4">
    <mergeCell ref="C111:D111"/>
    <mergeCell ref="C112:D112"/>
    <mergeCell ref="C113:D113"/>
    <mergeCell ref="C106:D106"/>
    <mergeCell ref="C107:D107"/>
    <mergeCell ref="C108:D108"/>
    <mergeCell ref="C109:D109"/>
    <mergeCell ref="C110:D110"/>
    <mergeCell ref="C101:D101"/>
    <mergeCell ref="C102:D102"/>
    <mergeCell ref="C103:D103"/>
    <mergeCell ref="C104:D104"/>
    <mergeCell ref="C105:D105"/>
    <mergeCell ref="C93:D93"/>
    <mergeCell ref="C94:D94"/>
    <mergeCell ref="C95:D95"/>
    <mergeCell ref="C96:D96"/>
    <mergeCell ref="C100:D100"/>
    <mergeCell ref="C97:D97"/>
    <mergeCell ref="C92:D92"/>
    <mergeCell ref="AA5:AB5"/>
    <mergeCell ref="AA6:AB6"/>
    <mergeCell ref="AS6:AT6"/>
    <mergeCell ref="I4:J4"/>
    <mergeCell ref="R4:S4"/>
    <mergeCell ref="AJ4:AK4"/>
    <mergeCell ref="AJ5:AK5"/>
    <mergeCell ref="AJ6:AK6"/>
    <mergeCell ref="AS4:AT4"/>
    <mergeCell ref="AS5:AT5"/>
    <mergeCell ref="I5:J5"/>
    <mergeCell ref="I6:J6"/>
    <mergeCell ref="R5:S5"/>
    <mergeCell ref="R6:S6"/>
  </mergeCells>
  <phoneticPr fontId="3" type="noConversion"/>
  <printOptions horizontalCentered="1" gridLines="1"/>
  <pageMargins left="0.5" right="0.5" top="0.5" bottom="0.5" header="0.25" footer="0.25"/>
  <pageSetup scale="35" fitToHeight="3" orientation="landscape" r:id="rId1"/>
  <headerFooter alignWithMargins="0">
    <oddHeader>&amp;C&amp;"Arial,Bold"&amp;12&amp;A</oddHeader>
    <oddFooter>&amp;LOfferor: &amp;CPage &amp;P of &amp;N Pages&amp;R&amp;F</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D8C5FF"/>
    <pageSetUpPr fitToPage="1"/>
  </sheetPr>
  <dimension ref="A1:CF149"/>
  <sheetViews>
    <sheetView zoomScale="85" zoomScaleNormal="85" workbookViewId="0">
      <pane xSplit="4" ySplit="7" topLeftCell="E8" activePane="bottomRight" state="frozen"/>
      <selection activeCell="BM92" sqref="BM92"/>
      <selection pane="topRight" activeCell="BM92" sqref="BM92"/>
      <selection pane="bottomLeft" activeCell="BM92" sqref="BM92"/>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434</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Ph2_PoP_mos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tr">
        <f>'Base (Ph1)'!C50</f>
        <v>Insert line(s) &amp; title(s) for any other F/B rates</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tr">
        <f>'Base (Ph1)'!C53</f>
        <v>Insert line(s) &amp; title(s) for any other O/H rates</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4.75"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11</v>
      </c>
      <c r="H61" s="79" t="s">
        <v>428</v>
      </c>
      <c r="J61" s="79" t="s">
        <v>12</v>
      </c>
      <c r="M61" s="932"/>
      <c r="N61" s="183"/>
      <c r="O61" s="125" t="s">
        <v>239</v>
      </c>
      <c r="P61" s="125" t="s">
        <v>11</v>
      </c>
      <c r="Q61" s="79" t="s">
        <v>428</v>
      </c>
      <c r="S61" s="79" t="s">
        <v>12</v>
      </c>
      <c r="V61" s="932"/>
      <c r="W61" s="185"/>
      <c r="X61" s="125" t="s">
        <v>239</v>
      </c>
      <c r="Y61" s="125" t="s">
        <v>11</v>
      </c>
      <c r="Z61" s="79" t="s">
        <v>428</v>
      </c>
      <c r="AB61" s="79" t="s">
        <v>12</v>
      </c>
      <c r="AE61" s="932"/>
      <c r="AF61" s="183"/>
      <c r="AG61" s="125" t="s">
        <v>239</v>
      </c>
      <c r="AH61" s="125" t="s">
        <v>11</v>
      </c>
      <c r="AI61" s="79" t="s">
        <v>428</v>
      </c>
      <c r="AK61" s="79" t="s">
        <v>12</v>
      </c>
      <c r="AN61" s="932"/>
      <c r="AO61" s="183"/>
      <c r="AP61" s="125" t="s">
        <v>239</v>
      </c>
      <c r="AQ61" s="125" t="s">
        <v>11</v>
      </c>
      <c r="AR61" s="79" t="s">
        <v>428</v>
      </c>
      <c r="AT61" s="79" t="s">
        <v>12</v>
      </c>
      <c r="AW61" s="932"/>
      <c r="AX61" s="183"/>
      <c r="AY61" s="125" t="s">
        <v>239</v>
      </c>
      <c r="AZ61" s="125" t="s">
        <v>11</v>
      </c>
      <c r="BA61" s="79" t="s">
        <v>428</v>
      </c>
      <c r="BC61" s="79" t="s">
        <v>12</v>
      </c>
      <c r="BF61" s="932"/>
      <c r="BG61" s="715"/>
      <c r="BH61" s="132" t="s">
        <v>239</v>
      </c>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0">
        <f>SUM(F62,O62,X62,AG62,AP62,AY62)</f>
        <v>0</v>
      </c>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0">
        <f>SUM(F63,O63,X63,AG63,AP63,AY63)</f>
        <v>0</v>
      </c>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7">
        <f>SUM(BH61:BH65)</f>
        <v>0</v>
      </c>
      <c r="BI66" s="403">
        <f>M66+V66+AE66+AN66+AW66+BF66</f>
        <v>0</v>
      </c>
    </row>
    <row r="67" spans="1:61"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1"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1"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1"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row>
    <row r="71" spans="1:61"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1"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1"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1"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1" s="99"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1"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89"/>
      <c r="F87" s="665"/>
      <c r="G87" s="663"/>
      <c r="H87" s="664"/>
      <c r="I87" s="664"/>
      <c r="J87" s="664"/>
      <c r="K87" s="664"/>
      <c r="L87" s="664"/>
      <c r="M87" s="937">
        <f>M82+M86</f>
        <v>0</v>
      </c>
      <c r="N87" s="93"/>
      <c r="O87" s="663"/>
      <c r="P87" s="663"/>
      <c r="Q87" s="664"/>
      <c r="R87" s="664"/>
      <c r="S87" s="664"/>
      <c r="T87" s="664"/>
      <c r="U87" s="664"/>
      <c r="V87" s="937">
        <f>V82+V86</f>
        <v>0</v>
      </c>
      <c r="W87" s="93"/>
      <c r="X87" s="663"/>
      <c r="Y87" s="663"/>
      <c r="Z87" s="664"/>
      <c r="AA87" s="664"/>
      <c r="AB87" s="664"/>
      <c r="AC87" s="664"/>
      <c r="AD87" s="664"/>
      <c r="AE87" s="937">
        <f>AE82+AE86</f>
        <v>0</v>
      </c>
      <c r="AF87" s="179"/>
      <c r="AG87" s="663"/>
      <c r="AH87" s="663"/>
      <c r="AI87" s="664"/>
      <c r="AJ87" s="664"/>
      <c r="AK87" s="664"/>
      <c r="AL87" s="664"/>
      <c r="AM87" s="664"/>
      <c r="AN87" s="937">
        <f>AN82+AN86</f>
        <v>0</v>
      </c>
      <c r="AO87" s="179"/>
      <c r="AP87" s="663"/>
      <c r="AQ87" s="663"/>
      <c r="AR87" s="664"/>
      <c r="AS87" s="664"/>
      <c r="AT87" s="664"/>
      <c r="AU87" s="664"/>
      <c r="AV87" s="664"/>
      <c r="AW87" s="937">
        <f>AW82+AW86</f>
        <v>0</v>
      </c>
      <c r="AX87" s="179"/>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258</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3" customHeight="1" x14ac:dyDescent="0.2">
      <c r="B92" s="566" t="s">
        <v>81</v>
      </c>
      <c r="C92" s="1444" t="s">
        <v>494</v>
      </c>
      <c r="D92" s="1444"/>
      <c r="E92" s="632"/>
      <c r="F92" s="632"/>
      <c r="G92" s="632"/>
      <c r="H92" s="632"/>
      <c r="I92" s="632"/>
      <c r="J92" s="632"/>
      <c r="K92" s="632"/>
      <c r="L92" s="632"/>
      <c r="M92" s="632"/>
      <c r="N92" s="632"/>
      <c r="O92" s="632"/>
      <c r="Z92" s="29"/>
    </row>
    <row r="93" spans="2:61" ht="30.75" customHeight="1" x14ac:dyDescent="0.2">
      <c r="B93" s="610" t="s">
        <v>42</v>
      </c>
      <c r="C93" s="1441" t="s">
        <v>651</v>
      </c>
      <c r="D93" s="1441"/>
    </row>
    <row r="94" spans="2:61" ht="41.25" customHeight="1" x14ac:dyDescent="0.2">
      <c r="B94" s="641" t="s">
        <v>13</v>
      </c>
      <c r="C94" s="1441" t="s">
        <v>652</v>
      </c>
      <c r="D94" s="1441"/>
    </row>
    <row r="95" spans="2:61" ht="56.2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2" customHeight="1" x14ac:dyDescent="0.2">
      <c r="B96" s="641" t="s">
        <v>45</v>
      </c>
      <c r="C96" s="1489" t="s">
        <v>654</v>
      </c>
      <c r="D96" s="1489"/>
      <c r="E96" s="633"/>
      <c r="F96" s="633"/>
      <c r="G96" s="633"/>
      <c r="H96" s="633"/>
      <c r="I96" s="633"/>
      <c r="J96" s="633"/>
      <c r="K96" s="633"/>
      <c r="L96" s="633"/>
      <c r="M96" s="633"/>
      <c r="N96" s="633"/>
      <c r="O96" s="633"/>
      <c r="P96" s="633"/>
      <c r="Q96" s="633"/>
      <c r="R96" s="633"/>
    </row>
    <row r="97" spans="2:4" ht="69.75"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row r="149" spans="2:2" x14ac:dyDescent="0.2">
      <c r="B149" s="60" t="s">
        <v>522</v>
      </c>
    </row>
  </sheetData>
  <mergeCells count="34">
    <mergeCell ref="C111:D111"/>
    <mergeCell ref="C112:D112"/>
    <mergeCell ref="C113:D113"/>
    <mergeCell ref="C106:D106"/>
    <mergeCell ref="C107:D107"/>
    <mergeCell ref="C108:D108"/>
    <mergeCell ref="C109:D109"/>
    <mergeCell ref="C110:D110"/>
    <mergeCell ref="C101:D101"/>
    <mergeCell ref="C102:D102"/>
    <mergeCell ref="C103:D103"/>
    <mergeCell ref="C104:D104"/>
    <mergeCell ref="C105:D105"/>
    <mergeCell ref="C92:D92"/>
    <mergeCell ref="C93:D93"/>
    <mergeCell ref="C94:D94"/>
    <mergeCell ref="C95:D95"/>
    <mergeCell ref="C100:D100"/>
    <mergeCell ref="C97:D97"/>
    <mergeCell ref="C96:D96"/>
    <mergeCell ref="AS4:AT4"/>
    <mergeCell ref="I5:J5"/>
    <mergeCell ref="R5:S5"/>
    <mergeCell ref="AJ5:AK5"/>
    <mergeCell ref="AS5:AT5"/>
    <mergeCell ref="AA5:AB5"/>
    <mergeCell ref="I4:J4"/>
    <mergeCell ref="R4:S4"/>
    <mergeCell ref="AJ4:AK4"/>
    <mergeCell ref="AS6:AT6"/>
    <mergeCell ref="I6:J6"/>
    <mergeCell ref="R6:S6"/>
    <mergeCell ref="AA6:AB6"/>
    <mergeCell ref="AJ6:AK6"/>
  </mergeCells>
  <phoneticPr fontId="18" type="noConversion"/>
  <pageMargins left="0.25" right="0.25" top="0.75" bottom="0.75" header="0.3" footer="0.3"/>
  <pageSetup scale="39" fitToHeight="3"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D8C5FF"/>
    <pageSetUpPr fitToPage="1"/>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439</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Ph3_Pop_mos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tr">
        <f>'Base (Ph1)'!C50</f>
        <v>Insert line(s) &amp; title(s) for any other F/B rates</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tr">
        <f>'Base (Ph1)'!C53</f>
        <v>Insert line(s) &amp; title(s) for any other O/H rates</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4.75"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11</v>
      </c>
      <c r="H61" s="79" t="s">
        <v>428</v>
      </c>
      <c r="J61" s="79" t="s">
        <v>12</v>
      </c>
      <c r="M61" s="932"/>
      <c r="N61" s="183"/>
      <c r="O61" s="125" t="s">
        <v>239</v>
      </c>
      <c r="P61" s="125" t="s">
        <v>11</v>
      </c>
      <c r="Q61" s="79" t="s">
        <v>428</v>
      </c>
      <c r="S61" s="79" t="s">
        <v>12</v>
      </c>
      <c r="V61" s="932"/>
      <c r="W61" s="185"/>
      <c r="X61" s="125" t="s">
        <v>239</v>
      </c>
      <c r="Y61" s="125" t="s">
        <v>11</v>
      </c>
      <c r="Z61" s="79" t="s">
        <v>428</v>
      </c>
      <c r="AB61" s="79" t="s">
        <v>12</v>
      </c>
      <c r="AE61" s="932"/>
      <c r="AF61" s="183"/>
      <c r="AG61" s="125" t="s">
        <v>239</v>
      </c>
      <c r="AH61" s="125" t="s">
        <v>11</v>
      </c>
      <c r="AI61" s="79" t="s">
        <v>428</v>
      </c>
      <c r="AK61" s="79" t="s">
        <v>12</v>
      </c>
      <c r="AN61" s="932"/>
      <c r="AO61" s="183"/>
      <c r="AP61" s="125" t="s">
        <v>239</v>
      </c>
      <c r="AQ61" s="125" t="s">
        <v>11</v>
      </c>
      <c r="AR61" s="79" t="s">
        <v>428</v>
      </c>
      <c r="AT61" s="79" t="s">
        <v>12</v>
      </c>
      <c r="AW61" s="932"/>
      <c r="AX61" s="183"/>
      <c r="AY61" s="125" t="s">
        <v>239</v>
      </c>
      <c r="AZ61" s="125" t="s">
        <v>11</v>
      </c>
      <c r="BA61" s="79" t="s">
        <v>428</v>
      </c>
      <c r="BC61" s="79" t="s">
        <v>12</v>
      </c>
      <c r="BF61" s="932"/>
      <c r="BG61" s="715"/>
      <c r="BH61" s="132" t="s">
        <v>239</v>
      </c>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0">
        <f>SUM(F62,O62,X62,AG62,AP62,AY62)</f>
        <v>0</v>
      </c>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0">
        <f>SUM(F63,O63,X63,AG63,AP63,AY63)</f>
        <v>0</v>
      </c>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7">
        <f>SUM(BH61:BH65)</f>
        <v>0</v>
      </c>
      <c r="BI66" s="403">
        <f>M66+V66+AE66+AN66+AW66+BF66</f>
        <v>0</v>
      </c>
    </row>
    <row r="67" spans="1:61"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1"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1"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1"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row>
    <row r="71" spans="1:61"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1"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1"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1"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1" s="122"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1"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89"/>
      <c r="F87" s="665"/>
      <c r="G87" s="663"/>
      <c r="H87" s="664"/>
      <c r="I87" s="664"/>
      <c r="J87" s="664"/>
      <c r="K87" s="664"/>
      <c r="L87" s="664"/>
      <c r="M87" s="937">
        <f>M82+M86</f>
        <v>0</v>
      </c>
      <c r="N87" s="93"/>
      <c r="O87" s="663"/>
      <c r="P87" s="663"/>
      <c r="Q87" s="664"/>
      <c r="R87" s="664"/>
      <c r="S87" s="664"/>
      <c r="T87" s="664"/>
      <c r="U87" s="664"/>
      <c r="V87" s="937">
        <f>V82+V86</f>
        <v>0</v>
      </c>
      <c r="W87" s="93"/>
      <c r="X87" s="663"/>
      <c r="Y87" s="663"/>
      <c r="Z87" s="664"/>
      <c r="AA87" s="664"/>
      <c r="AB87" s="664"/>
      <c r="AC87" s="664"/>
      <c r="AD87" s="664"/>
      <c r="AE87" s="937">
        <f>AE82+AE86</f>
        <v>0</v>
      </c>
      <c r="AF87" s="179"/>
      <c r="AG87" s="663"/>
      <c r="AH87" s="663"/>
      <c r="AI87" s="664"/>
      <c r="AJ87" s="664"/>
      <c r="AK87" s="664"/>
      <c r="AL87" s="664"/>
      <c r="AM87" s="664"/>
      <c r="AN87" s="937">
        <f>AN82+AN86</f>
        <v>0</v>
      </c>
      <c r="AO87" s="179"/>
      <c r="AP87" s="663"/>
      <c r="AQ87" s="663"/>
      <c r="AR87" s="664"/>
      <c r="AS87" s="664"/>
      <c r="AT87" s="664"/>
      <c r="AU87" s="664"/>
      <c r="AV87" s="664"/>
      <c r="AW87" s="937">
        <f>AW82+AW86</f>
        <v>0</v>
      </c>
      <c r="AX87" s="179"/>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258</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4.5" customHeight="1" x14ac:dyDescent="0.2">
      <c r="B92" s="566" t="s">
        <v>81</v>
      </c>
      <c r="C92" s="1444" t="s">
        <v>494</v>
      </c>
      <c r="D92" s="1444"/>
      <c r="E92" s="632"/>
      <c r="F92" s="632"/>
      <c r="G92" s="632"/>
      <c r="H92" s="632"/>
      <c r="I92" s="632"/>
      <c r="J92" s="632"/>
      <c r="K92" s="632"/>
      <c r="L92" s="632"/>
      <c r="M92" s="632"/>
      <c r="N92" s="632"/>
      <c r="O92" s="632"/>
      <c r="Z92" s="29"/>
    </row>
    <row r="93" spans="2:61" ht="33" customHeight="1" x14ac:dyDescent="0.2">
      <c r="B93" s="610" t="s">
        <v>42</v>
      </c>
      <c r="C93" s="1441" t="s">
        <v>651</v>
      </c>
      <c r="D93" s="1441"/>
    </row>
    <row r="94" spans="2:61" ht="43.5" customHeight="1" x14ac:dyDescent="0.2">
      <c r="B94" s="641" t="s">
        <v>13</v>
      </c>
      <c r="C94" s="1441" t="s">
        <v>652</v>
      </c>
      <c r="D94" s="1441"/>
    </row>
    <row r="95" spans="2:61" ht="57.7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6.5" customHeight="1" x14ac:dyDescent="0.2">
      <c r="B96" s="641" t="s">
        <v>45</v>
      </c>
      <c r="C96" s="1489" t="s">
        <v>654</v>
      </c>
      <c r="D96" s="1489"/>
      <c r="E96" s="633"/>
      <c r="F96" s="633"/>
      <c r="G96" s="633"/>
      <c r="H96" s="633"/>
      <c r="I96" s="633"/>
      <c r="J96" s="633"/>
      <c r="K96" s="633"/>
      <c r="L96" s="633"/>
      <c r="M96" s="633"/>
      <c r="N96" s="633"/>
      <c r="O96" s="633"/>
      <c r="P96" s="633"/>
      <c r="Q96" s="633"/>
      <c r="R96" s="633"/>
    </row>
    <row r="97" spans="2:4" ht="69"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4">
    <mergeCell ref="C110:D110"/>
    <mergeCell ref="C111:D111"/>
    <mergeCell ref="C112:D112"/>
    <mergeCell ref="C113:D113"/>
    <mergeCell ref="C105:D105"/>
    <mergeCell ref="C106:D106"/>
    <mergeCell ref="C107:D107"/>
    <mergeCell ref="C108:D108"/>
    <mergeCell ref="C109:D109"/>
    <mergeCell ref="C100:D100"/>
    <mergeCell ref="C101:D101"/>
    <mergeCell ref="C102:D102"/>
    <mergeCell ref="C103:D103"/>
    <mergeCell ref="C104:D104"/>
    <mergeCell ref="I4:J4"/>
    <mergeCell ref="R4:S4"/>
    <mergeCell ref="AJ4:AK4"/>
    <mergeCell ref="AJ6:AK6"/>
    <mergeCell ref="AS4:AT4"/>
    <mergeCell ref="I5:J5"/>
    <mergeCell ref="R5:S5"/>
    <mergeCell ref="AJ5:AK5"/>
    <mergeCell ref="AS5:AT5"/>
    <mergeCell ref="AA5:AB5"/>
    <mergeCell ref="C97:D97"/>
    <mergeCell ref="C96:D96"/>
    <mergeCell ref="AS6:AT6"/>
    <mergeCell ref="I6:J6"/>
    <mergeCell ref="R6:S6"/>
    <mergeCell ref="C92:D92"/>
    <mergeCell ref="C93:D93"/>
    <mergeCell ref="C94:D94"/>
    <mergeCell ref="C95:D95"/>
    <mergeCell ref="AA6:AB6"/>
  </mergeCells>
  <phoneticPr fontId="18" type="noConversion"/>
  <pageMargins left="0.25" right="0.25" top="0.75" bottom="0.75" header="0.3" footer="0.3"/>
  <pageSetup scale="40" fitToHeight="3"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D8C5FF"/>
    <pageSetUpPr fitToPage="1"/>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435</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Ph4_PoP_mos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O40+O38+X38+AG38+AP38+AY38</f>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O41+O39+X39+AG39+AP39+AY39</f>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ref="BH40:BH47" si="51">O42+O40+X40+AG40+AP40+AY40</f>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51"/>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51"/>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51"/>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51"/>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51"/>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51"/>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51"/>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
        <v>1</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
        <v>2</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4.75" customHeight="1"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11</v>
      </c>
      <c r="H61" s="79" t="s">
        <v>428</v>
      </c>
      <c r="J61" s="79" t="s">
        <v>12</v>
      </c>
      <c r="M61" s="932"/>
      <c r="N61" s="183"/>
      <c r="O61" s="125" t="s">
        <v>239</v>
      </c>
      <c r="P61" s="125" t="s">
        <v>11</v>
      </c>
      <c r="Q61" s="79" t="s">
        <v>428</v>
      </c>
      <c r="S61" s="79" t="s">
        <v>12</v>
      </c>
      <c r="V61" s="932"/>
      <c r="W61" s="185"/>
      <c r="X61" s="125" t="s">
        <v>239</v>
      </c>
      <c r="Y61" s="125" t="s">
        <v>11</v>
      </c>
      <c r="Z61" s="79" t="s">
        <v>428</v>
      </c>
      <c r="AB61" s="79" t="s">
        <v>12</v>
      </c>
      <c r="AE61" s="932"/>
      <c r="AF61" s="183"/>
      <c r="AG61" s="125" t="s">
        <v>239</v>
      </c>
      <c r="AH61" s="125" t="s">
        <v>11</v>
      </c>
      <c r="AI61" s="79" t="s">
        <v>428</v>
      </c>
      <c r="AK61" s="79" t="s">
        <v>12</v>
      </c>
      <c r="AN61" s="932"/>
      <c r="AO61" s="183"/>
      <c r="AP61" s="125" t="s">
        <v>239</v>
      </c>
      <c r="AQ61" s="125" t="s">
        <v>11</v>
      </c>
      <c r="AR61" s="79" t="s">
        <v>428</v>
      </c>
      <c r="AT61" s="79" t="s">
        <v>12</v>
      </c>
      <c r="AW61" s="932"/>
      <c r="AX61" s="183"/>
      <c r="AY61" s="125" t="s">
        <v>239</v>
      </c>
      <c r="AZ61" s="125" t="s">
        <v>11</v>
      </c>
      <c r="BA61" s="79" t="s">
        <v>428</v>
      </c>
      <c r="BC61" s="79" t="s">
        <v>12</v>
      </c>
      <c r="BF61" s="932"/>
      <c r="BG61" s="715"/>
      <c r="BH61" s="132" t="s">
        <v>239</v>
      </c>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0">
        <f>SUM(F62,O62,X62,AG62,AP62,AY62)</f>
        <v>0</v>
      </c>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0">
        <f>SUM(F63,O63,X63,AG63,AP63,AY63)</f>
        <v>0</v>
      </c>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7">
        <f>SUM(BH61:BH65)</f>
        <v>0</v>
      </c>
      <c r="BI66" s="403">
        <f>M66+V66+AE66+AN66+AW66+BF66</f>
        <v>0</v>
      </c>
    </row>
    <row r="67" spans="1:61"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1"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1"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1"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row>
    <row r="71" spans="1:61"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1"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1"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1"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1" s="123"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1"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89"/>
      <c r="F87" s="665"/>
      <c r="G87" s="663"/>
      <c r="H87" s="664"/>
      <c r="I87" s="664"/>
      <c r="J87" s="664"/>
      <c r="K87" s="664"/>
      <c r="L87" s="664"/>
      <c r="M87" s="937">
        <f>M82+M86</f>
        <v>0</v>
      </c>
      <c r="N87" s="93"/>
      <c r="O87" s="663"/>
      <c r="P87" s="663"/>
      <c r="Q87" s="664"/>
      <c r="R87" s="664"/>
      <c r="S87" s="664"/>
      <c r="T87" s="664"/>
      <c r="U87" s="664"/>
      <c r="V87" s="937">
        <f>V82+V86</f>
        <v>0</v>
      </c>
      <c r="W87" s="93"/>
      <c r="X87" s="663"/>
      <c r="Y87" s="663"/>
      <c r="Z87" s="664"/>
      <c r="AA87" s="664"/>
      <c r="AB87" s="664"/>
      <c r="AC87" s="664"/>
      <c r="AD87" s="664"/>
      <c r="AE87" s="937">
        <f>AE82+AE86</f>
        <v>0</v>
      </c>
      <c r="AF87" s="179"/>
      <c r="AG87" s="663"/>
      <c r="AH87" s="663"/>
      <c r="AI87" s="664"/>
      <c r="AJ87" s="664"/>
      <c r="AK87" s="664"/>
      <c r="AL87" s="664"/>
      <c r="AM87" s="664"/>
      <c r="AN87" s="937">
        <f>AN82+AN86</f>
        <v>0</v>
      </c>
      <c r="AO87" s="179"/>
      <c r="AP87" s="663"/>
      <c r="AQ87" s="663"/>
      <c r="AR87" s="664"/>
      <c r="AS87" s="664"/>
      <c r="AT87" s="664"/>
      <c r="AU87" s="664"/>
      <c r="AV87" s="664"/>
      <c r="AW87" s="937">
        <f>AW82+AW86</f>
        <v>0</v>
      </c>
      <c r="AX87" s="179"/>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258</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3" customHeight="1" x14ac:dyDescent="0.2">
      <c r="B92" s="566" t="s">
        <v>81</v>
      </c>
      <c r="C92" s="1444" t="s">
        <v>494</v>
      </c>
      <c r="D92" s="1444"/>
      <c r="E92" s="632"/>
      <c r="F92" s="632"/>
      <c r="G92" s="632"/>
      <c r="H92" s="632"/>
      <c r="I92" s="632"/>
      <c r="J92" s="632"/>
      <c r="K92" s="632"/>
      <c r="L92" s="632"/>
      <c r="M92" s="632"/>
      <c r="N92" s="632"/>
      <c r="O92" s="632"/>
      <c r="Z92" s="29"/>
    </row>
    <row r="93" spans="2:61" ht="29.25" customHeight="1" x14ac:dyDescent="0.2">
      <c r="B93" s="610" t="s">
        <v>42</v>
      </c>
      <c r="C93" s="1441" t="s">
        <v>651</v>
      </c>
      <c r="D93" s="1441"/>
    </row>
    <row r="94" spans="2:61" ht="45" customHeight="1" x14ac:dyDescent="0.2">
      <c r="B94" s="641" t="s">
        <v>13</v>
      </c>
      <c r="C94" s="1441" t="s">
        <v>652</v>
      </c>
      <c r="D94" s="1441"/>
    </row>
    <row r="95" spans="2:61" ht="58.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6.5" customHeight="1" x14ac:dyDescent="0.2">
      <c r="B96" s="641" t="s">
        <v>45</v>
      </c>
      <c r="C96" s="1489" t="s">
        <v>654</v>
      </c>
      <c r="D96" s="1489"/>
      <c r="E96" s="633"/>
      <c r="F96" s="633"/>
      <c r="G96" s="633"/>
      <c r="H96" s="633"/>
      <c r="I96" s="633"/>
      <c r="J96" s="633"/>
      <c r="K96" s="633"/>
      <c r="L96" s="633"/>
      <c r="M96" s="633"/>
      <c r="N96" s="633"/>
      <c r="O96" s="633"/>
      <c r="P96" s="633"/>
      <c r="Q96" s="633"/>
      <c r="R96" s="633"/>
    </row>
    <row r="97" spans="2:4" ht="69.75"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4">
    <mergeCell ref="C111:D111"/>
    <mergeCell ref="C112:D112"/>
    <mergeCell ref="C113:D113"/>
    <mergeCell ref="C106:D106"/>
    <mergeCell ref="C107:D107"/>
    <mergeCell ref="C108:D108"/>
    <mergeCell ref="C109:D109"/>
    <mergeCell ref="C110:D110"/>
    <mergeCell ref="C101:D101"/>
    <mergeCell ref="C102:D102"/>
    <mergeCell ref="C103:D103"/>
    <mergeCell ref="C104:D104"/>
    <mergeCell ref="C105:D105"/>
    <mergeCell ref="C92:D92"/>
    <mergeCell ref="C93:D93"/>
    <mergeCell ref="C94:D94"/>
    <mergeCell ref="C95:D95"/>
    <mergeCell ref="C100:D100"/>
    <mergeCell ref="C97:D97"/>
    <mergeCell ref="C96:D96"/>
    <mergeCell ref="AS4:AT4"/>
    <mergeCell ref="I5:J5"/>
    <mergeCell ref="R5:S5"/>
    <mergeCell ref="AJ5:AK5"/>
    <mergeCell ref="AS5:AT5"/>
    <mergeCell ref="AA5:AB5"/>
    <mergeCell ref="I4:J4"/>
    <mergeCell ref="R4:S4"/>
    <mergeCell ref="AJ4:AK4"/>
    <mergeCell ref="AS6:AT6"/>
    <mergeCell ref="I6:J6"/>
    <mergeCell ref="R6:S6"/>
    <mergeCell ref="AA6:AB6"/>
    <mergeCell ref="AJ6:AK6"/>
  </mergeCells>
  <phoneticPr fontId="18" type="noConversion"/>
  <pageMargins left="0.25" right="0.25" top="0.75" bottom="0.75" header="0.3" footer="0.3"/>
  <pageSetup scale="40" fitToHeight="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D8C5FF"/>
    <pageSetUpPr fitToPage="1"/>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436</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Ph5_PoP_mos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
        <v>1</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
        <v>2</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4.75" customHeight="1"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11</v>
      </c>
      <c r="H61" s="79" t="s">
        <v>428</v>
      </c>
      <c r="J61" s="79" t="s">
        <v>12</v>
      </c>
      <c r="M61" s="932"/>
      <c r="N61" s="183"/>
      <c r="O61" s="125" t="s">
        <v>239</v>
      </c>
      <c r="P61" s="125" t="s">
        <v>11</v>
      </c>
      <c r="Q61" s="79" t="s">
        <v>428</v>
      </c>
      <c r="S61" s="79" t="s">
        <v>12</v>
      </c>
      <c r="V61" s="932"/>
      <c r="W61" s="185"/>
      <c r="X61" s="125" t="s">
        <v>239</v>
      </c>
      <c r="Y61" s="125" t="s">
        <v>11</v>
      </c>
      <c r="Z61" s="79" t="s">
        <v>428</v>
      </c>
      <c r="AB61" s="79" t="s">
        <v>12</v>
      </c>
      <c r="AE61" s="932"/>
      <c r="AF61" s="183"/>
      <c r="AG61" s="125" t="s">
        <v>239</v>
      </c>
      <c r="AH61" s="125" t="s">
        <v>11</v>
      </c>
      <c r="AI61" s="79" t="s">
        <v>428</v>
      </c>
      <c r="AK61" s="79" t="s">
        <v>12</v>
      </c>
      <c r="AN61" s="932"/>
      <c r="AO61" s="183"/>
      <c r="AP61" s="125" t="s">
        <v>239</v>
      </c>
      <c r="AQ61" s="125" t="s">
        <v>11</v>
      </c>
      <c r="AR61" s="79" t="s">
        <v>428</v>
      </c>
      <c r="AT61" s="79" t="s">
        <v>12</v>
      </c>
      <c r="AW61" s="932"/>
      <c r="AX61" s="183"/>
      <c r="AY61" s="125" t="s">
        <v>239</v>
      </c>
      <c r="AZ61" s="125" t="s">
        <v>11</v>
      </c>
      <c r="BA61" s="79" t="s">
        <v>428</v>
      </c>
      <c r="BC61" s="79" t="s">
        <v>12</v>
      </c>
      <c r="BF61" s="932"/>
      <c r="BG61" s="715"/>
      <c r="BH61" s="132" t="s">
        <v>239</v>
      </c>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0">
        <f>SUM(F62,O62,X62,AG62,AP62,AY62)</f>
        <v>0</v>
      </c>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0">
        <f>SUM(F63,O63,X63,AG63,AP63,AY63)</f>
        <v>0</v>
      </c>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7">
        <f>SUM(BH61:BH65)</f>
        <v>0</v>
      </c>
      <c r="BI66" s="403">
        <f>M66+V66+AE66+AN66+AW66+BF66</f>
        <v>0</v>
      </c>
    </row>
    <row r="67" spans="1:61"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1"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1"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1"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row>
    <row r="71" spans="1:61"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1"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1"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1"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1" s="123"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1"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89"/>
      <c r="F87" s="665"/>
      <c r="G87" s="663"/>
      <c r="H87" s="664"/>
      <c r="I87" s="664"/>
      <c r="J87" s="664"/>
      <c r="K87" s="664"/>
      <c r="L87" s="664"/>
      <c r="M87" s="937">
        <f>M82+M86</f>
        <v>0</v>
      </c>
      <c r="N87" s="93"/>
      <c r="O87" s="663"/>
      <c r="P87" s="663"/>
      <c r="Q87" s="664"/>
      <c r="R87" s="664"/>
      <c r="S87" s="664"/>
      <c r="T87" s="664"/>
      <c r="U87" s="664"/>
      <c r="V87" s="937">
        <f>V82+V86</f>
        <v>0</v>
      </c>
      <c r="W87" s="93"/>
      <c r="X87" s="663"/>
      <c r="Y87" s="663"/>
      <c r="Z87" s="664"/>
      <c r="AA87" s="664"/>
      <c r="AB87" s="664"/>
      <c r="AC87" s="664"/>
      <c r="AD87" s="664"/>
      <c r="AE87" s="937">
        <f>AE82+AE86</f>
        <v>0</v>
      </c>
      <c r="AF87" s="179"/>
      <c r="AG87" s="663"/>
      <c r="AH87" s="663"/>
      <c r="AI87" s="664"/>
      <c r="AJ87" s="664"/>
      <c r="AK87" s="664"/>
      <c r="AL87" s="664"/>
      <c r="AM87" s="664"/>
      <c r="AN87" s="937">
        <f>AN82+AN86</f>
        <v>0</v>
      </c>
      <c r="AO87" s="179"/>
      <c r="AP87" s="663"/>
      <c r="AQ87" s="663"/>
      <c r="AR87" s="664"/>
      <c r="AS87" s="664"/>
      <c r="AT87" s="664"/>
      <c r="AU87" s="664"/>
      <c r="AV87" s="664"/>
      <c r="AW87" s="937">
        <f>AW82+AW86</f>
        <v>0</v>
      </c>
      <c r="AX87" s="179"/>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258</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3.75" customHeight="1" x14ac:dyDescent="0.2">
      <c r="B92" s="566" t="s">
        <v>81</v>
      </c>
      <c r="C92" s="1444" t="s">
        <v>494</v>
      </c>
      <c r="D92" s="1444"/>
      <c r="E92" s="632"/>
      <c r="F92" s="632"/>
      <c r="G92" s="632"/>
      <c r="H92" s="632"/>
      <c r="I92" s="632"/>
      <c r="J92" s="632"/>
      <c r="K92" s="632"/>
      <c r="L92" s="632"/>
      <c r="M92" s="632"/>
      <c r="N92" s="632"/>
      <c r="O92" s="632"/>
      <c r="Z92" s="29"/>
    </row>
    <row r="93" spans="2:61" ht="27.75" customHeight="1" x14ac:dyDescent="0.2">
      <c r="B93" s="610" t="s">
        <v>42</v>
      </c>
      <c r="C93" s="1441" t="s">
        <v>651</v>
      </c>
      <c r="D93" s="1441"/>
    </row>
    <row r="94" spans="2:61" ht="44.25" customHeight="1" x14ac:dyDescent="0.2">
      <c r="B94" s="641" t="s">
        <v>13</v>
      </c>
      <c r="C94" s="1441" t="s">
        <v>652</v>
      </c>
      <c r="D94" s="1441"/>
    </row>
    <row r="95" spans="2:61" ht="55.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5" customHeight="1" x14ac:dyDescent="0.2">
      <c r="B96" s="641" t="s">
        <v>45</v>
      </c>
      <c r="C96" s="1489" t="s">
        <v>654</v>
      </c>
      <c r="D96" s="1489"/>
      <c r="E96" s="633"/>
      <c r="F96" s="633"/>
      <c r="G96" s="633"/>
      <c r="H96" s="633"/>
      <c r="I96" s="633"/>
      <c r="J96" s="633"/>
      <c r="K96" s="633"/>
      <c r="L96" s="633"/>
      <c r="M96" s="633"/>
      <c r="N96" s="633"/>
      <c r="O96" s="633"/>
      <c r="P96" s="633"/>
      <c r="Q96" s="633"/>
      <c r="R96" s="633"/>
    </row>
    <row r="97" spans="2:4" ht="65.25"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4">
    <mergeCell ref="C111:D111"/>
    <mergeCell ref="C112:D112"/>
    <mergeCell ref="C113:D113"/>
    <mergeCell ref="C106:D106"/>
    <mergeCell ref="C107:D107"/>
    <mergeCell ref="C108:D108"/>
    <mergeCell ref="C109:D109"/>
    <mergeCell ref="C110:D110"/>
    <mergeCell ref="C101:D101"/>
    <mergeCell ref="C102:D102"/>
    <mergeCell ref="C103:D103"/>
    <mergeCell ref="C104:D104"/>
    <mergeCell ref="C105:D105"/>
    <mergeCell ref="C92:D92"/>
    <mergeCell ref="C93:D93"/>
    <mergeCell ref="C94:D94"/>
    <mergeCell ref="C95:D95"/>
    <mergeCell ref="C100:D100"/>
    <mergeCell ref="C97:D97"/>
    <mergeCell ref="C96:D96"/>
    <mergeCell ref="AS4:AT4"/>
    <mergeCell ref="I5:J5"/>
    <mergeCell ref="R5:S5"/>
    <mergeCell ref="AJ5:AK5"/>
    <mergeCell ref="AS5:AT5"/>
    <mergeCell ref="AA5:AB5"/>
    <mergeCell ref="I4:J4"/>
    <mergeCell ref="R4:S4"/>
    <mergeCell ref="AJ4:AK4"/>
    <mergeCell ref="AS6:AT6"/>
    <mergeCell ref="I6:J6"/>
    <mergeCell ref="R6:S6"/>
    <mergeCell ref="AA6:AB6"/>
    <mergeCell ref="AJ6:AK6"/>
  </mergeCells>
  <phoneticPr fontId="18" type="noConversion"/>
  <pageMargins left="0.25" right="0.25" top="0.75" bottom="0.75" header="0.3" footer="0.3"/>
  <pageSetup scale="40" fitToHeight="3"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D8C5FF"/>
    <pageSetUpPr fitToPage="1"/>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7" t="s">
        <v>531</v>
      </c>
      <c r="C1" s="876"/>
      <c r="D1" s="563" t="s">
        <v>242</v>
      </c>
      <c r="E1" s="875"/>
      <c r="F1" s="876"/>
      <c r="G1" s="876"/>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6"/>
      <c r="AG1" s="876"/>
      <c r="AH1" s="876"/>
      <c r="AI1" s="876"/>
      <c r="AJ1" s="876"/>
      <c r="AK1" s="876"/>
      <c r="AL1" s="876"/>
      <c r="AM1" s="876"/>
      <c r="AN1" s="876"/>
      <c r="AO1" s="876"/>
      <c r="AP1" s="876"/>
      <c r="AQ1" s="876"/>
      <c r="AR1" s="876"/>
      <c r="AS1" s="876"/>
      <c r="AT1" s="876"/>
      <c r="AU1" s="876"/>
      <c r="AV1" s="876"/>
      <c r="AW1" s="876"/>
      <c r="AX1" s="876"/>
      <c r="AY1" s="876"/>
      <c r="AZ1" s="876"/>
      <c r="BA1" s="876"/>
      <c r="BB1" s="876"/>
      <c r="BC1" s="876"/>
      <c r="BD1" s="876"/>
      <c r="BE1" s="876"/>
      <c r="BF1" s="876"/>
      <c r="BG1" s="876"/>
      <c r="BH1" s="876"/>
      <c r="BI1" s="876"/>
      <c r="BJ1" s="876"/>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672">
        <f>Ph6_PoP_mos</f>
        <v>0</v>
      </c>
      <c r="BJ6" s="674" t="s">
        <v>508</v>
      </c>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
        <v>1</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
        <v>2</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5.5" customHeight="1"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11</v>
      </c>
      <c r="H61" s="79" t="s">
        <v>428</v>
      </c>
      <c r="J61" s="79" t="s">
        <v>12</v>
      </c>
      <c r="M61" s="932"/>
      <c r="N61" s="183"/>
      <c r="O61" s="125" t="s">
        <v>239</v>
      </c>
      <c r="P61" s="125" t="s">
        <v>11</v>
      </c>
      <c r="Q61" s="79" t="s">
        <v>428</v>
      </c>
      <c r="S61" s="79" t="s">
        <v>12</v>
      </c>
      <c r="V61" s="932"/>
      <c r="W61" s="185"/>
      <c r="X61" s="125" t="s">
        <v>239</v>
      </c>
      <c r="Y61" s="125" t="s">
        <v>11</v>
      </c>
      <c r="Z61" s="79" t="s">
        <v>428</v>
      </c>
      <c r="AB61" s="79" t="s">
        <v>12</v>
      </c>
      <c r="AE61" s="932"/>
      <c r="AF61" s="183"/>
      <c r="AG61" s="125" t="s">
        <v>239</v>
      </c>
      <c r="AH61" s="125" t="s">
        <v>11</v>
      </c>
      <c r="AI61" s="79" t="s">
        <v>428</v>
      </c>
      <c r="AK61" s="79" t="s">
        <v>12</v>
      </c>
      <c r="AN61" s="932"/>
      <c r="AO61" s="183"/>
      <c r="AP61" s="125" t="s">
        <v>239</v>
      </c>
      <c r="AQ61" s="125" t="s">
        <v>11</v>
      </c>
      <c r="AR61" s="79" t="s">
        <v>428</v>
      </c>
      <c r="AT61" s="79" t="s">
        <v>12</v>
      </c>
      <c r="AW61" s="932"/>
      <c r="AX61" s="183"/>
      <c r="AY61" s="125" t="s">
        <v>239</v>
      </c>
      <c r="AZ61" s="125" t="s">
        <v>11</v>
      </c>
      <c r="BA61" s="79" t="s">
        <v>428</v>
      </c>
      <c r="BC61" s="79" t="s">
        <v>12</v>
      </c>
      <c r="BF61" s="932"/>
      <c r="BG61" s="715"/>
      <c r="BH61" s="132" t="s">
        <v>239</v>
      </c>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0">
        <f>SUM(F62,O62,X62,AG62,AP62,AY62)</f>
        <v>0</v>
      </c>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0">
        <f>SUM(F63,O63,X63,AG63,AP63,AY63)</f>
        <v>0</v>
      </c>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0">
        <f>SUM(F64,O64,X64,AG64,AP64,AY64)</f>
        <v>0</v>
      </c>
      <c r="BI64" s="331">
        <f>M64+V64+AE64+AN64+AW64+BF64</f>
        <v>0</v>
      </c>
    </row>
    <row r="65" spans="1:61"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0">
        <f>SUM(F65,O65,X65,AG65,AP65,AY65)</f>
        <v>0</v>
      </c>
      <c r="BI65" s="331">
        <f>M65+V65+AE65+AN65+AW65+BF65</f>
        <v>0</v>
      </c>
    </row>
    <row r="66" spans="1:61"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7">
        <f>SUM(BH61:BH65)</f>
        <v>0</v>
      </c>
      <c r="BI66" s="403">
        <f>M66+V66+AE66+AN66+AW66+BF66</f>
        <v>0</v>
      </c>
    </row>
    <row r="67" spans="1:61"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1"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1"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1"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row>
    <row r="71" spans="1:61"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1"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1"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1"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1"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1"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1" s="123"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1"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1"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1"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89"/>
      <c r="F87" s="665"/>
      <c r="G87" s="663"/>
      <c r="H87" s="664"/>
      <c r="I87" s="664"/>
      <c r="J87" s="664"/>
      <c r="K87" s="664"/>
      <c r="L87" s="664"/>
      <c r="M87" s="937">
        <f>M82+M86</f>
        <v>0</v>
      </c>
      <c r="N87" s="93"/>
      <c r="O87" s="663"/>
      <c r="P87" s="663"/>
      <c r="Q87" s="664"/>
      <c r="R87" s="664"/>
      <c r="S87" s="664"/>
      <c r="T87" s="664"/>
      <c r="U87" s="664"/>
      <c r="V87" s="937">
        <f>V82+V86</f>
        <v>0</v>
      </c>
      <c r="W87" s="93"/>
      <c r="X87" s="663"/>
      <c r="Y87" s="663"/>
      <c r="Z87" s="664"/>
      <c r="AA87" s="664"/>
      <c r="AB87" s="664"/>
      <c r="AC87" s="664"/>
      <c r="AD87" s="664"/>
      <c r="AE87" s="937">
        <f>AE82+AE86</f>
        <v>0</v>
      </c>
      <c r="AF87" s="179"/>
      <c r="AG87" s="663"/>
      <c r="AH87" s="663"/>
      <c r="AI87" s="664"/>
      <c r="AJ87" s="664"/>
      <c r="AK87" s="664"/>
      <c r="AL87" s="664"/>
      <c r="AM87" s="664"/>
      <c r="AN87" s="937">
        <f>AN82+AN86</f>
        <v>0</v>
      </c>
      <c r="AO87" s="179"/>
      <c r="AP87" s="663"/>
      <c r="AQ87" s="663"/>
      <c r="AR87" s="664"/>
      <c r="AS87" s="664"/>
      <c r="AT87" s="664"/>
      <c r="AU87" s="664"/>
      <c r="AV87" s="664"/>
      <c r="AW87" s="937">
        <f>AW82+AW86</f>
        <v>0</v>
      </c>
      <c r="AX87" s="179"/>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258</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25.25" customHeight="1" x14ac:dyDescent="0.2">
      <c r="B92" s="566" t="s">
        <v>81</v>
      </c>
      <c r="C92" s="1444" t="s">
        <v>494</v>
      </c>
      <c r="D92" s="1444"/>
      <c r="E92" s="632"/>
      <c r="F92" s="632"/>
      <c r="G92" s="632"/>
      <c r="H92" s="632"/>
      <c r="I92" s="632"/>
      <c r="J92" s="632"/>
      <c r="K92" s="632"/>
      <c r="L92" s="632"/>
      <c r="M92" s="632"/>
      <c r="N92" s="632"/>
      <c r="O92" s="632"/>
      <c r="Z92" s="29"/>
    </row>
    <row r="93" spans="2:61" ht="30" customHeight="1" x14ac:dyDescent="0.2">
      <c r="B93" s="610" t="s">
        <v>42</v>
      </c>
      <c r="C93" s="1441" t="s">
        <v>651</v>
      </c>
      <c r="D93" s="1441"/>
    </row>
    <row r="94" spans="2:61" ht="43.5" customHeight="1" x14ac:dyDescent="0.2">
      <c r="B94" s="641" t="s">
        <v>13</v>
      </c>
      <c r="C94" s="1441" t="s">
        <v>652</v>
      </c>
      <c r="D94" s="1441"/>
    </row>
    <row r="95" spans="2:61" ht="58.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5.75" customHeight="1" x14ac:dyDescent="0.2">
      <c r="B96" s="641" t="s">
        <v>45</v>
      </c>
      <c r="C96" s="1489" t="s">
        <v>654</v>
      </c>
      <c r="D96" s="1489"/>
      <c r="E96" s="633"/>
      <c r="F96" s="633"/>
      <c r="G96" s="633"/>
      <c r="H96" s="633"/>
      <c r="I96" s="633"/>
      <c r="J96" s="633"/>
      <c r="K96" s="633"/>
      <c r="L96" s="633"/>
      <c r="M96" s="633"/>
      <c r="N96" s="633"/>
      <c r="O96" s="633"/>
      <c r="P96" s="633"/>
      <c r="Q96" s="633"/>
      <c r="R96" s="633"/>
    </row>
    <row r="97" spans="2:4" ht="68.25"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4">
    <mergeCell ref="C111:D111"/>
    <mergeCell ref="C112:D112"/>
    <mergeCell ref="C113:D113"/>
    <mergeCell ref="C106:D106"/>
    <mergeCell ref="C107:D107"/>
    <mergeCell ref="C108:D108"/>
    <mergeCell ref="C109:D109"/>
    <mergeCell ref="C110:D110"/>
    <mergeCell ref="C101:D101"/>
    <mergeCell ref="C102:D102"/>
    <mergeCell ref="C103:D103"/>
    <mergeCell ref="C104:D104"/>
    <mergeCell ref="C105:D105"/>
    <mergeCell ref="C92:D92"/>
    <mergeCell ref="C93:D93"/>
    <mergeCell ref="C94:D94"/>
    <mergeCell ref="C95:D95"/>
    <mergeCell ref="C100:D100"/>
    <mergeCell ref="C97:D97"/>
    <mergeCell ref="C96:D96"/>
    <mergeCell ref="AS4:AT4"/>
    <mergeCell ref="I5:J5"/>
    <mergeCell ref="R5:S5"/>
    <mergeCell ref="AJ5:AK5"/>
    <mergeCell ref="AS5:AT5"/>
    <mergeCell ref="AA5:AB5"/>
    <mergeCell ref="I4:J4"/>
    <mergeCell ref="R4:S4"/>
    <mergeCell ref="AJ4:AK4"/>
    <mergeCell ref="AS6:AT6"/>
    <mergeCell ref="I6:J6"/>
    <mergeCell ref="R6:S6"/>
    <mergeCell ref="AA6:AB6"/>
    <mergeCell ref="AJ6:AK6"/>
  </mergeCells>
  <phoneticPr fontId="18" type="noConversion"/>
  <pageMargins left="0.25" right="0.25" top="0.75" bottom="0.75" header="0.3" footer="0.3"/>
  <pageSetup scale="39" fitToHeight="3"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E8D9F3"/>
    <pageSetUpPr fitToPage="1"/>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8" t="s">
        <v>437</v>
      </c>
      <c r="C1" s="880"/>
      <c r="D1" s="563" t="s">
        <v>242</v>
      </c>
      <c r="E1" s="879"/>
      <c r="F1" s="880"/>
      <c r="G1" s="880"/>
      <c r="H1" s="880"/>
      <c r="I1" s="880"/>
      <c r="J1" s="880"/>
      <c r="K1" s="880"/>
      <c r="L1" s="880"/>
      <c r="M1" s="880"/>
      <c r="N1" s="880"/>
      <c r="O1" s="880"/>
      <c r="P1" s="880"/>
      <c r="Q1" s="880"/>
      <c r="R1" s="880"/>
      <c r="S1" s="880"/>
      <c r="T1" s="880"/>
      <c r="U1" s="880"/>
      <c r="V1" s="880"/>
      <c r="W1" s="880"/>
      <c r="X1" s="880"/>
      <c r="Y1" s="880"/>
      <c r="Z1" s="880"/>
      <c r="AA1" s="880"/>
      <c r="AB1" s="880"/>
      <c r="AC1" s="880"/>
      <c r="AD1" s="880"/>
      <c r="AE1" s="880"/>
      <c r="AF1" s="880"/>
      <c r="AG1" s="880"/>
      <c r="AH1" s="880"/>
      <c r="AI1" s="880"/>
      <c r="AJ1" s="880"/>
      <c r="AK1" s="880"/>
      <c r="AL1" s="880"/>
      <c r="AM1" s="880"/>
      <c r="AN1" s="880"/>
      <c r="AO1" s="880"/>
      <c r="AP1" s="880"/>
      <c r="AQ1" s="880"/>
      <c r="AR1" s="880"/>
      <c r="AS1" s="880"/>
      <c r="AT1" s="880"/>
      <c r="AU1" s="880"/>
      <c r="AV1" s="880"/>
      <c r="AW1" s="880"/>
      <c r="AX1" s="880"/>
      <c r="AY1" s="880"/>
      <c r="AZ1" s="880"/>
      <c r="BA1" s="880"/>
      <c r="BB1" s="880"/>
      <c r="BC1" s="880"/>
      <c r="BD1" s="880"/>
      <c r="BE1" s="880"/>
      <c r="BF1" s="880"/>
      <c r="BG1" s="880"/>
      <c r="BH1" s="880"/>
      <c r="BI1" s="880"/>
      <c r="BJ1" s="880"/>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1496" t="s">
        <v>40</v>
      </c>
      <c r="BJ6" s="1497"/>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49"/>
      <c r="F48" s="412">
        <f>SUM(F8:F47)</f>
        <v>0</v>
      </c>
      <c r="G48" s="71"/>
      <c r="H48" s="74">
        <f>SUM(H8:H47)</f>
        <v>0</v>
      </c>
      <c r="I48" s="7"/>
      <c r="J48" s="73"/>
      <c r="K48" s="7"/>
      <c r="L48" s="7"/>
      <c r="M48" s="85"/>
      <c r="N48" s="353"/>
      <c r="O48" s="412">
        <f>SUM(O8:O47)</f>
        <v>0</v>
      </c>
      <c r="P48" s="3"/>
      <c r="Q48" s="74">
        <f>SUM(Q8:Q47)</f>
        <v>0</v>
      </c>
      <c r="R48" s="7"/>
      <c r="S48" s="7"/>
      <c r="T48" s="7"/>
      <c r="U48" s="7"/>
      <c r="V48" s="85"/>
      <c r="W48" s="353"/>
      <c r="X48" s="78">
        <f>SUM(X8:X47)</f>
        <v>0</v>
      </c>
      <c r="Y48" s="3"/>
      <c r="Z48" s="73">
        <f>SUM(Z8:Z47)</f>
        <v>0</v>
      </c>
      <c r="AA48" s="7"/>
      <c r="AB48" s="7"/>
      <c r="AC48" s="7"/>
      <c r="AD48" s="7"/>
      <c r="AE48" s="85"/>
      <c r="AF48" s="353"/>
      <c r="AG48" s="78">
        <f>SUM(AG8:AG47)</f>
        <v>0</v>
      </c>
      <c r="AH48" s="3"/>
      <c r="AI48" s="73">
        <f>SUM(AI8:AI47)</f>
        <v>0</v>
      </c>
      <c r="AJ48" s="7"/>
      <c r="AK48" s="7"/>
      <c r="AL48" s="7"/>
      <c r="AM48" s="7"/>
      <c r="AN48" s="85"/>
      <c r="AO48" s="353"/>
      <c r="AP48" s="78">
        <f>SUM(AP8:AP47)</f>
        <v>0</v>
      </c>
      <c r="AQ48" s="3"/>
      <c r="AR48" s="73">
        <f>SUM(AR8:AR47)</f>
        <v>0</v>
      </c>
      <c r="AS48" s="7"/>
      <c r="AT48" s="7"/>
      <c r="AU48" s="7"/>
      <c r="AV48" s="7"/>
      <c r="AW48" s="85"/>
      <c r="AX48" s="353"/>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89"/>
      <c r="F49" s="80"/>
      <c r="G49" s="5"/>
      <c r="H49" s="64"/>
      <c r="I49" s="64"/>
      <c r="J49" s="74">
        <f>SUM(J8:J47)</f>
        <v>0</v>
      </c>
      <c r="K49" s="64"/>
      <c r="L49" s="64"/>
      <c r="M49" s="232">
        <f>J49</f>
        <v>0</v>
      </c>
      <c r="N49" s="93"/>
      <c r="O49" s="80"/>
      <c r="P49" s="5"/>
      <c r="Q49" s="64"/>
      <c r="R49" s="64"/>
      <c r="S49" s="74">
        <f>SUM(S8:S47)</f>
        <v>0</v>
      </c>
      <c r="T49" s="64"/>
      <c r="U49" s="64"/>
      <c r="V49" s="232">
        <f>S49</f>
        <v>0</v>
      </c>
      <c r="W49" s="93"/>
      <c r="X49" s="80"/>
      <c r="Y49" s="5"/>
      <c r="Z49" s="64"/>
      <c r="AA49" s="64"/>
      <c r="AB49" s="74">
        <f>SUM(AB8:AB47)</f>
        <v>0</v>
      </c>
      <c r="AC49" s="64"/>
      <c r="AD49" s="64"/>
      <c r="AE49" s="232">
        <f>AB49</f>
        <v>0</v>
      </c>
      <c r="AF49" s="93"/>
      <c r="AG49" s="80"/>
      <c r="AH49" s="5"/>
      <c r="AI49" s="64"/>
      <c r="AJ49" s="64"/>
      <c r="AK49" s="74">
        <f>SUM(AK8:AK47)</f>
        <v>0</v>
      </c>
      <c r="AL49" s="64"/>
      <c r="AM49" s="64"/>
      <c r="AN49" s="232">
        <f>AK49</f>
        <v>0</v>
      </c>
      <c r="AO49" s="93"/>
      <c r="AP49" s="80"/>
      <c r="AQ49" s="5"/>
      <c r="AR49" s="64"/>
      <c r="AS49" s="64"/>
      <c r="AT49" s="74">
        <f>SUM(AT8:AT47)</f>
        <v>0</v>
      </c>
      <c r="AU49" s="64"/>
      <c r="AV49" s="64"/>
      <c r="AW49" s="232">
        <f>AT49</f>
        <v>0</v>
      </c>
      <c r="AX49" s="93"/>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tr">
        <f>'Base (Ph1)'!C50</f>
        <v>Insert line(s) &amp; title(s) for any other F/B rates</v>
      </c>
      <c r="D50" s="6"/>
      <c r="E50" s="89"/>
      <c r="F50" s="84">
        <f>H48</f>
        <v>0</v>
      </c>
      <c r="G50" s="76">
        <v>0</v>
      </c>
      <c r="H50" s="64"/>
      <c r="I50" s="64"/>
      <c r="J50" s="64"/>
      <c r="K50" s="64"/>
      <c r="L50" s="64"/>
      <c r="M50" s="929">
        <f>F50*G50</f>
        <v>0</v>
      </c>
      <c r="N50" s="93"/>
      <c r="O50" s="84">
        <f>Q48</f>
        <v>0</v>
      </c>
      <c r="P50" s="76"/>
      <c r="Q50" s="64"/>
      <c r="R50" s="64"/>
      <c r="S50" s="64"/>
      <c r="T50" s="64"/>
      <c r="U50" s="64"/>
      <c r="V50" s="929">
        <f>O50*P50</f>
        <v>0</v>
      </c>
      <c r="W50" s="93"/>
      <c r="X50" s="84">
        <f>Z48</f>
        <v>0</v>
      </c>
      <c r="Y50" s="76"/>
      <c r="Z50" s="64"/>
      <c r="AA50" s="64"/>
      <c r="AB50" s="64"/>
      <c r="AC50" s="64"/>
      <c r="AD50" s="64"/>
      <c r="AE50" s="929">
        <f>X50*Y50</f>
        <v>0</v>
      </c>
      <c r="AF50" s="93"/>
      <c r="AG50" s="84">
        <f>AI48</f>
        <v>0</v>
      </c>
      <c r="AH50" s="76"/>
      <c r="AI50" s="64"/>
      <c r="AJ50" s="64"/>
      <c r="AK50" s="64"/>
      <c r="AL50" s="64"/>
      <c r="AM50" s="64"/>
      <c r="AN50" s="929">
        <f>AG50*AH50</f>
        <v>0</v>
      </c>
      <c r="AO50" s="93"/>
      <c r="AP50" s="84">
        <f>AR48</f>
        <v>0</v>
      </c>
      <c r="AQ50" s="76"/>
      <c r="AR50" s="64"/>
      <c r="AS50" s="64"/>
      <c r="AT50" s="64"/>
      <c r="AU50" s="64"/>
      <c r="AV50" s="64"/>
      <c r="AW50" s="929">
        <f>AP50*AQ50</f>
        <v>0</v>
      </c>
      <c r="AX50" s="93"/>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90"/>
      <c r="F51" s="81"/>
      <c r="G51" s="3"/>
      <c r="H51" s="7"/>
      <c r="I51" s="7"/>
      <c r="J51" s="7"/>
      <c r="K51" s="7"/>
      <c r="L51" s="7"/>
      <c r="M51" s="936">
        <f>SUM(M49:M50)</f>
        <v>0</v>
      </c>
      <c r="N51" s="179"/>
      <c r="O51" s="81"/>
      <c r="P51" s="3"/>
      <c r="Q51" s="7"/>
      <c r="R51" s="7"/>
      <c r="S51" s="7"/>
      <c r="T51" s="7"/>
      <c r="U51" s="7"/>
      <c r="V51" s="936">
        <f>SUM(V49:V50)</f>
        <v>0</v>
      </c>
      <c r="W51" s="179"/>
      <c r="X51" s="81"/>
      <c r="Y51" s="3"/>
      <c r="Z51" s="7"/>
      <c r="AA51" s="7"/>
      <c r="AB51" s="7"/>
      <c r="AC51" s="7"/>
      <c r="AD51" s="7"/>
      <c r="AE51" s="936">
        <f>SUM(AE49:AE50)</f>
        <v>0</v>
      </c>
      <c r="AF51" s="179"/>
      <c r="AG51" s="81"/>
      <c r="AH51" s="3"/>
      <c r="AI51" s="7"/>
      <c r="AJ51" s="7"/>
      <c r="AK51" s="7"/>
      <c r="AL51" s="7"/>
      <c r="AM51" s="7"/>
      <c r="AN51" s="936">
        <f>SUM(AN49:AN50)</f>
        <v>0</v>
      </c>
      <c r="AO51" s="179"/>
      <c r="AP51" s="81"/>
      <c r="AQ51" s="3"/>
      <c r="AR51" s="7"/>
      <c r="AS51" s="7"/>
      <c r="AT51" s="7"/>
      <c r="AU51" s="7"/>
      <c r="AV51" s="7"/>
      <c r="AW51" s="936">
        <f>SUM(AW49:AW50)</f>
        <v>0</v>
      </c>
      <c r="AX51" s="179"/>
      <c r="AY51" s="11"/>
      <c r="AZ51" s="3"/>
      <c r="BA51" s="7"/>
      <c r="BB51" s="7"/>
      <c r="BC51" s="7"/>
      <c r="BD51" s="7"/>
      <c r="BE51" s="7"/>
      <c r="BF51" s="936">
        <f>SUM(BF49:BF50)</f>
        <v>0</v>
      </c>
      <c r="BG51" s="683"/>
      <c r="BH51" s="20"/>
      <c r="BI51" s="403">
        <f>SUM(F51:BF51)</f>
        <v>0</v>
      </c>
    </row>
    <row r="52" spans="2:61" ht="13.5" thickBot="1" x14ac:dyDescent="0.25">
      <c r="B52" s="14"/>
      <c r="C52" s="127" t="s">
        <v>237</v>
      </c>
      <c r="D52" s="6"/>
      <c r="E52" s="89"/>
      <c r="F52" s="80"/>
      <c r="G52" s="5"/>
      <c r="H52" s="64"/>
      <c r="I52" s="64"/>
      <c r="J52" s="64"/>
      <c r="K52" s="64"/>
      <c r="L52" s="74">
        <f>SUM(L8:L47)</f>
        <v>0</v>
      </c>
      <c r="M52" s="232">
        <f>L52</f>
        <v>0</v>
      </c>
      <c r="N52" s="93"/>
      <c r="O52" s="80"/>
      <c r="P52" s="5"/>
      <c r="Q52" s="64"/>
      <c r="R52" s="64"/>
      <c r="S52" s="64"/>
      <c r="T52" s="64"/>
      <c r="U52" s="74">
        <f>SUM(U8:U47)</f>
        <v>0</v>
      </c>
      <c r="V52" s="232">
        <f>U52</f>
        <v>0</v>
      </c>
      <c r="W52" s="93"/>
      <c r="X52" s="80"/>
      <c r="Y52" s="5"/>
      <c r="Z52" s="64"/>
      <c r="AA52" s="64"/>
      <c r="AB52" s="64"/>
      <c r="AC52" s="64"/>
      <c r="AD52" s="74">
        <f>SUM(AD8:AD47)</f>
        <v>0</v>
      </c>
      <c r="AE52" s="232">
        <f>AD52</f>
        <v>0</v>
      </c>
      <c r="AF52" s="93"/>
      <c r="AG52" s="80"/>
      <c r="AH52" s="5"/>
      <c r="AI52" s="64"/>
      <c r="AJ52" s="64"/>
      <c r="AK52" s="64"/>
      <c r="AL52" s="64"/>
      <c r="AM52" s="74">
        <f>SUM(AM8:AM47)</f>
        <v>0</v>
      </c>
      <c r="AN52" s="232">
        <f>AM52</f>
        <v>0</v>
      </c>
      <c r="AO52" s="93"/>
      <c r="AP52" s="80"/>
      <c r="AQ52" s="5"/>
      <c r="AR52" s="64"/>
      <c r="AS52" s="64"/>
      <c r="AT52" s="64"/>
      <c r="AU52" s="64"/>
      <c r="AV52" s="74">
        <f>SUM(AV8:AV47)</f>
        <v>0</v>
      </c>
      <c r="AW52" s="232">
        <f>AV52</f>
        <v>0</v>
      </c>
      <c r="AX52" s="93"/>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tr">
        <f>'Base (Ph1)'!C53</f>
        <v>Insert line(s) &amp; title(s) for any other O/H rates</v>
      </c>
      <c r="D53" s="6"/>
      <c r="E53" s="89"/>
      <c r="F53" s="84">
        <f>H48+M51</f>
        <v>0</v>
      </c>
      <c r="G53" s="76">
        <v>0</v>
      </c>
      <c r="H53" s="64"/>
      <c r="I53" s="64"/>
      <c r="J53" s="64"/>
      <c r="K53" s="64"/>
      <c r="L53" s="64"/>
      <c r="M53" s="929">
        <f>F53*G53</f>
        <v>0</v>
      </c>
      <c r="N53" s="93"/>
      <c r="O53" s="84">
        <f>Q48+V51</f>
        <v>0</v>
      </c>
      <c r="P53" s="76"/>
      <c r="Q53" s="64"/>
      <c r="R53" s="64"/>
      <c r="S53" s="64"/>
      <c r="T53" s="64"/>
      <c r="U53" s="64"/>
      <c r="V53" s="929">
        <f>O53*P53</f>
        <v>0</v>
      </c>
      <c r="W53" s="93"/>
      <c r="X53" s="84">
        <f>Z48+AE51</f>
        <v>0</v>
      </c>
      <c r="Y53" s="76"/>
      <c r="Z53" s="64"/>
      <c r="AA53" s="64"/>
      <c r="AB53" s="64"/>
      <c r="AC53" s="64"/>
      <c r="AD53" s="64"/>
      <c r="AE53" s="929">
        <f>X53*Y53</f>
        <v>0</v>
      </c>
      <c r="AF53" s="93"/>
      <c r="AG53" s="84">
        <f>AI48+AN51</f>
        <v>0</v>
      </c>
      <c r="AH53" s="76"/>
      <c r="AI53" s="64"/>
      <c r="AJ53" s="64"/>
      <c r="AK53" s="64"/>
      <c r="AL53" s="64"/>
      <c r="AM53" s="64"/>
      <c r="AN53" s="929">
        <f>AG53*AH53</f>
        <v>0</v>
      </c>
      <c r="AO53" s="93"/>
      <c r="AP53" s="84">
        <f>AR48+AW51</f>
        <v>0</v>
      </c>
      <c r="AQ53" s="76"/>
      <c r="AR53" s="64"/>
      <c r="AS53" s="64"/>
      <c r="AT53" s="64"/>
      <c r="AU53" s="64"/>
      <c r="AV53" s="64"/>
      <c r="AW53" s="929">
        <f>AP53*AQ53</f>
        <v>0</v>
      </c>
      <c r="AX53" s="93"/>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90"/>
      <c r="F54" s="81"/>
      <c r="G54" s="3"/>
      <c r="H54" s="7"/>
      <c r="I54" s="7"/>
      <c r="J54" s="7"/>
      <c r="K54" s="7"/>
      <c r="L54" s="7"/>
      <c r="M54" s="936">
        <f>SUM(M52:M53)</f>
        <v>0</v>
      </c>
      <c r="N54" s="179"/>
      <c r="O54" s="81"/>
      <c r="P54" s="3"/>
      <c r="Q54" s="7"/>
      <c r="R54" s="7"/>
      <c r="S54" s="7"/>
      <c r="T54" s="7"/>
      <c r="U54" s="7"/>
      <c r="V54" s="936">
        <f>SUM(V52:V53)</f>
        <v>0</v>
      </c>
      <c r="W54" s="179"/>
      <c r="X54" s="81"/>
      <c r="Y54" s="3"/>
      <c r="Z54" s="7"/>
      <c r="AA54" s="7"/>
      <c r="AB54" s="7"/>
      <c r="AC54" s="7"/>
      <c r="AD54" s="7"/>
      <c r="AE54" s="936">
        <f>SUM(AE52:AE53)</f>
        <v>0</v>
      </c>
      <c r="AF54" s="179"/>
      <c r="AG54" s="81"/>
      <c r="AH54" s="3"/>
      <c r="AI54" s="7"/>
      <c r="AJ54" s="7"/>
      <c r="AK54" s="7"/>
      <c r="AL54" s="7"/>
      <c r="AM54" s="7"/>
      <c r="AN54" s="936">
        <f>SUM(AN52:AN53)</f>
        <v>0</v>
      </c>
      <c r="AO54" s="179"/>
      <c r="AP54" s="81"/>
      <c r="AQ54" s="3"/>
      <c r="AR54" s="7"/>
      <c r="AS54" s="7"/>
      <c r="AT54" s="7"/>
      <c r="AU54" s="7"/>
      <c r="AV54" s="7"/>
      <c r="AW54" s="936">
        <f>SUM(AW52:AW53)</f>
        <v>0</v>
      </c>
      <c r="AX54" s="179"/>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42"/>
      <c r="F55" s="79"/>
      <c r="G55" s="1"/>
      <c r="H55" s="6"/>
      <c r="I55" s="6"/>
      <c r="J55" s="6"/>
      <c r="K55" s="6"/>
      <c r="L55" s="6"/>
      <c r="M55" s="932"/>
      <c r="N55" s="180"/>
      <c r="O55" s="79"/>
      <c r="P55" s="1"/>
      <c r="Q55" s="6"/>
      <c r="R55" s="6"/>
      <c r="S55" s="6"/>
      <c r="T55" s="6"/>
      <c r="U55" s="6"/>
      <c r="V55" s="932"/>
      <c r="W55" s="180"/>
      <c r="X55" s="79"/>
      <c r="Y55" s="1"/>
      <c r="Z55" s="6"/>
      <c r="AA55" s="6"/>
      <c r="AB55" s="6"/>
      <c r="AC55" s="6"/>
      <c r="AD55" s="6"/>
      <c r="AE55" s="932"/>
      <c r="AF55" s="180"/>
      <c r="AG55" s="79"/>
      <c r="AH55" s="79"/>
      <c r="AI55" s="79"/>
      <c r="AJ55" s="79"/>
      <c r="AK55" s="79"/>
      <c r="AL55" s="79"/>
      <c r="AM55" s="6"/>
      <c r="AN55" s="932"/>
      <c r="AO55" s="180"/>
      <c r="AP55" s="79"/>
      <c r="AQ55" s="79"/>
      <c r="AR55" s="79"/>
      <c r="AS55" s="79"/>
      <c r="AT55" s="79"/>
      <c r="AU55" s="79"/>
      <c r="AV55" s="6"/>
      <c r="AW55" s="932"/>
      <c r="AX55" s="180"/>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43"/>
      <c r="F56" s="100"/>
      <c r="G56" s="101"/>
      <c r="H56" s="102"/>
      <c r="I56" s="102"/>
      <c r="J56" s="102"/>
      <c r="K56" s="102"/>
      <c r="L56" s="102"/>
      <c r="M56" s="385">
        <v>0</v>
      </c>
      <c r="N56" s="181"/>
      <c r="O56" s="100"/>
      <c r="P56" s="101"/>
      <c r="Q56" s="102"/>
      <c r="R56" s="102"/>
      <c r="S56" s="102"/>
      <c r="T56" s="102"/>
      <c r="U56" s="102"/>
      <c r="V56" s="385">
        <v>0</v>
      </c>
      <c r="W56" s="181"/>
      <c r="X56" s="100"/>
      <c r="Y56" s="101"/>
      <c r="Z56" s="102"/>
      <c r="AA56" s="102"/>
      <c r="AB56" s="102"/>
      <c r="AC56" s="102"/>
      <c r="AD56" s="102"/>
      <c r="AE56" s="385">
        <v>0</v>
      </c>
      <c r="AF56" s="181"/>
      <c r="AG56" s="100"/>
      <c r="AH56" s="101"/>
      <c r="AI56" s="102"/>
      <c r="AJ56" s="102"/>
      <c r="AK56" s="102"/>
      <c r="AL56" s="102"/>
      <c r="AM56" s="102"/>
      <c r="AN56" s="385">
        <v>0</v>
      </c>
      <c r="AO56" s="181"/>
      <c r="AP56" s="100"/>
      <c r="AQ56" s="101"/>
      <c r="AR56" s="102"/>
      <c r="AS56" s="102"/>
      <c r="AT56" s="102"/>
      <c r="AU56" s="102"/>
      <c r="AV56" s="102"/>
      <c r="AW56" s="385">
        <v>0</v>
      </c>
      <c r="AX56" s="181"/>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43"/>
      <c r="F57" s="100"/>
      <c r="G57" s="101"/>
      <c r="H57" s="102"/>
      <c r="I57" s="102"/>
      <c r="J57" s="102"/>
      <c r="K57" s="102"/>
      <c r="L57" s="102"/>
      <c r="M57" s="385">
        <v>0</v>
      </c>
      <c r="N57" s="181"/>
      <c r="O57" s="100"/>
      <c r="P57" s="101"/>
      <c r="Q57" s="102"/>
      <c r="R57" s="102"/>
      <c r="S57" s="102"/>
      <c r="T57" s="102"/>
      <c r="U57" s="102"/>
      <c r="V57" s="385">
        <v>0</v>
      </c>
      <c r="W57" s="181"/>
      <c r="X57" s="100"/>
      <c r="Y57" s="101"/>
      <c r="Z57" s="102"/>
      <c r="AA57" s="102"/>
      <c r="AB57" s="102"/>
      <c r="AC57" s="102"/>
      <c r="AD57" s="102"/>
      <c r="AE57" s="385">
        <v>0</v>
      </c>
      <c r="AF57" s="181"/>
      <c r="AG57" s="100"/>
      <c r="AH57" s="101"/>
      <c r="AI57" s="102"/>
      <c r="AJ57" s="102"/>
      <c r="AK57" s="102"/>
      <c r="AL57" s="102"/>
      <c r="AM57" s="102"/>
      <c r="AN57" s="385">
        <v>0</v>
      </c>
      <c r="AO57" s="181"/>
      <c r="AP57" s="100"/>
      <c r="AQ57" s="101"/>
      <c r="AR57" s="102"/>
      <c r="AS57" s="102"/>
      <c r="AT57" s="102"/>
      <c r="AU57" s="102"/>
      <c r="AV57" s="102"/>
      <c r="AW57" s="385">
        <v>0</v>
      </c>
      <c r="AX57" s="181"/>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43"/>
      <c r="F58" s="100"/>
      <c r="G58" s="101"/>
      <c r="H58" s="102"/>
      <c r="I58" s="102"/>
      <c r="J58" s="102"/>
      <c r="K58" s="102"/>
      <c r="L58" s="102"/>
      <c r="M58" s="385">
        <v>0</v>
      </c>
      <c r="N58" s="181"/>
      <c r="O58" s="100"/>
      <c r="P58" s="101"/>
      <c r="Q58" s="102"/>
      <c r="R58" s="102"/>
      <c r="S58" s="102"/>
      <c r="T58" s="102"/>
      <c r="U58" s="102"/>
      <c r="V58" s="385">
        <v>0</v>
      </c>
      <c r="W58" s="181"/>
      <c r="X58" s="100"/>
      <c r="Y58" s="101"/>
      <c r="Z58" s="102"/>
      <c r="AA58" s="102"/>
      <c r="AB58" s="102"/>
      <c r="AC58" s="102"/>
      <c r="AD58" s="102"/>
      <c r="AE58" s="385">
        <v>0</v>
      </c>
      <c r="AF58" s="181"/>
      <c r="AG58" s="100"/>
      <c r="AH58" s="101"/>
      <c r="AI58" s="102"/>
      <c r="AJ58" s="102"/>
      <c r="AK58" s="102"/>
      <c r="AL58" s="102"/>
      <c r="AM58" s="102"/>
      <c r="AN58" s="385">
        <v>0</v>
      </c>
      <c r="AO58" s="181"/>
      <c r="AP58" s="100"/>
      <c r="AQ58" s="101"/>
      <c r="AR58" s="102"/>
      <c r="AS58" s="102"/>
      <c r="AT58" s="102"/>
      <c r="AU58" s="102"/>
      <c r="AV58" s="102"/>
      <c r="AW58" s="385">
        <v>0</v>
      </c>
      <c r="AX58" s="181"/>
      <c r="AY58" s="103"/>
      <c r="AZ58" s="100"/>
      <c r="BA58" s="100"/>
      <c r="BB58" s="100"/>
      <c r="BC58" s="100"/>
      <c r="BD58" s="100"/>
      <c r="BE58" s="102"/>
      <c r="BF58" s="385">
        <v>0</v>
      </c>
      <c r="BG58" s="715"/>
      <c r="BH58" s="94"/>
      <c r="BI58" s="331">
        <f>M58+V58+AE58+AN58+AW58+BF58</f>
        <v>0</v>
      </c>
    </row>
    <row r="59" spans="2:61" ht="24.75" thickBot="1" x14ac:dyDescent="0.25">
      <c r="B59" s="643" t="s">
        <v>64</v>
      </c>
      <c r="C59" s="394" t="str">
        <f>'Base (Ph1)'!C59</f>
        <v xml:space="preserve">Insert line(s) for any additional Subcontractors/Interorganizational </v>
      </c>
      <c r="D59" s="87" t="s">
        <v>78</v>
      </c>
      <c r="E59" s="343"/>
      <c r="F59" s="100"/>
      <c r="G59" s="101"/>
      <c r="H59" s="102"/>
      <c r="I59" s="102"/>
      <c r="J59" s="102"/>
      <c r="K59" s="102"/>
      <c r="L59" s="102"/>
      <c r="M59" s="930">
        <v>0</v>
      </c>
      <c r="N59" s="181"/>
      <c r="O59" s="100"/>
      <c r="P59" s="101"/>
      <c r="Q59" s="102"/>
      <c r="R59" s="102"/>
      <c r="S59" s="102"/>
      <c r="T59" s="102"/>
      <c r="U59" s="102"/>
      <c r="V59" s="930">
        <v>0</v>
      </c>
      <c r="W59" s="181"/>
      <c r="X59" s="100"/>
      <c r="Y59" s="101"/>
      <c r="Z59" s="102"/>
      <c r="AA59" s="102"/>
      <c r="AB59" s="102"/>
      <c r="AC59" s="102"/>
      <c r="AD59" s="102"/>
      <c r="AE59" s="930">
        <v>0</v>
      </c>
      <c r="AF59" s="181"/>
      <c r="AG59" s="100"/>
      <c r="AH59" s="101"/>
      <c r="AI59" s="102"/>
      <c r="AJ59" s="102"/>
      <c r="AK59" s="102"/>
      <c r="AL59" s="102"/>
      <c r="AM59" s="102"/>
      <c r="AN59" s="930">
        <v>0</v>
      </c>
      <c r="AO59" s="181"/>
      <c r="AP59" s="100"/>
      <c r="AQ59" s="101"/>
      <c r="AR59" s="102"/>
      <c r="AS59" s="102"/>
      <c r="AT59" s="102"/>
      <c r="AU59" s="102"/>
      <c r="AV59" s="102"/>
      <c r="AW59" s="930">
        <v>0</v>
      </c>
      <c r="AX59" s="181"/>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44"/>
      <c r="F60" s="81"/>
      <c r="G60" s="3"/>
      <c r="H60" s="7"/>
      <c r="I60" s="7"/>
      <c r="J60" s="7"/>
      <c r="K60" s="7"/>
      <c r="L60" s="7"/>
      <c r="M60" s="936">
        <f>SUM(M55:M59)</f>
        <v>0</v>
      </c>
      <c r="N60" s="182"/>
      <c r="O60" s="81"/>
      <c r="P60" s="3"/>
      <c r="Q60" s="7"/>
      <c r="R60" s="7"/>
      <c r="S60" s="7"/>
      <c r="T60" s="7"/>
      <c r="U60" s="7"/>
      <c r="V60" s="936">
        <f>SUM(V55:V59)</f>
        <v>0</v>
      </c>
      <c r="W60" s="185"/>
      <c r="X60" s="81"/>
      <c r="Y60" s="3"/>
      <c r="Z60" s="7"/>
      <c r="AA60" s="7"/>
      <c r="AB60" s="7"/>
      <c r="AC60" s="7"/>
      <c r="AD60" s="7"/>
      <c r="AE60" s="936">
        <f>SUM(AE55:AE59)</f>
        <v>0</v>
      </c>
      <c r="AF60" s="182"/>
      <c r="AG60" s="81"/>
      <c r="AH60" s="3"/>
      <c r="AI60" s="7"/>
      <c r="AJ60" s="7"/>
      <c r="AK60" s="7"/>
      <c r="AL60" s="7"/>
      <c r="AM60" s="7"/>
      <c r="AN60" s="936">
        <f>SUM(AN55:AN59)</f>
        <v>0</v>
      </c>
      <c r="AO60" s="182"/>
      <c r="AP60" s="81"/>
      <c r="AQ60" s="3"/>
      <c r="AR60" s="7"/>
      <c r="AS60" s="7"/>
      <c r="AT60" s="7"/>
      <c r="AU60" s="7"/>
      <c r="AV60" s="7"/>
      <c r="AW60" s="936">
        <f>SUM(AW55:AW59)</f>
        <v>0</v>
      </c>
      <c r="AX60" s="182"/>
      <c r="AY60" s="3"/>
      <c r="AZ60" s="3"/>
      <c r="BA60" s="81"/>
      <c r="BB60" s="81"/>
      <c r="BC60" s="81"/>
      <c r="BD60" s="81"/>
      <c r="BE60" s="7"/>
      <c r="BF60" s="936">
        <f>SUM(BF55:BF59)</f>
        <v>0</v>
      </c>
      <c r="BG60" s="715"/>
      <c r="BH60" s="95"/>
      <c r="BI60" s="403">
        <f>M60+V60+AE60+AN60+AW60+BF60</f>
        <v>0</v>
      </c>
    </row>
    <row r="61" spans="2:61" x14ac:dyDescent="0.2">
      <c r="B61" s="14" t="s">
        <v>17</v>
      </c>
      <c r="C61" s="1"/>
      <c r="D61" s="88"/>
      <c r="E61" s="345"/>
      <c r="F61" s="125" t="s">
        <v>239</v>
      </c>
      <c r="G61" s="125" t="s">
        <v>253</v>
      </c>
      <c r="H61" s="79" t="s">
        <v>428</v>
      </c>
      <c r="J61" s="79" t="s">
        <v>12</v>
      </c>
      <c r="M61" s="932"/>
      <c r="N61" s="183"/>
      <c r="O61" s="125" t="s">
        <v>239</v>
      </c>
      <c r="P61" s="125" t="s">
        <v>253</v>
      </c>
      <c r="Q61" s="79" t="s">
        <v>428</v>
      </c>
      <c r="S61" s="79" t="s">
        <v>12</v>
      </c>
      <c r="V61" s="932"/>
      <c r="W61" s="185"/>
      <c r="X61" s="125" t="s">
        <v>239</v>
      </c>
      <c r="Y61" s="125" t="s">
        <v>253</v>
      </c>
      <c r="Z61" s="79" t="s">
        <v>428</v>
      </c>
      <c r="AB61" s="79" t="s">
        <v>12</v>
      </c>
      <c r="AE61" s="932"/>
      <c r="AF61" s="183"/>
      <c r="AG61" s="125" t="s">
        <v>239</v>
      </c>
      <c r="AH61" s="125" t="s">
        <v>253</v>
      </c>
      <c r="AI61" s="79" t="s">
        <v>428</v>
      </c>
      <c r="AK61" s="79" t="s">
        <v>12</v>
      </c>
      <c r="AN61" s="932"/>
      <c r="AO61" s="183"/>
      <c r="AP61" s="125" t="s">
        <v>239</v>
      </c>
      <c r="AQ61" s="125" t="s">
        <v>253</v>
      </c>
      <c r="AR61" s="79" t="s">
        <v>428</v>
      </c>
      <c r="AT61" s="79" t="s">
        <v>12</v>
      </c>
      <c r="AW61" s="932"/>
      <c r="AX61" s="183"/>
      <c r="AY61" s="125" t="s">
        <v>239</v>
      </c>
      <c r="AZ61" s="125" t="s">
        <v>253</v>
      </c>
      <c r="BA61" s="79" t="s">
        <v>428</v>
      </c>
      <c r="BC61" s="79" t="s">
        <v>12</v>
      </c>
      <c r="BF61" s="932"/>
      <c r="BG61" s="715"/>
      <c r="BH61" s="93"/>
      <c r="BI61" s="92"/>
    </row>
    <row r="62" spans="2:61" x14ac:dyDescent="0.2">
      <c r="B62" s="41"/>
      <c r="C62" s="394" t="str">
        <f>'Base (Ph1)'!C62</f>
        <v>Consultant Name - #01</v>
      </c>
      <c r="D62" s="36" t="s">
        <v>79</v>
      </c>
      <c r="E62" s="346"/>
      <c r="F62" s="386"/>
      <c r="G62" s="387"/>
      <c r="H62" s="387"/>
      <c r="J62" s="387"/>
      <c r="M62" s="91">
        <f>SUM((F62*G62),H62,J62)</f>
        <v>0</v>
      </c>
      <c r="N62" s="184"/>
      <c r="O62" s="386"/>
      <c r="P62" s="387"/>
      <c r="Q62" s="387"/>
      <c r="S62" s="387"/>
      <c r="V62" s="91">
        <f>SUM((O62*P62),Q62,S62)</f>
        <v>0</v>
      </c>
      <c r="W62" s="185"/>
      <c r="X62" s="386"/>
      <c r="Y62" s="387"/>
      <c r="Z62" s="387"/>
      <c r="AB62" s="387"/>
      <c r="AE62" s="91">
        <f>SUM((X62*Y62),Z62,AB62)</f>
        <v>0</v>
      </c>
      <c r="AF62" s="184"/>
      <c r="AG62" s="386"/>
      <c r="AH62" s="387"/>
      <c r="AI62" s="387"/>
      <c r="AK62" s="387"/>
      <c r="AN62" s="91">
        <f>SUM((AG62*AH62),AI62,AK62)</f>
        <v>0</v>
      </c>
      <c r="AO62" s="184"/>
      <c r="AP62" s="386"/>
      <c r="AQ62" s="387"/>
      <c r="AR62" s="387"/>
      <c r="AT62" s="387"/>
      <c r="AW62" s="91">
        <f>SUM((AP62*AQ62),AR62,AT62)</f>
        <v>0</v>
      </c>
      <c r="AX62" s="184"/>
      <c r="AY62" s="386"/>
      <c r="AZ62" s="387"/>
      <c r="BA62" s="387"/>
      <c r="BC62" s="387"/>
      <c r="BF62" s="91">
        <f>SUM((AY62*AZ62),BA62,BC62)</f>
        <v>0</v>
      </c>
      <c r="BG62" s="715"/>
      <c r="BH62" s="401"/>
      <c r="BI62" s="331">
        <f>M62+V62+AE62+AN62+AW62+BF62</f>
        <v>0</v>
      </c>
    </row>
    <row r="63" spans="2:61" x14ac:dyDescent="0.2">
      <c r="B63" s="8"/>
      <c r="C63" s="394" t="str">
        <f>'Base (Ph1)'!C63</f>
        <v>Consultant Name - #02</v>
      </c>
      <c r="D63" s="36" t="s">
        <v>79</v>
      </c>
      <c r="E63" s="346"/>
      <c r="F63" s="386"/>
      <c r="G63" s="387"/>
      <c r="H63" s="387"/>
      <c r="J63" s="387"/>
      <c r="M63" s="91">
        <f>SUM((F63*G63),H63,J63)</f>
        <v>0</v>
      </c>
      <c r="N63" s="184"/>
      <c r="O63" s="386"/>
      <c r="P63" s="387"/>
      <c r="Q63" s="387"/>
      <c r="S63" s="387"/>
      <c r="V63" s="91">
        <f>SUM((O63*P63),Q63,S63)</f>
        <v>0</v>
      </c>
      <c r="W63" s="185"/>
      <c r="X63" s="386"/>
      <c r="Y63" s="387"/>
      <c r="Z63" s="387"/>
      <c r="AB63" s="387"/>
      <c r="AE63" s="91">
        <f>SUM((X63*Y63),Z63,AB63)</f>
        <v>0</v>
      </c>
      <c r="AF63" s="184"/>
      <c r="AG63" s="386"/>
      <c r="AH63" s="387"/>
      <c r="AI63" s="387"/>
      <c r="AK63" s="387"/>
      <c r="AN63" s="91">
        <f>SUM((AG63*AH63),AI63,AK63)</f>
        <v>0</v>
      </c>
      <c r="AO63" s="184"/>
      <c r="AP63" s="386"/>
      <c r="AQ63" s="387"/>
      <c r="AR63" s="387"/>
      <c r="AT63" s="387"/>
      <c r="AW63" s="91">
        <f>SUM((AP63*AQ63),AR63,AT63)</f>
        <v>0</v>
      </c>
      <c r="AX63" s="184"/>
      <c r="AY63" s="386"/>
      <c r="AZ63" s="387"/>
      <c r="BA63" s="387"/>
      <c r="BC63" s="387"/>
      <c r="BF63" s="91">
        <f>SUM((AY63*AZ63),BA63,BC63)</f>
        <v>0</v>
      </c>
      <c r="BG63" s="715"/>
      <c r="BH63" s="401"/>
      <c r="BI63" s="331">
        <f>M63+V63+AE63+AN63+AW63+BF63</f>
        <v>0</v>
      </c>
    </row>
    <row r="64" spans="2:61" x14ac:dyDescent="0.2">
      <c r="B64" s="8"/>
      <c r="C64" s="394" t="str">
        <f>'Base (Ph1)'!C64</f>
        <v>Consultant Name - #03</v>
      </c>
      <c r="D64" s="36" t="s">
        <v>79</v>
      </c>
      <c r="E64" s="346"/>
      <c r="F64" s="386"/>
      <c r="G64" s="387"/>
      <c r="H64" s="387"/>
      <c r="J64" s="387"/>
      <c r="M64" s="91">
        <f>SUM((F64*G64),H64,J64)</f>
        <v>0</v>
      </c>
      <c r="N64" s="184"/>
      <c r="O64" s="386"/>
      <c r="P64" s="387"/>
      <c r="Q64" s="387"/>
      <c r="S64" s="387"/>
      <c r="V64" s="91">
        <f>SUM((O64*P64),Q64,S64)</f>
        <v>0</v>
      </c>
      <c r="W64" s="185"/>
      <c r="X64" s="386"/>
      <c r="Y64" s="387"/>
      <c r="Z64" s="387"/>
      <c r="AB64" s="387"/>
      <c r="AE64" s="91">
        <f>SUM((X64*Y64),Z64,AB64)</f>
        <v>0</v>
      </c>
      <c r="AF64" s="184"/>
      <c r="AG64" s="386"/>
      <c r="AH64" s="387"/>
      <c r="AI64" s="387"/>
      <c r="AK64" s="387"/>
      <c r="AN64" s="91">
        <f>SUM((AG64*AH64),AI64,AK64)</f>
        <v>0</v>
      </c>
      <c r="AO64" s="184"/>
      <c r="AP64" s="386"/>
      <c r="AQ64" s="387"/>
      <c r="AR64" s="387"/>
      <c r="AT64" s="387"/>
      <c r="AW64" s="91">
        <f>SUM((AP64*AQ64),AR64,AT64)</f>
        <v>0</v>
      </c>
      <c r="AX64" s="184"/>
      <c r="AY64" s="386"/>
      <c r="AZ64" s="387"/>
      <c r="BA64" s="387"/>
      <c r="BC64" s="387"/>
      <c r="BF64" s="91">
        <f>SUM((AY64*AZ64),BA64,BC64)</f>
        <v>0</v>
      </c>
      <c r="BG64" s="715"/>
      <c r="BH64" s="401"/>
      <c r="BI64" s="331">
        <f>M64+V64+AE64+AN64+AW64+BF64</f>
        <v>0</v>
      </c>
    </row>
    <row r="65" spans="1:62" ht="13.5" thickBot="1" x14ac:dyDescent="0.25">
      <c r="B65" s="643" t="s">
        <v>64</v>
      </c>
      <c r="C65" s="394" t="str">
        <f>'Base (Ph1)'!C65</f>
        <v>Insert line(s) for any additional Consultants</v>
      </c>
      <c r="D65" s="36" t="s">
        <v>79</v>
      </c>
      <c r="E65" s="346"/>
      <c r="F65" s="386"/>
      <c r="G65" s="387"/>
      <c r="H65" s="387"/>
      <c r="J65" s="387"/>
      <c r="M65" s="91">
        <f>SUM((F65*G65),H65,J65)</f>
        <v>0</v>
      </c>
      <c r="N65" s="184"/>
      <c r="O65" s="386"/>
      <c r="P65" s="387"/>
      <c r="Q65" s="387"/>
      <c r="S65" s="387"/>
      <c r="V65" s="91">
        <f>SUM((O65*P65),Q65,S65)</f>
        <v>0</v>
      </c>
      <c r="W65" s="185"/>
      <c r="X65" s="386"/>
      <c r="Y65" s="387"/>
      <c r="Z65" s="387"/>
      <c r="AB65" s="387"/>
      <c r="AE65" s="91">
        <f>SUM((X65*Y65),Z65,AB65)</f>
        <v>0</v>
      </c>
      <c r="AF65" s="184"/>
      <c r="AG65" s="386"/>
      <c r="AH65" s="387"/>
      <c r="AI65" s="387"/>
      <c r="AK65" s="387"/>
      <c r="AN65" s="91">
        <f>SUM((AG65*AH65),AI65,AK65)</f>
        <v>0</v>
      </c>
      <c r="AO65" s="184"/>
      <c r="AP65" s="386"/>
      <c r="AQ65" s="387"/>
      <c r="AR65" s="387"/>
      <c r="AT65" s="387"/>
      <c r="AW65" s="91">
        <f>SUM((AP65*AQ65),AR65,AT65)</f>
        <v>0</v>
      </c>
      <c r="AX65" s="184"/>
      <c r="AY65" s="386"/>
      <c r="AZ65" s="387"/>
      <c r="BA65" s="387"/>
      <c r="BC65" s="387"/>
      <c r="BF65" s="91">
        <f>SUM((AY65*AZ65),BA65,BC65)</f>
        <v>0</v>
      </c>
      <c r="BG65" s="715"/>
      <c r="BH65" s="401"/>
      <c r="BI65" s="331">
        <f>M65+V65+AE65+AN65+AW65+BF65</f>
        <v>0</v>
      </c>
    </row>
    <row r="66" spans="1:62" ht="13.5" thickBot="1" x14ac:dyDescent="0.25">
      <c r="B66" s="8"/>
      <c r="C66" s="3" t="s">
        <v>63</v>
      </c>
      <c r="D66" s="38"/>
      <c r="E66" s="344"/>
      <c r="F66" s="3"/>
      <c r="G66" s="3"/>
      <c r="H66" s="81"/>
      <c r="I66" s="81"/>
      <c r="J66" s="81"/>
      <c r="K66" s="81"/>
      <c r="L66" s="7"/>
      <c r="M66" s="936">
        <f>SUM(M61:M65)</f>
        <v>0</v>
      </c>
      <c r="N66" s="182"/>
      <c r="O66" s="3"/>
      <c r="P66" s="3"/>
      <c r="Q66" s="81"/>
      <c r="R66" s="81"/>
      <c r="S66" s="81"/>
      <c r="T66" s="81"/>
      <c r="U66" s="7"/>
      <c r="V66" s="936">
        <f>SUM(V61:V65)</f>
        <v>0</v>
      </c>
      <c r="W66" s="185"/>
      <c r="X66" s="3"/>
      <c r="Y66" s="3"/>
      <c r="Z66" s="81"/>
      <c r="AA66" s="81"/>
      <c r="AB66" s="81"/>
      <c r="AC66" s="81"/>
      <c r="AD66" s="7"/>
      <c r="AE66" s="936">
        <f>SUM(AE61:AE65)</f>
        <v>0</v>
      </c>
      <c r="AF66" s="182"/>
      <c r="AG66" s="3"/>
      <c r="AH66" s="3"/>
      <c r="AI66" s="81"/>
      <c r="AJ66" s="81"/>
      <c r="AK66" s="81"/>
      <c r="AL66" s="81"/>
      <c r="AM66" s="7"/>
      <c r="AN66" s="936">
        <f>SUM(AN61:AN65)</f>
        <v>0</v>
      </c>
      <c r="AO66" s="182"/>
      <c r="AP66" s="3"/>
      <c r="AQ66" s="3"/>
      <c r="AR66" s="81"/>
      <c r="AS66" s="81"/>
      <c r="AT66" s="81"/>
      <c r="AU66" s="81"/>
      <c r="AV66" s="7"/>
      <c r="AW66" s="936">
        <f>SUM(AW61:AW65)</f>
        <v>0</v>
      </c>
      <c r="AX66" s="182"/>
      <c r="AY66" s="3"/>
      <c r="AZ66" s="3"/>
      <c r="BA66" s="81"/>
      <c r="BB66" s="81"/>
      <c r="BC66" s="81"/>
      <c r="BD66" s="81"/>
      <c r="BE66" s="7"/>
      <c r="BF66" s="936">
        <f>SUM(BF61:BF65)</f>
        <v>0</v>
      </c>
      <c r="BG66" s="715"/>
      <c r="BH66" s="418"/>
      <c r="BI66" s="403">
        <f>M66+V66+AE66+AN66+AW66+BF66</f>
        <v>0</v>
      </c>
    </row>
    <row r="67" spans="1:62" x14ac:dyDescent="0.2">
      <c r="B67" s="14" t="s">
        <v>7</v>
      </c>
      <c r="C67" s="24"/>
      <c r="D67" s="37"/>
      <c r="E67" s="347"/>
      <c r="F67" s="82"/>
      <c r="G67" s="24"/>
      <c r="H67" s="65"/>
      <c r="I67" s="65"/>
      <c r="J67" s="65"/>
      <c r="K67" s="65"/>
      <c r="L67" s="65"/>
      <c r="M67" s="933"/>
      <c r="N67" s="185"/>
      <c r="O67" s="24"/>
      <c r="P67" s="24"/>
      <c r="Q67" s="65"/>
      <c r="R67" s="65"/>
      <c r="S67" s="65"/>
      <c r="T67" s="65"/>
      <c r="U67" s="65"/>
      <c r="V67" s="933"/>
      <c r="W67" s="185"/>
      <c r="X67" s="24"/>
      <c r="Y67" s="24"/>
      <c r="Z67" s="65"/>
      <c r="AA67" s="65"/>
      <c r="AB67" s="65"/>
      <c r="AC67" s="65"/>
      <c r="AD67" s="65"/>
      <c r="AE67" s="933"/>
      <c r="AF67" s="185"/>
      <c r="AG67" s="24"/>
      <c r="AH67" s="24"/>
      <c r="AI67" s="65"/>
      <c r="AJ67" s="65"/>
      <c r="AK67" s="65"/>
      <c r="AL67" s="65"/>
      <c r="AM67" s="65"/>
      <c r="AN67" s="933"/>
      <c r="AO67" s="185"/>
      <c r="AP67" s="24"/>
      <c r="AQ67" s="24"/>
      <c r="AR67" s="65"/>
      <c r="AS67" s="65"/>
      <c r="AT67" s="65"/>
      <c r="AU67" s="65"/>
      <c r="AV67" s="65"/>
      <c r="AW67" s="933"/>
      <c r="AX67" s="185"/>
      <c r="AY67" s="24"/>
      <c r="AZ67" s="24"/>
      <c r="BA67" s="82"/>
      <c r="BB67" s="82"/>
      <c r="BC67" s="82"/>
      <c r="BD67" s="82"/>
      <c r="BE67" s="65"/>
      <c r="BF67" s="933"/>
      <c r="BG67" s="715"/>
      <c r="BH67" s="96"/>
      <c r="BI67" s="653"/>
    </row>
    <row r="68" spans="1:62" x14ac:dyDescent="0.2">
      <c r="B68" s="8"/>
      <c r="C68" s="127" t="str">
        <f>'Base (Ph1)'!C68</f>
        <v>Materials/Supplies</v>
      </c>
      <c r="D68" s="36" t="s">
        <v>74</v>
      </c>
      <c r="E68" s="346"/>
      <c r="F68" s="100"/>
      <c r="G68" s="101"/>
      <c r="H68" s="102"/>
      <c r="I68" s="102"/>
      <c r="J68" s="102"/>
      <c r="K68" s="102"/>
      <c r="L68" s="102"/>
      <c r="M68" s="385">
        <v>0</v>
      </c>
      <c r="N68" s="184"/>
      <c r="O68" s="101"/>
      <c r="P68" s="101"/>
      <c r="Q68" s="102"/>
      <c r="R68" s="102"/>
      <c r="S68" s="102"/>
      <c r="T68" s="102"/>
      <c r="U68" s="102"/>
      <c r="V68" s="385">
        <v>0</v>
      </c>
      <c r="W68" s="184"/>
      <c r="X68" s="101"/>
      <c r="Y68" s="101"/>
      <c r="Z68" s="102"/>
      <c r="AA68" s="102"/>
      <c r="AB68" s="102"/>
      <c r="AC68" s="102"/>
      <c r="AD68" s="102"/>
      <c r="AE68" s="385">
        <v>0</v>
      </c>
      <c r="AF68" s="184"/>
      <c r="AG68" s="101"/>
      <c r="AH68" s="101"/>
      <c r="AI68" s="102"/>
      <c r="AJ68" s="102"/>
      <c r="AK68" s="102"/>
      <c r="AL68" s="102"/>
      <c r="AM68" s="102"/>
      <c r="AN68" s="385">
        <v>0</v>
      </c>
      <c r="AO68" s="184"/>
      <c r="AP68" s="101"/>
      <c r="AQ68" s="101"/>
      <c r="AR68" s="102"/>
      <c r="AS68" s="102"/>
      <c r="AT68" s="102"/>
      <c r="AU68" s="102"/>
      <c r="AV68" s="102"/>
      <c r="AW68" s="385">
        <v>0</v>
      </c>
      <c r="AX68" s="184"/>
      <c r="AY68" s="101"/>
      <c r="AZ68" s="101"/>
      <c r="BA68" s="100"/>
      <c r="BB68" s="100"/>
      <c r="BC68" s="100"/>
      <c r="BD68" s="100"/>
      <c r="BE68" s="102"/>
      <c r="BF68" s="385">
        <v>0</v>
      </c>
      <c r="BG68" s="715"/>
      <c r="BH68" s="97"/>
      <c r="BI68" s="331">
        <f>M68+V68+AE68+AN68+AW68+BF68</f>
        <v>0</v>
      </c>
    </row>
    <row r="69" spans="1:62" x14ac:dyDescent="0.2">
      <c r="B69" s="41"/>
      <c r="C69" s="127" t="str">
        <f>'Base (Ph1)'!C69</f>
        <v>Equipment</v>
      </c>
      <c r="D69" s="36" t="s">
        <v>75</v>
      </c>
      <c r="E69" s="346"/>
      <c r="F69" s="100"/>
      <c r="G69" s="101"/>
      <c r="H69" s="102"/>
      <c r="I69" s="102"/>
      <c r="J69" s="102"/>
      <c r="K69" s="102"/>
      <c r="L69" s="102"/>
      <c r="M69" s="385">
        <v>0</v>
      </c>
      <c r="N69" s="184"/>
      <c r="O69" s="101"/>
      <c r="P69" s="101"/>
      <c r="Q69" s="102"/>
      <c r="R69" s="102"/>
      <c r="S69" s="102"/>
      <c r="T69" s="102"/>
      <c r="U69" s="102"/>
      <c r="V69" s="385">
        <v>0</v>
      </c>
      <c r="W69" s="184"/>
      <c r="X69" s="101"/>
      <c r="Y69" s="101"/>
      <c r="Z69" s="102"/>
      <c r="AA69" s="102"/>
      <c r="AB69" s="102"/>
      <c r="AC69" s="102"/>
      <c r="AD69" s="102"/>
      <c r="AE69" s="385">
        <v>0</v>
      </c>
      <c r="AF69" s="184"/>
      <c r="AG69" s="101"/>
      <c r="AH69" s="101"/>
      <c r="AI69" s="102"/>
      <c r="AJ69" s="102"/>
      <c r="AK69" s="102"/>
      <c r="AL69" s="102"/>
      <c r="AM69" s="102"/>
      <c r="AN69" s="385">
        <v>0</v>
      </c>
      <c r="AO69" s="184"/>
      <c r="AP69" s="101"/>
      <c r="AQ69" s="101"/>
      <c r="AR69" s="102"/>
      <c r="AS69" s="102"/>
      <c r="AT69" s="102"/>
      <c r="AU69" s="102"/>
      <c r="AV69" s="102"/>
      <c r="AW69" s="385">
        <v>0</v>
      </c>
      <c r="AX69" s="184"/>
      <c r="AY69" s="101"/>
      <c r="AZ69" s="101"/>
      <c r="BA69" s="100"/>
      <c r="BB69" s="100"/>
      <c r="BC69" s="100"/>
      <c r="BD69" s="100"/>
      <c r="BE69" s="102"/>
      <c r="BF69" s="385">
        <v>0</v>
      </c>
      <c r="BG69" s="715"/>
      <c r="BH69" s="97"/>
      <c r="BI69" s="331">
        <f>M69+V69+AE69+AN69+AW69+BF69</f>
        <v>0</v>
      </c>
    </row>
    <row r="70" spans="1:62" x14ac:dyDescent="0.2">
      <c r="B70" s="8"/>
      <c r="C70" s="127" t="str">
        <f>'Base (Ph1)'!C70</f>
        <v>Travel</v>
      </c>
      <c r="D70" s="36" t="s">
        <v>77</v>
      </c>
      <c r="E70" s="346"/>
      <c r="F70" s="100"/>
      <c r="G70" s="101"/>
      <c r="H70" s="102"/>
      <c r="I70" s="102"/>
      <c r="J70" s="102"/>
      <c r="K70" s="102"/>
      <c r="L70" s="102"/>
      <c r="M70" s="385">
        <v>0</v>
      </c>
      <c r="N70" s="184"/>
      <c r="O70" s="101"/>
      <c r="P70" s="101"/>
      <c r="Q70" s="102"/>
      <c r="R70" s="102"/>
      <c r="S70" s="102"/>
      <c r="T70" s="102"/>
      <c r="U70" s="102"/>
      <c r="V70" s="385">
        <v>0</v>
      </c>
      <c r="W70" s="184"/>
      <c r="X70" s="101"/>
      <c r="Y70" s="101"/>
      <c r="Z70" s="102"/>
      <c r="AA70" s="102"/>
      <c r="AB70" s="102"/>
      <c r="AC70" s="102"/>
      <c r="AD70" s="102"/>
      <c r="AE70" s="385">
        <v>0</v>
      </c>
      <c r="AF70" s="184"/>
      <c r="AG70" s="101"/>
      <c r="AH70" s="101"/>
      <c r="AI70" s="102"/>
      <c r="AJ70" s="102"/>
      <c r="AK70" s="102"/>
      <c r="AL70" s="102"/>
      <c r="AM70" s="102"/>
      <c r="AN70" s="385">
        <v>0</v>
      </c>
      <c r="AO70" s="184"/>
      <c r="AP70" s="101"/>
      <c r="AQ70" s="101"/>
      <c r="AR70" s="102"/>
      <c r="AS70" s="102"/>
      <c r="AT70" s="102"/>
      <c r="AU70" s="102"/>
      <c r="AV70" s="102"/>
      <c r="AW70" s="385">
        <v>0</v>
      </c>
      <c r="AX70" s="184"/>
      <c r="AY70" s="101"/>
      <c r="AZ70" s="101"/>
      <c r="BA70" s="100"/>
      <c r="BB70" s="100"/>
      <c r="BC70" s="100"/>
      <c r="BD70" s="100"/>
      <c r="BE70" s="102"/>
      <c r="BF70" s="385">
        <v>0</v>
      </c>
      <c r="BG70" s="715"/>
      <c r="BH70" s="97"/>
      <c r="BI70" s="331">
        <f>M70+V70+AE70+AN70+AW70+BF70</f>
        <v>0</v>
      </c>
      <c r="BJ70" s="407"/>
    </row>
    <row r="71" spans="1:62" ht="13.5" thickBot="1" x14ac:dyDescent="0.25">
      <c r="B71" s="8"/>
      <c r="C71" s="394" t="str">
        <f>'Base (Ph1)'!C71</f>
        <v>Insert line(s) for any other types of ODCs</v>
      </c>
      <c r="D71" s="36" t="s">
        <v>76</v>
      </c>
      <c r="E71" s="346"/>
      <c r="F71" s="100"/>
      <c r="G71" s="101"/>
      <c r="H71" s="102"/>
      <c r="I71" s="102"/>
      <c r="J71" s="102"/>
      <c r="K71" s="102"/>
      <c r="L71" s="102"/>
      <c r="M71" s="930">
        <v>0</v>
      </c>
      <c r="N71" s="184"/>
      <c r="O71" s="101"/>
      <c r="P71" s="101"/>
      <c r="Q71" s="102"/>
      <c r="R71" s="102"/>
      <c r="S71" s="102"/>
      <c r="T71" s="102"/>
      <c r="U71" s="102"/>
      <c r="V71" s="930">
        <v>0</v>
      </c>
      <c r="W71" s="184"/>
      <c r="X71" s="101"/>
      <c r="Y71" s="101"/>
      <c r="Z71" s="102"/>
      <c r="AA71" s="102"/>
      <c r="AB71" s="102"/>
      <c r="AC71" s="102"/>
      <c r="AD71" s="102"/>
      <c r="AE71" s="930">
        <v>0</v>
      </c>
      <c r="AF71" s="184"/>
      <c r="AG71" s="101"/>
      <c r="AH71" s="101"/>
      <c r="AI71" s="102"/>
      <c r="AJ71" s="102"/>
      <c r="AK71" s="102"/>
      <c r="AL71" s="102"/>
      <c r="AM71" s="102"/>
      <c r="AN71" s="930">
        <v>0</v>
      </c>
      <c r="AO71" s="184"/>
      <c r="AP71" s="101"/>
      <c r="AQ71" s="101"/>
      <c r="AR71" s="102"/>
      <c r="AS71" s="102"/>
      <c r="AT71" s="102"/>
      <c r="AU71" s="102"/>
      <c r="AV71" s="102"/>
      <c r="AW71" s="930">
        <v>0</v>
      </c>
      <c r="AX71" s="184"/>
      <c r="AY71" s="101"/>
      <c r="AZ71" s="101"/>
      <c r="BA71" s="100"/>
      <c r="BB71" s="100"/>
      <c r="BC71" s="100"/>
      <c r="BD71" s="100"/>
      <c r="BE71" s="102"/>
      <c r="BF71" s="930">
        <v>0</v>
      </c>
      <c r="BG71" s="715"/>
      <c r="BH71" s="97"/>
      <c r="BI71" s="331">
        <f>M71+V71+AE71+AN71+AW71+BF71</f>
        <v>0</v>
      </c>
    </row>
    <row r="72" spans="1:62" ht="13.5" thickBot="1" x14ac:dyDescent="0.25">
      <c r="B72" s="8"/>
      <c r="C72" s="3" t="s">
        <v>38</v>
      </c>
      <c r="D72" s="7"/>
      <c r="E72" s="90"/>
      <c r="F72" s="81"/>
      <c r="G72" s="3"/>
      <c r="H72" s="7"/>
      <c r="I72" s="7"/>
      <c r="J72" s="7"/>
      <c r="K72" s="7"/>
      <c r="L72" s="7"/>
      <c r="M72" s="936">
        <f>SUM(M67:M71)</f>
        <v>0</v>
      </c>
      <c r="N72" s="179"/>
      <c r="O72" s="3"/>
      <c r="P72" s="3"/>
      <c r="Q72" s="7"/>
      <c r="R72" s="7"/>
      <c r="S72" s="7"/>
      <c r="T72" s="7"/>
      <c r="U72" s="7"/>
      <c r="V72" s="936">
        <f>SUM(V67:V71)</f>
        <v>0</v>
      </c>
      <c r="W72" s="179"/>
      <c r="X72" s="3"/>
      <c r="Y72" s="3"/>
      <c r="Z72" s="7"/>
      <c r="AA72" s="7"/>
      <c r="AB72" s="7"/>
      <c r="AC72" s="7"/>
      <c r="AD72" s="7"/>
      <c r="AE72" s="936">
        <f>SUM(AE67:AE71)</f>
        <v>0</v>
      </c>
      <c r="AF72" s="179"/>
      <c r="AG72" s="3"/>
      <c r="AH72" s="3"/>
      <c r="AI72" s="7"/>
      <c r="AJ72" s="7"/>
      <c r="AK72" s="7"/>
      <c r="AL72" s="7"/>
      <c r="AM72" s="7"/>
      <c r="AN72" s="936">
        <f>SUM(AN67:AN71)</f>
        <v>0</v>
      </c>
      <c r="AO72" s="179"/>
      <c r="AP72" s="3"/>
      <c r="AQ72" s="3"/>
      <c r="AR72" s="7"/>
      <c r="AS72" s="7"/>
      <c r="AT72" s="7"/>
      <c r="AU72" s="7"/>
      <c r="AV72" s="7"/>
      <c r="AW72" s="936">
        <f>SUM(AW67:AW71)</f>
        <v>0</v>
      </c>
      <c r="AX72" s="179"/>
      <c r="AY72" s="3"/>
      <c r="AZ72" s="3"/>
      <c r="BA72" s="81"/>
      <c r="BB72" s="81"/>
      <c r="BC72" s="81"/>
      <c r="BD72" s="81"/>
      <c r="BE72" s="7"/>
      <c r="BF72" s="936">
        <f>SUM(BF67:BF71)</f>
        <v>0</v>
      </c>
      <c r="BG72" s="715"/>
      <c r="BH72" s="95"/>
      <c r="BI72" s="403">
        <f>M72+V72+AE72+AN72+AW72+BF72</f>
        <v>0</v>
      </c>
    </row>
    <row r="73" spans="1:62" x14ac:dyDescent="0.2">
      <c r="B73" s="14" t="s">
        <v>194</v>
      </c>
      <c r="C73" s="1"/>
      <c r="D73" s="6"/>
      <c r="E73" s="89"/>
      <c r="G73" s="125" t="s">
        <v>26</v>
      </c>
      <c r="H73" s="341" t="s">
        <v>49</v>
      </c>
      <c r="I73" s="6"/>
      <c r="J73" s="6"/>
      <c r="K73" s="6"/>
      <c r="L73" s="6"/>
      <c r="M73" s="932"/>
      <c r="N73" s="93"/>
      <c r="P73" s="125" t="s">
        <v>26</v>
      </c>
      <c r="Q73" s="125" t="s">
        <v>49</v>
      </c>
      <c r="R73" s="6"/>
      <c r="S73" s="6"/>
      <c r="T73" s="6"/>
      <c r="U73" s="6"/>
      <c r="V73" s="932"/>
      <c r="W73" s="93"/>
      <c r="Y73" s="125" t="s">
        <v>26</v>
      </c>
      <c r="Z73" s="125" t="s">
        <v>49</v>
      </c>
      <c r="AA73" s="6"/>
      <c r="AB73" s="6"/>
      <c r="AC73" s="6"/>
      <c r="AD73" s="6"/>
      <c r="AE73" s="932"/>
      <c r="AF73" s="93"/>
      <c r="AH73" s="125" t="s">
        <v>26</v>
      </c>
      <c r="AI73" s="125" t="s">
        <v>49</v>
      </c>
      <c r="AJ73" s="6"/>
      <c r="AK73" s="6"/>
      <c r="AL73" s="6"/>
      <c r="AM73" s="6"/>
      <c r="AN73" s="932"/>
      <c r="AO73" s="93"/>
      <c r="AQ73" s="125" t="s">
        <v>26</v>
      </c>
      <c r="AR73" s="125" t="s">
        <v>49</v>
      </c>
      <c r="AS73" s="6"/>
      <c r="AT73" s="6"/>
      <c r="AU73" s="6"/>
      <c r="AV73" s="6"/>
      <c r="AW73" s="932"/>
      <c r="AX73" s="93"/>
      <c r="AZ73" s="125" t="s">
        <v>26</v>
      </c>
      <c r="BA73" s="125" t="s">
        <v>49</v>
      </c>
      <c r="BB73" s="79"/>
      <c r="BC73" s="79"/>
      <c r="BD73" s="79"/>
      <c r="BE73" s="6"/>
      <c r="BF73" s="932"/>
      <c r="BG73" s="715"/>
      <c r="BH73" s="93"/>
      <c r="BI73" s="92"/>
    </row>
    <row r="74" spans="1:62" x14ac:dyDescent="0.2">
      <c r="B74" s="41"/>
      <c r="C74" s="394" t="str">
        <f>'Base (Ph1)'!C74</f>
        <v>Insert M/H O/H rate title</v>
      </c>
      <c r="D74" s="6"/>
      <c r="E74" s="89"/>
      <c r="G74" s="384">
        <v>0</v>
      </c>
      <c r="H74" s="383">
        <v>0</v>
      </c>
      <c r="I74" s="104"/>
      <c r="J74" s="104"/>
      <c r="K74" s="104"/>
      <c r="L74" s="104"/>
      <c r="M74" s="91">
        <f>H74*G74</f>
        <v>0</v>
      </c>
      <c r="N74" s="93"/>
      <c r="P74" s="384">
        <v>0</v>
      </c>
      <c r="Q74" s="383">
        <v>0</v>
      </c>
      <c r="R74" s="104"/>
      <c r="S74" s="104"/>
      <c r="T74" s="104"/>
      <c r="U74" s="104"/>
      <c r="V74" s="91">
        <f>Q74*P74</f>
        <v>0</v>
      </c>
      <c r="W74" s="93"/>
      <c r="Y74" s="384">
        <v>0</v>
      </c>
      <c r="Z74" s="383">
        <v>0</v>
      </c>
      <c r="AA74" s="104"/>
      <c r="AB74" s="104"/>
      <c r="AC74" s="104"/>
      <c r="AD74" s="104"/>
      <c r="AE74" s="91">
        <f>Z74*Y74</f>
        <v>0</v>
      </c>
      <c r="AF74" s="93"/>
      <c r="AH74" s="384">
        <v>0</v>
      </c>
      <c r="AI74" s="383">
        <v>0</v>
      </c>
      <c r="AJ74" s="104"/>
      <c r="AK74" s="104"/>
      <c r="AL74" s="104"/>
      <c r="AM74" s="104"/>
      <c r="AN74" s="91">
        <f>AI74*AH74</f>
        <v>0</v>
      </c>
      <c r="AO74" s="93"/>
      <c r="AQ74" s="384">
        <v>0</v>
      </c>
      <c r="AR74" s="383">
        <v>0</v>
      </c>
      <c r="AS74" s="104"/>
      <c r="AT74" s="104"/>
      <c r="AU74" s="104"/>
      <c r="AV74" s="104"/>
      <c r="AW74" s="91">
        <f>AR74*AQ74</f>
        <v>0</v>
      </c>
      <c r="AX74" s="93"/>
      <c r="AZ74" s="384">
        <v>0</v>
      </c>
      <c r="BA74" s="383">
        <v>0</v>
      </c>
      <c r="BB74" s="106"/>
      <c r="BC74" s="106"/>
      <c r="BD74" s="106"/>
      <c r="BE74" s="104"/>
      <c r="BF74" s="91">
        <f>BA74*AZ74</f>
        <v>0</v>
      </c>
      <c r="BG74" s="715"/>
      <c r="BH74" s="94"/>
      <c r="BI74" s="331">
        <f>M74+V74+AE74+AN74+AW74+BF74</f>
        <v>0</v>
      </c>
    </row>
    <row r="75" spans="1:62" ht="13.5" thickBot="1" x14ac:dyDescent="0.25">
      <c r="B75" s="643" t="s">
        <v>64</v>
      </c>
      <c r="C75" s="394" t="str">
        <f>'Base (Ph1)'!C75</f>
        <v>Insert line(s) &amp; title(s) for any other M/H O/H rates</v>
      </c>
      <c r="D75" s="6"/>
      <c r="E75" s="89"/>
      <c r="G75" s="384"/>
      <c r="H75" s="383"/>
      <c r="I75" s="104"/>
      <c r="J75" s="104"/>
      <c r="K75" s="104"/>
      <c r="L75" s="104"/>
      <c r="M75" s="931">
        <f>H75*G75</f>
        <v>0</v>
      </c>
      <c r="N75" s="93"/>
      <c r="P75" s="384"/>
      <c r="Q75" s="383"/>
      <c r="R75" s="104"/>
      <c r="S75" s="104"/>
      <c r="T75" s="104"/>
      <c r="U75" s="104"/>
      <c r="V75" s="931">
        <f>Q75*P75</f>
        <v>0</v>
      </c>
      <c r="W75" s="93"/>
      <c r="Y75" s="384"/>
      <c r="Z75" s="383"/>
      <c r="AA75" s="104"/>
      <c r="AB75" s="104"/>
      <c r="AC75" s="104"/>
      <c r="AD75" s="104"/>
      <c r="AE75" s="931">
        <f>Z75*Y75</f>
        <v>0</v>
      </c>
      <c r="AF75" s="93"/>
      <c r="AH75" s="384"/>
      <c r="AI75" s="383"/>
      <c r="AJ75" s="104"/>
      <c r="AK75" s="104"/>
      <c r="AL75" s="104"/>
      <c r="AM75" s="104"/>
      <c r="AN75" s="931">
        <f>AI75*AH75</f>
        <v>0</v>
      </c>
      <c r="AO75" s="93"/>
      <c r="AQ75" s="384"/>
      <c r="AR75" s="383"/>
      <c r="AS75" s="104"/>
      <c r="AT75" s="104"/>
      <c r="AU75" s="104"/>
      <c r="AV75" s="104"/>
      <c r="AW75" s="931">
        <f>AR75*AQ75</f>
        <v>0</v>
      </c>
      <c r="AX75" s="93"/>
      <c r="AZ75" s="384"/>
      <c r="BA75" s="383"/>
      <c r="BB75" s="106"/>
      <c r="BC75" s="106"/>
      <c r="BD75" s="106"/>
      <c r="BE75" s="104"/>
      <c r="BF75" s="931">
        <f>BA75*AZ75</f>
        <v>0</v>
      </c>
      <c r="BG75" s="715"/>
      <c r="BH75" s="94"/>
      <c r="BI75" s="331">
        <f>M75+V75+AE75+AN75+AW75+BF75</f>
        <v>0</v>
      </c>
    </row>
    <row r="76" spans="1:62" ht="13.5" thickBot="1" x14ac:dyDescent="0.25">
      <c r="B76" s="8"/>
      <c r="C76" s="3" t="s">
        <v>34</v>
      </c>
      <c r="D76" s="7"/>
      <c r="E76" s="90"/>
      <c r="F76" s="81"/>
      <c r="G76" s="3"/>
      <c r="H76" s="7"/>
      <c r="I76" s="7"/>
      <c r="J76" s="7"/>
      <c r="K76" s="7"/>
      <c r="L76" s="7"/>
      <c r="M76" s="936">
        <f>SUM(M73:M75)</f>
        <v>0</v>
      </c>
      <c r="N76" s="179"/>
      <c r="O76" s="3"/>
      <c r="P76" s="3"/>
      <c r="Q76" s="7"/>
      <c r="R76" s="7"/>
      <c r="S76" s="7"/>
      <c r="T76" s="7"/>
      <c r="U76" s="7"/>
      <c r="V76" s="936">
        <f>SUM(V73:V75)</f>
        <v>0</v>
      </c>
      <c r="W76" s="179"/>
      <c r="X76" s="3"/>
      <c r="Y76" s="3"/>
      <c r="Z76" s="7"/>
      <c r="AA76" s="7"/>
      <c r="AB76" s="7"/>
      <c r="AC76" s="7"/>
      <c r="AD76" s="7"/>
      <c r="AE76" s="936">
        <f>SUM(AE73:AE75)</f>
        <v>0</v>
      </c>
      <c r="AF76" s="179"/>
      <c r="AG76" s="3"/>
      <c r="AH76" s="3"/>
      <c r="AI76" s="7"/>
      <c r="AJ76" s="7"/>
      <c r="AK76" s="7"/>
      <c r="AL76" s="7"/>
      <c r="AM76" s="7"/>
      <c r="AN76" s="936">
        <f>SUM(AN73:AN75)</f>
        <v>0</v>
      </c>
      <c r="AO76" s="179"/>
      <c r="AP76" s="3"/>
      <c r="AQ76" s="3"/>
      <c r="AR76" s="7"/>
      <c r="AS76" s="7"/>
      <c r="AT76" s="7"/>
      <c r="AU76" s="7"/>
      <c r="AV76" s="7"/>
      <c r="AW76" s="936">
        <f>SUM(AW73:AW75)</f>
        <v>0</v>
      </c>
      <c r="AX76" s="179"/>
      <c r="AY76" s="3"/>
      <c r="AZ76" s="3"/>
      <c r="BA76" s="81"/>
      <c r="BB76" s="81"/>
      <c r="BC76" s="81"/>
      <c r="BD76" s="81"/>
      <c r="BE76" s="7"/>
      <c r="BF76" s="936">
        <f>SUM(BF73:BF75)</f>
        <v>0</v>
      </c>
      <c r="BG76" s="715"/>
      <c r="BH76" s="95"/>
      <c r="BI76" s="403">
        <f>M76+V76+AE76+AN76+AW76+BF76</f>
        <v>0</v>
      </c>
    </row>
    <row r="77" spans="1:62" s="124" customFormat="1" x14ac:dyDescent="0.2">
      <c r="A77" s="134"/>
      <c r="B77" s="107" t="s">
        <v>18</v>
      </c>
      <c r="C77" s="108"/>
      <c r="D77" s="109"/>
      <c r="E77" s="110"/>
      <c r="F77" s="111"/>
      <c r="G77" s="108"/>
      <c r="H77" s="109"/>
      <c r="I77" s="109"/>
      <c r="J77" s="109"/>
      <c r="K77" s="109"/>
      <c r="L77" s="109"/>
      <c r="M77" s="934">
        <f>H48+M51+M54+M60+M66+M72+M76</f>
        <v>0</v>
      </c>
      <c r="N77" s="186"/>
      <c r="O77" s="108"/>
      <c r="P77" s="108"/>
      <c r="Q77" s="109"/>
      <c r="R77" s="109"/>
      <c r="S77" s="109"/>
      <c r="T77" s="109"/>
      <c r="U77" s="109"/>
      <c r="V77" s="934">
        <f>Q48+V51+V54+V60+V66+V72+V76</f>
        <v>0</v>
      </c>
      <c r="W77" s="186"/>
      <c r="X77" s="108"/>
      <c r="Y77" s="108"/>
      <c r="Z77" s="109"/>
      <c r="AA77" s="109"/>
      <c r="AB77" s="109"/>
      <c r="AC77" s="109"/>
      <c r="AD77" s="109"/>
      <c r="AE77" s="934">
        <f>Z48+AE51+AE54+AE60+AE66+AE72+AE76</f>
        <v>0</v>
      </c>
      <c r="AF77" s="186"/>
      <c r="AG77" s="108"/>
      <c r="AH77" s="108"/>
      <c r="AI77" s="109"/>
      <c r="AJ77" s="109"/>
      <c r="AK77" s="109"/>
      <c r="AL77" s="109"/>
      <c r="AM77" s="109"/>
      <c r="AN77" s="934">
        <f>AI48+AN51+AN54+AN60+AN66+AN72+AN76</f>
        <v>0</v>
      </c>
      <c r="AO77" s="186"/>
      <c r="AP77" s="108"/>
      <c r="AQ77" s="108"/>
      <c r="AR77" s="109"/>
      <c r="AS77" s="109"/>
      <c r="AT77" s="109"/>
      <c r="AU77" s="109"/>
      <c r="AV77" s="109"/>
      <c r="AW77" s="934">
        <f>AR48+AW51+AW54+AW60+AW66+AW72+AW76</f>
        <v>0</v>
      </c>
      <c r="AX77" s="186"/>
      <c r="AY77" s="108"/>
      <c r="AZ77" s="108"/>
      <c r="BA77" s="111"/>
      <c r="BB77" s="111"/>
      <c r="BC77" s="111"/>
      <c r="BD77" s="111"/>
      <c r="BE77" s="109"/>
      <c r="BF77" s="934">
        <f>BA48+BF51+BF54+BF60+BF66+BF72+BF76</f>
        <v>0</v>
      </c>
      <c r="BG77" s="715"/>
      <c r="BH77" s="112"/>
      <c r="BI77" s="403">
        <f>M77+V77+AE77+AN77+AW77+BF77</f>
        <v>0</v>
      </c>
    </row>
    <row r="78" spans="1:62" x14ac:dyDescent="0.2">
      <c r="B78" s="14" t="s">
        <v>195</v>
      </c>
      <c r="C78" s="1"/>
      <c r="D78" s="6"/>
      <c r="E78" s="89"/>
      <c r="G78" s="125" t="s">
        <v>26</v>
      </c>
      <c r="H78" s="341" t="s">
        <v>49</v>
      </c>
      <c r="I78" s="6"/>
      <c r="J78" s="6"/>
      <c r="K78" s="6"/>
      <c r="L78" s="6"/>
      <c r="M78" s="86"/>
      <c r="N78" s="93"/>
      <c r="P78" s="125" t="s">
        <v>26</v>
      </c>
      <c r="Q78" s="125" t="s">
        <v>49</v>
      </c>
      <c r="R78" s="6"/>
      <c r="S78" s="6"/>
      <c r="T78" s="6"/>
      <c r="U78" s="6"/>
      <c r="V78" s="86"/>
      <c r="W78" s="93"/>
      <c r="Y78" s="125" t="s">
        <v>26</v>
      </c>
      <c r="Z78" s="125" t="s">
        <v>49</v>
      </c>
      <c r="AA78" s="6"/>
      <c r="AB78" s="6"/>
      <c r="AC78" s="6"/>
      <c r="AD78" s="6"/>
      <c r="AE78" s="86"/>
      <c r="AF78" s="93"/>
      <c r="AH78" s="125" t="s">
        <v>26</v>
      </c>
      <c r="AI78" s="125" t="s">
        <v>49</v>
      </c>
      <c r="AJ78" s="6"/>
      <c r="AK78" s="6"/>
      <c r="AL78" s="6"/>
      <c r="AM78" s="6"/>
      <c r="AN78" s="86"/>
      <c r="AO78" s="93"/>
      <c r="AQ78" s="125" t="s">
        <v>26</v>
      </c>
      <c r="AR78" s="125" t="s">
        <v>49</v>
      </c>
      <c r="AS78" s="6"/>
      <c r="AT78" s="6"/>
      <c r="AU78" s="6"/>
      <c r="AV78" s="6"/>
      <c r="AW78" s="86"/>
      <c r="AX78" s="93"/>
      <c r="AZ78" s="125" t="s">
        <v>26</v>
      </c>
      <c r="BA78" s="125" t="s">
        <v>49</v>
      </c>
      <c r="BB78" s="79"/>
      <c r="BC78" s="79"/>
      <c r="BD78" s="79"/>
      <c r="BE78" s="6"/>
      <c r="BF78" s="86"/>
      <c r="BG78" s="715"/>
      <c r="BH78" s="93"/>
      <c r="BI78" s="92"/>
    </row>
    <row r="79" spans="1:62" x14ac:dyDescent="0.2">
      <c r="B79" s="8"/>
      <c r="C79" s="127" t="str">
        <f>'Base (Ph1)'!C79</f>
        <v>G&amp;A</v>
      </c>
      <c r="D79" s="6"/>
      <c r="E79" s="89"/>
      <c r="G79" s="384">
        <v>0</v>
      </c>
      <c r="H79" s="84">
        <f>M77</f>
        <v>0</v>
      </c>
      <c r="I79" s="104"/>
      <c r="J79" s="104"/>
      <c r="K79" s="104"/>
      <c r="L79" s="104"/>
      <c r="M79" s="91">
        <f>H79*G79</f>
        <v>0</v>
      </c>
      <c r="N79" s="93"/>
      <c r="P79" s="384">
        <v>0</v>
      </c>
      <c r="Q79" s="379">
        <f>V77</f>
        <v>0</v>
      </c>
      <c r="R79" s="104"/>
      <c r="S79" s="104"/>
      <c r="T79" s="104"/>
      <c r="U79" s="104"/>
      <c r="V79" s="91">
        <f>Q79*P79</f>
        <v>0</v>
      </c>
      <c r="W79" s="93"/>
      <c r="Y79" s="384">
        <v>0</v>
      </c>
      <c r="Z79" s="379">
        <f>AE77</f>
        <v>0</v>
      </c>
      <c r="AA79" s="104"/>
      <c r="AB79" s="104"/>
      <c r="AC79" s="104"/>
      <c r="AD79" s="104"/>
      <c r="AE79" s="91">
        <f>Z79*Y79</f>
        <v>0</v>
      </c>
      <c r="AF79" s="93"/>
      <c r="AH79" s="384">
        <v>0</v>
      </c>
      <c r="AI79" s="379">
        <f>AN77</f>
        <v>0</v>
      </c>
      <c r="AJ79" s="104"/>
      <c r="AK79" s="104"/>
      <c r="AL79" s="104"/>
      <c r="AM79" s="104"/>
      <c r="AN79" s="91">
        <f>AI79*AH79</f>
        <v>0</v>
      </c>
      <c r="AO79" s="93"/>
      <c r="AQ79" s="384">
        <v>0</v>
      </c>
      <c r="AR79" s="379">
        <f>AW77</f>
        <v>0</v>
      </c>
      <c r="AS79" s="104"/>
      <c r="AT79" s="104"/>
      <c r="AU79" s="104"/>
      <c r="AV79" s="104"/>
      <c r="AW79" s="91">
        <f>AR79*AQ79</f>
        <v>0</v>
      </c>
      <c r="AX79" s="93"/>
      <c r="AZ79" s="384">
        <v>0</v>
      </c>
      <c r="BA79" s="380">
        <f>BF48+BF51+BF54+BF60+BF66+BF72+BF76</f>
        <v>0</v>
      </c>
      <c r="BB79" s="106"/>
      <c r="BC79" s="106"/>
      <c r="BD79" s="106"/>
      <c r="BE79" s="104"/>
      <c r="BF79" s="91">
        <f>BA79*AZ79</f>
        <v>0</v>
      </c>
      <c r="BG79" s="715"/>
      <c r="BH79" s="94"/>
      <c r="BI79" s="331">
        <f>M79+V79+AE79+AN79+AW79+BF79</f>
        <v>0</v>
      </c>
    </row>
    <row r="80" spans="1:62" ht="13.5" thickBot="1" x14ac:dyDescent="0.25">
      <c r="B80" s="8"/>
      <c r="C80" s="394" t="str">
        <f>'Base (Ph1)'!C80</f>
        <v>Insert line(s) &amp; title(s) for any other G&amp;A rates</v>
      </c>
      <c r="D80" s="6"/>
      <c r="E80" s="89"/>
      <c r="G80" s="384"/>
      <c r="H80" s="383"/>
      <c r="I80" s="104"/>
      <c r="J80" s="104"/>
      <c r="K80" s="104"/>
      <c r="L80" s="104"/>
      <c r="M80" s="931">
        <f>H80*G80</f>
        <v>0</v>
      </c>
      <c r="N80" s="93"/>
      <c r="P80" s="384"/>
      <c r="Q80" s="387"/>
      <c r="R80" s="104"/>
      <c r="S80" s="104"/>
      <c r="T80" s="104"/>
      <c r="U80" s="104"/>
      <c r="V80" s="931">
        <f>Q80*P80</f>
        <v>0</v>
      </c>
      <c r="W80" s="93"/>
      <c r="Y80" s="384"/>
      <c r="Z80" s="387"/>
      <c r="AA80" s="104"/>
      <c r="AB80" s="104"/>
      <c r="AC80" s="104"/>
      <c r="AD80" s="104"/>
      <c r="AE80" s="931">
        <f>Z80*Y80</f>
        <v>0</v>
      </c>
      <c r="AF80" s="93"/>
      <c r="AH80" s="384"/>
      <c r="AI80" s="387"/>
      <c r="AJ80" s="104"/>
      <c r="AK80" s="104"/>
      <c r="AL80" s="104"/>
      <c r="AM80" s="104"/>
      <c r="AN80" s="931">
        <f>AI80*AH80</f>
        <v>0</v>
      </c>
      <c r="AO80" s="93"/>
      <c r="AQ80" s="384"/>
      <c r="AR80" s="387"/>
      <c r="AS80" s="104"/>
      <c r="AT80" s="104"/>
      <c r="AU80" s="104"/>
      <c r="AV80" s="104"/>
      <c r="AW80" s="931">
        <f>AR80*AQ80</f>
        <v>0</v>
      </c>
      <c r="AX80" s="93"/>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90"/>
      <c r="F81" s="81"/>
      <c r="G81" s="3"/>
      <c r="H81" s="7"/>
      <c r="I81" s="7"/>
      <c r="J81" s="7"/>
      <c r="K81" s="7"/>
      <c r="L81" s="7"/>
      <c r="M81" s="936">
        <f>SUM(M78:M80)</f>
        <v>0</v>
      </c>
      <c r="N81" s="179"/>
      <c r="O81" s="3"/>
      <c r="P81" s="3"/>
      <c r="Q81" s="7"/>
      <c r="R81" s="7"/>
      <c r="S81" s="7"/>
      <c r="T81" s="7"/>
      <c r="U81" s="7"/>
      <c r="V81" s="936">
        <f>SUM(V79:V80)</f>
        <v>0</v>
      </c>
      <c r="W81" s="179"/>
      <c r="X81" s="3"/>
      <c r="Y81" s="3"/>
      <c r="Z81" s="7"/>
      <c r="AA81" s="7"/>
      <c r="AB81" s="7"/>
      <c r="AC81" s="7"/>
      <c r="AD81" s="7"/>
      <c r="AE81" s="936">
        <f>SUM(AE79:AE80)</f>
        <v>0</v>
      </c>
      <c r="AF81" s="179"/>
      <c r="AG81" s="3"/>
      <c r="AH81" s="3"/>
      <c r="AI81" s="7"/>
      <c r="AJ81" s="7"/>
      <c r="AK81" s="7"/>
      <c r="AL81" s="7"/>
      <c r="AM81" s="7"/>
      <c r="AN81" s="936">
        <f>SUM(AN79:AN80)</f>
        <v>0</v>
      </c>
      <c r="AO81" s="179"/>
      <c r="AP81" s="3"/>
      <c r="AQ81" s="3"/>
      <c r="AR81" s="7"/>
      <c r="AS81" s="7"/>
      <c r="AT81" s="7"/>
      <c r="AU81" s="7"/>
      <c r="AV81" s="7"/>
      <c r="AW81" s="936">
        <f>SUM(AW79:AW80)</f>
        <v>0</v>
      </c>
      <c r="AX81" s="179"/>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115"/>
      <c r="F82" s="116"/>
      <c r="G82" s="113"/>
      <c r="H82" s="114"/>
      <c r="I82" s="114"/>
      <c r="J82" s="114"/>
      <c r="K82" s="114"/>
      <c r="L82" s="114"/>
      <c r="M82" s="936">
        <f>M77+M81</f>
        <v>0</v>
      </c>
      <c r="N82" s="187"/>
      <c r="O82" s="113"/>
      <c r="P82" s="113"/>
      <c r="Q82" s="114"/>
      <c r="R82" s="114"/>
      <c r="S82" s="114"/>
      <c r="T82" s="114"/>
      <c r="U82" s="114"/>
      <c r="V82" s="936">
        <f>V77+V81</f>
        <v>0</v>
      </c>
      <c r="W82" s="187"/>
      <c r="X82" s="113"/>
      <c r="Y82" s="113"/>
      <c r="Z82" s="114"/>
      <c r="AA82" s="114"/>
      <c r="AB82" s="114"/>
      <c r="AC82" s="114"/>
      <c r="AD82" s="114"/>
      <c r="AE82" s="936">
        <f>AE77+AE81</f>
        <v>0</v>
      </c>
      <c r="AF82" s="187"/>
      <c r="AG82" s="113"/>
      <c r="AH82" s="113"/>
      <c r="AI82" s="114"/>
      <c r="AJ82" s="114"/>
      <c r="AK82" s="114"/>
      <c r="AL82" s="114"/>
      <c r="AM82" s="114"/>
      <c r="AN82" s="936">
        <f>AN77+AN81</f>
        <v>0</v>
      </c>
      <c r="AO82" s="187"/>
      <c r="AP82" s="113"/>
      <c r="AQ82" s="113"/>
      <c r="AR82" s="114"/>
      <c r="AS82" s="114"/>
      <c r="AT82" s="114"/>
      <c r="AU82" s="114"/>
      <c r="AV82" s="114"/>
      <c r="AW82" s="936">
        <f>AW77+AW81</f>
        <v>0</v>
      </c>
      <c r="AX82" s="187"/>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89"/>
      <c r="G83" s="125" t="s">
        <v>26</v>
      </c>
      <c r="H83" s="341" t="s">
        <v>49</v>
      </c>
      <c r="I83" s="6"/>
      <c r="J83" s="6"/>
      <c r="K83" s="6"/>
      <c r="L83" s="6"/>
      <c r="M83" s="932"/>
      <c r="N83" s="93"/>
      <c r="P83" s="125" t="s">
        <v>26</v>
      </c>
      <c r="Q83" s="125" t="s">
        <v>49</v>
      </c>
      <c r="R83" s="6"/>
      <c r="S83" s="6"/>
      <c r="T83" s="6"/>
      <c r="U83" s="6"/>
      <c r="V83" s="932"/>
      <c r="W83" s="93"/>
      <c r="Y83" s="125" t="s">
        <v>26</v>
      </c>
      <c r="Z83" s="125" t="s">
        <v>49</v>
      </c>
      <c r="AA83" s="6"/>
      <c r="AB83" s="6"/>
      <c r="AC83" s="6"/>
      <c r="AD83" s="6"/>
      <c r="AE83" s="932"/>
      <c r="AF83" s="93"/>
      <c r="AH83" s="125" t="s">
        <v>26</v>
      </c>
      <c r="AI83" s="125" t="s">
        <v>49</v>
      </c>
      <c r="AJ83" s="6"/>
      <c r="AK83" s="6"/>
      <c r="AL83" s="6"/>
      <c r="AM83" s="6"/>
      <c r="AN83" s="932"/>
      <c r="AO83" s="93"/>
      <c r="AQ83" s="125" t="s">
        <v>26</v>
      </c>
      <c r="AR83" s="125" t="s">
        <v>49</v>
      </c>
      <c r="AS83" s="6"/>
      <c r="AT83" s="6"/>
      <c r="AU83" s="6"/>
      <c r="AV83" s="6"/>
      <c r="AW83" s="932"/>
      <c r="AX83" s="93"/>
      <c r="AZ83" s="125" t="s">
        <v>26</v>
      </c>
      <c r="BA83" s="125" t="s">
        <v>49</v>
      </c>
      <c r="BB83" s="79"/>
      <c r="BC83" s="79"/>
      <c r="BD83" s="79"/>
      <c r="BE83" s="6"/>
      <c r="BF83" s="932"/>
      <c r="BG83" s="715"/>
      <c r="BH83" s="93"/>
      <c r="BI83" s="92"/>
    </row>
    <row r="84" spans="2:61" x14ac:dyDescent="0.2">
      <c r="B84" s="643" t="s">
        <v>64</v>
      </c>
      <c r="C84" s="127" t="str">
        <f>'Base (Ph1)'!C84</f>
        <v>Insert COM rate title</v>
      </c>
      <c r="D84" s="6"/>
      <c r="E84" s="89"/>
      <c r="G84" s="384">
        <v>0</v>
      </c>
      <c r="H84" s="383">
        <v>0</v>
      </c>
      <c r="I84" s="104"/>
      <c r="J84" s="104"/>
      <c r="K84" s="104"/>
      <c r="L84" s="104"/>
      <c r="M84" s="91">
        <f>H84*G84</f>
        <v>0</v>
      </c>
      <c r="N84" s="93"/>
      <c r="P84" s="384">
        <v>0</v>
      </c>
      <c r="Q84" s="383">
        <v>0</v>
      </c>
      <c r="R84" s="104"/>
      <c r="S84" s="104"/>
      <c r="T84" s="104"/>
      <c r="U84" s="104"/>
      <c r="V84" s="91">
        <f>Q84*P84</f>
        <v>0</v>
      </c>
      <c r="W84" s="93"/>
      <c r="Y84" s="384">
        <v>0</v>
      </c>
      <c r="Z84" s="383">
        <v>0</v>
      </c>
      <c r="AA84" s="104"/>
      <c r="AB84" s="104"/>
      <c r="AC84" s="104"/>
      <c r="AD84" s="104"/>
      <c r="AE84" s="91">
        <f>Z84*Y84</f>
        <v>0</v>
      </c>
      <c r="AF84" s="93"/>
      <c r="AH84" s="384">
        <v>0</v>
      </c>
      <c r="AI84" s="383">
        <v>0</v>
      </c>
      <c r="AJ84" s="104"/>
      <c r="AK84" s="104"/>
      <c r="AL84" s="104"/>
      <c r="AM84" s="104"/>
      <c r="AN84" s="91">
        <f>AI84*AH84</f>
        <v>0</v>
      </c>
      <c r="AO84" s="93"/>
      <c r="AQ84" s="384">
        <v>0</v>
      </c>
      <c r="AR84" s="383">
        <v>0</v>
      </c>
      <c r="AS84" s="104"/>
      <c r="AT84" s="104"/>
      <c r="AU84" s="104"/>
      <c r="AV84" s="104"/>
      <c r="AW84" s="91">
        <f>AR84*AQ84</f>
        <v>0</v>
      </c>
      <c r="AX84" s="93"/>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89"/>
      <c r="G85" s="384"/>
      <c r="H85" s="383"/>
      <c r="I85" s="104"/>
      <c r="J85" s="104"/>
      <c r="K85" s="104"/>
      <c r="L85" s="104"/>
      <c r="M85" s="931">
        <f>H85*G85</f>
        <v>0</v>
      </c>
      <c r="N85" s="93"/>
      <c r="P85" s="384"/>
      <c r="Q85" s="383"/>
      <c r="R85" s="104"/>
      <c r="S85" s="104"/>
      <c r="T85" s="104"/>
      <c r="U85" s="104"/>
      <c r="V85" s="931">
        <f>Q85*P85</f>
        <v>0</v>
      </c>
      <c r="W85" s="93"/>
      <c r="Y85" s="384"/>
      <c r="Z85" s="383"/>
      <c r="AA85" s="104"/>
      <c r="AB85" s="104"/>
      <c r="AC85" s="104"/>
      <c r="AD85" s="104"/>
      <c r="AE85" s="931">
        <f>Z85*Y85</f>
        <v>0</v>
      </c>
      <c r="AF85" s="93"/>
      <c r="AH85" s="384"/>
      <c r="AI85" s="383"/>
      <c r="AJ85" s="104"/>
      <c r="AK85" s="104"/>
      <c r="AL85" s="104"/>
      <c r="AM85" s="104"/>
      <c r="AN85" s="931">
        <f>AI85*AH85</f>
        <v>0</v>
      </c>
      <c r="AO85" s="93"/>
      <c r="AQ85" s="384"/>
      <c r="AR85" s="383"/>
      <c r="AS85" s="104"/>
      <c r="AT85" s="104"/>
      <c r="AU85" s="104"/>
      <c r="AV85" s="104"/>
      <c r="AW85" s="931">
        <f>AR85*AQ85</f>
        <v>0</v>
      </c>
      <c r="AX85" s="93"/>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89"/>
      <c r="F86" s="81"/>
      <c r="G86" s="3"/>
      <c r="H86" s="7"/>
      <c r="I86" s="7"/>
      <c r="J86" s="7"/>
      <c r="K86" s="7"/>
      <c r="L86" s="7"/>
      <c r="M86" s="936">
        <f>SUM(M83:M85)</f>
        <v>0</v>
      </c>
      <c r="N86" s="93"/>
      <c r="O86" s="3"/>
      <c r="P86" s="3"/>
      <c r="Q86" s="7"/>
      <c r="R86" s="7"/>
      <c r="S86" s="7"/>
      <c r="T86" s="7"/>
      <c r="U86" s="7"/>
      <c r="V86" s="936">
        <f>SUM(V84:V85)</f>
        <v>0</v>
      </c>
      <c r="W86" s="93"/>
      <c r="X86" s="3"/>
      <c r="Y86" s="3"/>
      <c r="Z86" s="7"/>
      <c r="AA86" s="7"/>
      <c r="AB86" s="7"/>
      <c r="AC86" s="7"/>
      <c r="AD86" s="7"/>
      <c r="AE86" s="936">
        <f>SUM(AE84:AE85)</f>
        <v>0</v>
      </c>
      <c r="AF86" s="179"/>
      <c r="AG86" s="3"/>
      <c r="AH86" s="3"/>
      <c r="AI86" s="7"/>
      <c r="AJ86" s="7"/>
      <c r="AK86" s="7"/>
      <c r="AL86" s="7"/>
      <c r="AM86" s="7"/>
      <c r="AN86" s="936">
        <f>SUM(AN84:AN85)</f>
        <v>0</v>
      </c>
      <c r="AO86" s="179"/>
      <c r="AP86" s="3"/>
      <c r="AQ86" s="3"/>
      <c r="AR86" s="7"/>
      <c r="AS86" s="7"/>
      <c r="AT86" s="7"/>
      <c r="AU86" s="7"/>
      <c r="AV86" s="7"/>
      <c r="AW86" s="936">
        <f>SUM(AW84:AW85)</f>
        <v>0</v>
      </c>
      <c r="AX86" s="179"/>
      <c r="AY86" s="3"/>
      <c r="AZ86" s="3"/>
      <c r="BA86" s="81"/>
      <c r="BB86" s="81"/>
      <c r="BC86" s="81"/>
      <c r="BD86" s="81"/>
      <c r="BE86" s="7"/>
      <c r="BF86" s="936">
        <f>SUM(BF84:BF85)</f>
        <v>0</v>
      </c>
      <c r="BG86" s="715"/>
      <c r="BH86" s="95"/>
      <c r="BI86" s="403">
        <f>M86+V86+AE86+AN86+AW86+BF86</f>
        <v>0</v>
      </c>
    </row>
    <row r="87" spans="2:61" ht="13.5" thickBot="1" x14ac:dyDescent="0.25">
      <c r="B87" s="15" t="s">
        <v>19</v>
      </c>
      <c r="C87" s="12"/>
      <c r="D87" s="13"/>
      <c r="E87" s="89"/>
      <c r="F87" s="83"/>
      <c r="G87" s="12"/>
      <c r="H87" s="13"/>
      <c r="I87" s="13"/>
      <c r="J87" s="13"/>
      <c r="K87" s="13"/>
      <c r="L87" s="13"/>
      <c r="M87" s="937">
        <f>M82+M86</f>
        <v>0</v>
      </c>
      <c r="N87" s="93"/>
      <c r="O87" s="12"/>
      <c r="P87" s="12"/>
      <c r="Q87" s="13"/>
      <c r="R87" s="13"/>
      <c r="S87" s="13"/>
      <c r="T87" s="13"/>
      <c r="U87" s="13"/>
      <c r="V87" s="937">
        <f>V82+V86</f>
        <v>0</v>
      </c>
      <c r="W87" s="93"/>
      <c r="X87" s="12"/>
      <c r="Y87" s="12"/>
      <c r="Z87" s="13"/>
      <c r="AA87" s="13"/>
      <c r="AB87" s="13"/>
      <c r="AC87" s="13"/>
      <c r="AD87" s="13"/>
      <c r="AE87" s="937">
        <f>AE82+AE86</f>
        <v>0</v>
      </c>
      <c r="AF87" s="179"/>
      <c r="AG87" s="12"/>
      <c r="AH87" s="12"/>
      <c r="AI87" s="13"/>
      <c r="AJ87" s="13"/>
      <c r="AK87" s="13"/>
      <c r="AL87" s="13"/>
      <c r="AM87" s="13"/>
      <c r="AN87" s="937">
        <f>AN82+AN86</f>
        <v>0</v>
      </c>
      <c r="AO87" s="179"/>
      <c r="AP87" s="12"/>
      <c r="AQ87" s="12"/>
      <c r="AR87" s="13"/>
      <c r="AS87" s="13"/>
      <c r="AT87" s="13"/>
      <c r="AU87" s="13"/>
      <c r="AV87" s="13"/>
      <c r="AW87" s="937">
        <f>AW82+AW86</f>
        <v>0</v>
      </c>
      <c r="AX87" s="179"/>
      <c r="AY87" s="12"/>
      <c r="AZ87" s="12"/>
      <c r="BA87" s="83"/>
      <c r="BB87" s="83"/>
      <c r="BC87" s="83"/>
      <c r="BD87" s="83"/>
      <c r="BE87" s="13"/>
      <c r="BF87" s="91">
        <f>BF82+BF86</f>
        <v>0</v>
      </c>
      <c r="BG87" s="715"/>
      <c r="BH87" s="98"/>
      <c r="BI87" s="403">
        <f>M87+V87+AE87+AN87+AW87+BF87</f>
        <v>0</v>
      </c>
    </row>
    <row r="88" spans="2:61" x14ac:dyDescent="0.2">
      <c r="B88" s="644" t="s">
        <v>499</v>
      </c>
      <c r="C88" s="645"/>
      <c r="D88" s="646"/>
      <c r="E88" s="89"/>
      <c r="F88" s="647"/>
      <c r="G88" s="647"/>
      <c r="H88" s="647"/>
      <c r="I88" s="647"/>
      <c r="J88" s="647"/>
      <c r="K88" s="647"/>
      <c r="L88" s="647"/>
      <c r="M88" s="935"/>
      <c r="N88" s="93"/>
      <c r="O88" s="647"/>
      <c r="P88" s="647"/>
      <c r="Q88" s="647"/>
      <c r="R88" s="647"/>
      <c r="S88" s="647"/>
      <c r="T88" s="647"/>
      <c r="U88" s="647"/>
      <c r="V88" s="703"/>
      <c r="W88" s="93"/>
      <c r="X88" s="647"/>
      <c r="Y88" s="647"/>
      <c r="Z88" s="647"/>
      <c r="AA88" s="647"/>
      <c r="AB88" s="647"/>
      <c r="AC88" s="647"/>
      <c r="AD88" s="647"/>
      <c r="AE88" s="703"/>
      <c r="AF88" s="179"/>
      <c r="AG88" s="647"/>
      <c r="AH88" s="647"/>
      <c r="AI88" s="647"/>
      <c r="AJ88" s="647"/>
      <c r="AK88" s="647"/>
      <c r="AL88" s="647"/>
      <c r="AM88" s="647"/>
      <c r="AN88" s="703"/>
      <c r="AO88" s="179"/>
      <c r="AP88" s="647"/>
      <c r="AQ88" s="647"/>
      <c r="AR88" s="647"/>
      <c r="AS88" s="647"/>
      <c r="AT88" s="647"/>
      <c r="AU88" s="647"/>
      <c r="AV88" s="647"/>
      <c r="AW88" s="703"/>
      <c r="AX88" s="179"/>
      <c r="AY88" s="647"/>
      <c r="AZ88" s="647"/>
      <c r="BA88" s="647"/>
      <c r="BB88" s="647"/>
      <c r="BC88" s="647"/>
      <c r="BD88" s="647"/>
      <c r="BE88" s="654"/>
      <c r="BF88" s="654"/>
      <c r="BG88" s="675"/>
      <c r="BH88" s="650" t="s">
        <v>501</v>
      </c>
      <c r="BI88" s="405">
        <f>BI87-BI70</f>
        <v>0</v>
      </c>
    </row>
    <row r="89" spans="2:61" ht="13.5" thickBot="1" x14ac:dyDescent="0.25">
      <c r="B89" s="21" t="s">
        <v>27</v>
      </c>
      <c r="C89" s="16"/>
      <c r="E89" s="89"/>
      <c r="F89" s="105"/>
      <c r="G89" s="105"/>
      <c r="H89" s="105"/>
      <c r="I89" s="105"/>
      <c r="J89" s="105"/>
      <c r="K89" s="704"/>
      <c r="L89" s="105"/>
      <c r="M89" s="705"/>
      <c r="N89" s="93"/>
      <c r="O89" s="105"/>
      <c r="P89" s="105"/>
      <c r="Q89" s="105"/>
      <c r="R89" s="105"/>
      <c r="S89" s="105"/>
      <c r="T89" s="105"/>
      <c r="U89" s="105"/>
      <c r="V89" s="705"/>
      <c r="W89" s="93"/>
      <c r="X89" s="105"/>
      <c r="Y89" s="105"/>
      <c r="Z89" s="105"/>
      <c r="AA89" s="105"/>
      <c r="AB89" s="105"/>
      <c r="AC89" s="105"/>
      <c r="AD89" s="105"/>
      <c r="AE89" s="705"/>
      <c r="AF89" s="179"/>
      <c r="AG89" s="105"/>
      <c r="AH89" s="105"/>
      <c r="AI89" s="105"/>
      <c r="AJ89" s="105"/>
      <c r="AK89" s="105"/>
      <c r="AL89" s="105"/>
      <c r="AM89" s="105"/>
      <c r="AN89" s="705"/>
      <c r="AO89" s="179"/>
      <c r="AP89" s="105"/>
      <c r="AQ89" s="105"/>
      <c r="AR89" s="105"/>
      <c r="AS89" s="105"/>
      <c r="AT89" s="105"/>
      <c r="AU89" s="105"/>
      <c r="AV89" s="105"/>
      <c r="AW89" s="705"/>
      <c r="AX89" s="179"/>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702"/>
      <c r="F90" s="684"/>
      <c r="G90" s="684"/>
      <c r="H90" s="684"/>
      <c r="I90" s="684"/>
      <c r="J90" s="684"/>
      <c r="K90" s="684"/>
      <c r="L90" s="684"/>
      <c r="M90" s="706"/>
      <c r="N90" s="707"/>
      <c r="O90" s="121"/>
      <c r="P90" s="121"/>
      <c r="Q90" s="121"/>
      <c r="R90" s="121"/>
      <c r="S90" s="121"/>
      <c r="T90" s="121"/>
      <c r="U90" s="121"/>
      <c r="V90" s="706"/>
      <c r="W90" s="707"/>
      <c r="X90" s="121"/>
      <c r="Y90" s="121"/>
      <c r="Z90" s="121"/>
      <c r="AA90" s="121"/>
      <c r="AB90" s="121"/>
      <c r="AC90" s="121"/>
      <c r="AD90" s="121"/>
      <c r="AE90" s="706"/>
      <c r="AF90" s="710"/>
      <c r="AG90" s="121"/>
      <c r="AH90" s="121"/>
      <c r="AI90" s="121"/>
      <c r="AJ90" s="121"/>
      <c r="AK90" s="121"/>
      <c r="AL90" s="121"/>
      <c r="AM90" s="121"/>
      <c r="AN90" s="706"/>
      <c r="AO90" s="710"/>
      <c r="AP90" s="121"/>
      <c r="AQ90" s="121"/>
      <c r="AR90" s="121"/>
      <c r="AS90" s="121"/>
      <c r="AT90" s="121"/>
      <c r="AU90" s="121"/>
      <c r="AV90" s="121"/>
      <c r="AW90" s="706"/>
      <c r="AX90" s="710"/>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08.75" customHeight="1" x14ac:dyDescent="0.2">
      <c r="B92" s="566" t="s">
        <v>81</v>
      </c>
      <c r="C92" s="1444" t="s">
        <v>494</v>
      </c>
      <c r="D92" s="1444"/>
      <c r="E92" s="632"/>
      <c r="F92" s="632"/>
      <c r="G92" s="632"/>
      <c r="H92" s="632"/>
      <c r="I92" s="632"/>
      <c r="J92" s="632"/>
      <c r="K92" s="632"/>
      <c r="L92" s="632"/>
      <c r="M92" s="632"/>
      <c r="N92" s="632"/>
      <c r="O92" s="632"/>
      <c r="Z92" s="29"/>
    </row>
    <row r="93" spans="2:61" ht="14.25" customHeight="1" x14ac:dyDescent="0.2">
      <c r="B93" s="610" t="s">
        <v>42</v>
      </c>
      <c r="C93" s="1441" t="s">
        <v>651</v>
      </c>
      <c r="D93" s="1441"/>
    </row>
    <row r="94" spans="2:61" ht="18" customHeight="1" x14ac:dyDescent="0.2">
      <c r="B94" s="641" t="s">
        <v>13</v>
      </c>
      <c r="C94" s="1441" t="s">
        <v>652</v>
      </c>
      <c r="D94" s="1441"/>
    </row>
    <row r="95" spans="2:61" ht="30"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5" customHeight="1" x14ac:dyDescent="0.2">
      <c r="B96" s="641" t="s">
        <v>45</v>
      </c>
      <c r="C96" s="1489" t="s">
        <v>654</v>
      </c>
      <c r="D96" s="1489"/>
      <c r="E96" s="651"/>
      <c r="F96" s="651"/>
      <c r="G96" s="651"/>
      <c r="H96" s="651"/>
      <c r="I96" s="651"/>
      <c r="J96" s="651"/>
      <c r="K96" s="651"/>
      <c r="L96" s="651"/>
      <c r="M96" s="651"/>
      <c r="N96" s="651"/>
      <c r="O96" s="651"/>
      <c r="P96" s="651"/>
      <c r="Q96" s="651"/>
      <c r="R96" s="651"/>
    </row>
    <row r="97" spans="2:4" ht="73.5" customHeight="1" x14ac:dyDescent="0.2">
      <c r="B97" s="641" t="s">
        <v>497</v>
      </c>
      <c r="C97" s="1489" t="s">
        <v>496</v>
      </c>
      <c r="D97" s="1489"/>
    </row>
    <row r="98" spans="2:4" ht="16.5" thickBot="1" x14ac:dyDescent="0.25">
      <c r="C98" s="39"/>
    </row>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5">
    <mergeCell ref="AJ4:AK4"/>
    <mergeCell ref="AS4:AT4"/>
    <mergeCell ref="I5:J5"/>
    <mergeCell ref="R5:S5"/>
    <mergeCell ref="AJ5:AK5"/>
    <mergeCell ref="AS5:AT5"/>
    <mergeCell ref="I4:J4"/>
    <mergeCell ref="R4:S4"/>
    <mergeCell ref="AA5:AB5"/>
    <mergeCell ref="C97:D97"/>
    <mergeCell ref="C96:D96"/>
    <mergeCell ref="AJ6:AK6"/>
    <mergeCell ref="AS6:AT6"/>
    <mergeCell ref="BI6:BJ6"/>
    <mergeCell ref="I6:J6"/>
    <mergeCell ref="R6:S6"/>
    <mergeCell ref="AA6:AB6"/>
    <mergeCell ref="C92:D92"/>
    <mergeCell ref="C93:D93"/>
    <mergeCell ref="C94:D94"/>
    <mergeCell ref="C95:D95"/>
    <mergeCell ref="C101:D101"/>
    <mergeCell ref="C100:D100"/>
    <mergeCell ref="C102:D102"/>
    <mergeCell ref="C103:D103"/>
    <mergeCell ref="C104:D104"/>
    <mergeCell ref="C110:D110"/>
    <mergeCell ref="C111:D111"/>
    <mergeCell ref="C112:D112"/>
    <mergeCell ref="C113:D113"/>
    <mergeCell ref="C105:D105"/>
    <mergeCell ref="C106:D106"/>
    <mergeCell ref="C107:D107"/>
    <mergeCell ref="C108:D108"/>
    <mergeCell ref="C109:D109"/>
  </mergeCells>
  <phoneticPr fontId="18" type="noConversion"/>
  <pageMargins left="0.25" right="0.25" top="0.75" bottom="0.75" header="0.3" footer="0.3"/>
  <pageSetup scale="42" fitToHeight="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E8D9F3"/>
  </sheetPr>
  <dimension ref="A1:CF139"/>
  <sheetViews>
    <sheetView zoomScale="85" zoomScaleNormal="85" workbookViewId="0">
      <pane xSplit="4" ySplit="7" topLeftCell="E8" activePane="bottomRight" state="frozen"/>
      <selection activeCell="BI89" sqref="BI89"/>
      <selection pane="topRight" activeCell="BI89" sqref="BI89"/>
      <selection pane="bottomLeft" activeCell="BI89" sqref="BI89"/>
      <selection pane="bottomRight" activeCell="C4" sqref="C4"/>
    </sheetView>
  </sheetViews>
  <sheetFormatPr defaultColWidth="8.7109375" defaultRowHeight="12.75" outlineLevelCol="1" x14ac:dyDescent="0.2"/>
  <cols>
    <col min="1" max="1" width="0.85546875" customWidth="1"/>
    <col min="2" max="2" width="13.42578125" customWidth="1"/>
    <col min="3" max="3" width="44.140625" customWidth="1"/>
    <col min="4" max="4" width="35.28515625" customWidth="1"/>
    <col min="5" max="5" width="2.28515625" customWidth="1"/>
    <col min="6" max="6" width="8.7109375" customWidth="1"/>
    <col min="7" max="7" width="10.7109375" customWidth="1" outlineLevel="1"/>
    <col min="8" max="8" width="14.7109375" customWidth="1" outlineLevel="1"/>
    <col min="9" max="9" width="11.7109375" customWidth="1" outlineLevel="1"/>
    <col min="10" max="10" width="14.7109375" customWidth="1" outlineLevel="1"/>
    <col min="11" max="11" width="11.7109375" customWidth="1" outlineLevel="1"/>
    <col min="12" max="12" width="14.7109375" customWidth="1" outlineLevel="1"/>
    <col min="13" max="13" width="14.7109375" customWidth="1"/>
    <col min="14" max="14" width="2.28515625" customWidth="1"/>
    <col min="15" max="15" width="8.7109375" customWidth="1"/>
    <col min="16" max="16" width="10.7109375" customWidth="1" outlineLevel="1"/>
    <col min="17" max="17" width="14.7109375" customWidth="1" outlineLevel="1"/>
    <col min="18" max="18" width="11.7109375" customWidth="1" outlineLevel="1"/>
    <col min="19" max="19" width="14.7109375" customWidth="1" outlineLevel="1"/>
    <col min="20" max="20" width="11.7109375" customWidth="1" outlineLevel="1"/>
    <col min="21" max="21" width="14.7109375" customWidth="1" outlineLevel="1"/>
    <col min="22" max="22" width="14.7109375" customWidth="1"/>
    <col min="23" max="23" width="2.28515625" customWidth="1"/>
    <col min="24" max="24" width="8.7109375" customWidth="1"/>
    <col min="25" max="25" width="10.7109375" customWidth="1" outlineLevel="1"/>
    <col min="26" max="26" width="14.7109375" customWidth="1" outlineLevel="1"/>
    <col min="27" max="27" width="11.7109375" customWidth="1" outlineLevel="1"/>
    <col min="28" max="28" width="14.7109375" customWidth="1" outlineLevel="1"/>
    <col min="29" max="29" width="11.7109375" customWidth="1" outlineLevel="1"/>
    <col min="30" max="30" width="14.7109375" customWidth="1" outlineLevel="1"/>
    <col min="31" max="31" width="14.7109375" customWidth="1"/>
    <col min="32" max="32" width="2.28515625" customWidth="1"/>
    <col min="33" max="33" width="8.7109375" customWidth="1"/>
    <col min="34" max="34" width="10.7109375" customWidth="1" outlineLevel="1"/>
    <col min="35" max="35" width="14.7109375" customWidth="1" outlineLevel="1"/>
    <col min="36" max="36" width="11.7109375" customWidth="1" outlineLevel="1"/>
    <col min="37" max="37" width="14.7109375" customWidth="1" outlineLevel="1"/>
    <col min="38" max="38" width="11.7109375" customWidth="1" outlineLevel="1"/>
    <col min="39" max="39" width="14.7109375" customWidth="1" outlineLevel="1"/>
    <col min="40" max="40" width="14.7109375" customWidth="1"/>
    <col min="41" max="41" width="2.28515625" customWidth="1"/>
    <col min="42" max="42" width="8.7109375" customWidth="1"/>
    <col min="43" max="43" width="10.7109375" customWidth="1" outlineLevel="1"/>
    <col min="44" max="44" width="14.7109375" customWidth="1" outlineLevel="1"/>
    <col min="45" max="45" width="11.7109375" customWidth="1" outlineLevel="1"/>
    <col min="46" max="46" width="14.7109375" customWidth="1" outlineLevel="1"/>
    <col min="47" max="47" width="11.7109375" customWidth="1" outlineLevel="1"/>
    <col min="48" max="48" width="14.7109375" customWidth="1" outlineLevel="1"/>
    <col min="49" max="49" width="14.7109375" customWidth="1"/>
    <col min="50" max="50" width="2.28515625" customWidth="1"/>
    <col min="51" max="51" width="8.7109375" customWidth="1"/>
    <col min="52" max="52" width="10.7109375" customWidth="1" outlineLevel="1"/>
    <col min="53" max="53" width="14.7109375" customWidth="1" outlineLevel="1"/>
    <col min="54" max="54" width="11.7109375" customWidth="1" outlineLevel="1"/>
    <col min="55" max="55" width="14.7109375" customWidth="1" outlineLevel="1"/>
    <col min="56" max="56" width="11.7109375" customWidth="1" outlineLevel="1"/>
    <col min="57" max="57" width="14.7109375" customWidth="1" outlineLevel="1"/>
    <col min="58" max="58" width="14.7109375" customWidth="1"/>
    <col min="59" max="59" width="2.28515625" customWidth="1"/>
    <col min="60" max="60" width="7.7109375" customWidth="1"/>
    <col min="61" max="62" width="14.7109375" customWidth="1"/>
  </cols>
  <sheetData>
    <row r="1" spans="2:84" s="516" customFormat="1" ht="18.75" x14ac:dyDescent="0.3">
      <c r="B1" s="878" t="s">
        <v>438</v>
      </c>
      <c r="C1" s="880"/>
      <c r="D1" s="563" t="s">
        <v>242</v>
      </c>
      <c r="E1" s="879"/>
      <c r="F1" s="880"/>
      <c r="G1" s="880"/>
      <c r="H1" s="880"/>
      <c r="I1" s="880"/>
      <c r="J1" s="880"/>
      <c r="K1" s="880"/>
      <c r="L1" s="880"/>
      <c r="M1" s="880"/>
      <c r="N1" s="880"/>
      <c r="O1" s="880"/>
      <c r="P1" s="880"/>
      <c r="Q1" s="880"/>
      <c r="R1" s="880"/>
      <c r="S1" s="880"/>
      <c r="T1" s="880"/>
      <c r="U1" s="880"/>
      <c r="V1" s="880"/>
      <c r="W1" s="880"/>
      <c r="X1" s="880"/>
      <c r="Y1" s="880"/>
      <c r="Z1" s="880"/>
      <c r="AA1" s="880"/>
      <c r="AB1" s="880"/>
      <c r="AC1" s="880"/>
      <c r="AD1" s="880"/>
      <c r="AE1" s="880"/>
      <c r="AF1" s="880"/>
      <c r="AG1" s="880"/>
      <c r="AH1" s="880"/>
      <c r="AI1" s="880"/>
      <c r="AJ1" s="880"/>
      <c r="AK1" s="880"/>
      <c r="AL1" s="880"/>
      <c r="AM1" s="880"/>
      <c r="AN1" s="880"/>
      <c r="AO1" s="880"/>
      <c r="AP1" s="880"/>
      <c r="AQ1" s="880"/>
      <c r="AR1" s="880"/>
      <c r="AS1" s="880"/>
      <c r="AT1" s="880"/>
      <c r="AU1" s="880"/>
      <c r="AV1" s="880"/>
      <c r="AW1" s="880"/>
      <c r="AX1" s="880"/>
      <c r="AY1" s="880"/>
      <c r="AZ1" s="880"/>
      <c r="BA1" s="880"/>
      <c r="BB1" s="880"/>
      <c r="BC1" s="880"/>
      <c r="BD1" s="880"/>
      <c r="BE1" s="880"/>
      <c r="BF1" s="880"/>
      <c r="BG1" s="880"/>
      <c r="BH1" s="880"/>
      <c r="BI1" s="880"/>
      <c r="BJ1" s="880"/>
      <c r="BK1" s="562"/>
    </row>
    <row r="2" spans="2:84" s="147" customFormat="1" ht="15.75" x14ac:dyDescent="0.25">
      <c r="C2" s="517" t="s">
        <v>291</v>
      </c>
      <c r="D2" s="518" t="str">
        <f>INITIALIZATION!C5</f>
        <v>Proposer's Name (Prime or Sub)</v>
      </c>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CD2" s="670"/>
      <c r="CF2" s="147" t="s">
        <v>507</v>
      </c>
    </row>
    <row r="3" spans="2:84" s="147" customFormat="1" ht="16.5" thickBot="1" x14ac:dyDescent="0.3">
      <c r="C3" s="517" t="s">
        <v>191</v>
      </c>
      <c r="D3" s="518" t="str">
        <f>INITIALIZATION!C6</f>
        <v>Prime Contractor (Fill-in) (if applicable)</v>
      </c>
      <c r="E3" s="519"/>
      <c r="F3" s="519"/>
      <c r="G3" s="519"/>
      <c r="H3" s="519"/>
      <c r="I3" s="519"/>
      <c r="J3" s="519"/>
      <c r="K3" s="519"/>
      <c r="L3" s="519"/>
      <c r="M3" s="828" t="str">
        <f>Period1_Label</f>
        <v>Proposer FY 1</v>
      </c>
      <c r="N3" s="519"/>
      <c r="O3" s="519"/>
      <c r="P3" s="519"/>
      <c r="Q3" s="519"/>
      <c r="R3" s="519"/>
      <c r="S3" s="519"/>
      <c r="T3" s="519"/>
      <c r="U3" s="519"/>
      <c r="V3" s="828" t="str">
        <f>Period2_Label</f>
        <v>Proposer FY 2</v>
      </c>
      <c r="W3" s="519"/>
      <c r="X3" s="519"/>
      <c r="Y3" s="519"/>
      <c r="Z3" s="519"/>
      <c r="AA3" s="519"/>
      <c r="AB3" s="519"/>
      <c r="AC3" s="519"/>
      <c r="AD3" s="519"/>
      <c r="AE3" s="828" t="str">
        <f>Period3_Label</f>
        <v>Proposer FY 3</v>
      </c>
      <c r="AF3" s="519"/>
      <c r="AG3" s="519"/>
      <c r="AH3" s="519"/>
      <c r="AI3" s="519"/>
      <c r="AJ3" s="519"/>
      <c r="AK3" s="519"/>
      <c r="AL3" s="519"/>
      <c r="AM3" s="519"/>
      <c r="AN3" s="828" t="str">
        <f>Period4_Label</f>
        <v>Proposer FY 4</v>
      </c>
      <c r="AO3" s="519"/>
      <c r="AP3" s="519"/>
      <c r="AQ3" s="519"/>
      <c r="AR3" s="519"/>
      <c r="AS3" s="519"/>
      <c r="AT3" s="519"/>
      <c r="AU3" s="519"/>
      <c r="AV3" s="519"/>
      <c r="AW3" s="828" t="str">
        <f>Period5_Label</f>
        <v>Proposer FY 5</v>
      </c>
      <c r="AX3" s="519"/>
      <c r="AY3" s="519"/>
      <c r="AZ3" s="519"/>
      <c r="BA3" s="519"/>
      <c r="BB3" s="519"/>
      <c r="BC3" s="519"/>
      <c r="BD3" s="519"/>
      <c r="BE3" s="519"/>
      <c r="BF3" s="828" t="str">
        <f>Period6_Label</f>
        <v>Proposer FY 6</v>
      </c>
      <c r="BG3" s="519"/>
      <c r="BH3" s="519"/>
      <c r="BI3" s="519"/>
      <c r="BJ3" s="519"/>
    </row>
    <row r="4" spans="2:84" ht="13.5" thickBot="1" x14ac:dyDescent="0.25">
      <c r="B4" s="1195"/>
      <c r="C4" s="1196"/>
      <c r="D4" s="1196"/>
      <c r="E4" s="1208"/>
      <c r="F4" s="1202"/>
      <c r="G4" s="1203"/>
      <c r="H4" s="1203"/>
      <c r="I4" s="1472" t="s">
        <v>85</v>
      </c>
      <c r="J4" s="1473"/>
      <c r="K4" s="1203"/>
      <c r="L4" s="1203"/>
      <c r="M4" s="1204"/>
      <c r="N4" s="1209"/>
      <c r="O4" s="1202"/>
      <c r="P4" s="1206"/>
      <c r="Q4" s="1203"/>
      <c r="R4" s="1472" t="s">
        <v>85</v>
      </c>
      <c r="S4" s="1473"/>
      <c r="T4" s="1203"/>
      <c r="U4" s="1203"/>
      <c r="V4" s="1204"/>
      <c r="W4" s="1209"/>
      <c r="X4" s="1202"/>
      <c r="Y4" s="1203"/>
      <c r="Z4" s="1203"/>
      <c r="AA4" s="1203" t="s">
        <v>85</v>
      </c>
      <c r="AB4" s="1203"/>
      <c r="AC4" s="1203"/>
      <c r="AD4" s="1203"/>
      <c r="AE4" s="1204"/>
      <c r="AF4" s="1209"/>
      <c r="AG4" s="1202"/>
      <c r="AH4" s="1206"/>
      <c r="AI4" s="1206"/>
      <c r="AJ4" s="1472" t="s">
        <v>85</v>
      </c>
      <c r="AK4" s="1473"/>
      <c r="AL4" s="1206"/>
      <c r="AM4" s="1203"/>
      <c r="AN4" s="1204"/>
      <c r="AO4" s="1209"/>
      <c r="AP4" s="1202"/>
      <c r="AQ4" s="1206"/>
      <c r="AR4" s="1206"/>
      <c r="AS4" s="1472" t="s">
        <v>85</v>
      </c>
      <c r="AT4" s="1473"/>
      <c r="AU4" s="1206"/>
      <c r="AV4" s="1203"/>
      <c r="AW4" s="1204"/>
      <c r="AX4" s="1209"/>
      <c r="AY4" s="1202"/>
      <c r="AZ4" s="1206"/>
      <c r="BA4" s="1206"/>
      <c r="BB4" s="1206"/>
      <c r="BC4" s="1203" t="s">
        <v>85</v>
      </c>
      <c r="BD4" s="1206"/>
      <c r="BE4" s="1203"/>
      <c r="BF4" s="1204"/>
      <c r="BG4" s="1210"/>
      <c r="BH4" s="1202"/>
      <c r="BI4" s="1203"/>
      <c r="BJ4" s="1204"/>
    </row>
    <row r="5" spans="2:84" x14ac:dyDescent="0.2">
      <c r="C5" s="1"/>
      <c r="D5" s="6"/>
      <c r="E5" s="348"/>
      <c r="F5" s="236"/>
      <c r="G5" s="204"/>
      <c r="H5" s="204"/>
      <c r="I5" s="1480" t="str">
        <f>Period1_Label</f>
        <v>Proposer FY 1</v>
      </c>
      <c r="J5" s="1481"/>
      <c r="K5" s="204"/>
      <c r="L5" s="204"/>
      <c r="M5" s="205"/>
      <c r="N5" s="261"/>
      <c r="O5" s="252"/>
      <c r="P5" s="253"/>
      <c r="Q5" s="254"/>
      <c r="R5" s="1484" t="str">
        <f>Period2_Label</f>
        <v>Proposer FY 2</v>
      </c>
      <c r="S5" s="1485"/>
      <c r="T5" s="254"/>
      <c r="U5" s="254"/>
      <c r="V5" s="360"/>
      <c r="W5" s="206"/>
      <c r="X5" s="241"/>
      <c r="Y5" s="207"/>
      <c r="Z5" s="208"/>
      <c r="AA5" s="1466" t="str">
        <f>Period3_Label</f>
        <v>Proposer FY 3</v>
      </c>
      <c r="AB5" s="1467"/>
      <c r="AC5" s="208"/>
      <c r="AD5" s="208"/>
      <c r="AE5" s="209"/>
      <c r="AF5" s="210"/>
      <c r="AG5" s="246"/>
      <c r="AH5" s="211"/>
      <c r="AI5" s="212"/>
      <c r="AJ5" s="1474" t="str">
        <f>Period4_Label</f>
        <v>Proposer FY 4</v>
      </c>
      <c r="AK5" s="1475"/>
      <c r="AL5" s="212"/>
      <c r="AM5" s="212"/>
      <c r="AN5" s="213"/>
      <c r="AO5" s="266"/>
      <c r="AP5" s="281"/>
      <c r="AQ5" s="262"/>
      <c r="AR5" s="262"/>
      <c r="AS5" s="1478" t="str">
        <f>Period5_Label</f>
        <v>Proposer FY 5</v>
      </c>
      <c r="AT5" s="1479"/>
      <c r="AU5" s="262"/>
      <c r="AV5" s="263"/>
      <c r="AW5" s="373"/>
      <c r="AX5" s="275"/>
      <c r="AY5" s="267"/>
      <c r="AZ5" s="268"/>
      <c r="BA5" s="268"/>
      <c r="BB5" s="268"/>
      <c r="BC5" s="269" t="str">
        <f>Period6_Label</f>
        <v>Proposer FY 6</v>
      </c>
      <c r="BD5" s="268"/>
      <c r="BE5" s="270"/>
      <c r="BF5" s="376"/>
      <c r="BG5" s="680"/>
      <c r="BH5" s="679"/>
      <c r="BI5" s="671" t="s">
        <v>15</v>
      </c>
      <c r="BJ5" s="673"/>
    </row>
    <row r="6" spans="2:84" x14ac:dyDescent="0.2">
      <c r="C6" s="14" t="s">
        <v>83</v>
      </c>
      <c r="D6" s="6"/>
      <c r="E6" s="351"/>
      <c r="F6" s="237"/>
      <c r="G6" s="214"/>
      <c r="H6" s="214"/>
      <c r="I6" s="1482" t="str">
        <f>CONCATENATE(TEXT('Proposer Acct. Data'!C12,"MM/DD/YY")," to ",TEXT('Proposer Acct. Data'!C13,"MM/DD/YY"))</f>
        <v>01/00/00 to 01/00/00</v>
      </c>
      <c r="J6" s="1483"/>
      <c r="K6" s="215"/>
      <c r="L6" s="216"/>
      <c r="M6" s="217"/>
      <c r="N6" s="352"/>
      <c r="O6" s="255"/>
      <c r="P6" s="256"/>
      <c r="Q6" s="257"/>
      <c r="R6" s="1486" t="str">
        <f>CONCATENATE(TEXT('Proposer Acct. Data'!D12,"MM/DD/YY")," to ",TEXT('Proposer Acct. Data'!D13,"MM/DD/YY"))</f>
        <v>12/31/00 to 12/31/00</v>
      </c>
      <c r="S6" s="1487"/>
      <c r="T6" s="257"/>
      <c r="U6" s="257"/>
      <c r="V6" s="361"/>
      <c r="W6" s="357"/>
      <c r="X6" s="242"/>
      <c r="Y6" s="218"/>
      <c r="Z6" s="219"/>
      <c r="AA6" s="1468" t="str">
        <f>CONCATENATE(TEXT('Proposer Acct. Data'!E12,"MM/DD/YY")," to ",TEXT('Proposer Acct. Data'!E13,"MM/DD/YY"))</f>
        <v>12/31/01 to 12/31/01</v>
      </c>
      <c r="AB6" s="1469"/>
      <c r="AC6" s="219"/>
      <c r="AD6" s="219"/>
      <c r="AE6" s="220"/>
      <c r="AF6" s="363"/>
      <c r="AG6" s="247"/>
      <c r="AH6" s="221"/>
      <c r="AI6" s="222"/>
      <c r="AJ6" s="1476" t="str">
        <f>CONCATENATE(TEXT('Proposer Acct. Data'!F12,"MM/DD/YY")," to ",TEXT('Proposer Acct. Data'!F13,"MM/DD/YY"))</f>
        <v>12/31/02 to 12/31/02</v>
      </c>
      <c r="AK6" s="1477"/>
      <c r="AL6" s="222"/>
      <c r="AM6" s="222"/>
      <c r="AN6" s="223"/>
      <c r="AO6" s="367"/>
      <c r="AP6" s="282"/>
      <c r="AQ6" s="264"/>
      <c r="AR6" s="264"/>
      <c r="AS6" s="1470" t="str">
        <f>CONCATENATE(TEXT('Proposer Acct. Data'!G12,"MM/DD/YY")," to ",TEXT('Proposer Acct. Data'!G13,"MM/DD/YY"))</f>
        <v>12/31/03 to 12/31/03</v>
      </c>
      <c r="AT6" s="1471"/>
      <c r="AU6" s="264"/>
      <c r="AV6" s="265"/>
      <c r="AW6" s="374"/>
      <c r="AX6" s="370"/>
      <c r="AY6" s="271"/>
      <c r="AZ6" s="272"/>
      <c r="BA6" s="272"/>
      <c r="BB6" s="272"/>
      <c r="BC6" s="273" t="str">
        <f>CONCATENATE(TEXT('Proposer Acct. Data'!H12,"MM/DD/YY")," to ",TEXT('Proposer Acct. Data'!H13,"MM/DD/YY"))</f>
        <v>12/31/04 to 12/31/04</v>
      </c>
      <c r="BD6" s="272"/>
      <c r="BE6" s="274"/>
      <c r="BF6" s="377"/>
      <c r="BG6" s="682"/>
      <c r="BH6" s="677" t="s">
        <v>82</v>
      </c>
      <c r="BI6" s="1496" t="s">
        <v>40</v>
      </c>
      <c r="BJ6" s="1497"/>
    </row>
    <row r="7" spans="2:84" s="69" customFormat="1" ht="36.75" thickBot="1" x14ac:dyDescent="0.25">
      <c r="B7" s="66"/>
      <c r="C7" s="67" t="s">
        <v>290</v>
      </c>
      <c r="D7" s="68" t="s">
        <v>22</v>
      </c>
      <c r="E7" s="348"/>
      <c r="F7" s="238" t="s">
        <v>239</v>
      </c>
      <c r="G7" s="239" t="s">
        <v>93</v>
      </c>
      <c r="H7" s="239" t="s">
        <v>233</v>
      </c>
      <c r="I7" s="239" t="s">
        <v>232</v>
      </c>
      <c r="J7" s="239" t="s">
        <v>234</v>
      </c>
      <c r="K7" s="239" t="s">
        <v>92</v>
      </c>
      <c r="L7" s="239" t="s">
        <v>236</v>
      </c>
      <c r="M7" s="356" t="s">
        <v>252</v>
      </c>
      <c r="N7" s="355"/>
      <c r="O7" s="258" t="s">
        <v>239</v>
      </c>
      <c r="P7" s="259" t="s">
        <v>93</v>
      </c>
      <c r="Q7" s="260" t="s">
        <v>233</v>
      </c>
      <c r="R7" s="260" t="s">
        <v>232</v>
      </c>
      <c r="S7" s="260" t="s">
        <v>234</v>
      </c>
      <c r="T7" s="260" t="s">
        <v>92</v>
      </c>
      <c r="U7" s="260" t="s">
        <v>236</v>
      </c>
      <c r="V7" s="362" t="s">
        <v>252</v>
      </c>
      <c r="W7" s="358"/>
      <c r="X7" s="243" t="s">
        <v>239</v>
      </c>
      <c r="Y7" s="244" t="s">
        <v>93</v>
      </c>
      <c r="Z7" s="245" t="s">
        <v>233</v>
      </c>
      <c r="AA7" s="245" t="s">
        <v>232</v>
      </c>
      <c r="AB7" s="245" t="s">
        <v>234</v>
      </c>
      <c r="AC7" s="245" t="s">
        <v>92</v>
      </c>
      <c r="AD7" s="245" t="s">
        <v>236</v>
      </c>
      <c r="AE7" s="366" t="s">
        <v>252</v>
      </c>
      <c r="AF7" s="364"/>
      <c r="AG7" s="248" t="s">
        <v>239</v>
      </c>
      <c r="AH7" s="249" t="s">
        <v>93</v>
      </c>
      <c r="AI7" s="249" t="s">
        <v>233</v>
      </c>
      <c r="AJ7" s="249" t="s">
        <v>232</v>
      </c>
      <c r="AK7" s="249" t="s">
        <v>234</v>
      </c>
      <c r="AL7" s="249" t="s">
        <v>92</v>
      </c>
      <c r="AM7" s="250" t="s">
        <v>236</v>
      </c>
      <c r="AN7" s="369" t="s">
        <v>252</v>
      </c>
      <c r="AO7" s="368"/>
      <c r="AP7" s="283" t="s">
        <v>239</v>
      </c>
      <c r="AQ7" s="284" t="s">
        <v>93</v>
      </c>
      <c r="AR7" s="285" t="s">
        <v>233</v>
      </c>
      <c r="AS7" s="285" t="s">
        <v>232</v>
      </c>
      <c r="AT7" s="285" t="s">
        <v>234</v>
      </c>
      <c r="AU7" s="285" t="s">
        <v>92</v>
      </c>
      <c r="AV7" s="285" t="s">
        <v>236</v>
      </c>
      <c r="AW7" s="375" t="s">
        <v>252</v>
      </c>
      <c r="AX7" s="371"/>
      <c r="AY7" s="277" t="s">
        <v>239</v>
      </c>
      <c r="AZ7" s="278" t="s">
        <v>93</v>
      </c>
      <c r="BA7" s="279" t="s">
        <v>233</v>
      </c>
      <c r="BB7" s="279" t="s">
        <v>232</v>
      </c>
      <c r="BC7" s="279" t="s">
        <v>234</v>
      </c>
      <c r="BD7" s="279" t="s">
        <v>92</v>
      </c>
      <c r="BE7" s="279" t="s">
        <v>236</v>
      </c>
      <c r="BF7" s="378" t="s">
        <v>252</v>
      </c>
      <c r="BG7" s="681"/>
      <c r="BH7" s="678" t="s">
        <v>239</v>
      </c>
      <c r="BI7" s="226" t="s">
        <v>252</v>
      </c>
      <c r="BJ7" s="228" t="s">
        <v>241</v>
      </c>
    </row>
    <row r="8" spans="2:84" x14ac:dyDescent="0.2">
      <c r="B8" s="8"/>
      <c r="C8" s="329" t="str">
        <f>IF(ISBLANK('Labor Rates'!C8),"",'Labor Rates'!C8)</f>
        <v/>
      </c>
      <c r="D8" s="413" t="str">
        <f>IF(ISBLANK('Labor Rates'!D8),"",'Labor Rates'!D8)</f>
        <v/>
      </c>
      <c r="E8" s="350"/>
      <c r="F8" s="251"/>
      <c r="G8" s="240">
        <f>'Labor Rates'!F8</f>
        <v>0</v>
      </c>
      <c r="H8" s="229">
        <f>F8*G8</f>
        <v>0</v>
      </c>
      <c r="I8" s="230">
        <f>'Labor Rates'!H8</f>
        <v>0</v>
      </c>
      <c r="J8" s="229">
        <f>H8*I8</f>
        <v>0</v>
      </c>
      <c r="K8" s="230">
        <f>'Labor Rates'!I8</f>
        <v>0</v>
      </c>
      <c r="L8" s="231">
        <f>(H8+J8)*K8</f>
        <v>0</v>
      </c>
      <c r="M8" s="232">
        <f>H8+J8+L8</f>
        <v>0</v>
      </c>
      <c r="N8" s="354"/>
      <c r="O8" s="251"/>
      <c r="P8" s="240">
        <f>'Labor Rates'!M8</f>
        <v>0</v>
      </c>
      <c r="Q8" s="229">
        <f>O8*P8</f>
        <v>0</v>
      </c>
      <c r="R8" s="230">
        <f>'Labor Rates'!O8</f>
        <v>0</v>
      </c>
      <c r="S8" s="229">
        <f>Q8*R8</f>
        <v>0</v>
      </c>
      <c r="T8" s="230">
        <f>'Labor Rates'!P8</f>
        <v>0</v>
      </c>
      <c r="U8" s="231">
        <f>(Q8+S8)*T8</f>
        <v>0</v>
      </c>
      <c r="V8" s="232">
        <f>ROUND(O8*P8*(1+R8)*(1+T8),0)</f>
        <v>0</v>
      </c>
      <c r="W8" s="359"/>
      <c r="X8" s="251"/>
      <c r="Y8" s="240">
        <f>'Labor Rates'!T8</f>
        <v>0</v>
      </c>
      <c r="Z8" s="229">
        <f>X8*Y8</f>
        <v>0</v>
      </c>
      <c r="AA8" s="230">
        <f>'Labor Rates'!V8</f>
        <v>0</v>
      </c>
      <c r="AB8" s="229">
        <f>Z8*AA8</f>
        <v>0</v>
      </c>
      <c r="AC8" s="230">
        <f>'Labor Rates'!W8</f>
        <v>0</v>
      </c>
      <c r="AD8" s="231">
        <f>(Z8+AB8)*AC8</f>
        <v>0</v>
      </c>
      <c r="AE8" s="232">
        <f>ROUND(X8*Y8*(1+AA8)*(1+AC8),0)</f>
        <v>0</v>
      </c>
      <c r="AF8" s="365"/>
      <c r="AG8" s="251"/>
      <c r="AH8" s="63">
        <f>'Labor Rates'!AA8</f>
        <v>0</v>
      </c>
      <c r="AI8" s="72">
        <f>AG8*AH8</f>
        <v>0</v>
      </c>
      <c r="AJ8" s="70">
        <f>'Labor Rates'!AC8</f>
        <v>0</v>
      </c>
      <c r="AK8" s="72">
        <f>AI8*AJ8</f>
        <v>0</v>
      </c>
      <c r="AL8" s="70">
        <f>'Labor Rates'!AD8</f>
        <v>0</v>
      </c>
      <c r="AM8" s="75">
        <f>(AI8+AK8)*AL8</f>
        <v>0</v>
      </c>
      <c r="AN8" s="91">
        <f>ROUND(AG8*AH8*(1+AJ8)*(1+AL8),0)</f>
        <v>0</v>
      </c>
      <c r="AO8" s="318"/>
      <c r="AP8" s="280"/>
      <c r="AQ8" s="240">
        <f>'Labor Rates'!AH8</f>
        <v>0</v>
      </c>
      <c r="AR8" s="229">
        <f>AP8*AQ8</f>
        <v>0</v>
      </c>
      <c r="AS8" s="230">
        <f>'Labor Rates'!AJ8</f>
        <v>0</v>
      </c>
      <c r="AT8" s="229">
        <f>AR8*AS8</f>
        <v>0</v>
      </c>
      <c r="AU8" s="230">
        <f>'Labor Rates'!AK8</f>
        <v>0</v>
      </c>
      <c r="AV8" s="231">
        <f>(AR8+AT8)*AU8</f>
        <v>0</v>
      </c>
      <c r="AW8" s="232">
        <f>ROUND(AP8*AQ8*(1+AS8)*(1+AU8),0)</f>
        <v>0</v>
      </c>
      <c r="AX8" s="372"/>
      <c r="AY8" s="276"/>
      <c r="AZ8" s="240">
        <f>'Labor Rates'!AO8</f>
        <v>0</v>
      </c>
      <c r="BA8" s="229">
        <f>AY8*AZ8</f>
        <v>0</v>
      </c>
      <c r="BB8" s="230">
        <f>'Labor Rates'!AQ8</f>
        <v>0</v>
      </c>
      <c r="BC8" s="229">
        <f>BA8*BB8</f>
        <v>0</v>
      </c>
      <c r="BD8" s="230">
        <f>'Labor Rates'!AR8</f>
        <v>0</v>
      </c>
      <c r="BE8" s="231">
        <f>(BA8+BC8)*BD8</f>
        <v>0</v>
      </c>
      <c r="BF8" s="232">
        <f>ROUND(AY8*AZ8*(1+BB8)*(1+BD8),0)</f>
        <v>0</v>
      </c>
      <c r="BG8" s="683"/>
      <c r="BH8" s="414">
        <f>F8+O8+X8+AG8+AP8+AY8</f>
        <v>0</v>
      </c>
      <c r="BI8" s="415">
        <f>H8+Q8+Z8+AI8+AR8+BA8</f>
        <v>0</v>
      </c>
      <c r="BJ8" s="416">
        <f>M8+V8+AE8+AN8+AW8+BF8</f>
        <v>0</v>
      </c>
    </row>
    <row r="9" spans="2:84" x14ac:dyDescent="0.2">
      <c r="B9" s="8"/>
      <c r="C9" s="329" t="str">
        <f>IF(ISBLANK('Labor Rates'!C9),"",'Labor Rates'!C9)</f>
        <v/>
      </c>
      <c r="D9" s="413" t="str">
        <f>IF(ISBLANK('Labor Rates'!D9),"",'Labor Rates'!D9)</f>
        <v/>
      </c>
      <c r="E9" s="350"/>
      <c r="F9" s="251"/>
      <c r="G9" s="240">
        <f>'Labor Rates'!F9</f>
        <v>0</v>
      </c>
      <c r="H9" s="229">
        <f t="shared" ref="H9:H47" si="0">F9*G9</f>
        <v>0</v>
      </c>
      <c r="I9" s="230">
        <f>'Labor Rates'!H9</f>
        <v>0</v>
      </c>
      <c r="J9" s="229">
        <f t="shared" ref="J9:J47" si="1">H9*I9</f>
        <v>0</v>
      </c>
      <c r="K9" s="230">
        <f>'Labor Rates'!I9</f>
        <v>0</v>
      </c>
      <c r="L9" s="231">
        <f t="shared" ref="L9:L47" si="2">(H9+J9)*K9</f>
        <v>0</v>
      </c>
      <c r="M9" s="232">
        <f t="shared" ref="M9:M47" si="3">H9+J9+L9</f>
        <v>0</v>
      </c>
      <c r="N9" s="354"/>
      <c r="O9" s="251"/>
      <c r="P9" s="240">
        <f>'Labor Rates'!M9</f>
        <v>0</v>
      </c>
      <c r="Q9" s="229">
        <f t="shared" ref="Q9:Q47" si="4">O9*P9</f>
        <v>0</v>
      </c>
      <c r="R9" s="230">
        <f>'Labor Rates'!O9</f>
        <v>0</v>
      </c>
      <c r="S9" s="229">
        <f t="shared" ref="S9:S47" si="5">Q9*R9</f>
        <v>0</v>
      </c>
      <c r="T9" s="230">
        <f>'Labor Rates'!P9</f>
        <v>0</v>
      </c>
      <c r="U9" s="231">
        <f t="shared" ref="U9:U47" si="6">(Q9+S9)*T9</f>
        <v>0</v>
      </c>
      <c r="V9" s="232">
        <f t="shared" ref="V9:V47" si="7">ROUND(O9*P9*(1+R9)*(1+T9),0)</f>
        <v>0</v>
      </c>
      <c r="W9" s="359"/>
      <c r="X9" s="251"/>
      <c r="Y9" s="240">
        <f>'Labor Rates'!T9</f>
        <v>0</v>
      </c>
      <c r="Z9" s="229">
        <f t="shared" ref="Z9:Z47" si="8">X9*Y9</f>
        <v>0</v>
      </c>
      <c r="AA9" s="230">
        <f>'Labor Rates'!V9</f>
        <v>0</v>
      </c>
      <c r="AB9" s="229">
        <f t="shared" ref="AB9:AB47" si="9">Z9*AA9</f>
        <v>0</v>
      </c>
      <c r="AC9" s="230">
        <f>'Labor Rates'!W9</f>
        <v>0</v>
      </c>
      <c r="AD9" s="231">
        <f t="shared" ref="AD9:AD47" si="10">(Z9+AB9)*AC9</f>
        <v>0</v>
      </c>
      <c r="AE9" s="232">
        <f t="shared" ref="AE9:AE47" si="11">ROUND(X9*Y9*(1+AA9)*(1+AC9),0)</f>
        <v>0</v>
      </c>
      <c r="AF9" s="365"/>
      <c r="AG9" s="251"/>
      <c r="AH9" s="63">
        <f>'Labor Rates'!AA9</f>
        <v>0</v>
      </c>
      <c r="AI9" s="72">
        <f t="shared" ref="AI9:AI47" si="12">AG9*AH9</f>
        <v>0</v>
      </c>
      <c r="AJ9" s="70">
        <f>'Labor Rates'!AC9</f>
        <v>0</v>
      </c>
      <c r="AK9" s="72">
        <f t="shared" ref="AK9:AK47" si="13">AI9*AJ9</f>
        <v>0</v>
      </c>
      <c r="AL9" s="70">
        <f>'Labor Rates'!AD9</f>
        <v>0</v>
      </c>
      <c r="AM9" s="75">
        <f t="shared" ref="AM9:AM47" si="14">(AI9+AK9)*AL9</f>
        <v>0</v>
      </c>
      <c r="AN9" s="91">
        <f t="shared" ref="AN9:AN47" si="15">ROUND(AG9*AH9*(1+AJ9)*(1+AL9),0)</f>
        <v>0</v>
      </c>
      <c r="AO9" s="318"/>
      <c r="AP9" s="280"/>
      <c r="AQ9" s="240">
        <f>'Labor Rates'!AH9</f>
        <v>0</v>
      </c>
      <c r="AR9" s="229">
        <f t="shared" ref="AR9:AR47" si="16">AP9*AQ9</f>
        <v>0</v>
      </c>
      <c r="AS9" s="230">
        <f>'Labor Rates'!AJ9</f>
        <v>0</v>
      </c>
      <c r="AT9" s="229">
        <f t="shared" ref="AT9:AT47" si="17">AR9*AS9</f>
        <v>0</v>
      </c>
      <c r="AU9" s="230">
        <f>'Labor Rates'!AK9</f>
        <v>0</v>
      </c>
      <c r="AV9" s="231">
        <f t="shared" ref="AV9:AV47" si="18">(AR9+AT9)*AU9</f>
        <v>0</v>
      </c>
      <c r="AW9" s="232">
        <f t="shared" ref="AW9:AW47" si="19">ROUND(AP9*AQ9*(1+AS9)*(1+AU9),0)</f>
        <v>0</v>
      </c>
      <c r="AX9" s="372"/>
      <c r="AY9" s="276"/>
      <c r="AZ9" s="240">
        <f>'Labor Rates'!AO9</f>
        <v>0</v>
      </c>
      <c r="BA9" s="229">
        <f t="shared" ref="BA9:BA47" si="20">AY9*AZ9</f>
        <v>0</v>
      </c>
      <c r="BB9" s="230">
        <f>'Labor Rates'!AQ9</f>
        <v>0</v>
      </c>
      <c r="BC9" s="229">
        <f t="shared" ref="BC9:BC47" si="21">BA9*BB9</f>
        <v>0</v>
      </c>
      <c r="BD9" s="230">
        <f>'Labor Rates'!AR9</f>
        <v>0</v>
      </c>
      <c r="BE9" s="231">
        <f t="shared" ref="BE9:BE47" si="22">(BA9+BC9)*BD9</f>
        <v>0</v>
      </c>
      <c r="BF9" s="232">
        <f t="shared" ref="BF9:BF47" si="23">ROUND(AY9*AZ9*(1+BB9)*(1+BD9),0)</f>
        <v>0</v>
      </c>
      <c r="BG9" s="683"/>
      <c r="BH9" s="414">
        <f t="shared" ref="BH9:BH47" si="24">F9+O9+X9+AG9+AP9+AY9</f>
        <v>0</v>
      </c>
      <c r="BI9" s="415">
        <f t="shared" ref="BI9:BI47" si="25">H9+Q9+Z9+AI9+AR9+BA9</f>
        <v>0</v>
      </c>
      <c r="BJ9" s="416">
        <f t="shared" ref="BJ9:BJ47" si="26">M9+V9+AE9+AN9+AW9+BF9</f>
        <v>0</v>
      </c>
    </row>
    <row r="10" spans="2:84" x14ac:dyDescent="0.2">
      <c r="B10" s="8"/>
      <c r="C10" s="329" t="str">
        <f>IF(ISBLANK('Labor Rates'!C10),"",'Labor Rates'!C10)</f>
        <v/>
      </c>
      <c r="D10" s="413" t="str">
        <f>IF(ISBLANK('Labor Rates'!D10),"",'Labor Rates'!D10)</f>
        <v/>
      </c>
      <c r="E10" s="350"/>
      <c r="F10" s="251"/>
      <c r="G10" s="240">
        <f>'Labor Rates'!F10</f>
        <v>0</v>
      </c>
      <c r="H10" s="229">
        <f t="shared" si="0"/>
        <v>0</v>
      </c>
      <c r="I10" s="230">
        <f>'Labor Rates'!H10</f>
        <v>0</v>
      </c>
      <c r="J10" s="229">
        <f t="shared" si="1"/>
        <v>0</v>
      </c>
      <c r="K10" s="230">
        <f>'Labor Rates'!I10</f>
        <v>0</v>
      </c>
      <c r="L10" s="231">
        <f t="shared" si="2"/>
        <v>0</v>
      </c>
      <c r="M10" s="232">
        <f t="shared" si="3"/>
        <v>0</v>
      </c>
      <c r="N10" s="354"/>
      <c r="O10" s="251"/>
      <c r="P10" s="240">
        <f>'Labor Rates'!M10</f>
        <v>0</v>
      </c>
      <c r="Q10" s="229">
        <f t="shared" si="4"/>
        <v>0</v>
      </c>
      <c r="R10" s="230">
        <f>'Labor Rates'!O10</f>
        <v>0</v>
      </c>
      <c r="S10" s="229">
        <f t="shared" si="5"/>
        <v>0</v>
      </c>
      <c r="T10" s="230">
        <f>'Labor Rates'!P10</f>
        <v>0</v>
      </c>
      <c r="U10" s="231">
        <f t="shared" si="6"/>
        <v>0</v>
      </c>
      <c r="V10" s="232">
        <f t="shared" si="7"/>
        <v>0</v>
      </c>
      <c r="W10" s="359"/>
      <c r="X10" s="251"/>
      <c r="Y10" s="240">
        <f>'Labor Rates'!T10</f>
        <v>0</v>
      </c>
      <c r="Z10" s="229">
        <f t="shared" si="8"/>
        <v>0</v>
      </c>
      <c r="AA10" s="230">
        <f>'Labor Rates'!V10</f>
        <v>0</v>
      </c>
      <c r="AB10" s="229">
        <f t="shared" si="9"/>
        <v>0</v>
      </c>
      <c r="AC10" s="230">
        <f>'Labor Rates'!W10</f>
        <v>0</v>
      </c>
      <c r="AD10" s="231">
        <f t="shared" si="10"/>
        <v>0</v>
      </c>
      <c r="AE10" s="232">
        <f t="shared" si="11"/>
        <v>0</v>
      </c>
      <c r="AF10" s="365"/>
      <c r="AG10" s="251"/>
      <c r="AH10" s="63">
        <f>'Labor Rates'!AA10</f>
        <v>0</v>
      </c>
      <c r="AI10" s="72">
        <f t="shared" si="12"/>
        <v>0</v>
      </c>
      <c r="AJ10" s="70">
        <f>'Labor Rates'!AC10</f>
        <v>0</v>
      </c>
      <c r="AK10" s="72">
        <f t="shared" si="13"/>
        <v>0</v>
      </c>
      <c r="AL10" s="70">
        <f>'Labor Rates'!AD10</f>
        <v>0</v>
      </c>
      <c r="AM10" s="75">
        <f t="shared" si="14"/>
        <v>0</v>
      </c>
      <c r="AN10" s="91">
        <f t="shared" si="15"/>
        <v>0</v>
      </c>
      <c r="AO10" s="318"/>
      <c r="AP10" s="280"/>
      <c r="AQ10" s="240">
        <f>'Labor Rates'!AH10</f>
        <v>0</v>
      </c>
      <c r="AR10" s="229">
        <f t="shared" si="16"/>
        <v>0</v>
      </c>
      <c r="AS10" s="230">
        <f>'Labor Rates'!AJ10</f>
        <v>0</v>
      </c>
      <c r="AT10" s="229">
        <f t="shared" si="17"/>
        <v>0</v>
      </c>
      <c r="AU10" s="230">
        <f>'Labor Rates'!AK10</f>
        <v>0</v>
      </c>
      <c r="AV10" s="231">
        <f t="shared" si="18"/>
        <v>0</v>
      </c>
      <c r="AW10" s="232">
        <f t="shared" si="19"/>
        <v>0</v>
      </c>
      <c r="AX10" s="372"/>
      <c r="AY10" s="276"/>
      <c r="AZ10" s="240">
        <f>'Labor Rates'!AO10</f>
        <v>0</v>
      </c>
      <c r="BA10" s="229">
        <f t="shared" si="20"/>
        <v>0</v>
      </c>
      <c r="BB10" s="230">
        <f>'Labor Rates'!AQ10</f>
        <v>0</v>
      </c>
      <c r="BC10" s="229">
        <f t="shared" si="21"/>
        <v>0</v>
      </c>
      <c r="BD10" s="230">
        <f>'Labor Rates'!AR10</f>
        <v>0</v>
      </c>
      <c r="BE10" s="231">
        <f t="shared" si="22"/>
        <v>0</v>
      </c>
      <c r="BF10" s="232">
        <f t="shared" si="23"/>
        <v>0</v>
      </c>
      <c r="BG10" s="683"/>
      <c r="BH10" s="414">
        <f t="shared" si="24"/>
        <v>0</v>
      </c>
      <c r="BI10" s="415">
        <f t="shared" si="25"/>
        <v>0</v>
      </c>
      <c r="BJ10" s="416">
        <f t="shared" si="26"/>
        <v>0</v>
      </c>
    </row>
    <row r="11" spans="2:84" x14ac:dyDescent="0.2">
      <c r="B11" s="8"/>
      <c r="C11" s="329" t="str">
        <f>IF(ISBLANK('Labor Rates'!C11),"",'Labor Rates'!C11)</f>
        <v/>
      </c>
      <c r="D11" s="413" t="str">
        <f>IF(ISBLANK('Labor Rates'!D11),"",'Labor Rates'!D11)</f>
        <v/>
      </c>
      <c r="E11" s="350"/>
      <c r="F11" s="251"/>
      <c r="G11" s="240">
        <f>'Labor Rates'!F11</f>
        <v>0</v>
      </c>
      <c r="H11" s="229">
        <f t="shared" si="0"/>
        <v>0</v>
      </c>
      <c r="I11" s="230">
        <f>'Labor Rates'!H11</f>
        <v>0</v>
      </c>
      <c r="J11" s="229">
        <f t="shared" si="1"/>
        <v>0</v>
      </c>
      <c r="K11" s="230">
        <f>'Labor Rates'!I11</f>
        <v>0</v>
      </c>
      <c r="L11" s="231">
        <f t="shared" si="2"/>
        <v>0</v>
      </c>
      <c r="M11" s="232">
        <f t="shared" si="3"/>
        <v>0</v>
      </c>
      <c r="N11" s="354"/>
      <c r="O11" s="251"/>
      <c r="P11" s="240">
        <f>'Labor Rates'!M11</f>
        <v>0</v>
      </c>
      <c r="Q11" s="229">
        <f t="shared" si="4"/>
        <v>0</v>
      </c>
      <c r="R11" s="230">
        <f>'Labor Rates'!O11</f>
        <v>0</v>
      </c>
      <c r="S11" s="229">
        <f t="shared" si="5"/>
        <v>0</v>
      </c>
      <c r="T11" s="230">
        <f>'Labor Rates'!P11</f>
        <v>0</v>
      </c>
      <c r="U11" s="231">
        <f t="shared" si="6"/>
        <v>0</v>
      </c>
      <c r="V11" s="232">
        <f t="shared" si="7"/>
        <v>0</v>
      </c>
      <c r="W11" s="359"/>
      <c r="X11" s="251"/>
      <c r="Y11" s="240">
        <f>'Labor Rates'!T11</f>
        <v>0</v>
      </c>
      <c r="Z11" s="229">
        <f t="shared" si="8"/>
        <v>0</v>
      </c>
      <c r="AA11" s="230">
        <f>'Labor Rates'!V11</f>
        <v>0</v>
      </c>
      <c r="AB11" s="229">
        <f t="shared" si="9"/>
        <v>0</v>
      </c>
      <c r="AC11" s="230">
        <f>'Labor Rates'!W11</f>
        <v>0</v>
      </c>
      <c r="AD11" s="231">
        <f t="shared" si="10"/>
        <v>0</v>
      </c>
      <c r="AE11" s="232">
        <f t="shared" si="11"/>
        <v>0</v>
      </c>
      <c r="AF11" s="365"/>
      <c r="AG11" s="251"/>
      <c r="AH11" s="63">
        <f>'Labor Rates'!AA11</f>
        <v>0</v>
      </c>
      <c r="AI11" s="72">
        <f t="shared" si="12"/>
        <v>0</v>
      </c>
      <c r="AJ11" s="70">
        <f>'Labor Rates'!AC11</f>
        <v>0</v>
      </c>
      <c r="AK11" s="72">
        <f t="shared" si="13"/>
        <v>0</v>
      </c>
      <c r="AL11" s="70">
        <f>'Labor Rates'!AD11</f>
        <v>0</v>
      </c>
      <c r="AM11" s="75">
        <f t="shared" si="14"/>
        <v>0</v>
      </c>
      <c r="AN11" s="91">
        <f t="shared" si="15"/>
        <v>0</v>
      </c>
      <c r="AO11" s="318"/>
      <c r="AP11" s="280"/>
      <c r="AQ11" s="240">
        <f>'Labor Rates'!AH11</f>
        <v>0</v>
      </c>
      <c r="AR11" s="229">
        <f t="shared" si="16"/>
        <v>0</v>
      </c>
      <c r="AS11" s="230">
        <f>'Labor Rates'!AJ11</f>
        <v>0</v>
      </c>
      <c r="AT11" s="229">
        <f t="shared" si="17"/>
        <v>0</v>
      </c>
      <c r="AU11" s="230">
        <f>'Labor Rates'!AK11</f>
        <v>0</v>
      </c>
      <c r="AV11" s="231">
        <f t="shared" si="18"/>
        <v>0</v>
      </c>
      <c r="AW11" s="232">
        <f t="shared" si="19"/>
        <v>0</v>
      </c>
      <c r="AX11" s="372"/>
      <c r="AY11" s="276"/>
      <c r="AZ11" s="240">
        <f>'Labor Rates'!AO11</f>
        <v>0</v>
      </c>
      <c r="BA11" s="229">
        <f t="shared" si="20"/>
        <v>0</v>
      </c>
      <c r="BB11" s="230">
        <f>'Labor Rates'!AQ11</f>
        <v>0</v>
      </c>
      <c r="BC11" s="229">
        <f t="shared" si="21"/>
        <v>0</v>
      </c>
      <c r="BD11" s="230">
        <f>'Labor Rates'!AR11</f>
        <v>0</v>
      </c>
      <c r="BE11" s="231">
        <f t="shared" si="22"/>
        <v>0</v>
      </c>
      <c r="BF11" s="232">
        <f t="shared" si="23"/>
        <v>0</v>
      </c>
      <c r="BG11" s="683"/>
      <c r="BH11" s="414">
        <f t="shared" si="24"/>
        <v>0</v>
      </c>
      <c r="BI11" s="415">
        <f t="shared" si="25"/>
        <v>0</v>
      </c>
      <c r="BJ11" s="416">
        <f t="shared" si="26"/>
        <v>0</v>
      </c>
    </row>
    <row r="12" spans="2:84" x14ac:dyDescent="0.2">
      <c r="B12" s="8"/>
      <c r="C12" s="329" t="str">
        <f>IF(ISBLANK('Labor Rates'!C12),"",'Labor Rates'!C12)</f>
        <v/>
      </c>
      <c r="D12" s="413" t="str">
        <f>IF(ISBLANK('Labor Rates'!D12),"",'Labor Rates'!D12)</f>
        <v/>
      </c>
      <c r="E12" s="350"/>
      <c r="F12" s="251"/>
      <c r="G12" s="240">
        <f>'Labor Rates'!F12</f>
        <v>0</v>
      </c>
      <c r="H12" s="229">
        <f t="shared" si="0"/>
        <v>0</v>
      </c>
      <c r="I12" s="230">
        <f>'Labor Rates'!H12</f>
        <v>0</v>
      </c>
      <c r="J12" s="229">
        <f t="shared" si="1"/>
        <v>0</v>
      </c>
      <c r="K12" s="230">
        <f>'Labor Rates'!I12</f>
        <v>0</v>
      </c>
      <c r="L12" s="231">
        <f t="shared" si="2"/>
        <v>0</v>
      </c>
      <c r="M12" s="232">
        <f t="shared" si="3"/>
        <v>0</v>
      </c>
      <c r="N12" s="354"/>
      <c r="O12" s="251"/>
      <c r="P12" s="240">
        <f>'Labor Rates'!M12</f>
        <v>0</v>
      </c>
      <c r="Q12" s="229">
        <f t="shared" si="4"/>
        <v>0</v>
      </c>
      <c r="R12" s="230">
        <f>'Labor Rates'!O12</f>
        <v>0</v>
      </c>
      <c r="S12" s="229">
        <f t="shared" si="5"/>
        <v>0</v>
      </c>
      <c r="T12" s="230">
        <f>'Labor Rates'!P12</f>
        <v>0</v>
      </c>
      <c r="U12" s="231">
        <f t="shared" si="6"/>
        <v>0</v>
      </c>
      <c r="V12" s="232">
        <f t="shared" si="7"/>
        <v>0</v>
      </c>
      <c r="W12" s="359"/>
      <c r="X12" s="251"/>
      <c r="Y12" s="240">
        <f>'Labor Rates'!T12</f>
        <v>0</v>
      </c>
      <c r="Z12" s="229">
        <f t="shared" si="8"/>
        <v>0</v>
      </c>
      <c r="AA12" s="230">
        <f>'Labor Rates'!V12</f>
        <v>0</v>
      </c>
      <c r="AB12" s="229">
        <f t="shared" si="9"/>
        <v>0</v>
      </c>
      <c r="AC12" s="230">
        <f>'Labor Rates'!W12</f>
        <v>0</v>
      </c>
      <c r="AD12" s="231">
        <f t="shared" si="10"/>
        <v>0</v>
      </c>
      <c r="AE12" s="232">
        <f t="shared" si="11"/>
        <v>0</v>
      </c>
      <c r="AF12" s="365"/>
      <c r="AG12" s="251"/>
      <c r="AH12" s="63">
        <f>'Labor Rates'!AA12</f>
        <v>0</v>
      </c>
      <c r="AI12" s="72">
        <f t="shared" si="12"/>
        <v>0</v>
      </c>
      <c r="AJ12" s="70">
        <f>'Labor Rates'!AC12</f>
        <v>0</v>
      </c>
      <c r="AK12" s="72">
        <f t="shared" si="13"/>
        <v>0</v>
      </c>
      <c r="AL12" s="70">
        <f>'Labor Rates'!AD12</f>
        <v>0</v>
      </c>
      <c r="AM12" s="75">
        <f t="shared" si="14"/>
        <v>0</v>
      </c>
      <c r="AN12" s="91">
        <f t="shared" si="15"/>
        <v>0</v>
      </c>
      <c r="AO12" s="318"/>
      <c r="AP12" s="280"/>
      <c r="AQ12" s="240">
        <f>'Labor Rates'!AH12</f>
        <v>0</v>
      </c>
      <c r="AR12" s="229">
        <f t="shared" si="16"/>
        <v>0</v>
      </c>
      <c r="AS12" s="230">
        <f>'Labor Rates'!AJ12</f>
        <v>0</v>
      </c>
      <c r="AT12" s="229">
        <f t="shared" si="17"/>
        <v>0</v>
      </c>
      <c r="AU12" s="230">
        <f>'Labor Rates'!AK12</f>
        <v>0</v>
      </c>
      <c r="AV12" s="231">
        <f t="shared" si="18"/>
        <v>0</v>
      </c>
      <c r="AW12" s="232">
        <f t="shared" si="19"/>
        <v>0</v>
      </c>
      <c r="AX12" s="372"/>
      <c r="AY12" s="276"/>
      <c r="AZ12" s="240">
        <f>'Labor Rates'!AO12</f>
        <v>0</v>
      </c>
      <c r="BA12" s="229">
        <f t="shared" si="20"/>
        <v>0</v>
      </c>
      <c r="BB12" s="230">
        <f>'Labor Rates'!AQ12</f>
        <v>0</v>
      </c>
      <c r="BC12" s="229">
        <f t="shared" si="21"/>
        <v>0</v>
      </c>
      <c r="BD12" s="230">
        <f>'Labor Rates'!AR12</f>
        <v>0</v>
      </c>
      <c r="BE12" s="231">
        <f t="shared" si="22"/>
        <v>0</v>
      </c>
      <c r="BF12" s="232">
        <f t="shared" si="23"/>
        <v>0</v>
      </c>
      <c r="BG12" s="683"/>
      <c r="BH12" s="414">
        <f t="shared" si="24"/>
        <v>0</v>
      </c>
      <c r="BI12" s="415">
        <f t="shared" si="25"/>
        <v>0</v>
      </c>
      <c r="BJ12" s="416">
        <f t="shared" si="26"/>
        <v>0</v>
      </c>
    </row>
    <row r="13" spans="2:84" x14ac:dyDescent="0.2">
      <c r="B13" s="8"/>
      <c r="C13" s="329" t="str">
        <f>IF(ISBLANK('Labor Rates'!C13),"",'Labor Rates'!C13)</f>
        <v/>
      </c>
      <c r="D13" s="413" t="str">
        <f>IF(ISBLANK('Labor Rates'!D13),"",'Labor Rates'!D13)</f>
        <v/>
      </c>
      <c r="E13" s="350"/>
      <c r="F13" s="251"/>
      <c r="G13" s="240">
        <f>'Labor Rates'!F13</f>
        <v>0</v>
      </c>
      <c r="H13" s="229">
        <f t="shared" si="0"/>
        <v>0</v>
      </c>
      <c r="I13" s="230">
        <f>'Labor Rates'!H13</f>
        <v>0</v>
      </c>
      <c r="J13" s="229">
        <f t="shared" si="1"/>
        <v>0</v>
      </c>
      <c r="K13" s="230">
        <f>'Labor Rates'!I13</f>
        <v>0</v>
      </c>
      <c r="L13" s="231">
        <f t="shared" si="2"/>
        <v>0</v>
      </c>
      <c r="M13" s="232">
        <f t="shared" si="3"/>
        <v>0</v>
      </c>
      <c r="N13" s="354"/>
      <c r="O13" s="251"/>
      <c r="P13" s="240">
        <f>'Labor Rates'!M13</f>
        <v>0</v>
      </c>
      <c r="Q13" s="229">
        <f t="shared" si="4"/>
        <v>0</v>
      </c>
      <c r="R13" s="230">
        <f>'Labor Rates'!O13</f>
        <v>0</v>
      </c>
      <c r="S13" s="229">
        <f t="shared" si="5"/>
        <v>0</v>
      </c>
      <c r="T13" s="230">
        <f>'Labor Rates'!P13</f>
        <v>0</v>
      </c>
      <c r="U13" s="231">
        <f t="shared" si="6"/>
        <v>0</v>
      </c>
      <c r="V13" s="232">
        <f t="shared" si="7"/>
        <v>0</v>
      </c>
      <c r="W13" s="359"/>
      <c r="X13" s="251"/>
      <c r="Y13" s="240">
        <f>'Labor Rates'!T13</f>
        <v>0</v>
      </c>
      <c r="Z13" s="229">
        <f t="shared" si="8"/>
        <v>0</v>
      </c>
      <c r="AA13" s="230">
        <f>'Labor Rates'!V13</f>
        <v>0</v>
      </c>
      <c r="AB13" s="229">
        <f t="shared" si="9"/>
        <v>0</v>
      </c>
      <c r="AC13" s="230">
        <f>'Labor Rates'!W13</f>
        <v>0</v>
      </c>
      <c r="AD13" s="231">
        <f t="shared" si="10"/>
        <v>0</v>
      </c>
      <c r="AE13" s="232">
        <f t="shared" si="11"/>
        <v>0</v>
      </c>
      <c r="AF13" s="365"/>
      <c r="AG13" s="251"/>
      <c r="AH13" s="63">
        <f>'Labor Rates'!AA13</f>
        <v>0</v>
      </c>
      <c r="AI13" s="72">
        <f t="shared" si="12"/>
        <v>0</v>
      </c>
      <c r="AJ13" s="70">
        <f>'Labor Rates'!AC13</f>
        <v>0</v>
      </c>
      <c r="AK13" s="72">
        <f t="shared" si="13"/>
        <v>0</v>
      </c>
      <c r="AL13" s="70">
        <f>'Labor Rates'!AD13</f>
        <v>0</v>
      </c>
      <c r="AM13" s="75">
        <f t="shared" si="14"/>
        <v>0</v>
      </c>
      <c r="AN13" s="91">
        <f t="shared" si="15"/>
        <v>0</v>
      </c>
      <c r="AO13" s="318"/>
      <c r="AP13" s="280"/>
      <c r="AQ13" s="240">
        <f>'Labor Rates'!AH13</f>
        <v>0</v>
      </c>
      <c r="AR13" s="229">
        <f t="shared" si="16"/>
        <v>0</v>
      </c>
      <c r="AS13" s="230">
        <f>'Labor Rates'!AJ13</f>
        <v>0</v>
      </c>
      <c r="AT13" s="229">
        <f t="shared" si="17"/>
        <v>0</v>
      </c>
      <c r="AU13" s="230">
        <f>'Labor Rates'!AK13</f>
        <v>0</v>
      </c>
      <c r="AV13" s="231">
        <f t="shared" si="18"/>
        <v>0</v>
      </c>
      <c r="AW13" s="232">
        <f t="shared" si="19"/>
        <v>0</v>
      </c>
      <c r="AX13" s="372"/>
      <c r="AY13" s="276"/>
      <c r="AZ13" s="240">
        <f>'Labor Rates'!AO13</f>
        <v>0</v>
      </c>
      <c r="BA13" s="229">
        <f t="shared" si="20"/>
        <v>0</v>
      </c>
      <c r="BB13" s="230">
        <f>'Labor Rates'!AQ13</f>
        <v>0</v>
      </c>
      <c r="BC13" s="229">
        <f t="shared" si="21"/>
        <v>0</v>
      </c>
      <c r="BD13" s="230">
        <f>'Labor Rates'!AR13</f>
        <v>0</v>
      </c>
      <c r="BE13" s="231">
        <f t="shared" si="22"/>
        <v>0</v>
      </c>
      <c r="BF13" s="232">
        <f t="shared" si="23"/>
        <v>0</v>
      </c>
      <c r="BG13" s="683"/>
      <c r="BH13" s="414">
        <f t="shared" si="24"/>
        <v>0</v>
      </c>
      <c r="BI13" s="415">
        <f t="shared" si="25"/>
        <v>0</v>
      </c>
      <c r="BJ13" s="416">
        <f t="shared" si="26"/>
        <v>0</v>
      </c>
    </row>
    <row r="14" spans="2:84" x14ac:dyDescent="0.2">
      <c r="B14" s="8"/>
      <c r="C14" s="329" t="str">
        <f>IF(ISBLANK('Labor Rates'!C14),"",'Labor Rates'!C14)</f>
        <v/>
      </c>
      <c r="D14" s="413" t="str">
        <f>IF(ISBLANK('Labor Rates'!D14),"",'Labor Rates'!D14)</f>
        <v/>
      </c>
      <c r="E14" s="350"/>
      <c r="F14" s="251"/>
      <c r="G14" s="240">
        <f>'Labor Rates'!F14</f>
        <v>0</v>
      </c>
      <c r="H14" s="229">
        <f t="shared" si="0"/>
        <v>0</v>
      </c>
      <c r="I14" s="230">
        <f>'Labor Rates'!H14</f>
        <v>0</v>
      </c>
      <c r="J14" s="229">
        <f t="shared" si="1"/>
        <v>0</v>
      </c>
      <c r="K14" s="230">
        <f>'Labor Rates'!I14</f>
        <v>0</v>
      </c>
      <c r="L14" s="231">
        <f t="shared" si="2"/>
        <v>0</v>
      </c>
      <c r="M14" s="232">
        <f t="shared" si="3"/>
        <v>0</v>
      </c>
      <c r="N14" s="354"/>
      <c r="O14" s="251"/>
      <c r="P14" s="240">
        <f>'Labor Rates'!M14</f>
        <v>0</v>
      </c>
      <c r="Q14" s="229">
        <f t="shared" si="4"/>
        <v>0</v>
      </c>
      <c r="R14" s="230">
        <f>'Labor Rates'!O14</f>
        <v>0</v>
      </c>
      <c r="S14" s="229">
        <f t="shared" si="5"/>
        <v>0</v>
      </c>
      <c r="T14" s="230">
        <f>'Labor Rates'!P14</f>
        <v>0</v>
      </c>
      <c r="U14" s="231">
        <f t="shared" si="6"/>
        <v>0</v>
      </c>
      <c r="V14" s="232">
        <f t="shared" si="7"/>
        <v>0</v>
      </c>
      <c r="W14" s="359"/>
      <c r="X14" s="251"/>
      <c r="Y14" s="240">
        <f>'Labor Rates'!T14</f>
        <v>0</v>
      </c>
      <c r="Z14" s="229">
        <f t="shared" si="8"/>
        <v>0</v>
      </c>
      <c r="AA14" s="230">
        <f>'Labor Rates'!V14</f>
        <v>0</v>
      </c>
      <c r="AB14" s="229">
        <f t="shared" si="9"/>
        <v>0</v>
      </c>
      <c r="AC14" s="230">
        <f>'Labor Rates'!W14</f>
        <v>0</v>
      </c>
      <c r="AD14" s="231">
        <f t="shared" si="10"/>
        <v>0</v>
      </c>
      <c r="AE14" s="232">
        <f t="shared" si="11"/>
        <v>0</v>
      </c>
      <c r="AF14" s="365"/>
      <c r="AG14" s="251"/>
      <c r="AH14" s="63">
        <f>'Labor Rates'!AA14</f>
        <v>0</v>
      </c>
      <c r="AI14" s="72">
        <f t="shared" si="12"/>
        <v>0</v>
      </c>
      <c r="AJ14" s="70">
        <f>'Labor Rates'!AC14</f>
        <v>0</v>
      </c>
      <c r="AK14" s="72">
        <f t="shared" si="13"/>
        <v>0</v>
      </c>
      <c r="AL14" s="70">
        <f>'Labor Rates'!AD14</f>
        <v>0</v>
      </c>
      <c r="AM14" s="75">
        <f t="shared" si="14"/>
        <v>0</v>
      </c>
      <c r="AN14" s="91">
        <f t="shared" si="15"/>
        <v>0</v>
      </c>
      <c r="AO14" s="318"/>
      <c r="AP14" s="280"/>
      <c r="AQ14" s="240">
        <f>'Labor Rates'!AH14</f>
        <v>0</v>
      </c>
      <c r="AR14" s="229">
        <f t="shared" si="16"/>
        <v>0</v>
      </c>
      <c r="AS14" s="230">
        <f>'Labor Rates'!AJ14</f>
        <v>0</v>
      </c>
      <c r="AT14" s="229">
        <f t="shared" si="17"/>
        <v>0</v>
      </c>
      <c r="AU14" s="230">
        <f>'Labor Rates'!AK14</f>
        <v>0</v>
      </c>
      <c r="AV14" s="231">
        <f t="shared" si="18"/>
        <v>0</v>
      </c>
      <c r="AW14" s="232">
        <f t="shared" si="19"/>
        <v>0</v>
      </c>
      <c r="AX14" s="372"/>
      <c r="AY14" s="276"/>
      <c r="AZ14" s="240">
        <f>'Labor Rates'!AO14</f>
        <v>0</v>
      </c>
      <c r="BA14" s="229">
        <f t="shared" si="20"/>
        <v>0</v>
      </c>
      <c r="BB14" s="230">
        <f>'Labor Rates'!AQ14</f>
        <v>0</v>
      </c>
      <c r="BC14" s="229">
        <f t="shared" si="21"/>
        <v>0</v>
      </c>
      <c r="BD14" s="230">
        <f>'Labor Rates'!AR14</f>
        <v>0</v>
      </c>
      <c r="BE14" s="231">
        <f t="shared" si="22"/>
        <v>0</v>
      </c>
      <c r="BF14" s="232">
        <f t="shared" si="23"/>
        <v>0</v>
      </c>
      <c r="BG14" s="683"/>
      <c r="BH14" s="414">
        <f t="shared" si="24"/>
        <v>0</v>
      </c>
      <c r="BI14" s="415">
        <f t="shared" si="25"/>
        <v>0</v>
      </c>
      <c r="BJ14" s="416">
        <f t="shared" si="26"/>
        <v>0</v>
      </c>
    </row>
    <row r="15" spans="2:84" x14ac:dyDescent="0.2">
      <c r="B15" s="8"/>
      <c r="C15" s="329" t="str">
        <f>IF(ISBLANK('Labor Rates'!C15),"",'Labor Rates'!C15)</f>
        <v/>
      </c>
      <c r="D15" s="413" t="str">
        <f>IF(ISBLANK('Labor Rates'!D15),"",'Labor Rates'!D15)</f>
        <v/>
      </c>
      <c r="E15" s="350"/>
      <c r="F15" s="251"/>
      <c r="G15" s="240">
        <f>'Labor Rates'!F15</f>
        <v>0</v>
      </c>
      <c r="H15" s="229">
        <f t="shared" si="0"/>
        <v>0</v>
      </c>
      <c r="I15" s="230">
        <f>'Labor Rates'!H15</f>
        <v>0</v>
      </c>
      <c r="J15" s="229">
        <f t="shared" si="1"/>
        <v>0</v>
      </c>
      <c r="K15" s="230">
        <f>'Labor Rates'!I15</f>
        <v>0</v>
      </c>
      <c r="L15" s="231">
        <f t="shared" si="2"/>
        <v>0</v>
      </c>
      <c r="M15" s="232">
        <f t="shared" si="3"/>
        <v>0</v>
      </c>
      <c r="N15" s="354"/>
      <c r="O15" s="251"/>
      <c r="P15" s="240">
        <f>'Labor Rates'!M15</f>
        <v>0</v>
      </c>
      <c r="Q15" s="229">
        <f t="shared" si="4"/>
        <v>0</v>
      </c>
      <c r="R15" s="230">
        <f>'Labor Rates'!O15</f>
        <v>0</v>
      </c>
      <c r="S15" s="229">
        <f t="shared" si="5"/>
        <v>0</v>
      </c>
      <c r="T15" s="230">
        <f>'Labor Rates'!P15</f>
        <v>0</v>
      </c>
      <c r="U15" s="231">
        <f t="shared" si="6"/>
        <v>0</v>
      </c>
      <c r="V15" s="232">
        <f t="shared" si="7"/>
        <v>0</v>
      </c>
      <c r="W15" s="359"/>
      <c r="X15" s="251"/>
      <c r="Y15" s="240">
        <f>'Labor Rates'!T15</f>
        <v>0</v>
      </c>
      <c r="Z15" s="229">
        <f t="shared" si="8"/>
        <v>0</v>
      </c>
      <c r="AA15" s="230">
        <f>'Labor Rates'!V15</f>
        <v>0</v>
      </c>
      <c r="AB15" s="229">
        <f t="shared" si="9"/>
        <v>0</v>
      </c>
      <c r="AC15" s="230">
        <f>'Labor Rates'!W15</f>
        <v>0</v>
      </c>
      <c r="AD15" s="231">
        <f t="shared" si="10"/>
        <v>0</v>
      </c>
      <c r="AE15" s="232">
        <f t="shared" si="11"/>
        <v>0</v>
      </c>
      <c r="AF15" s="365"/>
      <c r="AG15" s="251"/>
      <c r="AH15" s="63">
        <f>'Labor Rates'!AA15</f>
        <v>0</v>
      </c>
      <c r="AI15" s="72">
        <f t="shared" si="12"/>
        <v>0</v>
      </c>
      <c r="AJ15" s="70">
        <f>'Labor Rates'!AC15</f>
        <v>0</v>
      </c>
      <c r="AK15" s="72">
        <f t="shared" si="13"/>
        <v>0</v>
      </c>
      <c r="AL15" s="70">
        <f>'Labor Rates'!AD15</f>
        <v>0</v>
      </c>
      <c r="AM15" s="75">
        <f t="shared" si="14"/>
        <v>0</v>
      </c>
      <c r="AN15" s="91">
        <f t="shared" si="15"/>
        <v>0</v>
      </c>
      <c r="AO15" s="318"/>
      <c r="AP15" s="280"/>
      <c r="AQ15" s="240">
        <f>'Labor Rates'!AH15</f>
        <v>0</v>
      </c>
      <c r="AR15" s="229">
        <f t="shared" si="16"/>
        <v>0</v>
      </c>
      <c r="AS15" s="230">
        <f>'Labor Rates'!AJ15</f>
        <v>0</v>
      </c>
      <c r="AT15" s="229">
        <f t="shared" si="17"/>
        <v>0</v>
      </c>
      <c r="AU15" s="230">
        <f>'Labor Rates'!AK15</f>
        <v>0</v>
      </c>
      <c r="AV15" s="231">
        <f t="shared" si="18"/>
        <v>0</v>
      </c>
      <c r="AW15" s="232">
        <f t="shared" si="19"/>
        <v>0</v>
      </c>
      <c r="AX15" s="372"/>
      <c r="AY15" s="276"/>
      <c r="AZ15" s="240">
        <f>'Labor Rates'!AO15</f>
        <v>0</v>
      </c>
      <c r="BA15" s="229">
        <f t="shared" si="20"/>
        <v>0</v>
      </c>
      <c r="BB15" s="230">
        <f>'Labor Rates'!AQ15</f>
        <v>0</v>
      </c>
      <c r="BC15" s="229">
        <f t="shared" si="21"/>
        <v>0</v>
      </c>
      <c r="BD15" s="230">
        <f>'Labor Rates'!AR15</f>
        <v>0</v>
      </c>
      <c r="BE15" s="231">
        <f t="shared" si="22"/>
        <v>0</v>
      </c>
      <c r="BF15" s="232">
        <f t="shared" si="23"/>
        <v>0</v>
      </c>
      <c r="BG15" s="683"/>
      <c r="BH15" s="414">
        <f t="shared" si="24"/>
        <v>0</v>
      </c>
      <c r="BI15" s="415">
        <f t="shared" si="25"/>
        <v>0</v>
      </c>
      <c r="BJ15" s="416">
        <f t="shared" si="26"/>
        <v>0</v>
      </c>
    </row>
    <row r="16" spans="2:84" x14ac:dyDescent="0.2">
      <c r="B16" s="8"/>
      <c r="C16" s="329" t="str">
        <f>IF(ISBLANK('Labor Rates'!C16),"",'Labor Rates'!C16)</f>
        <v/>
      </c>
      <c r="D16" s="413" t="str">
        <f>IF(ISBLANK('Labor Rates'!D16),"",'Labor Rates'!D16)</f>
        <v/>
      </c>
      <c r="E16" s="350"/>
      <c r="F16" s="251"/>
      <c r="G16" s="240">
        <f>'Labor Rates'!F16</f>
        <v>0</v>
      </c>
      <c r="H16" s="229">
        <f t="shared" si="0"/>
        <v>0</v>
      </c>
      <c r="I16" s="230">
        <f>'Labor Rates'!H16</f>
        <v>0</v>
      </c>
      <c r="J16" s="229">
        <f t="shared" si="1"/>
        <v>0</v>
      </c>
      <c r="K16" s="230">
        <f>'Labor Rates'!I16</f>
        <v>0</v>
      </c>
      <c r="L16" s="231">
        <f t="shared" si="2"/>
        <v>0</v>
      </c>
      <c r="M16" s="232">
        <f t="shared" si="3"/>
        <v>0</v>
      </c>
      <c r="N16" s="354"/>
      <c r="O16" s="251"/>
      <c r="P16" s="240">
        <f>'Labor Rates'!M16</f>
        <v>0</v>
      </c>
      <c r="Q16" s="229">
        <f t="shared" si="4"/>
        <v>0</v>
      </c>
      <c r="R16" s="230">
        <f>'Labor Rates'!O16</f>
        <v>0</v>
      </c>
      <c r="S16" s="229">
        <f t="shared" si="5"/>
        <v>0</v>
      </c>
      <c r="T16" s="230">
        <f>'Labor Rates'!P16</f>
        <v>0</v>
      </c>
      <c r="U16" s="231">
        <f t="shared" si="6"/>
        <v>0</v>
      </c>
      <c r="V16" s="232">
        <f t="shared" si="7"/>
        <v>0</v>
      </c>
      <c r="W16" s="359"/>
      <c r="X16" s="251"/>
      <c r="Y16" s="240">
        <f>'Labor Rates'!T16</f>
        <v>0</v>
      </c>
      <c r="Z16" s="229">
        <f t="shared" si="8"/>
        <v>0</v>
      </c>
      <c r="AA16" s="230">
        <f>'Labor Rates'!V16</f>
        <v>0</v>
      </c>
      <c r="AB16" s="229">
        <f t="shared" si="9"/>
        <v>0</v>
      </c>
      <c r="AC16" s="230">
        <f>'Labor Rates'!W16</f>
        <v>0</v>
      </c>
      <c r="AD16" s="231">
        <f t="shared" si="10"/>
        <v>0</v>
      </c>
      <c r="AE16" s="232">
        <f t="shared" si="11"/>
        <v>0</v>
      </c>
      <c r="AF16" s="365"/>
      <c r="AG16" s="251"/>
      <c r="AH16" s="63">
        <f>'Labor Rates'!AA16</f>
        <v>0</v>
      </c>
      <c r="AI16" s="72">
        <f t="shared" si="12"/>
        <v>0</v>
      </c>
      <c r="AJ16" s="70">
        <f>'Labor Rates'!AC16</f>
        <v>0</v>
      </c>
      <c r="AK16" s="72">
        <f t="shared" si="13"/>
        <v>0</v>
      </c>
      <c r="AL16" s="70">
        <f>'Labor Rates'!AD16</f>
        <v>0</v>
      </c>
      <c r="AM16" s="75">
        <f t="shared" si="14"/>
        <v>0</v>
      </c>
      <c r="AN16" s="91">
        <f t="shared" si="15"/>
        <v>0</v>
      </c>
      <c r="AO16" s="318"/>
      <c r="AP16" s="280"/>
      <c r="AQ16" s="240">
        <f>'Labor Rates'!AH16</f>
        <v>0</v>
      </c>
      <c r="AR16" s="229">
        <f t="shared" si="16"/>
        <v>0</v>
      </c>
      <c r="AS16" s="230">
        <f>'Labor Rates'!AJ16</f>
        <v>0</v>
      </c>
      <c r="AT16" s="229">
        <f t="shared" si="17"/>
        <v>0</v>
      </c>
      <c r="AU16" s="230">
        <f>'Labor Rates'!AK16</f>
        <v>0</v>
      </c>
      <c r="AV16" s="231">
        <f t="shared" si="18"/>
        <v>0</v>
      </c>
      <c r="AW16" s="232">
        <f t="shared" si="19"/>
        <v>0</v>
      </c>
      <c r="AX16" s="372"/>
      <c r="AY16" s="276"/>
      <c r="AZ16" s="240">
        <f>'Labor Rates'!AO16</f>
        <v>0</v>
      </c>
      <c r="BA16" s="229">
        <f t="shared" si="20"/>
        <v>0</v>
      </c>
      <c r="BB16" s="230">
        <f>'Labor Rates'!AQ16</f>
        <v>0</v>
      </c>
      <c r="BC16" s="229">
        <f t="shared" si="21"/>
        <v>0</v>
      </c>
      <c r="BD16" s="230">
        <f>'Labor Rates'!AR16</f>
        <v>0</v>
      </c>
      <c r="BE16" s="231">
        <f t="shared" si="22"/>
        <v>0</v>
      </c>
      <c r="BF16" s="232">
        <f t="shared" si="23"/>
        <v>0</v>
      </c>
      <c r="BG16" s="683"/>
      <c r="BH16" s="414">
        <f t="shared" si="24"/>
        <v>0</v>
      </c>
      <c r="BI16" s="415">
        <f t="shared" si="25"/>
        <v>0</v>
      </c>
      <c r="BJ16" s="416">
        <f t="shared" si="26"/>
        <v>0</v>
      </c>
    </row>
    <row r="17" spans="2:62" x14ac:dyDescent="0.2">
      <c r="B17" s="8"/>
      <c r="C17" s="329" t="str">
        <f>IF(ISBLANK('Labor Rates'!C17),"",'Labor Rates'!C17)</f>
        <v/>
      </c>
      <c r="D17" s="413" t="str">
        <f>IF(ISBLANK('Labor Rates'!D17),"",'Labor Rates'!D17)</f>
        <v/>
      </c>
      <c r="E17" s="350"/>
      <c r="F17" s="251"/>
      <c r="G17" s="240">
        <f>'Labor Rates'!F17</f>
        <v>0</v>
      </c>
      <c r="H17" s="229">
        <f t="shared" si="0"/>
        <v>0</v>
      </c>
      <c r="I17" s="230">
        <f>'Labor Rates'!H17</f>
        <v>0</v>
      </c>
      <c r="J17" s="229">
        <f t="shared" si="1"/>
        <v>0</v>
      </c>
      <c r="K17" s="230">
        <f>'Labor Rates'!I17</f>
        <v>0</v>
      </c>
      <c r="L17" s="231">
        <f t="shared" si="2"/>
        <v>0</v>
      </c>
      <c r="M17" s="232">
        <f t="shared" si="3"/>
        <v>0</v>
      </c>
      <c r="N17" s="354"/>
      <c r="O17" s="251"/>
      <c r="P17" s="240">
        <f>'Labor Rates'!M17</f>
        <v>0</v>
      </c>
      <c r="Q17" s="229">
        <f t="shared" si="4"/>
        <v>0</v>
      </c>
      <c r="R17" s="230">
        <f>'Labor Rates'!O17</f>
        <v>0</v>
      </c>
      <c r="S17" s="229">
        <f t="shared" si="5"/>
        <v>0</v>
      </c>
      <c r="T17" s="230">
        <f>'Labor Rates'!P17</f>
        <v>0</v>
      </c>
      <c r="U17" s="231">
        <f t="shared" si="6"/>
        <v>0</v>
      </c>
      <c r="V17" s="232">
        <f t="shared" si="7"/>
        <v>0</v>
      </c>
      <c r="W17" s="359"/>
      <c r="X17" s="251"/>
      <c r="Y17" s="240">
        <f>'Labor Rates'!T17</f>
        <v>0</v>
      </c>
      <c r="Z17" s="229">
        <f t="shared" si="8"/>
        <v>0</v>
      </c>
      <c r="AA17" s="230">
        <f>'Labor Rates'!V17</f>
        <v>0</v>
      </c>
      <c r="AB17" s="229">
        <f t="shared" si="9"/>
        <v>0</v>
      </c>
      <c r="AC17" s="230">
        <f>'Labor Rates'!W17</f>
        <v>0</v>
      </c>
      <c r="AD17" s="231">
        <f t="shared" si="10"/>
        <v>0</v>
      </c>
      <c r="AE17" s="232">
        <f t="shared" si="11"/>
        <v>0</v>
      </c>
      <c r="AF17" s="365"/>
      <c r="AG17" s="251"/>
      <c r="AH17" s="63">
        <f>'Labor Rates'!AA17</f>
        <v>0</v>
      </c>
      <c r="AI17" s="72">
        <f t="shared" si="12"/>
        <v>0</v>
      </c>
      <c r="AJ17" s="70">
        <f>'Labor Rates'!AC17</f>
        <v>0</v>
      </c>
      <c r="AK17" s="72">
        <f t="shared" si="13"/>
        <v>0</v>
      </c>
      <c r="AL17" s="70">
        <f>'Labor Rates'!AD17</f>
        <v>0</v>
      </c>
      <c r="AM17" s="75">
        <f t="shared" si="14"/>
        <v>0</v>
      </c>
      <c r="AN17" s="91">
        <f t="shared" si="15"/>
        <v>0</v>
      </c>
      <c r="AO17" s="318"/>
      <c r="AP17" s="280"/>
      <c r="AQ17" s="240">
        <f>'Labor Rates'!AH17</f>
        <v>0</v>
      </c>
      <c r="AR17" s="229">
        <f t="shared" si="16"/>
        <v>0</v>
      </c>
      <c r="AS17" s="230">
        <f>'Labor Rates'!AJ17</f>
        <v>0</v>
      </c>
      <c r="AT17" s="229">
        <f t="shared" si="17"/>
        <v>0</v>
      </c>
      <c r="AU17" s="230">
        <f>'Labor Rates'!AK17</f>
        <v>0</v>
      </c>
      <c r="AV17" s="231">
        <f t="shared" si="18"/>
        <v>0</v>
      </c>
      <c r="AW17" s="232">
        <f t="shared" si="19"/>
        <v>0</v>
      </c>
      <c r="AX17" s="372"/>
      <c r="AY17" s="276"/>
      <c r="AZ17" s="240">
        <f>'Labor Rates'!AO17</f>
        <v>0</v>
      </c>
      <c r="BA17" s="229">
        <f t="shared" si="20"/>
        <v>0</v>
      </c>
      <c r="BB17" s="230">
        <f>'Labor Rates'!AQ17</f>
        <v>0</v>
      </c>
      <c r="BC17" s="229">
        <f t="shared" si="21"/>
        <v>0</v>
      </c>
      <c r="BD17" s="230">
        <f>'Labor Rates'!AR17</f>
        <v>0</v>
      </c>
      <c r="BE17" s="231">
        <f t="shared" si="22"/>
        <v>0</v>
      </c>
      <c r="BF17" s="232">
        <f t="shared" si="23"/>
        <v>0</v>
      </c>
      <c r="BG17" s="683"/>
      <c r="BH17" s="414">
        <f t="shared" si="24"/>
        <v>0</v>
      </c>
      <c r="BI17" s="415">
        <f t="shared" si="25"/>
        <v>0</v>
      </c>
      <c r="BJ17" s="416">
        <f t="shared" si="26"/>
        <v>0</v>
      </c>
    </row>
    <row r="18" spans="2:62" x14ac:dyDescent="0.2">
      <c r="B18" s="8"/>
      <c r="C18" s="329" t="str">
        <f>IF(ISBLANK('Labor Rates'!C18),"",'Labor Rates'!C18)</f>
        <v/>
      </c>
      <c r="D18" s="413" t="str">
        <f>IF(ISBLANK('Labor Rates'!D18),"",'Labor Rates'!D18)</f>
        <v/>
      </c>
      <c r="E18" s="350"/>
      <c r="F18" s="251"/>
      <c r="G18" s="240">
        <f>'Labor Rates'!F18</f>
        <v>0</v>
      </c>
      <c r="H18" s="229">
        <f t="shared" si="0"/>
        <v>0</v>
      </c>
      <c r="I18" s="230">
        <f>'Labor Rates'!H18</f>
        <v>0</v>
      </c>
      <c r="J18" s="229">
        <f t="shared" si="1"/>
        <v>0</v>
      </c>
      <c r="K18" s="230">
        <f>'Labor Rates'!I18</f>
        <v>0</v>
      </c>
      <c r="L18" s="231">
        <f t="shared" si="2"/>
        <v>0</v>
      </c>
      <c r="M18" s="232">
        <f t="shared" si="3"/>
        <v>0</v>
      </c>
      <c r="N18" s="354"/>
      <c r="O18" s="251"/>
      <c r="P18" s="240">
        <f>'Labor Rates'!M18</f>
        <v>0</v>
      </c>
      <c r="Q18" s="229">
        <f t="shared" si="4"/>
        <v>0</v>
      </c>
      <c r="R18" s="230">
        <f>'Labor Rates'!O18</f>
        <v>0</v>
      </c>
      <c r="S18" s="229">
        <f t="shared" si="5"/>
        <v>0</v>
      </c>
      <c r="T18" s="230">
        <f>'Labor Rates'!P18</f>
        <v>0</v>
      </c>
      <c r="U18" s="231">
        <f t="shared" si="6"/>
        <v>0</v>
      </c>
      <c r="V18" s="232">
        <f t="shared" si="7"/>
        <v>0</v>
      </c>
      <c r="W18" s="359"/>
      <c r="X18" s="251"/>
      <c r="Y18" s="240">
        <f>'Labor Rates'!T18</f>
        <v>0</v>
      </c>
      <c r="Z18" s="229">
        <f t="shared" si="8"/>
        <v>0</v>
      </c>
      <c r="AA18" s="230">
        <f>'Labor Rates'!V18</f>
        <v>0</v>
      </c>
      <c r="AB18" s="229">
        <f t="shared" si="9"/>
        <v>0</v>
      </c>
      <c r="AC18" s="230">
        <f>'Labor Rates'!W18</f>
        <v>0</v>
      </c>
      <c r="AD18" s="231">
        <f t="shared" si="10"/>
        <v>0</v>
      </c>
      <c r="AE18" s="232">
        <f t="shared" si="11"/>
        <v>0</v>
      </c>
      <c r="AF18" s="365"/>
      <c r="AG18" s="251"/>
      <c r="AH18" s="63">
        <f>'Labor Rates'!AA18</f>
        <v>0</v>
      </c>
      <c r="AI18" s="72">
        <f t="shared" si="12"/>
        <v>0</v>
      </c>
      <c r="AJ18" s="70">
        <f>'Labor Rates'!AC18</f>
        <v>0</v>
      </c>
      <c r="AK18" s="72">
        <f t="shared" si="13"/>
        <v>0</v>
      </c>
      <c r="AL18" s="70">
        <f>'Labor Rates'!AD18</f>
        <v>0</v>
      </c>
      <c r="AM18" s="75">
        <f t="shared" si="14"/>
        <v>0</v>
      </c>
      <c r="AN18" s="91">
        <f t="shared" si="15"/>
        <v>0</v>
      </c>
      <c r="AO18" s="318"/>
      <c r="AP18" s="280"/>
      <c r="AQ18" s="240">
        <f>'Labor Rates'!AH18</f>
        <v>0</v>
      </c>
      <c r="AR18" s="229">
        <f t="shared" si="16"/>
        <v>0</v>
      </c>
      <c r="AS18" s="230">
        <f>'Labor Rates'!AJ18</f>
        <v>0</v>
      </c>
      <c r="AT18" s="229">
        <f t="shared" si="17"/>
        <v>0</v>
      </c>
      <c r="AU18" s="230">
        <f>'Labor Rates'!AK18</f>
        <v>0</v>
      </c>
      <c r="AV18" s="231">
        <f t="shared" si="18"/>
        <v>0</v>
      </c>
      <c r="AW18" s="232">
        <f t="shared" si="19"/>
        <v>0</v>
      </c>
      <c r="AX18" s="372"/>
      <c r="AY18" s="276"/>
      <c r="AZ18" s="240">
        <f>'Labor Rates'!AO18</f>
        <v>0</v>
      </c>
      <c r="BA18" s="229">
        <f t="shared" si="20"/>
        <v>0</v>
      </c>
      <c r="BB18" s="230">
        <f>'Labor Rates'!AQ18</f>
        <v>0</v>
      </c>
      <c r="BC18" s="229">
        <f t="shared" si="21"/>
        <v>0</v>
      </c>
      <c r="BD18" s="230">
        <f>'Labor Rates'!AR18</f>
        <v>0</v>
      </c>
      <c r="BE18" s="231">
        <f t="shared" si="22"/>
        <v>0</v>
      </c>
      <c r="BF18" s="232">
        <f t="shared" si="23"/>
        <v>0</v>
      </c>
      <c r="BG18" s="683"/>
      <c r="BH18" s="414">
        <f t="shared" si="24"/>
        <v>0</v>
      </c>
      <c r="BI18" s="415">
        <f t="shared" si="25"/>
        <v>0</v>
      </c>
      <c r="BJ18" s="416">
        <f t="shared" si="26"/>
        <v>0</v>
      </c>
    </row>
    <row r="19" spans="2:62" x14ac:dyDescent="0.2">
      <c r="B19" s="8"/>
      <c r="C19" s="329" t="str">
        <f>IF(ISBLANK('Labor Rates'!C19),"",'Labor Rates'!C19)</f>
        <v/>
      </c>
      <c r="D19" s="413" t="str">
        <f>IF(ISBLANK('Labor Rates'!D19),"",'Labor Rates'!D19)</f>
        <v/>
      </c>
      <c r="E19" s="350"/>
      <c r="F19" s="251"/>
      <c r="G19" s="240">
        <f>'Labor Rates'!F19</f>
        <v>0</v>
      </c>
      <c r="H19" s="229">
        <f t="shared" si="0"/>
        <v>0</v>
      </c>
      <c r="I19" s="230">
        <f>'Labor Rates'!H19</f>
        <v>0</v>
      </c>
      <c r="J19" s="229">
        <f t="shared" si="1"/>
        <v>0</v>
      </c>
      <c r="K19" s="230">
        <f>'Labor Rates'!I19</f>
        <v>0</v>
      </c>
      <c r="L19" s="231">
        <f t="shared" si="2"/>
        <v>0</v>
      </c>
      <c r="M19" s="232">
        <f t="shared" si="3"/>
        <v>0</v>
      </c>
      <c r="N19" s="354"/>
      <c r="O19" s="251"/>
      <c r="P19" s="240">
        <f>'Labor Rates'!M19</f>
        <v>0</v>
      </c>
      <c r="Q19" s="229">
        <f t="shared" si="4"/>
        <v>0</v>
      </c>
      <c r="R19" s="230">
        <f>'Labor Rates'!O19</f>
        <v>0</v>
      </c>
      <c r="S19" s="229">
        <f t="shared" si="5"/>
        <v>0</v>
      </c>
      <c r="T19" s="230">
        <f>'Labor Rates'!P19</f>
        <v>0</v>
      </c>
      <c r="U19" s="231">
        <f t="shared" si="6"/>
        <v>0</v>
      </c>
      <c r="V19" s="232">
        <f t="shared" si="7"/>
        <v>0</v>
      </c>
      <c r="W19" s="359"/>
      <c r="X19" s="251"/>
      <c r="Y19" s="240">
        <f>'Labor Rates'!T19</f>
        <v>0</v>
      </c>
      <c r="Z19" s="229">
        <f t="shared" si="8"/>
        <v>0</v>
      </c>
      <c r="AA19" s="230">
        <f>'Labor Rates'!V19</f>
        <v>0</v>
      </c>
      <c r="AB19" s="229">
        <f t="shared" si="9"/>
        <v>0</v>
      </c>
      <c r="AC19" s="230">
        <f>'Labor Rates'!W19</f>
        <v>0</v>
      </c>
      <c r="AD19" s="231">
        <f t="shared" si="10"/>
        <v>0</v>
      </c>
      <c r="AE19" s="232">
        <f t="shared" si="11"/>
        <v>0</v>
      </c>
      <c r="AF19" s="365"/>
      <c r="AG19" s="251"/>
      <c r="AH19" s="63">
        <f>'Labor Rates'!AA19</f>
        <v>0</v>
      </c>
      <c r="AI19" s="72">
        <f t="shared" si="12"/>
        <v>0</v>
      </c>
      <c r="AJ19" s="70">
        <f>'Labor Rates'!AC19</f>
        <v>0</v>
      </c>
      <c r="AK19" s="72">
        <f t="shared" si="13"/>
        <v>0</v>
      </c>
      <c r="AL19" s="70">
        <f>'Labor Rates'!AD19</f>
        <v>0</v>
      </c>
      <c r="AM19" s="75">
        <f t="shared" si="14"/>
        <v>0</v>
      </c>
      <c r="AN19" s="91">
        <f t="shared" si="15"/>
        <v>0</v>
      </c>
      <c r="AO19" s="318"/>
      <c r="AP19" s="280"/>
      <c r="AQ19" s="240">
        <f>'Labor Rates'!AH19</f>
        <v>0</v>
      </c>
      <c r="AR19" s="229">
        <f t="shared" si="16"/>
        <v>0</v>
      </c>
      <c r="AS19" s="230">
        <f>'Labor Rates'!AJ19</f>
        <v>0</v>
      </c>
      <c r="AT19" s="229">
        <f t="shared" si="17"/>
        <v>0</v>
      </c>
      <c r="AU19" s="230">
        <f>'Labor Rates'!AK19</f>
        <v>0</v>
      </c>
      <c r="AV19" s="231">
        <f t="shared" si="18"/>
        <v>0</v>
      </c>
      <c r="AW19" s="232">
        <f t="shared" si="19"/>
        <v>0</v>
      </c>
      <c r="AX19" s="372"/>
      <c r="AY19" s="276"/>
      <c r="AZ19" s="240">
        <f>'Labor Rates'!AO19</f>
        <v>0</v>
      </c>
      <c r="BA19" s="229">
        <f t="shared" si="20"/>
        <v>0</v>
      </c>
      <c r="BB19" s="230">
        <f>'Labor Rates'!AQ19</f>
        <v>0</v>
      </c>
      <c r="BC19" s="229">
        <f t="shared" si="21"/>
        <v>0</v>
      </c>
      <c r="BD19" s="230">
        <f>'Labor Rates'!AR19</f>
        <v>0</v>
      </c>
      <c r="BE19" s="231">
        <f t="shared" si="22"/>
        <v>0</v>
      </c>
      <c r="BF19" s="232">
        <f t="shared" si="23"/>
        <v>0</v>
      </c>
      <c r="BG19" s="683"/>
      <c r="BH19" s="414">
        <f t="shared" si="24"/>
        <v>0</v>
      </c>
      <c r="BI19" s="415">
        <f t="shared" si="25"/>
        <v>0</v>
      </c>
      <c r="BJ19" s="416">
        <f t="shared" si="26"/>
        <v>0</v>
      </c>
    </row>
    <row r="20" spans="2:62" x14ac:dyDescent="0.2">
      <c r="B20" s="8"/>
      <c r="C20" s="329" t="str">
        <f>IF(ISBLANK('Labor Rates'!C20),"",'Labor Rates'!C20)</f>
        <v/>
      </c>
      <c r="D20" s="413" t="str">
        <f>IF(ISBLANK('Labor Rates'!D20),"",'Labor Rates'!D20)</f>
        <v/>
      </c>
      <c r="E20" s="350"/>
      <c r="F20" s="251"/>
      <c r="G20" s="240">
        <f>'Labor Rates'!F20</f>
        <v>0</v>
      </c>
      <c r="H20" s="229">
        <f t="shared" si="0"/>
        <v>0</v>
      </c>
      <c r="I20" s="230">
        <f>'Labor Rates'!H20</f>
        <v>0</v>
      </c>
      <c r="J20" s="229">
        <f t="shared" si="1"/>
        <v>0</v>
      </c>
      <c r="K20" s="230">
        <f>'Labor Rates'!I20</f>
        <v>0</v>
      </c>
      <c r="L20" s="231">
        <f t="shared" si="2"/>
        <v>0</v>
      </c>
      <c r="M20" s="232">
        <f t="shared" si="3"/>
        <v>0</v>
      </c>
      <c r="N20" s="354"/>
      <c r="O20" s="251"/>
      <c r="P20" s="240">
        <f>'Labor Rates'!M20</f>
        <v>0</v>
      </c>
      <c r="Q20" s="229">
        <f t="shared" si="4"/>
        <v>0</v>
      </c>
      <c r="R20" s="230">
        <f>'Labor Rates'!O20</f>
        <v>0</v>
      </c>
      <c r="S20" s="229">
        <f t="shared" si="5"/>
        <v>0</v>
      </c>
      <c r="T20" s="230">
        <f>'Labor Rates'!P20</f>
        <v>0</v>
      </c>
      <c r="U20" s="231">
        <f t="shared" si="6"/>
        <v>0</v>
      </c>
      <c r="V20" s="232">
        <f t="shared" si="7"/>
        <v>0</v>
      </c>
      <c r="W20" s="359"/>
      <c r="X20" s="251"/>
      <c r="Y20" s="240">
        <f>'Labor Rates'!T20</f>
        <v>0</v>
      </c>
      <c r="Z20" s="229">
        <f t="shared" si="8"/>
        <v>0</v>
      </c>
      <c r="AA20" s="230">
        <f>'Labor Rates'!V20</f>
        <v>0</v>
      </c>
      <c r="AB20" s="229">
        <f t="shared" si="9"/>
        <v>0</v>
      </c>
      <c r="AC20" s="230">
        <f>'Labor Rates'!W20</f>
        <v>0</v>
      </c>
      <c r="AD20" s="231">
        <f t="shared" si="10"/>
        <v>0</v>
      </c>
      <c r="AE20" s="232">
        <f t="shared" si="11"/>
        <v>0</v>
      </c>
      <c r="AF20" s="365"/>
      <c r="AG20" s="251"/>
      <c r="AH20" s="63">
        <f>'Labor Rates'!AA20</f>
        <v>0</v>
      </c>
      <c r="AI20" s="72">
        <f t="shared" si="12"/>
        <v>0</v>
      </c>
      <c r="AJ20" s="70">
        <f>'Labor Rates'!AC20</f>
        <v>0</v>
      </c>
      <c r="AK20" s="72">
        <f t="shared" si="13"/>
        <v>0</v>
      </c>
      <c r="AL20" s="70">
        <f>'Labor Rates'!AD20</f>
        <v>0</v>
      </c>
      <c r="AM20" s="75">
        <f t="shared" si="14"/>
        <v>0</v>
      </c>
      <c r="AN20" s="91">
        <f t="shared" si="15"/>
        <v>0</v>
      </c>
      <c r="AO20" s="318"/>
      <c r="AP20" s="280"/>
      <c r="AQ20" s="240">
        <f>'Labor Rates'!AH20</f>
        <v>0</v>
      </c>
      <c r="AR20" s="229">
        <f t="shared" si="16"/>
        <v>0</v>
      </c>
      <c r="AS20" s="230">
        <f>'Labor Rates'!AJ20</f>
        <v>0</v>
      </c>
      <c r="AT20" s="229">
        <f t="shared" si="17"/>
        <v>0</v>
      </c>
      <c r="AU20" s="230">
        <f>'Labor Rates'!AK20</f>
        <v>0</v>
      </c>
      <c r="AV20" s="231">
        <f t="shared" si="18"/>
        <v>0</v>
      </c>
      <c r="AW20" s="232">
        <f t="shared" si="19"/>
        <v>0</v>
      </c>
      <c r="AX20" s="372"/>
      <c r="AY20" s="276"/>
      <c r="AZ20" s="240">
        <f>'Labor Rates'!AO20</f>
        <v>0</v>
      </c>
      <c r="BA20" s="229">
        <f t="shared" si="20"/>
        <v>0</v>
      </c>
      <c r="BB20" s="230">
        <f>'Labor Rates'!AQ20</f>
        <v>0</v>
      </c>
      <c r="BC20" s="229">
        <f t="shared" si="21"/>
        <v>0</v>
      </c>
      <c r="BD20" s="230">
        <f>'Labor Rates'!AR20</f>
        <v>0</v>
      </c>
      <c r="BE20" s="231">
        <f t="shared" si="22"/>
        <v>0</v>
      </c>
      <c r="BF20" s="232">
        <f t="shared" si="23"/>
        <v>0</v>
      </c>
      <c r="BG20" s="683"/>
      <c r="BH20" s="414">
        <f t="shared" si="24"/>
        <v>0</v>
      </c>
      <c r="BI20" s="415">
        <f t="shared" si="25"/>
        <v>0</v>
      </c>
      <c r="BJ20" s="416">
        <f t="shared" si="26"/>
        <v>0</v>
      </c>
    </row>
    <row r="21" spans="2:62" x14ac:dyDescent="0.2">
      <c r="B21" s="8"/>
      <c r="C21" s="329" t="str">
        <f>IF(ISBLANK('Labor Rates'!C21),"",'Labor Rates'!C21)</f>
        <v/>
      </c>
      <c r="D21" s="413" t="str">
        <f>IF(ISBLANK('Labor Rates'!D21),"",'Labor Rates'!D21)</f>
        <v/>
      </c>
      <c r="E21" s="350"/>
      <c r="F21" s="251"/>
      <c r="G21" s="240">
        <f>'Labor Rates'!F21</f>
        <v>0</v>
      </c>
      <c r="H21" s="229">
        <f t="shared" si="0"/>
        <v>0</v>
      </c>
      <c r="I21" s="230">
        <f>'Labor Rates'!H21</f>
        <v>0</v>
      </c>
      <c r="J21" s="229">
        <f t="shared" si="1"/>
        <v>0</v>
      </c>
      <c r="K21" s="230">
        <f>'Labor Rates'!I21</f>
        <v>0</v>
      </c>
      <c r="L21" s="231">
        <f t="shared" si="2"/>
        <v>0</v>
      </c>
      <c r="M21" s="232">
        <f t="shared" si="3"/>
        <v>0</v>
      </c>
      <c r="N21" s="354"/>
      <c r="O21" s="251"/>
      <c r="P21" s="240">
        <f>'Labor Rates'!M21</f>
        <v>0</v>
      </c>
      <c r="Q21" s="229">
        <f t="shared" si="4"/>
        <v>0</v>
      </c>
      <c r="R21" s="230">
        <f>'Labor Rates'!O21</f>
        <v>0</v>
      </c>
      <c r="S21" s="229">
        <f t="shared" si="5"/>
        <v>0</v>
      </c>
      <c r="T21" s="230">
        <f>'Labor Rates'!P21</f>
        <v>0</v>
      </c>
      <c r="U21" s="231">
        <f t="shared" si="6"/>
        <v>0</v>
      </c>
      <c r="V21" s="232">
        <f t="shared" si="7"/>
        <v>0</v>
      </c>
      <c r="W21" s="359"/>
      <c r="X21" s="251"/>
      <c r="Y21" s="240">
        <f>'Labor Rates'!T21</f>
        <v>0</v>
      </c>
      <c r="Z21" s="229">
        <f t="shared" si="8"/>
        <v>0</v>
      </c>
      <c r="AA21" s="230">
        <f>'Labor Rates'!V21</f>
        <v>0</v>
      </c>
      <c r="AB21" s="229">
        <f t="shared" si="9"/>
        <v>0</v>
      </c>
      <c r="AC21" s="230">
        <f>'Labor Rates'!W21</f>
        <v>0</v>
      </c>
      <c r="AD21" s="231">
        <f t="shared" si="10"/>
        <v>0</v>
      </c>
      <c r="AE21" s="232">
        <f t="shared" si="11"/>
        <v>0</v>
      </c>
      <c r="AF21" s="365"/>
      <c r="AG21" s="251"/>
      <c r="AH21" s="63">
        <f>'Labor Rates'!AA21</f>
        <v>0</v>
      </c>
      <c r="AI21" s="72">
        <f t="shared" si="12"/>
        <v>0</v>
      </c>
      <c r="AJ21" s="70">
        <f>'Labor Rates'!AC21</f>
        <v>0</v>
      </c>
      <c r="AK21" s="72">
        <f t="shared" si="13"/>
        <v>0</v>
      </c>
      <c r="AL21" s="70">
        <f>'Labor Rates'!AD21</f>
        <v>0</v>
      </c>
      <c r="AM21" s="75">
        <f t="shared" si="14"/>
        <v>0</v>
      </c>
      <c r="AN21" s="91">
        <f t="shared" si="15"/>
        <v>0</v>
      </c>
      <c r="AO21" s="318"/>
      <c r="AP21" s="280"/>
      <c r="AQ21" s="240">
        <f>'Labor Rates'!AH21</f>
        <v>0</v>
      </c>
      <c r="AR21" s="229">
        <f t="shared" si="16"/>
        <v>0</v>
      </c>
      <c r="AS21" s="230">
        <f>'Labor Rates'!AJ21</f>
        <v>0</v>
      </c>
      <c r="AT21" s="229">
        <f t="shared" si="17"/>
        <v>0</v>
      </c>
      <c r="AU21" s="230">
        <f>'Labor Rates'!AK21</f>
        <v>0</v>
      </c>
      <c r="AV21" s="231">
        <f t="shared" si="18"/>
        <v>0</v>
      </c>
      <c r="AW21" s="232">
        <f t="shared" si="19"/>
        <v>0</v>
      </c>
      <c r="AX21" s="372"/>
      <c r="AY21" s="276"/>
      <c r="AZ21" s="240">
        <f>'Labor Rates'!AO21</f>
        <v>0</v>
      </c>
      <c r="BA21" s="229">
        <f t="shared" si="20"/>
        <v>0</v>
      </c>
      <c r="BB21" s="230">
        <f>'Labor Rates'!AQ21</f>
        <v>0</v>
      </c>
      <c r="BC21" s="229">
        <f t="shared" si="21"/>
        <v>0</v>
      </c>
      <c r="BD21" s="230">
        <f>'Labor Rates'!AR21</f>
        <v>0</v>
      </c>
      <c r="BE21" s="231">
        <f t="shared" si="22"/>
        <v>0</v>
      </c>
      <c r="BF21" s="232">
        <f t="shared" si="23"/>
        <v>0</v>
      </c>
      <c r="BG21" s="683"/>
      <c r="BH21" s="414">
        <f t="shared" si="24"/>
        <v>0</v>
      </c>
      <c r="BI21" s="415">
        <f t="shared" si="25"/>
        <v>0</v>
      </c>
      <c r="BJ21" s="416">
        <f t="shared" si="26"/>
        <v>0</v>
      </c>
    </row>
    <row r="22" spans="2:62" x14ac:dyDescent="0.2">
      <c r="B22" s="8"/>
      <c r="C22" s="329" t="str">
        <f>IF(ISBLANK('Labor Rates'!C22),"",'Labor Rates'!C22)</f>
        <v/>
      </c>
      <c r="D22" s="413" t="str">
        <f>IF(ISBLANK('Labor Rates'!D22),"",'Labor Rates'!D22)</f>
        <v/>
      </c>
      <c r="E22" s="350"/>
      <c r="F22" s="251"/>
      <c r="G22" s="240">
        <f>'Labor Rates'!F22</f>
        <v>0</v>
      </c>
      <c r="H22" s="229">
        <f t="shared" si="0"/>
        <v>0</v>
      </c>
      <c r="I22" s="230">
        <f>'Labor Rates'!H22</f>
        <v>0</v>
      </c>
      <c r="J22" s="229">
        <f t="shared" si="1"/>
        <v>0</v>
      </c>
      <c r="K22" s="230">
        <f>'Labor Rates'!I22</f>
        <v>0</v>
      </c>
      <c r="L22" s="231">
        <f t="shared" si="2"/>
        <v>0</v>
      </c>
      <c r="M22" s="232">
        <f t="shared" si="3"/>
        <v>0</v>
      </c>
      <c r="N22" s="354"/>
      <c r="O22" s="251"/>
      <c r="P22" s="240">
        <f>'Labor Rates'!M22</f>
        <v>0</v>
      </c>
      <c r="Q22" s="229">
        <f t="shared" si="4"/>
        <v>0</v>
      </c>
      <c r="R22" s="230">
        <f>'Labor Rates'!O22</f>
        <v>0</v>
      </c>
      <c r="S22" s="229">
        <f t="shared" si="5"/>
        <v>0</v>
      </c>
      <c r="T22" s="230">
        <f>'Labor Rates'!P22</f>
        <v>0</v>
      </c>
      <c r="U22" s="231">
        <f t="shared" si="6"/>
        <v>0</v>
      </c>
      <c r="V22" s="232">
        <f t="shared" si="7"/>
        <v>0</v>
      </c>
      <c r="W22" s="359"/>
      <c r="X22" s="251"/>
      <c r="Y22" s="240">
        <f>'Labor Rates'!T22</f>
        <v>0</v>
      </c>
      <c r="Z22" s="229">
        <f t="shared" si="8"/>
        <v>0</v>
      </c>
      <c r="AA22" s="230">
        <f>'Labor Rates'!V22</f>
        <v>0</v>
      </c>
      <c r="AB22" s="229">
        <f t="shared" si="9"/>
        <v>0</v>
      </c>
      <c r="AC22" s="230">
        <f>'Labor Rates'!W22</f>
        <v>0</v>
      </c>
      <c r="AD22" s="231">
        <f t="shared" si="10"/>
        <v>0</v>
      </c>
      <c r="AE22" s="232">
        <f t="shared" si="11"/>
        <v>0</v>
      </c>
      <c r="AF22" s="365"/>
      <c r="AG22" s="251"/>
      <c r="AH22" s="63">
        <f>'Labor Rates'!AA22</f>
        <v>0</v>
      </c>
      <c r="AI22" s="72">
        <f t="shared" si="12"/>
        <v>0</v>
      </c>
      <c r="AJ22" s="70">
        <f>'Labor Rates'!AC22</f>
        <v>0</v>
      </c>
      <c r="AK22" s="72">
        <f t="shared" si="13"/>
        <v>0</v>
      </c>
      <c r="AL22" s="70">
        <f>'Labor Rates'!AD22</f>
        <v>0</v>
      </c>
      <c r="AM22" s="75">
        <f t="shared" si="14"/>
        <v>0</v>
      </c>
      <c r="AN22" s="91">
        <f t="shared" si="15"/>
        <v>0</v>
      </c>
      <c r="AO22" s="318"/>
      <c r="AP22" s="280"/>
      <c r="AQ22" s="240">
        <f>'Labor Rates'!AH22</f>
        <v>0</v>
      </c>
      <c r="AR22" s="229">
        <f t="shared" si="16"/>
        <v>0</v>
      </c>
      <c r="AS22" s="230">
        <f>'Labor Rates'!AJ22</f>
        <v>0</v>
      </c>
      <c r="AT22" s="229">
        <f t="shared" si="17"/>
        <v>0</v>
      </c>
      <c r="AU22" s="230">
        <f>'Labor Rates'!AK22</f>
        <v>0</v>
      </c>
      <c r="AV22" s="231">
        <f t="shared" si="18"/>
        <v>0</v>
      </c>
      <c r="AW22" s="232">
        <f t="shared" si="19"/>
        <v>0</v>
      </c>
      <c r="AX22" s="372"/>
      <c r="AY22" s="276"/>
      <c r="AZ22" s="240">
        <f>'Labor Rates'!AO22</f>
        <v>0</v>
      </c>
      <c r="BA22" s="229">
        <f t="shared" si="20"/>
        <v>0</v>
      </c>
      <c r="BB22" s="230">
        <f>'Labor Rates'!AQ22</f>
        <v>0</v>
      </c>
      <c r="BC22" s="229">
        <f t="shared" si="21"/>
        <v>0</v>
      </c>
      <c r="BD22" s="230">
        <f>'Labor Rates'!AR22</f>
        <v>0</v>
      </c>
      <c r="BE22" s="231">
        <f t="shared" si="22"/>
        <v>0</v>
      </c>
      <c r="BF22" s="232">
        <f t="shared" si="23"/>
        <v>0</v>
      </c>
      <c r="BG22" s="683"/>
      <c r="BH22" s="414">
        <f t="shared" si="24"/>
        <v>0</v>
      </c>
      <c r="BI22" s="415">
        <f t="shared" si="25"/>
        <v>0</v>
      </c>
      <c r="BJ22" s="416">
        <f t="shared" si="26"/>
        <v>0</v>
      </c>
    </row>
    <row r="23" spans="2:62" x14ac:dyDescent="0.2">
      <c r="B23" s="8"/>
      <c r="C23" s="329" t="str">
        <f>IF(ISBLANK('Labor Rates'!C23),"",'Labor Rates'!C23)</f>
        <v/>
      </c>
      <c r="D23" s="413" t="str">
        <f>IF(ISBLANK('Labor Rates'!D23),"",'Labor Rates'!D23)</f>
        <v/>
      </c>
      <c r="E23" s="350"/>
      <c r="F23" s="251"/>
      <c r="G23" s="240">
        <f>'Labor Rates'!F23</f>
        <v>0</v>
      </c>
      <c r="H23" s="229">
        <f t="shared" si="0"/>
        <v>0</v>
      </c>
      <c r="I23" s="230">
        <f>'Labor Rates'!H23</f>
        <v>0</v>
      </c>
      <c r="J23" s="229">
        <f t="shared" si="1"/>
        <v>0</v>
      </c>
      <c r="K23" s="230">
        <f>'Labor Rates'!I23</f>
        <v>0</v>
      </c>
      <c r="L23" s="231">
        <f t="shared" si="2"/>
        <v>0</v>
      </c>
      <c r="M23" s="232">
        <f t="shared" si="3"/>
        <v>0</v>
      </c>
      <c r="N23" s="354"/>
      <c r="O23" s="251"/>
      <c r="P23" s="240">
        <f>'Labor Rates'!M23</f>
        <v>0</v>
      </c>
      <c r="Q23" s="229">
        <f t="shared" si="4"/>
        <v>0</v>
      </c>
      <c r="R23" s="230">
        <f>'Labor Rates'!O23</f>
        <v>0</v>
      </c>
      <c r="S23" s="229">
        <f t="shared" si="5"/>
        <v>0</v>
      </c>
      <c r="T23" s="230">
        <f>'Labor Rates'!P23</f>
        <v>0</v>
      </c>
      <c r="U23" s="231">
        <f t="shared" si="6"/>
        <v>0</v>
      </c>
      <c r="V23" s="232">
        <f t="shared" si="7"/>
        <v>0</v>
      </c>
      <c r="W23" s="359"/>
      <c r="X23" s="251"/>
      <c r="Y23" s="240">
        <f>'Labor Rates'!T23</f>
        <v>0</v>
      </c>
      <c r="Z23" s="229">
        <f t="shared" ref="Z23:Z47" si="27">X23*Y23</f>
        <v>0</v>
      </c>
      <c r="AA23" s="230">
        <f>'Labor Rates'!V23</f>
        <v>0</v>
      </c>
      <c r="AB23" s="229">
        <f t="shared" ref="AB23:AB47" si="28">Z23*AA23</f>
        <v>0</v>
      </c>
      <c r="AC23" s="230">
        <f>'Labor Rates'!W23</f>
        <v>0</v>
      </c>
      <c r="AD23" s="231">
        <f t="shared" ref="AD23:AD47" si="29">(Z23+AB23)*AC23</f>
        <v>0</v>
      </c>
      <c r="AE23" s="232">
        <f t="shared" ref="AE23:AE47" si="30">ROUND(X23*Y23*(1+AA23)*(1+AC23),0)</f>
        <v>0</v>
      </c>
      <c r="AF23" s="365"/>
      <c r="AG23" s="251"/>
      <c r="AH23" s="63">
        <f>'Labor Rates'!AA23</f>
        <v>0</v>
      </c>
      <c r="AI23" s="72">
        <f t="shared" ref="AI23:AI47" si="31">AG23*AH23</f>
        <v>0</v>
      </c>
      <c r="AJ23" s="70">
        <f>'Labor Rates'!AC23</f>
        <v>0</v>
      </c>
      <c r="AK23" s="72">
        <f t="shared" ref="AK23:AK47" si="32">AI23*AJ23</f>
        <v>0</v>
      </c>
      <c r="AL23" s="70">
        <f>'Labor Rates'!AD23</f>
        <v>0</v>
      </c>
      <c r="AM23" s="75">
        <f t="shared" ref="AM23:AM47" si="33">(AI23+AK23)*AL23</f>
        <v>0</v>
      </c>
      <c r="AN23" s="91">
        <f t="shared" ref="AN23:AN47" si="34">ROUND(AG23*AH23*(1+AJ23)*(1+AL23),0)</f>
        <v>0</v>
      </c>
      <c r="AO23" s="318"/>
      <c r="AP23" s="280"/>
      <c r="AQ23" s="240">
        <f>'Labor Rates'!AH23</f>
        <v>0</v>
      </c>
      <c r="AR23" s="229">
        <f t="shared" ref="AR23:AR47" si="35">AP23*AQ23</f>
        <v>0</v>
      </c>
      <c r="AS23" s="230">
        <f>'Labor Rates'!AJ23</f>
        <v>0</v>
      </c>
      <c r="AT23" s="229">
        <f t="shared" ref="AT23:AT47" si="36">AR23*AS23</f>
        <v>0</v>
      </c>
      <c r="AU23" s="230">
        <f>'Labor Rates'!AK23</f>
        <v>0</v>
      </c>
      <c r="AV23" s="231">
        <f t="shared" ref="AV23:AV47" si="37">(AR23+AT23)*AU23</f>
        <v>0</v>
      </c>
      <c r="AW23" s="232">
        <f t="shared" ref="AW23:AW47" si="38">ROUND(AP23*AQ23*(1+AS23)*(1+AU23),0)</f>
        <v>0</v>
      </c>
      <c r="AX23" s="372"/>
      <c r="AY23" s="276"/>
      <c r="AZ23" s="240">
        <f>'Labor Rates'!AO23</f>
        <v>0</v>
      </c>
      <c r="BA23" s="229">
        <f t="shared" ref="BA23:BA47" si="39">AY23*AZ23</f>
        <v>0</v>
      </c>
      <c r="BB23" s="230">
        <f>'Labor Rates'!AQ23</f>
        <v>0</v>
      </c>
      <c r="BC23" s="229">
        <f t="shared" ref="BC23:BC47" si="40">BA23*BB23</f>
        <v>0</v>
      </c>
      <c r="BD23" s="230">
        <f>'Labor Rates'!AR23</f>
        <v>0</v>
      </c>
      <c r="BE23" s="231">
        <f t="shared" ref="BE23:BE47" si="41">(BA23+BC23)*BD23</f>
        <v>0</v>
      </c>
      <c r="BF23" s="232">
        <f t="shared" ref="BF23:BF47" si="42">ROUND(AY23*AZ23*(1+BB23)*(1+BD23),0)</f>
        <v>0</v>
      </c>
      <c r="BG23" s="683"/>
      <c r="BH23" s="414">
        <f t="shared" si="24"/>
        <v>0</v>
      </c>
      <c r="BI23" s="415">
        <f t="shared" si="25"/>
        <v>0</v>
      </c>
      <c r="BJ23" s="416">
        <f t="shared" si="26"/>
        <v>0</v>
      </c>
    </row>
    <row r="24" spans="2:62" x14ac:dyDescent="0.2">
      <c r="B24" s="8"/>
      <c r="C24" s="329" t="str">
        <f>IF(ISBLANK('Labor Rates'!C24),"",'Labor Rates'!C24)</f>
        <v/>
      </c>
      <c r="D24" s="413" t="str">
        <f>IF(ISBLANK('Labor Rates'!D24),"",'Labor Rates'!D24)</f>
        <v/>
      </c>
      <c r="E24" s="350"/>
      <c r="F24" s="251"/>
      <c r="G24" s="240">
        <f>'Labor Rates'!F24</f>
        <v>0</v>
      </c>
      <c r="H24" s="229">
        <f t="shared" si="0"/>
        <v>0</v>
      </c>
      <c r="I24" s="230">
        <f>'Labor Rates'!H24</f>
        <v>0</v>
      </c>
      <c r="J24" s="229">
        <f t="shared" si="1"/>
        <v>0</v>
      </c>
      <c r="K24" s="230">
        <f>'Labor Rates'!I24</f>
        <v>0</v>
      </c>
      <c r="L24" s="231">
        <f t="shared" si="2"/>
        <v>0</v>
      </c>
      <c r="M24" s="232">
        <f t="shared" si="3"/>
        <v>0</v>
      </c>
      <c r="N24" s="354"/>
      <c r="O24" s="251"/>
      <c r="P24" s="240">
        <f>'Labor Rates'!M24</f>
        <v>0</v>
      </c>
      <c r="Q24" s="229">
        <f t="shared" si="4"/>
        <v>0</v>
      </c>
      <c r="R24" s="230">
        <f>'Labor Rates'!O24</f>
        <v>0</v>
      </c>
      <c r="S24" s="229">
        <f t="shared" si="5"/>
        <v>0</v>
      </c>
      <c r="T24" s="230">
        <f>'Labor Rates'!P24</f>
        <v>0</v>
      </c>
      <c r="U24" s="231">
        <f t="shared" si="6"/>
        <v>0</v>
      </c>
      <c r="V24" s="232">
        <f t="shared" si="7"/>
        <v>0</v>
      </c>
      <c r="W24" s="359"/>
      <c r="X24" s="251"/>
      <c r="Y24" s="240">
        <f>'Labor Rates'!T24</f>
        <v>0</v>
      </c>
      <c r="Z24" s="229">
        <f t="shared" si="27"/>
        <v>0</v>
      </c>
      <c r="AA24" s="230">
        <f>'Labor Rates'!V24</f>
        <v>0</v>
      </c>
      <c r="AB24" s="229">
        <f t="shared" si="28"/>
        <v>0</v>
      </c>
      <c r="AC24" s="230">
        <f>'Labor Rates'!W24</f>
        <v>0</v>
      </c>
      <c r="AD24" s="231">
        <f t="shared" si="29"/>
        <v>0</v>
      </c>
      <c r="AE24" s="232">
        <f t="shared" si="30"/>
        <v>0</v>
      </c>
      <c r="AF24" s="365"/>
      <c r="AG24" s="251"/>
      <c r="AH24" s="63">
        <f>'Labor Rates'!AA24</f>
        <v>0</v>
      </c>
      <c r="AI24" s="72">
        <f t="shared" si="31"/>
        <v>0</v>
      </c>
      <c r="AJ24" s="70">
        <f>'Labor Rates'!AC24</f>
        <v>0</v>
      </c>
      <c r="AK24" s="72">
        <f t="shared" si="32"/>
        <v>0</v>
      </c>
      <c r="AL24" s="70">
        <f>'Labor Rates'!AD24</f>
        <v>0</v>
      </c>
      <c r="AM24" s="75">
        <f t="shared" si="33"/>
        <v>0</v>
      </c>
      <c r="AN24" s="91">
        <f t="shared" si="34"/>
        <v>0</v>
      </c>
      <c r="AO24" s="318"/>
      <c r="AP24" s="251"/>
      <c r="AQ24" s="240">
        <f>'Labor Rates'!AH24</f>
        <v>0</v>
      </c>
      <c r="AR24" s="229">
        <f t="shared" si="35"/>
        <v>0</v>
      </c>
      <c r="AS24" s="230">
        <f>'Labor Rates'!AJ24</f>
        <v>0</v>
      </c>
      <c r="AT24" s="229">
        <f t="shared" si="36"/>
        <v>0</v>
      </c>
      <c r="AU24" s="230">
        <f>'Labor Rates'!AK24</f>
        <v>0</v>
      </c>
      <c r="AV24" s="231">
        <f t="shared" si="37"/>
        <v>0</v>
      </c>
      <c r="AW24" s="232">
        <f t="shared" si="38"/>
        <v>0</v>
      </c>
      <c r="AX24" s="372"/>
      <c r="AY24" s="251"/>
      <c r="AZ24" s="240">
        <f>'Labor Rates'!AO24</f>
        <v>0</v>
      </c>
      <c r="BA24" s="229">
        <f t="shared" si="39"/>
        <v>0</v>
      </c>
      <c r="BB24" s="230">
        <f>'Labor Rates'!AQ24</f>
        <v>0</v>
      </c>
      <c r="BC24" s="229">
        <f t="shared" si="40"/>
        <v>0</v>
      </c>
      <c r="BD24" s="230">
        <f>'Labor Rates'!AR24</f>
        <v>0</v>
      </c>
      <c r="BE24" s="231">
        <f t="shared" si="41"/>
        <v>0</v>
      </c>
      <c r="BF24" s="232">
        <f t="shared" si="42"/>
        <v>0</v>
      </c>
      <c r="BG24" s="683"/>
      <c r="BH24" s="414">
        <f t="shared" si="24"/>
        <v>0</v>
      </c>
      <c r="BI24" s="415">
        <f t="shared" si="25"/>
        <v>0</v>
      </c>
      <c r="BJ24" s="416">
        <f t="shared" si="26"/>
        <v>0</v>
      </c>
    </row>
    <row r="25" spans="2:62" x14ac:dyDescent="0.2">
      <c r="B25" s="8"/>
      <c r="C25" s="329" t="str">
        <f>IF(ISBLANK('Labor Rates'!C25),"",'Labor Rates'!C25)</f>
        <v/>
      </c>
      <c r="D25" s="413" t="str">
        <f>IF(ISBLANK('Labor Rates'!D25),"",'Labor Rates'!D25)</f>
        <v/>
      </c>
      <c r="E25" s="350"/>
      <c r="F25" s="251"/>
      <c r="G25" s="240">
        <f>'Labor Rates'!F25</f>
        <v>0</v>
      </c>
      <c r="H25" s="229">
        <f t="shared" ref="H25:H47" si="43">F25*G25</f>
        <v>0</v>
      </c>
      <c r="I25" s="230">
        <f>'Labor Rates'!H25</f>
        <v>0</v>
      </c>
      <c r="J25" s="229">
        <f t="shared" ref="J25:J47" si="44">H25*I25</f>
        <v>0</v>
      </c>
      <c r="K25" s="230">
        <f>'Labor Rates'!I25</f>
        <v>0</v>
      </c>
      <c r="L25" s="231">
        <f t="shared" ref="L25:L47" si="45">(H25+J25)*K25</f>
        <v>0</v>
      </c>
      <c r="M25" s="232">
        <f t="shared" ref="M25:M47" si="46">H25+J25+L25</f>
        <v>0</v>
      </c>
      <c r="N25" s="354"/>
      <c r="O25" s="251"/>
      <c r="P25" s="240">
        <f>'Labor Rates'!M25</f>
        <v>0</v>
      </c>
      <c r="Q25" s="229">
        <f t="shared" ref="Q25:Q47" si="47">O25*P25</f>
        <v>0</v>
      </c>
      <c r="R25" s="230">
        <f>'Labor Rates'!O25</f>
        <v>0</v>
      </c>
      <c r="S25" s="229">
        <f t="shared" ref="S25:S47" si="48">Q25*R25</f>
        <v>0</v>
      </c>
      <c r="T25" s="230">
        <f>'Labor Rates'!P25</f>
        <v>0</v>
      </c>
      <c r="U25" s="231">
        <f t="shared" ref="U25:U47" si="49">(Q25+S25)*T25</f>
        <v>0</v>
      </c>
      <c r="V25" s="232">
        <f t="shared" ref="V25:V47" si="50">ROUND(O25*P25*(1+R25)*(1+T25),0)</f>
        <v>0</v>
      </c>
      <c r="W25" s="359"/>
      <c r="X25" s="251"/>
      <c r="Y25" s="240">
        <f>'Labor Rates'!T25</f>
        <v>0</v>
      </c>
      <c r="Z25" s="229">
        <f t="shared" si="27"/>
        <v>0</v>
      </c>
      <c r="AA25" s="230">
        <f>'Labor Rates'!V25</f>
        <v>0</v>
      </c>
      <c r="AB25" s="229">
        <f t="shared" si="28"/>
        <v>0</v>
      </c>
      <c r="AC25" s="230">
        <f>'Labor Rates'!W25</f>
        <v>0</v>
      </c>
      <c r="AD25" s="231">
        <f t="shared" si="29"/>
        <v>0</v>
      </c>
      <c r="AE25" s="232">
        <f t="shared" si="30"/>
        <v>0</v>
      </c>
      <c r="AF25" s="365"/>
      <c r="AG25" s="251"/>
      <c r="AH25" s="63">
        <f>'Labor Rates'!AA25</f>
        <v>0</v>
      </c>
      <c r="AI25" s="72">
        <f t="shared" si="31"/>
        <v>0</v>
      </c>
      <c r="AJ25" s="70">
        <f>'Labor Rates'!AC25</f>
        <v>0</v>
      </c>
      <c r="AK25" s="72">
        <f t="shared" si="32"/>
        <v>0</v>
      </c>
      <c r="AL25" s="70">
        <f>'Labor Rates'!AD25</f>
        <v>0</v>
      </c>
      <c r="AM25" s="75">
        <f t="shared" si="33"/>
        <v>0</v>
      </c>
      <c r="AN25" s="91">
        <f t="shared" si="34"/>
        <v>0</v>
      </c>
      <c r="AO25" s="318"/>
      <c r="AP25" s="251"/>
      <c r="AQ25" s="240">
        <f>'Labor Rates'!AH25</f>
        <v>0</v>
      </c>
      <c r="AR25" s="229">
        <f t="shared" si="35"/>
        <v>0</v>
      </c>
      <c r="AS25" s="230">
        <f>'Labor Rates'!AJ25</f>
        <v>0</v>
      </c>
      <c r="AT25" s="229">
        <f t="shared" si="36"/>
        <v>0</v>
      </c>
      <c r="AU25" s="230">
        <f>'Labor Rates'!AK25</f>
        <v>0</v>
      </c>
      <c r="AV25" s="231">
        <f t="shared" si="37"/>
        <v>0</v>
      </c>
      <c r="AW25" s="232">
        <f t="shared" si="38"/>
        <v>0</v>
      </c>
      <c r="AX25" s="372"/>
      <c r="AY25" s="251"/>
      <c r="AZ25" s="240">
        <f>'Labor Rates'!AO25</f>
        <v>0</v>
      </c>
      <c r="BA25" s="229">
        <f t="shared" si="39"/>
        <v>0</v>
      </c>
      <c r="BB25" s="230">
        <f>'Labor Rates'!AQ25</f>
        <v>0</v>
      </c>
      <c r="BC25" s="229">
        <f t="shared" si="40"/>
        <v>0</v>
      </c>
      <c r="BD25" s="230">
        <f>'Labor Rates'!AR25</f>
        <v>0</v>
      </c>
      <c r="BE25" s="231">
        <f t="shared" si="41"/>
        <v>0</v>
      </c>
      <c r="BF25" s="232">
        <f t="shared" si="42"/>
        <v>0</v>
      </c>
      <c r="BG25" s="683"/>
      <c r="BH25" s="414">
        <f t="shared" si="24"/>
        <v>0</v>
      </c>
      <c r="BI25" s="415">
        <f t="shared" si="25"/>
        <v>0</v>
      </c>
      <c r="BJ25" s="416">
        <f t="shared" si="26"/>
        <v>0</v>
      </c>
    </row>
    <row r="26" spans="2:62" x14ac:dyDescent="0.2">
      <c r="B26" s="8"/>
      <c r="C26" s="329" t="str">
        <f>IF(ISBLANK('Labor Rates'!C26),"",'Labor Rates'!C26)</f>
        <v/>
      </c>
      <c r="D26" s="413" t="str">
        <f>IF(ISBLANK('Labor Rates'!D26),"",'Labor Rates'!D26)</f>
        <v/>
      </c>
      <c r="E26" s="350"/>
      <c r="F26" s="251"/>
      <c r="G26" s="240">
        <f>'Labor Rates'!F26</f>
        <v>0</v>
      </c>
      <c r="H26" s="229">
        <f t="shared" si="43"/>
        <v>0</v>
      </c>
      <c r="I26" s="230">
        <f>'Labor Rates'!H26</f>
        <v>0</v>
      </c>
      <c r="J26" s="229">
        <f t="shared" si="44"/>
        <v>0</v>
      </c>
      <c r="K26" s="230">
        <f>'Labor Rates'!I26</f>
        <v>0</v>
      </c>
      <c r="L26" s="231">
        <f t="shared" si="45"/>
        <v>0</v>
      </c>
      <c r="M26" s="232">
        <f t="shared" si="46"/>
        <v>0</v>
      </c>
      <c r="N26" s="354"/>
      <c r="O26" s="251"/>
      <c r="P26" s="240">
        <f>'Labor Rates'!M26</f>
        <v>0</v>
      </c>
      <c r="Q26" s="229">
        <f t="shared" si="47"/>
        <v>0</v>
      </c>
      <c r="R26" s="230">
        <f>'Labor Rates'!O26</f>
        <v>0</v>
      </c>
      <c r="S26" s="229">
        <f t="shared" si="48"/>
        <v>0</v>
      </c>
      <c r="T26" s="230">
        <f>'Labor Rates'!P26</f>
        <v>0</v>
      </c>
      <c r="U26" s="231">
        <f t="shared" si="49"/>
        <v>0</v>
      </c>
      <c r="V26" s="232">
        <f t="shared" si="50"/>
        <v>0</v>
      </c>
      <c r="W26" s="359"/>
      <c r="X26" s="251"/>
      <c r="Y26" s="240">
        <f>'Labor Rates'!T26</f>
        <v>0</v>
      </c>
      <c r="Z26" s="229">
        <f t="shared" si="27"/>
        <v>0</v>
      </c>
      <c r="AA26" s="230">
        <f>'Labor Rates'!V26</f>
        <v>0</v>
      </c>
      <c r="AB26" s="229">
        <f t="shared" si="28"/>
        <v>0</v>
      </c>
      <c r="AC26" s="230">
        <f>'Labor Rates'!W26</f>
        <v>0</v>
      </c>
      <c r="AD26" s="231">
        <f t="shared" si="29"/>
        <v>0</v>
      </c>
      <c r="AE26" s="232">
        <f t="shared" si="30"/>
        <v>0</v>
      </c>
      <c r="AF26" s="365"/>
      <c r="AG26" s="251"/>
      <c r="AH26" s="63">
        <f>'Labor Rates'!AA26</f>
        <v>0</v>
      </c>
      <c r="AI26" s="72">
        <f t="shared" si="31"/>
        <v>0</v>
      </c>
      <c r="AJ26" s="70">
        <f>'Labor Rates'!AC26</f>
        <v>0</v>
      </c>
      <c r="AK26" s="72">
        <f t="shared" si="32"/>
        <v>0</v>
      </c>
      <c r="AL26" s="70">
        <f>'Labor Rates'!AD26</f>
        <v>0</v>
      </c>
      <c r="AM26" s="75">
        <f t="shared" si="33"/>
        <v>0</v>
      </c>
      <c r="AN26" s="91">
        <f t="shared" si="34"/>
        <v>0</v>
      </c>
      <c r="AO26" s="318"/>
      <c r="AP26" s="251"/>
      <c r="AQ26" s="240">
        <f>'Labor Rates'!AH26</f>
        <v>0</v>
      </c>
      <c r="AR26" s="229">
        <f t="shared" si="35"/>
        <v>0</v>
      </c>
      <c r="AS26" s="230">
        <f>'Labor Rates'!AJ26</f>
        <v>0</v>
      </c>
      <c r="AT26" s="229">
        <f t="shared" si="36"/>
        <v>0</v>
      </c>
      <c r="AU26" s="230">
        <f>'Labor Rates'!AK26</f>
        <v>0</v>
      </c>
      <c r="AV26" s="231">
        <f t="shared" si="37"/>
        <v>0</v>
      </c>
      <c r="AW26" s="232">
        <f t="shared" si="38"/>
        <v>0</v>
      </c>
      <c r="AX26" s="372"/>
      <c r="AY26" s="251"/>
      <c r="AZ26" s="240">
        <f>'Labor Rates'!AO26</f>
        <v>0</v>
      </c>
      <c r="BA26" s="229">
        <f t="shared" si="39"/>
        <v>0</v>
      </c>
      <c r="BB26" s="230">
        <f>'Labor Rates'!AQ26</f>
        <v>0</v>
      </c>
      <c r="BC26" s="229">
        <f t="shared" si="40"/>
        <v>0</v>
      </c>
      <c r="BD26" s="230">
        <f>'Labor Rates'!AR26</f>
        <v>0</v>
      </c>
      <c r="BE26" s="231">
        <f t="shared" si="41"/>
        <v>0</v>
      </c>
      <c r="BF26" s="232">
        <f t="shared" si="42"/>
        <v>0</v>
      </c>
      <c r="BG26" s="683"/>
      <c r="BH26" s="414">
        <f t="shared" si="24"/>
        <v>0</v>
      </c>
      <c r="BI26" s="415">
        <f t="shared" si="25"/>
        <v>0</v>
      </c>
      <c r="BJ26" s="416">
        <f t="shared" si="26"/>
        <v>0</v>
      </c>
    </row>
    <row r="27" spans="2:62" x14ac:dyDescent="0.2">
      <c r="B27" s="8"/>
      <c r="C27" s="329" t="str">
        <f>IF(ISBLANK('Labor Rates'!C27),"",'Labor Rates'!C27)</f>
        <v/>
      </c>
      <c r="D27" s="413" t="str">
        <f>IF(ISBLANK('Labor Rates'!D27),"",'Labor Rates'!D27)</f>
        <v/>
      </c>
      <c r="E27" s="350"/>
      <c r="F27" s="251"/>
      <c r="G27" s="240">
        <f>'Labor Rates'!F27</f>
        <v>0</v>
      </c>
      <c r="H27" s="229">
        <f t="shared" si="43"/>
        <v>0</v>
      </c>
      <c r="I27" s="230">
        <f>'Labor Rates'!H27</f>
        <v>0</v>
      </c>
      <c r="J27" s="229">
        <f t="shared" si="44"/>
        <v>0</v>
      </c>
      <c r="K27" s="230">
        <f>'Labor Rates'!I27</f>
        <v>0</v>
      </c>
      <c r="L27" s="231">
        <f t="shared" si="45"/>
        <v>0</v>
      </c>
      <c r="M27" s="232">
        <f t="shared" si="46"/>
        <v>0</v>
      </c>
      <c r="N27" s="354"/>
      <c r="O27" s="251"/>
      <c r="P27" s="240">
        <f>'Labor Rates'!M27</f>
        <v>0</v>
      </c>
      <c r="Q27" s="229">
        <f t="shared" si="47"/>
        <v>0</v>
      </c>
      <c r="R27" s="230">
        <f>'Labor Rates'!O27</f>
        <v>0</v>
      </c>
      <c r="S27" s="229">
        <f t="shared" si="48"/>
        <v>0</v>
      </c>
      <c r="T27" s="230">
        <f>'Labor Rates'!P27</f>
        <v>0</v>
      </c>
      <c r="U27" s="231">
        <f t="shared" si="49"/>
        <v>0</v>
      </c>
      <c r="V27" s="232">
        <f t="shared" si="50"/>
        <v>0</v>
      </c>
      <c r="W27" s="359"/>
      <c r="X27" s="251"/>
      <c r="Y27" s="240">
        <f>'Labor Rates'!T27</f>
        <v>0</v>
      </c>
      <c r="Z27" s="229">
        <f t="shared" si="27"/>
        <v>0</v>
      </c>
      <c r="AA27" s="230">
        <f>'Labor Rates'!V27</f>
        <v>0</v>
      </c>
      <c r="AB27" s="229">
        <f t="shared" si="28"/>
        <v>0</v>
      </c>
      <c r="AC27" s="230">
        <f>'Labor Rates'!W27</f>
        <v>0</v>
      </c>
      <c r="AD27" s="231">
        <f t="shared" si="29"/>
        <v>0</v>
      </c>
      <c r="AE27" s="232">
        <f t="shared" si="30"/>
        <v>0</v>
      </c>
      <c r="AF27" s="365"/>
      <c r="AG27" s="251"/>
      <c r="AH27" s="63">
        <f>'Labor Rates'!AA27</f>
        <v>0</v>
      </c>
      <c r="AI27" s="72">
        <f t="shared" si="31"/>
        <v>0</v>
      </c>
      <c r="AJ27" s="70">
        <f>'Labor Rates'!AC27</f>
        <v>0</v>
      </c>
      <c r="AK27" s="72">
        <f t="shared" si="32"/>
        <v>0</v>
      </c>
      <c r="AL27" s="70">
        <f>'Labor Rates'!AD27</f>
        <v>0</v>
      </c>
      <c r="AM27" s="75">
        <f t="shared" si="33"/>
        <v>0</v>
      </c>
      <c r="AN27" s="91">
        <f t="shared" si="34"/>
        <v>0</v>
      </c>
      <c r="AO27" s="318"/>
      <c r="AP27" s="251"/>
      <c r="AQ27" s="240">
        <f>'Labor Rates'!AH27</f>
        <v>0</v>
      </c>
      <c r="AR27" s="229">
        <f t="shared" si="35"/>
        <v>0</v>
      </c>
      <c r="AS27" s="230">
        <f>'Labor Rates'!AJ27</f>
        <v>0</v>
      </c>
      <c r="AT27" s="229">
        <f t="shared" si="36"/>
        <v>0</v>
      </c>
      <c r="AU27" s="230">
        <f>'Labor Rates'!AK27</f>
        <v>0</v>
      </c>
      <c r="AV27" s="231">
        <f t="shared" si="37"/>
        <v>0</v>
      </c>
      <c r="AW27" s="232">
        <f t="shared" si="38"/>
        <v>0</v>
      </c>
      <c r="AX27" s="372"/>
      <c r="AY27" s="251"/>
      <c r="AZ27" s="240">
        <f>'Labor Rates'!AO27</f>
        <v>0</v>
      </c>
      <c r="BA27" s="229">
        <f t="shared" si="39"/>
        <v>0</v>
      </c>
      <c r="BB27" s="230">
        <f>'Labor Rates'!AQ27</f>
        <v>0</v>
      </c>
      <c r="BC27" s="229">
        <f t="shared" si="40"/>
        <v>0</v>
      </c>
      <c r="BD27" s="230">
        <f>'Labor Rates'!AR27</f>
        <v>0</v>
      </c>
      <c r="BE27" s="231">
        <f t="shared" si="41"/>
        <v>0</v>
      </c>
      <c r="BF27" s="232">
        <f t="shared" si="42"/>
        <v>0</v>
      </c>
      <c r="BG27" s="683"/>
      <c r="BH27" s="414">
        <f t="shared" si="24"/>
        <v>0</v>
      </c>
      <c r="BI27" s="415">
        <f t="shared" si="25"/>
        <v>0</v>
      </c>
      <c r="BJ27" s="416">
        <f t="shared" si="26"/>
        <v>0</v>
      </c>
    </row>
    <row r="28" spans="2:62" x14ac:dyDescent="0.2">
      <c r="B28" s="8"/>
      <c r="C28" s="329" t="str">
        <f>IF(ISBLANK('Labor Rates'!C28),"",'Labor Rates'!C28)</f>
        <v/>
      </c>
      <c r="D28" s="413" t="str">
        <f>IF(ISBLANK('Labor Rates'!D28),"",'Labor Rates'!D28)</f>
        <v/>
      </c>
      <c r="E28" s="350"/>
      <c r="F28" s="251"/>
      <c r="G28" s="240">
        <f>'Labor Rates'!F28</f>
        <v>0</v>
      </c>
      <c r="H28" s="229">
        <f t="shared" si="43"/>
        <v>0</v>
      </c>
      <c r="I28" s="230">
        <f>'Labor Rates'!H28</f>
        <v>0</v>
      </c>
      <c r="J28" s="229">
        <f t="shared" si="44"/>
        <v>0</v>
      </c>
      <c r="K28" s="230">
        <f>'Labor Rates'!I28</f>
        <v>0</v>
      </c>
      <c r="L28" s="231">
        <f t="shared" si="45"/>
        <v>0</v>
      </c>
      <c r="M28" s="232">
        <f t="shared" si="46"/>
        <v>0</v>
      </c>
      <c r="N28" s="354"/>
      <c r="O28" s="251"/>
      <c r="P28" s="240">
        <f>'Labor Rates'!M28</f>
        <v>0</v>
      </c>
      <c r="Q28" s="229">
        <f t="shared" si="47"/>
        <v>0</v>
      </c>
      <c r="R28" s="230">
        <f>'Labor Rates'!O28</f>
        <v>0</v>
      </c>
      <c r="S28" s="229">
        <f t="shared" si="48"/>
        <v>0</v>
      </c>
      <c r="T28" s="230">
        <f>'Labor Rates'!P28</f>
        <v>0</v>
      </c>
      <c r="U28" s="231">
        <f t="shared" si="49"/>
        <v>0</v>
      </c>
      <c r="V28" s="232">
        <f t="shared" si="50"/>
        <v>0</v>
      </c>
      <c r="W28" s="359"/>
      <c r="X28" s="251"/>
      <c r="Y28" s="240">
        <f>'Labor Rates'!T28</f>
        <v>0</v>
      </c>
      <c r="Z28" s="229">
        <f t="shared" si="27"/>
        <v>0</v>
      </c>
      <c r="AA28" s="230">
        <f>'Labor Rates'!V28</f>
        <v>0</v>
      </c>
      <c r="AB28" s="229">
        <f t="shared" si="28"/>
        <v>0</v>
      </c>
      <c r="AC28" s="230">
        <f>'Labor Rates'!W28</f>
        <v>0</v>
      </c>
      <c r="AD28" s="231">
        <f t="shared" si="29"/>
        <v>0</v>
      </c>
      <c r="AE28" s="232">
        <f t="shared" si="30"/>
        <v>0</v>
      </c>
      <c r="AF28" s="365"/>
      <c r="AG28" s="251"/>
      <c r="AH28" s="63">
        <f>'Labor Rates'!AA28</f>
        <v>0</v>
      </c>
      <c r="AI28" s="72">
        <f t="shared" si="31"/>
        <v>0</v>
      </c>
      <c r="AJ28" s="70">
        <f>'Labor Rates'!AC28</f>
        <v>0</v>
      </c>
      <c r="AK28" s="72">
        <f t="shared" si="32"/>
        <v>0</v>
      </c>
      <c r="AL28" s="70">
        <f>'Labor Rates'!AD28</f>
        <v>0</v>
      </c>
      <c r="AM28" s="75">
        <f t="shared" si="33"/>
        <v>0</v>
      </c>
      <c r="AN28" s="91">
        <f t="shared" si="34"/>
        <v>0</v>
      </c>
      <c r="AO28" s="318"/>
      <c r="AP28" s="251"/>
      <c r="AQ28" s="240">
        <f>'Labor Rates'!AH28</f>
        <v>0</v>
      </c>
      <c r="AR28" s="229">
        <f t="shared" si="35"/>
        <v>0</v>
      </c>
      <c r="AS28" s="230">
        <f>'Labor Rates'!AJ28</f>
        <v>0</v>
      </c>
      <c r="AT28" s="229">
        <f t="shared" si="36"/>
        <v>0</v>
      </c>
      <c r="AU28" s="230">
        <f>'Labor Rates'!AK28</f>
        <v>0</v>
      </c>
      <c r="AV28" s="231">
        <f t="shared" si="37"/>
        <v>0</v>
      </c>
      <c r="AW28" s="232">
        <f t="shared" si="38"/>
        <v>0</v>
      </c>
      <c r="AX28" s="372"/>
      <c r="AY28" s="251"/>
      <c r="AZ28" s="240">
        <f>'Labor Rates'!AO28</f>
        <v>0</v>
      </c>
      <c r="BA28" s="229">
        <f t="shared" si="39"/>
        <v>0</v>
      </c>
      <c r="BB28" s="230">
        <f>'Labor Rates'!AQ28</f>
        <v>0</v>
      </c>
      <c r="BC28" s="229">
        <f t="shared" si="40"/>
        <v>0</v>
      </c>
      <c r="BD28" s="230">
        <f>'Labor Rates'!AR28</f>
        <v>0</v>
      </c>
      <c r="BE28" s="231">
        <f t="shared" si="41"/>
        <v>0</v>
      </c>
      <c r="BF28" s="232">
        <f t="shared" si="42"/>
        <v>0</v>
      </c>
      <c r="BG28" s="683"/>
      <c r="BH28" s="414">
        <f t="shared" si="24"/>
        <v>0</v>
      </c>
      <c r="BI28" s="415">
        <f t="shared" si="25"/>
        <v>0</v>
      </c>
      <c r="BJ28" s="416">
        <f t="shared" si="26"/>
        <v>0</v>
      </c>
    </row>
    <row r="29" spans="2:62" x14ac:dyDescent="0.2">
      <c r="B29" s="8"/>
      <c r="C29" s="329" t="str">
        <f>IF(ISBLANK('Labor Rates'!C29),"",'Labor Rates'!C29)</f>
        <v/>
      </c>
      <c r="D29" s="413" t="str">
        <f>IF(ISBLANK('Labor Rates'!D29),"",'Labor Rates'!D29)</f>
        <v/>
      </c>
      <c r="E29" s="350"/>
      <c r="F29" s="251"/>
      <c r="G29" s="240">
        <f>'Labor Rates'!F29</f>
        <v>0</v>
      </c>
      <c r="H29" s="229">
        <f t="shared" si="43"/>
        <v>0</v>
      </c>
      <c r="I29" s="230">
        <f>'Labor Rates'!H29</f>
        <v>0</v>
      </c>
      <c r="J29" s="229">
        <f t="shared" si="44"/>
        <v>0</v>
      </c>
      <c r="K29" s="230">
        <f>'Labor Rates'!I29</f>
        <v>0</v>
      </c>
      <c r="L29" s="231">
        <f t="shared" si="45"/>
        <v>0</v>
      </c>
      <c r="M29" s="232">
        <f t="shared" si="46"/>
        <v>0</v>
      </c>
      <c r="N29" s="354"/>
      <c r="O29" s="251"/>
      <c r="P29" s="240">
        <f>'Labor Rates'!M29</f>
        <v>0</v>
      </c>
      <c r="Q29" s="229">
        <f t="shared" si="47"/>
        <v>0</v>
      </c>
      <c r="R29" s="230">
        <f>'Labor Rates'!O29</f>
        <v>0</v>
      </c>
      <c r="S29" s="229">
        <f t="shared" si="48"/>
        <v>0</v>
      </c>
      <c r="T29" s="230">
        <f>'Labor Rates'!P29</f>
        <v>0</v>
      </c>
      <c r="U29" s="231">
        <f t="shared" si="49"/>
        <v>0</v>
      </c>
      <c r="V29" s="232">
        <f t="shared" si="50"/>
        <v>0</v>
      </c>
      <c r="W29" s="359"/>
      <c r="X29" s="251"/>
      <c r="Y29" s="240">
        <f>'Labor Rates'!T29</f>
        <v>0</v>
      </c>
      <c r="Z29" s="229">
        <f t="shared" si="27"/>
        <v>0</v>
      </c>
      <c r="AA29" s="230">
        <f>'Labor Rates'!V29</f>
        <v>0</v>
      </c>
      <c r="AB29" s="229">
        <f t="shared" si="28"/>
        <v>0</v>
      </c>
      <c r="AC29" s="230">
        <f>'Labor Rates'!W29</f>
        <v>0</v>
      </c>
      <c r="AD29" s="231">
        <f t="shared" si="29"/>
        <v>0</v>
      </c>
      <c r="AE29" s="232">
        <f t="shared" si="30"/>
        <v>0</v>
      </c>
      <c r="AF29" s="365"/>
      <c r="AG29" s="251"/>
      <c r="AH29" s="63">
        <f>'Labor Rates'!AA29</f>
        <v>0</v>
      </c>
      <c r="AI29" s="72">
        <f t="shared" si="31"/>
        <v>0</v>
      </c>
      <c r="AJ29" s="70">
        <f>'Labor Rates'!AC29</f>
        <v>0</v>
      </c>
      <c r="AK29" s="72">
        <f t="shared" si="32"/>
        <v>0</v>
      </c>
      <c r="AL29" s="70">
        <f>'Labor Rates'!AD29</f>
        <v>0</v>
      </c>
      <c r="AM29" s="75">
        <f t="shared" si="33"/>
        <v>0</v>
      </c>
      <c r="AN29" s="91">
        <f t="shared" si="34"/>
        <v>0</v>
      </c>
      <c r="AO29" s="318"/>
      <c r="AP29" s="251"/>
      <c r="AQ29" s="240">
        <f>'Labor Rates'!AH29</f>
        <v>0</v>
      </c>
      <c r="AR29" s="229">
        <f t="shared" si="35"/>
        <v>0</v>
      </c>
      <c r="AS29" s="230">
        <f>'Labor Rates'!AJ29</f>
        <v>0</v>
      </c>
      <c r="AT29" s="229">
        <f t="shared" si="36"/>
        <v>0</v>
      </c>
      <c r="AU29" s="230">
        <f>'Labor Rates'!AK29</f>
        <v>0</v>
      </c>
      <c r="AV29" s="231">
        <f t="shared" si="37"/>
        <v>0</v>
      </c>
      <c r="AW29" s="232">
        <f t="shared" si="38"/>
        <v>0</v>
      </c>
      <c r="AX29" s="372"/>
      <c r="AY29" s="251"/>
      <c r="AZ29" s="240">
        <f>'Labor Rates'!AO29</f>
        <v>0</v>
      </c>
      <c r="BA29" s="229">
        <f t="shared" si="39"/>
        <v>0</v>
      </c>
      <c r="BB29" s="230">
        <f>'Labor Rates'!AQ29</f>
        <v>0</v>
      </c>
      <c r="BC29" s="229">
        <f t="shared" si="40"/>
        <v>0</v>
      </c>
      <c r="BD29" s="230">
        <f>'Labor Rates'!AR29</f>
        <v>0</v>
      </c>
      <c r="BE29" s="231">
        <f t="shared" si="41"/>
        <v>0</v>
      </c>
      <c r="BF29" s="232">
        <f t="shared" si="42"/>
        <v>0</v>
      </c>
      <c r="BG29" s="683"/>
      <c r="BH29" s="414">
        <f t="shared" si="24"/>
        <v>0</v>
      </c>
      <c r="BI29" s="415">
        <f t="shared" si="25"/>
        <v>0</v>
      </c>
      <c r="BJ29" s="416">
        <f t="shared" si="26"/>
        <v>0</v>
      </c>
    </row>
    <row r="30" spans="2:62" x14ac:dyDescent="0.2">
      <c r="B30" s="8"/>
      <c r="C30" s="329" t="str">
        <f>IF(ISBLANK('Labor Rates'!C30),"",'Labor Rates'!C30)</f>
        <v/>
      </c>
      <c r="D30" s="413" t="str">
        <f>IF(ISBLANK('Labor Rates'!D30),"",'Labor Rates'!D30)</f>
        <v/>
      </c>
      <c r="E30" s="350"/>
      <c r="F30" s="251"/>
      <c r="G30" s="240">
        <f>'Labor Rates'!F30</f>
        <v>0</v>
      </c>
      <c r="H30" s="229">
        <f t="shared" si="43"/>
        <v>0</v>
      </c>
      <c r="I30" s="230">
        <f>'Labor Rates'!H30</f>
        <v>0</v>
      </c>
      <c r="J30" s="229">
        <f t="shared" si="44"/>
        <v>0</v>
      </c>
      <c r="K30" s="230">
        <f>'Labor Rates'!I30</f>
        <v>0</v>
      </c>
      <c r="L30" s="231">
        <f t="shared" si="45"/>
        <v>0</v>
      </c>
      <c r="M30" s="232">
        <f t="shared" si="46"/>
        <v>0</v>
      </c>
      <c r="N30" s="354"/>
      <c r="O30" s="251"/>
      <c r="P30" s="240">
        <f>'Labor Rates'!M30</f>
        <v>0</v>
      </c>
      <c r="Q30" s="229">
        <f t="shared" si="47"/>
        <v>0</v>
      </c>
      <c r="R30" s="230">
        <f>'Labor Rates'!O30</f>
        <v>0</v>
      </c>
      <c r="S30" s="229">
        <f t="shared" si="48"/>
        <v>0</v>
      </c>
      <c r="T30" s="230">
        <f>'Labor Rates'!P30</f>
        <v>0</v>
      </c>
      <c r="U30" s="231">
        <f t="shared" si="49"/>
        <v>0</v>
      </c>
      <c r="V30" s="232">
        <f t="shared" si="50"/>
        <v>0</v>
      </c>
      <c r="W30" s="359"/>
      <c r="X30" s="251"/>
      <c r="Y30" s="240">
        <f>'Labor Rates'!T30</f>
        <v>0</v>
      </c>
      <c r="Z30" s="229">
        <f t="shared" si="27"/>
        <v>0</v>
      </c>
      <c r="AA30" s="230">
        <f>'Labor Rates'!V30</f>
        <v>0</v>
      </c>
      <c r="AB30" s="229">
        <f t="shared" si="28"/>
        <v>0</v>
      </c>
      <c r="AC30" s="230">
        <f>'Labor Rates'!W30</f>
        <v>0</v>
      </c>
      <c r="AD30" s="231">
        <f t="shared" si="29"/>
        <v>0</v>
      </c>
      <c r="AE30" s="232">
        <f t="shared" si="30"/>
        <v>0</v>
      </c>
      <c r="AF30" s="365"/>
      <c r="AG30" s="251"/>
      <c r="AH30" s="63">
        <f>'Labor Rates'!AA30</f>
        <v>0</v>
      </c>
      <c r="AI30" s="72">
        <f t="shared" si="31"/>
        <v>0</v>
      </c>
      <c r="AJ30" s="70">
        <f>'Labor Rates'!AC30</f>
        <v>0</v>
      </c>
      <c r="AK30" s="72">
        <f t="shared" si="32"/>
        <v>0</v>
      </c>
      <c r="AL30" s="70">
        <f>'Labor Rates'!AD30</f>
        <v>0</v>
      </c>
      <c r="AM30" s="75">
        <f t="shared" si="33"/>
        <v>0</v>
      </c>
      <c r="AN30" s="91">
        <f t="shared" si="34"/>
        <v>0</v>
      </c>
      <c r="AO30" s="318"/>
      <c r="AP30" s="251"/>
      <c r="AQ30" s="240">
        <f>'Labor Rates'!AH30</f>
        <v>0</v>
      </c>
      <c r="AR30" s="229">
        <f t="shared" si="35"/>
        <v>0</v>
      </c>
      <c r="AS30" s="230">
        <f>'Labor Rates'!AJ30</f>
        <v>0</v>
      </c>
      <c r="AT30" s="229">
        <f t="shared" si="36"/>
        <v>0</v>
      </c>
      <c r="AU30" s="230">
        <f>'Labor Rates'!AK30</f>
        <v>0</v>
      </c>
      <c r="AV30" s="231">
        <f t="shared" si="37"/>
        <v>0</v>
      </c>
      <c r="AW30" s="232">
        <f t="shared" si="38"/>
        <v>0</v>
      </c>
      <c r="AX30" s="372"/>
      <c r="AY30" s="251"/>
      <c r="AZ30" s="240">
        <f>'Labor Rates'!AO30</f>
        <v>0</v>
      </c>
      <c r="BA30" s="229">
        <f t="shared" si="39"/>
        <v>0</v>
      </c>
      <c r="BB30" s="230">
        <f>'Labor Rates'!AQ30</f>
        <v>0</v>
      </c>
      <c r="BC30" s="229">
        <f t="shared" si="40"/>
        <v>0</v>
      </c>
      <c r="BD30" s="230">
        <f>'Labor Rates'!AR30</f>
        <v>0</v>
      </c>
      <c r="BE30" s="231">
        <f t="shared" si="41"/>
        <v>0</v>
      </c>
      <c r="BF30" s="232">
        <f t="shared" si="42"/>
        <v>0</v>
      </c>
      <c r="BG30" s="683"/>
      <c r="BH30" s="414">
        <f t="shared" si="24"/>
        <v>0</v>
      </c>
      <c r="BI30" s="415">
        <f t="shared" si="25"/>
        <v>0</v>
      </c>
      <c r="BJ30" s="416">
        <f t="shared" si="26"/>
        <v>0</v>
      </c>
    </row>
    <row r="31" spans="2:62" x14ac:dyDescent="0.2">
      <c r="B31" s="8"/>
      <c r="C31" s="329" t="str">
        <f>IF(ISBLANK('Labor Rates'!C31),"",'Labor Rates'!C31)</f>
        <v/>
      </c>
      <c r="D31" s="413" t="str">
        <f>IF(ISBLANK('Labor Rates'!D31),"",'Labor Rates'!D31)</f>
        <v/>
      </c>
      <c r="E31" s="350"/>
      <c r="F31" s="251"/>
      <c r="G31" s="240">
        <f>'Labor Rates'!F31</f>
        <v>0</v>
      </c>
      <c r="H31" s="229">
        <f t="shared" si="43"/>
        <v>0</v>
      </c>
      <c r="I31" s="230">
        <f>'Labor Rates'!H31</f>
        <v>0</v>
      </c>
      <c r="J31" s="229">
        <f t="shared" si="44"/>
        <v>0</v>
      </c>
      <c r="K31" s="230">
        <f>'Labor Rates'!I31</f>
        <v>0</v>
      </c>
      <c r="L31" s="231">
        <f t="shared" si="45"/>
        <v>0</v>
      </c>
      <c r="M31" s="232">
        <f t="shared" si="46"/>
        <v>0</v>
      </c>
      <c r="N31" s="354"/>
      <c r="O31" s="251"/>
      <c r="P31" s="240">
        <f>'Labor Rates'!M31</f>
        <v>0</v>
      </c>
      <c r="Q31" s="229">
        <f t="shared" si="47"/>
        <v>0</v>
      </c>
      <c r="R31" s="230">
        <f>'Labor Rates'!O31</f>
        <v>0</v>
      </c>
      <c r="S31" s="229">
        <f t="shared" si="48"/>
        <v>0</v>
      </c>
      <c r="T31" s="230">
        <f>'Labor Rates'!P31</f>
        <v>0</v>
      </c>
      <c r="U31" s="231">
        <f t="shared" si="49"/>
        <v>0</v>
      </c>
      <c r="V31" s="232">
        <f t="shared" si="50"/>
        <v>0</v>
      </c>
      <c r="W31" s="359"/>
      <c r="X31" s="251"/>
      <c r="Y31" s="240">
        <f>'Labor Rates'!T31</f>
        <v>0</v>
      </c>
      <c r="Z31" s="229">
        <f t="shared" si="27"/>
        <v>0</v>
      </c>
      <c r="AA31" s="230">
        <f>'Labor Rates'!V31</f>
        <v>0</v>
      </c>
      <c r="AB31" s="229">
        <f t="shared" si="28"/>
        <v>0</v>
      </c>
      <c r="AC31" s="230">
        <f>'Labor Rates'!W31</f>
        <v>0</v>
      </c>
      <c r="AD31" s="231">
        <f t="shared" si="29"/>
        <v>0</v>
      </c>
      <c r="AE31" s="232">
        <f t="shared" si="30"/>
        <v>0</v>
      </c>
      <c r="AF31" s="365"/>
      <c r="AG31" s="251"/>
      <c r="AH31" s="63">
        <f>'Labor Rates'!AA31</f>
        <v>0</v>
      </c>
      <c r="AI31" s="72">
        <f t="shared" si="31"/>
        <v>0</v>
      </c>
      <c r="AJ31" s="70">
        <f>'Labor Rates'!AC31</f>
        <v>0</v>
      </c>
      <c r="AK31" s="72">
        <f t="shared" si="32"/>
        <v>0</v>
      </c>
      <c r="AL31" s="70">
        <f>'Labor Rates'!AD31</f>
        <v>0</v>
      </c>
      <c r="AM31" s="75">
        <f t="shared" si="33"/>
        <v>0</v>
      </c>
      <c r="AN31" s="91">
        <f t="shared" si="34"/>
        <v>0</v>
      </c>
      <c r="AO31" s="318"/>
      <c r="AP31" s="251"/>
      <c r="AQ31" s="240">
        <f>'Labor Rates'!AH31</f>
        <v>0</v>
      </c>
      <c r="AR31" s="229">
        <f t="shared" si="35"/>
        <v>0</v>
      </c>
      <c r="AS31" s="230">
        <f>'Labor Rates'!AJ31</f>
        <v>0</v>
      </c>
      <c r="AT31" s="229">
        <f t="shared" si="36"/>
        <v>0</v>
      </c>
      <c r="AU31" s="230">
        <f>'Labor Rates'!AK31</f>
        <v>0</v>
      </c>
      <c r="AV31" s="231">
        <f t="shared" si="37"/>
        <v>0</v>
      </c>
      <c r="AW31" s="232">
        <f t="shared" si="38"/>
        <v>0</v>
      </c>
      <c r="AX31" s="372"/>
      <c r="AY31" s="251"/>
      <c r="AZ31" s="240">
        <f>'Labor Rates'!AO31</f>
        <v>0</v>
      </c>
      <c r="BA31" s="229">
        <f t="shared" si="39"/>
        <v>0</v>
      </c>
      <c r="BB31" s="230">
        <f>'Labor Rates'!AQ31</f>
        <v>0</v>
      </c>
      <c r="BC31" s="229">
        <f t="shared" si="40"/>
        <v>0</v>
      </c>
      <c r="BD31" s="230">
        <f>'Labor Rates'!AR31</f>
        <v>0</v>
      </c>
      <c r="BE31" s="231">
        <f t="shared" si="41"/>
        <v>0</v>
      </c>
      <c r="BF31" s="232">
        <f t="shared" si="42"/>
        <v>0</v>
      </c>
      <c r="BG31" s="683"/>
      <c r="BH31" s="414">
        <f t="shared" si="24"/>
        <v>0</v>
      </c>
      <c r="BI31" s="415">
        <f t="shared" si="25"/>
        <v>0</v>
      </c>
      <c r="BJ31" s="416">
        <f t="shared" si="26"/>
        <v>0</v>
      </c>
    </row>
    <row r="32" spans="2:62" x14ac:dyDescent="0.2">
      <c r="B32" s="8"/>
      <c r="C32" s="329" t="str">
        <f>IF(ISBLANK('Labor Rates'!C32),"",'Labor Rates'!C32)</f>
        <v/>
      </c>
      <c r="D32" s="413" t="str">
        <f>IF(ISBLANK('Labor Rates'!D32),"",'Labor Rates'!D32)</f>
        <v/>
      </c>
      <c r="E32" s="350"/>
      <c r="F32" s="251"/>
      <c r="G32" s="240">
        <f>'Labor Rates'!F32</f>
        <v>0</v>
      </c>
      <c r="H32" s="229">
        <f t="shared" si="43"/>
        <v>0</v>
      </c>
      <c r="I32" s="230">
        <f>'Labor Rates'!H32</f>
        <v>0</v>
      </c>
      <c r="J32" s="229">
        <f t="shared" si="44"/>
        <v>0</v>
      </c>
      <c r="K32" s="230">
        <f>'Labor Rates'!I32</f>
        <v>0</v>
      </c>
      <c r="L32" s="231">
        <f t="shared" si="45"/>
        <v>0</v>
      </c>
      <c r="M32" s="232">
        <f t="shared" si="46"/>
        <v>0</v>
      </c>
      <c r="N32" s="354"/>
      <c r="O32" s="251"/>
      <c r="P32" s="240">
        <f>'Labor Rates'!M32</f>
        <v>0</v>
      </c>
      <c r="Q32" s="229">
        <f t="shared" si="47"/>
        <v>0</v>
      </c>
      <c r="R32" s="230">
        <f>'Labor Rates'!O32</f>
        <v>0</v>
      </c>
      <c r="S32" s="229">
        <f t="shared" si="48"/>
        <v>0</v>
      </c>
      <c r="T32" s="230">
        <f>'Labor Rates'!P32</f>
        <v>0</v>
      </c>
      <c r="U32" s="231">
        <f t="shared" si="49"/>
        <v>0</v>
      </c>
      <c r="V32" s="232">
        <f t="shared" si="50"/>
        <v>0</v>
      </c>
      <c r="W32" s="359"/>
      <c r="X32" s="251"/>
      <c r="Y32" s="240">
        <f>'Labor Rates'!T32</f>
        <v>0</v>
      </c>
      <c r="Z32" s="229">
        <f t="shared" si="27"/>
        <v>0</v>
      </c>
      <c r="AA32" s="230">
        <f>'Labor Rates'!V32</f>
        <v>0</v>
      </c>
      <c r="AB32" s="229">
        <f t="shared" si="28"/>
        <v>0</v>
      </c>
      <c r="AC32" s="230">
        <f>'Labor Rates'!W32</f>
        <v>0</v>
      </c>
      <c r="AD32" s="231">
        <f t="shared" si="29"/>
        <v>0</v>
      </c>
      <c r="AE32" s="232">
        <f t="shared" si="30"/>
        <v>0</v>
      </c>
      <c r="AF32" s="365"/>
      <c r="AG32" s="251"/>
      <c r="AH32" s="63">
        <f>'Labor Rates'!AA32</f>
        <v>0</v>
      </c>
      <c r="AI32" s="72">
        <f t="shared" si="31"/>
        <v>0</v>
      </c>
      <c r="AJ32" s="70">
        <f>'Labor Rates'!AC32</f>
        <v>0</v>
      </c>
      <c r="AK32" s="72">
        <f t="shared" si="32"/>
        <v>0</v>
      </c>
      <c r="AL32" s="70">
        <f>'Labor Rates'!AD32</f>
        <v>0</v>
      </c>
      <c r="AM32" s="75">
        <f t="shared" si="33"/>
        <v>0</v>
      </c>
      <c r="AN32" s="91">
        <f t="shared" si="34"/>
        <v>0</v>
      </c>
      <c r="AO32" s="318"/>
      <c r="AP32" s="251"/>
      <c r="AQ32" s="240">
        <f>'Labor Rates'!AH32</f>
        <v>0</v>
      </c>
      <c r="AR32" s="229">
        <f t="shared" si="35"/>
        <v>0</v>
      </c>
      <c r="AS32" s="230">
        <f>'Labor Rates'!AJ32</f>
        <v>0</v>
      </c>
      <c r="AT32" s="229">
        <f t="shared" si="36"/>
        <v>0</v>
      </c>
      <c r="AU32" s="230">
        <f>'Labor Rates'!AK32</f>
        <v>0</v>
      </c>
      <c r="AV32" s="231">
        <f t="shared" si="37"/>
        <v>0</v>
      </c>
      <c r="AW32" s="232">
        <f t="shared" si="38"/>
        <v>0</v>
      </c>
      <c r="AX32" s="372"/>
      <c r="AY32" s="251"/>
      <c r="AZ32" s="240">
        <f>'Labor Rates'!AO32</f>
        <v>0</v>
      </c>
      <c r="BA32" s="229">
        <f t="shared" si="39"/>
        <v>0</v>
      </c>
      <c r="BB32" s="230">
        <f>'Labor Rates'!AQ32</f>
        <v>0</v>
      </c>
      <c r="BC32" s="229">
        <f t="shared" si="40"/>
        <v>0</v>
      </c>
      <c r="BD32" s="230">
        <f>'Labor Rates'!AR32</f>
        <v>0</v>
      </c>
      <c r="BE32" s="231">
        <f t="shared" si="41"/>
        <v>0</v>
      </c>
      <c r="BF32" s="232">
        <f t="shared" si="42"/>
        <v>0</v>
      </c>
      <c r="BG32" s="683"/>
      <c r="BH32" s="414">
        <f t="shared" si="24"/>
        <v>0</v>
      </c>
      <c r="BI32" s="415">
        <f t="shared" si="25"/>
        <v>0</v>
      </c>
      <c r="BJ32" s="416">
        <f t="shared" si="26"/>
        <v>0</v>
      </c>
    </row>
    <row r="33" spans="2:62" x14ac:dyDescent="0.2">
      <c r="B33" s="8"/>
      <c r="C33" s="329" t="str">
        <f>IF(ISBLANK('Labor Rates'!C33),"",'Labor Rates'!C33)</f>
        <v/>
      </c>
      <c r="D33" s="413" t="str">
        <f>IF(ISBLANK('Labor Rates'!D33),"",'Labor Rates'!D33)</f>
        <v/>
      </c>
      <c r="E33" s="350"/>
      <c r="F33" s="251"/>
      <c r="G33" s="240">
        <f>'Labor Rates'!F33</f>
        <v>0</v>
      </c>
      <c r="H33" s="229">
        <f t="shared" si="43"/>
        <v>0</v>
      </c>
      <c r="I33" s="230">
        <f>'Labor Rates'!H33</f>
        <v>0</v>
      </c>
      <c r="J33" s="229">
        <f t="shared" si="44"/>
        <v>0</v>
      </c>
      <c r="K33" s="230">
        <f>'Labor Rates'!I33</f>
        <v>0</v>
      </c>
      <c r="L33" s="231">
        <f t="shared" si="45"/>
        <v>0</v>
      </c>
      <c r="M33" s="232">
        <f t="shared" si="46"/>
        <v>0</v>
      </c>
      <c r="N33" s="354"/>
      <c r="O33" s="251"/>
      <c r="P33" s="240">
        <f>'Labor Rates'!M33</f>
        <v>0</v>
      </c>
      <c r="Q33" s="229">
        <f t="shared" si="47"/>
        <v>0</v>
      </c>
      <c r="R33" s="230">
        <f>'Labor Rates'!O33</f>
        <v>0</v>
      </c>
      <c r="S33" s="229">
        <f t="shared" si="48"/>
        <v>0</v>
      </c>
      <c r="T33" s="230">
        <f>'Labor Rates'!P33</f>
        <v>0</v>
      </c>
      <c r="U33" s="231">
        <f t="shared" si="49"/>
        <v>0</v>
      </c>
      <c r="V33" s="232">
        <f t="shared" si="50"/>
        <v>0</v>
      </c>
      <c r="W33" s="359"/>
      <c r="X33" s="251"/>
      <c r="Y33" s="240">
        <f>'Labor Rates'!T33</f>
        <v>0</v>
      </c>
      <c r="Z33" s="229">
        <f t="shared" si="27"/>
        <v>0</v>
      </c>
      <c r="AA33" s="230">
        <f>'Labor Rates'!V33</f>
        <v>0</v>
      </c>
      <c r="AB33" s="229">
        <f t="shared" si="28"/>
        <v>0</v>
      </c>
      <c r="AC33" s="230">
        <f>'Labor Rates'!W33</f>
        <v>0</v>
      </c>
      <c r="AD33" s="231">
        <f t="shared" si="29"/>
        <v>0</v>
      </c>
      <c r="AE33" s="232">
        <f t="shared" si="30"/>
        <v>0</v>
      </c>
      <c r="AF33" s="365"/>
      <c r="AG33" s="251"/>
      <c r="AH33" s="63">
        <f>'Labor Rates'!AA33</f>
        <v>0</v>
      </c>
      <c r="AI33" s="72">
        <f t="shared" si="31"/>
        <v>0</v>
      </c>
      <c r="AJ33" s="70">
        <f>'Labor Rates'!AC33</f>
        <v>0</v>
      </c>
      <c r="AK33" s="72">
        <f t="shared" si="32"/>
        <v>0</v>
      </c>
      <c r="AL33" s="70">
        <f>'Labor Rates'!AD33</f>
        <v>0</v>
      </c>
      <c r="AM33" s="75">
        <f t="shared" si="33"/>
        <v>0</v>
      </c>
      <c r="AN33" s="91">
        <f t="shared" si="34"/>
        <v>0</v>
      </c>
      <c r="AO33" s="318"/>
      <c r="AP33" s="251"/>
      <c r="AQ33" s="240">
        <f>'Labor Rates'!AH33</f>
        <v>0</v>
      </c>
      <c r="AR33" s="229">
        <f t="shared" si="35"/>
        <v>0</v>
      </c>
      <c r="AS33" s="230">
        <f>'Labor Rates'!AJ33</f>
        <v>0</v>
      </c>
      <c r="AT33" s="229">
        <f t="shared" si="36"/>
        <v>0</v>
      </c>
      <c r="AU33" s="230">
        <f>'Labor Rates'!AK33</f>
        <v>0</v>
      </c>
      <c r="AV33" s="231">
        <f t="shared" si="37"/>
        <v>0</v>
      </c>
      <c r="AW33" s="232">
        <f t="shared" si="38"/>
        <v>0</v>
      </c>
      <c r="AX33" s="372"/>
      <c r="AY33" s="251"/>
      <c r="AZ33" s="240">
        <f>'Labor Rates'!AO33</f>
        <v>0</v>
      </c>
      <c r="BA33" s="229">
        <f t="shared" si="39"/>
        <v>0</v>
      </c>
      <c r="BB33" s="230">
        <f>'Labor Rates'!AQ33</f>
        <v>0</v>
      </c>
      <c r="BC33" s="229">
        <f t="shared" si="40"/>
        <v>0</v>
      </c>
      <c r="BD33" s="230">
        <f>'Labor Rates'!AR33</f>
        <v>0</v>
      </c>
      <c r="BE33" s="231">
        <f t="shared" si="41"/>
        <v>0</v>
      </c>
      <c r="BF33" s="232">
        <f t="shared" si="42"/>
        <v>0</v>
      </c>
      <c r="BG33" s="683"/>
      <c r="BH33" s="414">
        <f t="shared" si="24"/>
        <v>0</v>
      </c>
      <c r="BI33" s="415">
        <f t="shared" si="25"/>
        <v>0</v>
      </c>
      <c r="BJ33" s="416">
        <f t="shared" si="26"/>
        <v>0</v>
      </c>
    </row>
    <row r="34" spans="2:62" x14ac:dyDescent="0.2">
      <c r="B34" s="8"/>
      <c r="C34" s="329" t="str">
        <f>IF(ISBLANK('Labor Rates'!C34),"",'Labor Rates'!C34)</f>
        <v/>
      </c>
      <c r="D34" s="413" t="str">
        <f>IF(ISBLANK('Labor Rates'!D34),"",'Labor Rates'!D34)</f>
        <v/>
      </c>
      <c r="E34" s="350"/>
      <c r="F34" s="251"/>
      <c r="G34" s="240">
        <f>'Labor Rates'!F34</f>
        <v>0</v>
      </c>
      <c r="H34" s="229">
        <f t="shared" si="43"/>
        <v>0</v>
      </c>
      <c r="I34" s="230">
        <f>'Labor Rates'!H34</f>
        <v>0</v>
      </c>
      <c r="J34" s="229">
        <f t="shared" si="44"/>
        <v>0</v>
      </c>
      <c r="K34" s="230">
        <f>'Labor Rates'!I34</f>
        <v>0</v>
      </c>
      <c r="L34" s="231">
        <f t="shared" si="45"/>
        <v>0</v>
      </c>
      <c r="M34" s="232">
        <f t="shared" si="46"/>
        <v>0</v>
      </c>
      <c r="N34" s="354"/>
      <c r="O34" s="251"/>
      <c r="P34" s="240">
        <f>'Labor Rates'!M34</f>
        <v>0</v>
      </c>
      <c r="Q34" s="229">
        <f t="shared" si="47"/>
        <v>0</v>
      </c>
      <c r="R34" s="230">
        <f>'Labor Rates'!O34</f>
        <v>0</v>
      </c>
      <c r="S34" s="229">
        <f t="shared" si="48"/>
        <v>0</v>
      </c>
      <c r="T34" s="230">
        <f>'Labor Rates'!P34</f>
        <v>0</v>
      </c>
      <c r="U34" s="231">
        <f t="shared" si="49"/>
        <v>0</v>
      </c>
      <c r="V34" s="232">
        <f t="shared" si="50"/>
        <v>0</v>
      </c>
      <c r="W34" s="359"/>
      <c r="X34" s="251"/>
      <c r="Y34" s="240">
        <f>'Labor Rates'!T34</f>
        <v>0</v>
      </c>
      <c r="Z34" s="229">
        <f t="shared" si="27"/>
        <v>0</v>
      </c>
      <c r="AA34" s="230">
        <f>'Labor Rates'!V34</f>
        <v>0</v>
      </c>
      <c r="AB34" s="229">
        <f t="shared" si="28"/>
        <v>0</v>
      </c>
      <c r="AC34" s="230">
        <f>'Labor Rates'!W34</f>
        <v>0</v>
      </c>
      <c r="AD34" s="231">
        <f t="shared" si="29"/>
        <v>0</v>
      </c>
      <c r="AE34" s="232">
        <f t="shared" si="30"/>
        <v>0</v>
      </c>
      <c r="AF34" s="365"/>
      <c r="AG34" s="251"/>
      <c r="AH34" s="63">
        <f>'Labor Rates'!AA34</f>
        <v>0</v>
      </c>
      <c r="AI34" s="72">
        <f t="shared" si="31"/>
        <v>0</v>
      </c>
      <c r="AJ34" s="70">
        <f>'Labor Rates'!AC34</f>
        <v>0</v>
      </c>
      <c r="AK34" s="72">
        <f t="shared" si="32"/>
        <v>0</v>
      </c>
      <c r="AL34" s="70">
        <f>'Labor Rates'!AD34</f>
        <v>0</v>
      </c>
      <c r="AM34" s="75">
        <f t="shared" si="33"/>
        <v>0</v>
      </c>
      <c r="AN34" s="91">
        <f t="shared" si="34"/>
        <v>0</v>
      </c>
      <c r="AO34" s="318"/>
      <c r="AP34" s="251"/>
      <c r="AQ34" s="240">
        <f>'Labor Rates'!AH34</f>
        <v>0</v>
      </c>
      <c r="AR34" s="229">
        <f t="shared" si="35"/>
        <v>0</v>
      </c>
      <c r="AS34" s="230">
        <f>'Labor Rates'!AJ34</f>
        <v>0</v>
      </c>
      <c r="AT34" s="229">
        <f t="shared" si="36"/>
        <v>0</v>
      </c>
      <c r="AU34" s="230">
        <f>'Labor Rates'!AK34</f>
        <v>0</v>
      </c>
      <c r="AV34" s="231">
        <f t="shared" si="37"/>
        <v>0</v>
      </c>
      <c r="AW34" s="232">
        <f t="shared" si="38"/>
        <v>0</v>
      </c>
      <c r="AX34" s="372"/>
      <c r="AY34" s="251"/>
      <c r="AZ34" s="240">
        <f>'Labor Rates'!AO34</f>
        <v>0</v>
      </c>
      <c r="BA34" s="229">
        <f t="shared" si="39"/>
        <v>0</v>
      </c>
      <c r="BB34" s="230">
        <f>'Labor Rates'!AQ34</f>
        <v>0</v>
      </c>
      <c r="BC34" s="229">
        <f t="shared" si="40"/>
        <v>0</v>
      </c>
      <c r="BD34" s="230">
        <f>'Labor Rates'!AR34</f>
        <v>0</v>
      </c>
      <c r="BE34" s="231">
        <f t="shared" si="41"/>
        <v>0</v>
      </c>
      <c r="BF34" s="232">
        <f t="shared" si="42"/>
        <v>0</v>
      </c>
      <c r="BG34" s="683"/>
      <c r="BH34" s="414">
        <f t="shared" si="24"/>
        <v>0</v>
      </c>
      <c r="BI34" s="415">
        <f t="shared" si="25"/>
        <v>0</v>
      </c>
      <c r="BJ34" s="416">
        <f t="shared" si="26"/>
        <v>0</v>
      </c>
    </row>
    <row r="35" spans="2:62" x14ac:dyDescent="0.2">
      <c r="B35" s="8"/>
      <c r="C35" s="329" t="str">
        <f>IF(ISBLANK('Labor Rates'!C35),"",'Labor Rates'!C35)</f>
        <v/>
      </c>
      <c r="D35" s="413" t="str">
        <f>IF(ISBLANK('Labor Rates'!D35),"",'Labor Rates'!D35)</f>
        <v/>
      </c>
      <c r="E35" s="350"/>
      <c r="F35" s="251"/>
      <c r="G35" s="240">
        <f>'Labor Rates'!F35</f>
        <v>0</v>
      </c>
      <c r="H35" s="229">
        <f t="shared" si="43"/>
        <v>0</v>
      </c>
      <c r="I35" s="230">
        <f>'Labor Rates'!H35</f>
        <v>0</v>
      </c>
      <c r="J35" s="229">
        <f t="shared" si="44"/>
        <v>0</v>
      </c>
      <c r="K35" s="230">
        <f>'Labor Rates'!I35</f>
        <v>0</v>
      </c>
      <c r="L35" s="231">
        <f t="shared" si="45"/>
        <v>0</v>
      </c>
      <c r="M35" s="232">
        <f t="shared" si="46"/>
        <v>0</v>
      </c>
      <c r="N35" s="354"/>
      <c r="O35" s="251"/>
      <c r="P35" s="240">
        <f>'Labor Rates'!M35</f>
        <v>0</v>
      </c>
      <c r="Q35" s="229">
        <f t="shared" si="47"/>
        <v>0</v>
      </c>
      <c r="R35" s="230">
        <f>'Labor Rates'!O35</f>
        <v>0</v>
      </c>
      <c r="S35" s="229">
        <f t="shared" si="48"/>
        <v>0</v>
      </c>
      <c r="T35" s="230">
        <f>'Labor Rates'!P35</f>
        <v>0</v>
      </c>
      <c r="U35" s="231">
        <f t="shared" si="49"/>
        <v>0</v>
      </c>
      <c r="V35" s="232">
        <f t="shared" si="50"/>
        <v>0</v>
      </c>
      <c r="W35" s="359"/>
      <c r="X35" s="251"/>
      <c r="Y35" s="240">
        <f>'Labor Rates'!T35</f>
        <v>0</v>
      </c>
      <c r="Z35" s="229">
        <f t="shared" si="27"/>
        <v>0</v>
      </c>
      <c r="AA35" s="230">
        <f>'Labor Rates'!V35</f>
        <v>0</v>
      </c>
      <c r="AB35" s="229">
        <f t="shared" si="28"/>
        <v>0</v>
      </c>
      <c r="AC35" s="230">
        <f>'Labor Rates'!W35</f>
        <v>0</v>
      </c>
      <c r="AD35" s="231">
        <f t="shared" si="29"/>
        <v>0</v>
      </c>
      <c r="AE35" s="232">
        <f t="shared" si="30"/>
        <v>0</v>
      </c>
      <c r="AF35" s="365"/>
      <c r="AG35" s="251"/>
      <c r="AH35" s="63">
        <f>'Labor Rates'!AA35</f>
        <v>0</v>
      </c>
      <c r="AI35" s="72">
        <f t="shared" si="31"/>
        <v>0</v>
      </c>
      <c r="AJ35" s="70">
        <f>'Labor Rates'!AC35</f>
        <v>0</v>
      </c>
      <c r="AK35" s="72">
        <f t="shared" si="32"/>
        <v>0</v>
      </c>
      <c r="AL35" s="70">
        <f>'Labor Rates'!AD35</f>
        <v>0</v>
      </c>
      <c r="AM35" s="75">
        <f t="shared" si="33"/>
        <v>0</v>
      </c>
      <c r="AN35" s="91">
        <f t="shared" si="34"/>
        <v>0</v>
      </c>
      <c r="AO35" s="318"/>
      <c r="AP35" s="251"/>
      <c r="AQ35" s="240">
        <f>'Labor Rates'!AH35</f>
        <v>0</v>
      </c>
      <c r="AR35" s="229">
        <f t="shared" si="35"/>
        <v>0</v>
      </c>
      <c r="AS35" s="230">
        <f>'Labor Rates'!AJ35</f>
        <v>0</v>
      </c>
      <c r="AT35" s="229">
        <f t="shared" si="36"/>
        <v>0</v>
      </c>
      <c r="AU35" s="230">
        <f>'Labor Rates'!AK35</f>
        <v>0</v>
      </c>
      <c r="AV35" s="231">
        <f t="shared" si="37"/>
        <v>0</v>
      </c>
      <c r="AW35" s="232">
        <f t="shared" si="38"/>
        <v>0</v>
      </c>
      <c r="AX35" s="372"/>
      <c r="AY35" s="251"/>
      <c r="AZ35" s="240">
        <f>'Labor Rates'!AO35</f>
        <v>0</v>
      </c>
      <c r="BA35" s="229">
        <f t="shared" si="39"/>
        <v>0</v>
      </c>
      <c r="BB35" s="230">
        <f>'Labor Rates'!AQ35</f>
        <v>0</v>
      </c>
      <c r="BC35" s="229">
        <f t="shared" si="40"/>
        <v>0</v>
      </c>
      <c r="BD35" s="230">
        <f>'Labor Rates'!AR35</f>
        <v>0</v>
      </c>
      <c r="BE35" s="231">
        <f t="shared" si="41"/>
        <v>0</v>
      </c>
      <c r="BF35" s="232">
        <f t="shared" si="42"/>
        <v>0</v>
      </c>
      <c r="BG35" s="683"/>
      <c r="BH35" s="414">
        <f t="shared" si="24"/>
        <v>0</v>
      </c>
      <c r="BI35" s="415">
        <f t="shared" si="25"/>
        <v>0</v>
      </c>
      <c r="BJ35" s="416">
        <f t="shared" si="26"/>
        <v>0</v>
      </c>
    </row>
    <row r="36" spans="2:62" x14ac:dyDescent="0.2">
      <c r="B36" s="8"/>
      <c r="C36" s="329" t="str">
        <f>IF(ISBLANK('Labor Rates'!C36),"",'Labor Rates'!C36)</f>
        <v/>
      </c>
      <c r="D36" s="413" t="str">
        <f>IF(ISBLANK('Labor Rates'!D36),"",'Labor Rates'!D36)</f>
        <v/>
      </c>
      <c r="E36" s="350"/>
      <c r="F36" s="251"/>
      <c r="G36" s="240">
        <f>'Labor Rates'!F36</f>
        <v>0</v>
      </c>
      <c r="H36" s="229">
        <f t="shared" si="43"/>
        <v>0</v>
      </c>
      <c r="I36" s="230">
        <f>'Labor Rates'!H36</f>
        <v>0</v>
      </c>
      <c r="J36" s="229">
        <f t="shared" si="44"/>
        <v>0</v>
      </c>
      <c r="K36" s="230">
        <f>'Labor Rates'!I36</f>
        <v>0</v>
      </c>
      <c r="L36" s="231">
        <f t="shared" si="45"/>
        <v>0</v>
      </c>
      <c r="M36" s="232">
        <f t="shared" si="46"/>
        <v>0</v>
      </c>
      <c r="N36" s="354"/>
      <c r="O36" s="251"/>
      <c r="P36" s="240">
        <f>'Labor Rates'!M36</f>
        <v>0</v>
      </c>
      <c r="Q36" s="229">
        <f t="shared" si="47"/>
        <v>0</v>
      </c>
      <c r="R36" s="230">
        <f>'Labor Rates'!O36</f>
        <v>0</v>
      </c>
      <c r="S36" s="229">
        <f t="shared" si="48"/>
        <v>0</v>
      </c>
      <c r="T36" s="230">
        <f>'Labor Rates'!P36</f>
        <v>0</v>
      </c>
      <c r="U36" s="231">
        <f t="shared" si="49"/>
        <v>0</v>
      </c>
      <c r="V36" s="232">
        <f t="shared" si="50"/>
        <v>0</v>
      </c>
      <c r="W36" s="359"/>
      <c r="X36" s="251"/>
      <c r="Y36" s="240">
        <f>'Labor Rates'!T36</f>
        <v>0</v>
      </c>
      <c r="Z36" s="229">
        <f t="shared" si="27"/>
        <v>0</v>
      </c>
      <c r="AA36" s="230">
        <f>'Labor Rates'!V36</f>
        <v>0</v>
      </c>
      <c r="AB36" s="229">
        <f t="shared" si="28"/>
        <v>0</v>
      </c>
      <c r="AC36" s="230">
        <f>'Labor Rates'!W36</f>
        <v>0</v>
      </c>
      <c r="AD36" s="231">
        <f t="shared" si="29"/>
        <v>0</v>
      </c>
      <c r="AE36" s="232">
        <f t="shared" si="30"/>
        <v>0</v>
      </c>
      <c r="AF36" s="365"/>
      <c r="AG36" s="251"/>
      <c r="AH36" s="63">
        <f>'Labor Rates'!AA36</f>
        <v>0</v>
      </c>
      <c r="AI36" s="72">
        <f t="shared" si="31"/>
        <v>0</v>
      </c>
      <c r="AJ36" s="70">
        <f>'Labor Rates'!AC36</f>
        <v>0</v>
      </c>
      <c r="AK36" s="72">
        <f t="shared" si="32"/>
        <v>0</v>
      </c>
      <c r="AL36" s="70">
        <f>'Labor Rates'!AD36</f>
        <v>0</v>
      </c>
      <c r="AM36" s="75">
        <f t="shared" si="33"/>
        <v>0</v>
      </c>
      <c r="AN36" s="91">
        <f t="shared" si="34"/>
        <v>0</v>
      </c>
      <c r="AO36" s="318"/>
      <c r="AP36" s="251"/>
      <c r="AQ36" s="240">
        <f>'Labor Rates'!AH36</f>
        <v>0</v>
      </c>
      <c r="AR36" s="229">
        <f t="shared" si="35"/>
        <v>0</v>
      </c>
      <c r="AS36" s="230">
        <f>'Labor Rates'!AJ36</f>
        <v>0</v>
      </c>
      <c r="AT36" s="229">
        <f t="shared" si="36"/>
        <v>0</v>
      </c>
      <c r="AU36" s="230">
        <f>'Labor Rates'!AK36</f>
        <v>0</v>
      </c>
      <c r="AV36" s="231">
        <f t="shared" si="37"/>
        <v>0</v>
      </c>
      <c r="AW36" s="232">
        <f t="shared" si="38"/>
        <v>0</v>
      </c>
      <c r="AX36" s="372"/>
      <c r="AY36" s="251"/>
      <c r="AZ36" s="240">
        <f>'Labor Rates'!AO36</f>
        <v>0</v>
      </c>
      <c r="BA36" s="229">
        <f t="shared" si="39"/>
        <v>0</v>
      </c>
      <c r="BB36" s="230">
        <f>'Labor Rates'!AQ36</f>
        <v>0</v>
      </c>
      <c r="BC36" s="229">
        <f t="shared" si="40"/>
        <v>0</v>
      </c>
      <c r="BD36" s="230">
        <f>'Labor Rates'!AR36</f>
        <v>0</v>
      </c>
      <c r="BE36" s="231">
        <f t="shared" si="41"/>
        <v>0</v>
      </c>
      <c r="BF36" s="232">
        <f t="shared" si="42"/>
        <v>0</v>
      </c>
      <c r="BG36" s="683"/>
      <c r="BH36" s="414">
        <f t="shared" si="24"/>
        <v>0</v>
      </c>
      <c r="BI36" s="415">
        <f t="shared" si="25"/>
        <v>0</v>
      </c>
      <c r="BJ36" s="416">
        <f t="shared" si="26"/>
        <v>0</v>
      </c>
    </row>
    <row r="37" spans="2:62" x14ac:dyDescent="0.2">
      <c r="B37" s="8"/>
      <c r="C37" s="329" t="str">
        <f>IF(ISBLANK('Labor Rates'!C37),"",'Labor Rates'!C37)</f>
        <v/>
      </c>
      <c r="D37" s="413" t="str">
        <f>IF(ISBLANK('Labor Rates'!D37),"",'Labor Rates'!D37)</f>
        <v/>
      </c>
      <c r="E37" s="350"/>
      <c r="F37" s="251"/>
      <c r="G37" s="240">
        <f>'Labor Rates'!F37</f>
        <v>0</v>
      </c>
      <c r="H37" s="229">
        <f t="shared" si="43"/>
        <v>0</v>
      </c>
      <c r="I37" s="230">
        <f>'Labor Rates'!H37</f>
        <v>0</v>
      </c>
      <c r="J37" s="229">
        <f t="shared" si="44"/>
        <v>0</v>
      </c>
      <c r="K37" s="230">
        <f>'Labor Rates'!I37</f>
        <v>0</v>
      </c>
      <c r="L37" s="231">
        <f t="shared" si="45"/>
        <v>0</v>
      </c>
      <c r="M37" s="232">
        <f t="shared" si="46"/>
        <v>0</v>
      </c>
      <c r="N37" s="354"/>
      <c r="O37" s="251"/>
      <c r="P37" s="240">
        <f>'Labor Rates'!M37</f>
        <v>0</v>
      </c>
      <c r="Q37" s="229">
        <f t="shared" si="47"/>
        <v>0</v>
      </c>
      <c r="R37" s="230">
        <f>'Labor Rates'!O37</f>
        <v>0</v>
      </c>
      <c r="S37" s="229">
        <f t="shared" si="48"/>
        <v>0</v>
      </c>
      <c r="T37" s="230">
        <f>'Labor Rates'!P37</f>
        <v>0</v>
      </c>
      <c r="U37" s="231">
        <f t="shared" si="49"/>
        <v>0</v>
      </c>
      <c r="V37" s="232">
        <f t="shared" si="50"/>
        <v>0</v>
      </c>
      <c r="W37" s="359"/>
      <c r="X37" s="251"/>
      <c r="Y37" s="240">
        <f>'Labor Rates'!T37</f>
        <v>0</v>
      </c>
      <c r="Z37" s="229">
        <f t="shared" si="27"/>
        <v>0</v>
      </c>
      <c r="AA37" s="230">
        <f>'Labor Rates'!V37</f>
        <v>0</v>
      </c>
      <c r="AB37" s="229">
        <f t="shared" si="28"/>
        <v>0</v>
      </c>
      <c r="AC37" s="230">
        <f>'Labor Rates'!W37</f>
        <v>0</v>
      </c>
      <c r="AD37" s="231">
        <f t="shared" si="29"/>
        <v>0</v>
      </c>
      <c r="AE37" s="232">
        <f t="shared" si="30"/>
        <v>0</v>
      </c>
      <c r="AF37" s="365"/>
      <c r="AG37" s="251"/>
      <c r="AH37" s="63">
        <f>'Labor Rates'!AA37</f>
        <v>0</v>
      </c>
      <c r="AI37" s="72">
        <f t="shared" si="31"/>
        <v>0</v>
      </c>
      <c r="AJ37" s="70">
        <f>'Labor Rates'!AC37</f>
        <v>0</v>
      </c>
      <c r="AK37" s="72">
        <f t="shared" si="32"/>
        <v>0</v>
      </c>
      <c r="AL37" s="70">
        <f>'Labor Rates'!AD37</f>
        <v>0</v>
      </c>
      <c r="AM37" s="75">
        <f t="shared" si="33"/>
        <v>0</v>
      </c>
      <c r="AN37" s="91">
        <f t="shared" si="34"/>
        <v>0</v>
      </c>
      <c r="AO37" s="318"/>
      <c r="AP37" s="251"/>
      <c r="AQ37" s="240">
        <f>'Labor Rates'!AH37</f>
        <v>0</v>
      </c>
      <c r="AR37" s="229">
        <f t="shared" si="35"/>
        <v>0</v>
      </c>
      <c r="AS37" s="230">
        <f>'Labor Rates'!AJ37</f>
        <v>0</v>
      </c>
      <c r="AT37" s="229">
        <f t="shared" si="36"/>
        <v>0</v>
      </c>
      <c r="AU37" s="230">
        <f>'Labor Rates'!AK37</f>
        <v>0</v>
      </c>
      <c r="AV37" s="231">
        <f t="shared" si="37"/>
        <v>0</v>
      </c>
      <c r="AW37" s="232">
        <f t="shared" si="38"/>
        <v>0</v>
      </c>
      <c r="AX37" s="372"/>
      <c r="AY37" s="251"/>
      <c r="AZ37" s="240">
        <f>'Labor Rates'!AO37</f>
        <v>0</v>
      </c>
      <c r="BA37" s="229">
        <f t="shared" si="39"/>
        <v>0</v>
      </c>
      <c r="BB37" s="230">
        <f>'Labor Rates'!AQ37</f>
        <v>0</v>
      </c>
      <c r="BC37" s="229">
        <f t="shared" si="40"/>
        <v>0</v>
      </c>
      <c r="BD37" s="230">
        <f>'Labor Rates'!AR37</f>
        <v>0</v>
      </c>
      <c r="BE37" s="231">
        <f t="shared" si="41"/>
        <v>0</v>
      </c>
      <c r="BF37" s="232">
        <f t="shared" si="42"/>
        <v>0</v>
      </c>
      <c r="BG37" s="683"/>
      <c r="BH37" s="414">
        <f t="shared" si="24"/>
        <v>0</v>
      </c>
      <c r="BI37" s="415">
        <f t="shared" si="25"/>
        <v>0</v>
      </c>
      <c r="BJ37" s="416">
        <f t="shared" si="26"/>
        <v>0</v>
      </c>
    </row>
    <row r="38" spans="2:62" x14ac:dyDescent="0.2">
      <c r="B38" s="8"/>
      <c r="C38" s="329" t="str">
        <f>IF(ISBLANK('Labor Rates'!C38),"",'Labor Rates'!C38)</f>
        <v/>
      </c>
      <c r="D38" s="413" t="str">
        <f>IF(ISBLANK('Labor Rates'!D38),"",'Labor Rates'!D38)</f>
        <v/>
      </c>
      <c r="E38" s="350"/>
      <c r="F38" s="251"/>
      <c r="G38" s="240">
        <f>'Labor Rates'!F38</f>
        <v>0</v>
      </c>
      <c r="H38" s="229">
        <f t="shared" si="43"/>
        <v>0</v>
      </c>
      <c r="I38" s="230">
        <f>'Labor Rates'!H38</f>
        <v>0</v>
      </c>
      <c r="J38" s="229">
        <f t="shared" si="44"/>
        <v>0</v>
      </c>
      <c r="K38" s="230">
        <f>'Labor Rates'!I38</f>
        <v>0</v>
      </c>
      <c r="L38" s="231">
        <f t="shared" si="45"/>
        <v>0</v>
      </c>
      <c r="M38" s="232">
        <f t="shared" si="46"/>
        <v>0</v>
      </c>
      <c r="N38" s="354"/>
      <c r="O38" s="251"/>
      <c r="P38" s="240">
        <f>'Labor Rates'!M38</f>
        <v>0</v>
      </c>
      <c r="Q38" s="229">
        <f t="shared" si="47"/>
        <v>0</v>
      </c>
      <c r="R38" s="230">
        <f>'Labor Rates'!O38</f>
        <v>0</v>
      </c>
      <c r="S38" s="229">
        <f t="shared" si="48"/>
        <v>0</v>
      </c>
      <c r="T38" s="230">
        <f>'Labor Rates'!P38</f>
        <v>0</v>
      </c>
      <c r="U38" s="231">
        <f t="shared" si="49"/>
        <v>0</v>
      </c>
      <c r="V38" s="232">
        <f t="shared" si="50"/>
        <v>0</v>
      </c>
      <c r="W38" s="359"/>
      <c r="X38" s="251"/>
      <c r="Y38" s="240">
        <f>'Labor Rates'!T38</f>
        <v>0</v>
      </c>
      <c r="Z38" s="229">
        <f t="shared" si="27"/>
        <v>0</v>
      </c>
      <c r="AA38" s="230">
        <f>'Labor Rates'!V38</f>
        <v>0</v>
      </c>
      <c r="AB38" s="229">
        <f t="shared" si="28"/>
        <v>0</v>
      </c>
      <c r="AC38" s="230">
        <f>'Labor Rates'!W38</f>
        <v>0</v>
      </c>
      <c r="AD38" s="231">
        <f t="shared" si="29"/>
        <v>0</v>
      </c>
      <c r="AE38" s="232">
        <f t="shared" si="30"/>
        <v>0</v>
      </c>
      <c r="AF38" s="365"/>
      <c r="AG38" s="251"/>
      <c r="AH38" s="63">
        <f>'Labor Rates'!AA38</f>
        <v>0</v>
      </c>
      <c r="AI38" s="72">
        <f t="shared" si="31"/>
        <v>0</v>
      </c>
      <c r="AJ38" s="70">
        <f>'Labor Rates'!AC38</f>
        <v>0</v>
      </c>
      <c r="AK38" s="72">
        <f t="shared" si="32"/>
        <v>0</v>
      </c>
      <c r="AL38" s="70">
        <f>'Labor Rates'!AD38</f>
        <v>0</v>
      </c>
      <c r="AM38" s="75">
        <f t="shared" si="33"/>
        <v>0</v>
      </c>
      <c r="AN38" s="91">
        <f t="shared" si="34"/>
        <v>0</v>
      </c>
      <c r="AO38" s="318"/>
      <c r="AP38" s="251"/>
      <c r="AQ38" s="240">
        <f>'Labor Rates'!AH38</f>
        <v>0</v>
      </c>
      <c r="AR38" s="229">
        <f t="shared" si="35"/>
        <v>0</v>
      </c>
      <c r="AS38" s="230">
        <f>'Labor Rates'!AJ38</f>
        <v>0</v>
      </c>
      <c r="AT38" s="229">
        <f t="shared" si="36"/>
        <v>0</v>
      </c>
      <c r="AU38" s="230">
        <f>'Labor Rates'!AK38</f>
        <v>0</v>
      </c>
      <c r="AV38" s="231">
        <f t="shared" si="37"/>
        <v>0</v>
      </c>
      <c r="AW38" s="232">
        <f t="shared" si="38"/>
        <v>0</v>
      </c>
      <c r="AX38" s="372"/>
      <c r="AY38" s="251"/>
      <c r="AZ38" s="240">
        <f>'Labor Rates'!AO38</f>
        <v>0</v>
      </c>
      <c r="BA38" s="229">
        <f t="shared" si="39"/>
        <v>0</v>
      </c>
      <c r="BB38" s="230">
        <f>'Labor Rates'!AQ38</f>
        <v>0</v>
      </c>
      <c r="BC38" s="229">
        <f t="shared" si="40"/>
        <v>0</v>
      </c>
      <c r="BD38" s="230">
        <f>'Labor Rates'!AR38</f>
        <v>0</v>
      </c>
      <c r="BE38" s="231">
        <f t="shared" si="41"/>
        <v>0</v>
      </c>
      <c r="BF38" s="232">
        <f t="shared" si="42"/>
        <v>0</v>
      </c>
      <c r="BG38" s="683"/>
      <c r="BH38" s="414">
        <f t="shared" si="24"/>
        <v>0</v>
      </c>
      <c r="BI38" s="415">
        <f t="shared" si="25"/>
        <v>0</v>
      </c>
      <c r="BJ38" s="416">
        <f t="shared" si="26"/>
        <v>0</v>
      </c>
    </row>
    <row r="39" spans="2:62" x14ac:dyDescent="0.2">
      <c r="B39" s="8"/>
      <c r="C39" s="329" t="str">
        <f>IF(ISBLANK('Labor Rates'!C39),"",'Labor Rates'!C39)</f>
        <v/>
      </c>
      <c r="D39" s="413" t="str">
        <f>IF(ISBLANK('Labor Rates'!D39),"",'Labor Rates'!D39)</f>
        <v/>
      </c>
      <c r="E39" s="350"/>
      <c r="F39" s="251"/>
      <c r="G39" s="240">
        <f>'Labor Rates'!F39</f>
        <v>0</v>
      </c>
      <c r="H39" s="229">
        <f t="shared" si="43"/>
        <v>0</v>
      </c>
      <c r="I39" s="230">
        <f>'Labor Rates'!H39</f>
        <v>0</v>
      </c>
      <c r="J39" s="229">
        <f t="shared" si="44"/>
        <v>0</v>
      </c>
      <c r="K39" s="230">
        <f>'Labor Rates'!I39</f>
        <v>0</v>
      </c>
      <c r="L39" s="231">
        <f t="shared" si="45"/>
        <v>0</v>
      </c>
      <c r="M39" s="232">
        <f t="shared" si="46"/>
        <v>0</v>
      </c>
      <c r="N39" s="354"/>
      <c r="O39" s="251"/>
      <c r="P39" s="240">
        <f>'Labor Rates'!M39</f>
        <v>0</v>
      </c>
      <c r="Q39" s="229">
        <f t="shared" si="47"/>
        <v>0</v>
      </c>
      <c r="R39" s="230">
        <f>'Labor Rates'!O39</f>
        <v>0</v>
      </c>
      <c r="S39" s="229">
        <f t="shared" si="48"/>
        <v>0</v>
      </c>
      <c r="T39" s="230">
        <f>'Labor Rates'!P39</f>
        <v>0</v>
      </c>
      <c r="U39" s="231">
        <f t="shared" si="49"/>
        <v>0</v>
      </c>
      <c r="V39" s="232">
        <f t="shared" si="50"/>
        <v>0</v>
      </c>
      <c r="W39" s="359"/>
      <c r="X39" s="251"/>
      <c r="Y39" s="240">
        <f>'Labor Rates'!T39</f>
        <v>0</v>
      </c>
      <c r="Z39" s="229">
        <f t="shared" si="27"/>
        <v>0</v>
      </c>
      <c r="AA39" s="230">
        <f>'Labor Rates'!V39</f>
        <v>0</v>
      </c>
      <c r="AB39" s="229">
        <f t="shared" si="28"/>
        <v>0</v>
      </c>
      <c r="AC39" s="230">
        <f>'Labor Rates'!W39</f>
        <v>0</v>
      </c>
      <c r="AD39" s="231">
        <f t="shared" si="29"/>
        <v>0</v>
      </c>
      <c r="AE39" s="232">
        <f t="shared" si="30"/>
        <v>0</v>
      </c>
      <c r="AF39" s="365"/>
      <c r="AG39" s="251"/>
      <c r="AH39" s="63">
        <f>'Labor Rates'!AA39</f>
        <v>0</v>
      </c>
      <c r="AI39" s="72">
        <f t="shared" si="31"/>
        <v>0</v>
      </c>
      <c r="AJ39" s="70">
        <f>'Labor Rates'!AC39</f>
        <v>0</v>
      </c>
      <c r="AK39" s="72">
        <f t="shared" si="32"/>
        <v>0</v>
      </c>
      <c r="AL39" s="70">
        <f>'Labor Rates'!AD39</f>
        <v>0</v>
      </c>
      <c r="AM39" s="75">
        <f t="shared" si="33"/>
        <v>0</v>
      </c>
      <c r="AN39" s="91">
        <f t="shared" si="34"/>
        <v>0</v>
      </c>
      <c r="AO39" s="318"/>
      <c r="AP39" s="251"/>
      <c r="AQ39" s="240">
        <f>'Labor Rates'!AH39</f>
        <v>0</v>
      </c>
      <c r="AR39" s="229">
        <f t="shared" si="35"/>
        <v>0</v>
      </c>
      <c r="AS39" s="230">
        <f>'Labor Rates'!AJ39</f>
        <v>0</v>
      </c>
      <c r="AT39" s="229">
        <f t="shared" si="36"/>
        <v>0</v>
      </c>
      <c r="AU39" s="230">
        <f>'Labor Rates'!AK39</f>
        <v>0</v>
      </c>
      <c r="AV39" s="231">
        <f t="shared" si="37"/>
        <v>0</v>
      </c>
      <c r="AW39" s="232">
        <f t="shared" si="38"/>
        <v>0</v>
      </c>
      <c r="AX39" s="372"/>
      <c r="AY39" s="251"/>
      <c r="AZ39" s="240">
        <f>'Labor Rates'!AO39</f>
        <v>0</v>
      </c>
      <c r="BA39" s="229">
        <f t="shared" si="39"/>
        <v>0</v>
      </c>
      <c r="BB39" s="230">
        <f>'Labor Rates'!AQ39</f>
        <v>0</v>
      </c>
      <c r="BC39" s="229">
        <f t="shared" si="40"/>
        <v>0</v>
      </c>
      <c r="BD39" s="230">
        <f>'Labor Rates'!AR39</f>
        <v>0</v>
      </c>
      <c r="BE39" s="231">
        <f t="shared" si="41"/>
        <v>0</v>
      </c>
      <c r="BF39" s="232">
        <f t="shared" si="42"/>
        <v>0</v>
      </c>
      <c r="BG39" s="683"/>
      <c r="BH39" s="414">
        <f t="shared" si="24"/>
        <v>0</v>
      </c>
      <c r="BI39" s="415">
        <f t="shared" si="25"/>
        <v>0</v>
      </c>
      <c r="BJ39" s="416">
        <f t="shared" si="26"/>
        <v>0</v>
      </c>
    </row>
    <row r="40" spans="2:62" x14ac:dyDescent="0.2">
      <c r="B40" s="8"/>
      <c r="C40" s="329" t="str">
        <f>IF(ISBLANK('Labor Rates'!C40),"",'Labor Rates'!C40)</f>
        <v/>
      </c>
      <c r="D40" s="413" t="str">
        <f>IF(ISBLANK('Labor Rates'!D40),"",'Labor Rates'!D40)</f>
        <v/>
      </c>
      <c r="E40" s="350"/>
      <c r="F40" s="251"/>
      <c r="G40" s="240">
        <f>'Labor Rates'!F40</f>
        <v>0</v>
      </c>
      <c r="H40" s="229">
        <f t="shared" si="43"/>
        <v>0</v>
      </c>
      <c r="I40" s="230">
        <f>'Labor Rates'!H40</f>
        <v>0</v>
      </c>
      <c r="J40" s="229">
        <f t="shared" si="44"/>
        <v>0</v>
      </c>
      <c r="K40" s="230">
        <f>'Labor Rates'!I40</f>
        <v>0</v>
      </c>
      <c r="L40" s="231">
        <f t="shared" si="45"/>
        <v>0</v>
      </c>
      <c r="M40" s="232">
        <f t="shared" si="46"/>
        <v>0</v>
      </c>
      <c r="N40" s="354"/>
      <c r="O40" s="251"/>
      <c r="P40" s="240">
        <f>'Labor Rates'!M40</f>
        <v>0</v>
      </c>
      <c r="Q40" s="229">
        <f t="shared" si="47"/>
        <v>0</v>
      </c>
      <c r="R40" s="230">
        <f>'Labor Rates'!O40</f>
        <v>0</v>
      </c>
      <c r="S40" s="229">
        <f t="shared" si="48"/>
        <v>0</v>
      </c>
      <c r="T40" s="230">
        <f>'Labor Rates'!P40</f>
        <v>0</v>
      </c>
      <c r="U40" s="231">
        <f t="shared" si="49"/>
        <v>0</v>
      </c>
      <c r="V40" s="232">
        <f t="shared" si="50"/>
        <v>0</v>
      </c>
      <c r="W40" s="359"/>
      <c r="X40" s="251"/>
      <c r="Y40" s="240">
        <f>'Labor Rates'!T40</f>
        <v>0</v>
      </c>
      <c r="Z40" s="229">
        <f t="shared" si="27"/>
        <v>0</v>
      </c>
      <c r="AA40" s="230">
        <f>'Labor Rates'!V40</f>
        <v>0</v>
      </c>
      <c r="AB40" s="229">
        <f t="shared" si="28"/>
        <v>0</v>
      </c>
      <c r="AC40" s="230">
        <f>'Labor Rates'!W40</f>
        <v>0</v>
      </c>
      <c r="AD40" s="231">
        <f t="shared" si="29"/>
        <v>0</v>
      </c>
      <c r="AE40" s="232">
        <f t="shared" si="30"/>
        <v>0</v>
      </c>
      <c r="AF40" s="365"/>
      <c r="AG40" s="251"/>
      <c r="AH40" s="63">
        <f>'Labor Rates'!AA40</f>
        <v>0</v>
      </c>
      <c r="AI40" s="72">
        <f t="shared" si="31"/>
        <v>0</v>
      </c>
      <c r="AJ40" s="70">
        <f>'Labor Rates'!AC40</f>
        <v>0</v>
      </c>
      <c r="AK40" s="72">
        <f t="shared" si="32"/>
        <v>0</v>
      </c>
      <c r="AL40" s="70">
        <f>'Labor Rates'!AD40</f>
        <v>0</v>
      </c>
      <c r="AM40" s="75">
        <f t="shared" si="33"/>
        <v>0</v>
      </c>
      <c r="AN40" s="91">
        <f t="shared" si="34"/>
        <v>0</v>
      </c>
      <c r="AO40" s="318"/>
      <c r="AP40" s="251"/>
      <c r="AQ40" s="240">
        <f>'Labor Rates'!AH40</f>
        <v>0</v>
      </c>
      <c r="AR40" s="229">
        <f t="shared" si="35"/>
        <v>0</v>
      </c>
      <c r="AS40" s="230">
        <f>'Labor Rates'!AJ40</f>
        <v>0</v>
      </c>
      <c r="AT40" s="229">
        <f t="shared" si="36"/>
        <v>0</v>
      </c>
      <c r="AU40" s="230">
        <f>'Labor Rates'!AK40</f>
        <v>0</v>
      </c>
      <c r="AV40" s="231">
        <f t="shared" si="37"/>
        <v>0</v>
      </c>
      <c r="AW40" s="232">
        <f t="shared" si="38"/>
        <v>0</v>
      </c>
      <c r="AX40" s="372"/>
      <c r="AY40" s="251"/>
      <c r="AZ40" s="240">
        <f>'Labor Rates'!AO40</f>
        <v>0</v>
      </c>
      <c r="BA40" s="229">
        <f t="shared" si="39"/>
        <v>0</v>
      </c>
      <c r="BB40" s="230">
        <f>'Labor Rates'!AQ40</f>
        <v>0</v>
      </c>
      <c r="BC40" s="229">
        <f t="shared" si="40"/>
        <v>0</v>
      </c>
      <c r="BD40" s="230">
        <f>'Labor Rates'!AR40</f>
        <v>0</v>
      </c>
      <c r="BE40" s="231">
        <f t="shared" si="41"/>
        <v>0</v>
      </c>
      <c r="BF40" s="232">
        <f t="shared" si="42"/>
        <v>0</v>
      </c>
      <c r="BG40" s="683"/>
      <c r="BH40" s="414">
        <f t="shared" si="24"/>
        <v>0</v>
      </c>
      <c r="BI40" s="415">
        <f t="shared" si="25"/>
        <v>0</v>
      </c>
      <c r="BJ40" s="416">
        <f t="shared" si="26"/>
        <v>0</v>
      </c>
    </row>
    <row r="41" spans="2:62" x14ac:dyDescent="0.2">
      <c r="B41" s="8"/>
      <c r="C41" s="329" t="str">
        <f>IF(ISBLANK('Labor Rates'!C41),"",'Labor Rates'!C41)</f>
        <v/>
      </c>
      <c r="D41" s="413" t="str">
        <f>IF(ISBLANK('Labor Rates'!D41),"",'Labor Rates'!D41)</f>
        <v/>
      </c>
      <c r="E41" s="350"/>
      <c r="F41" s="251"/>
      <c r="G41" s="240">
        <f>'Labor Rates'!F41</f>
        <v>0</v>
      </c>
      <c r="H41" s="229">
        <f t="shared" si="43"/>
        <v>0</v>
      </c>
      <c r="I41" s="230">
        <f>'Labor Rates'!H41</f>
        <v>0</v>
      </c>
      <c r="J41" s="229">
        <f t="shared" si="44"/>
        <v>0</v>
      </c>
      <c r="K41" s="230">
        <f>'Labor Rates'!I41</f>
        <v>0</v>
      </c>
      <c r="L41" s="231">
        <f t="shared" si="45"/>
        <v>0</v>
      </c>
      <c r="M41" s="232">
        <f t="shared" si="46"/>
        <v>0</v>
      </c>
      <c r="N41" s="354"/>
      <c r="O41" s="251"/>
      <c r="P41" s="240">
        <f>'Labor Rates'!M41</f>
        <v>0</v>
      </c>
      <c r="Q41" s="229">
        <f t="shared" si="47"/>
        <v>0</v>
      </c>
      <c r="R41" s="230">
        <f>'Labor Rates'!O41</f>
        <v>0</v>
      </c>
      <c r="S41" s="229">
        <f t="shared" si="48"/>
        <v>0</v>
      </c>
      <c r="T41" s="230">
        <f>'Labor Rates'!P41</f>
        <v>0</v>
      </c>
      <c r="U41" s="231">
        <f t="shared" si="49"/>
        <v>0</v>
      </c>
      <c r="V41" s="232">
        <f t="shared" si="50"/>
        <v>0</v>
      </c>
      <c r="W41" s="359"/>
      <c r="X41" s="251"/>
      <c r="Y41" s="240">
        <f>'Labor Rates'!T41</f>
        <v>0</v>
      </c>
      <c r="Z41" s="229">
        <f t="shared" si="27"/>
        <v>0</v>
      </c>
      <c r="AA41" s="230">
        <f>'Labor Rates'!V41</f>
        <v>0</v>
      </c>
      <c r="AB41" s="229">
        <f t="shared" si="28"/>
        <v>0</v>
      </c>
      <c r="AC41" s="230">
        <f>'Labor Rates'!W41</f>
        <v>0</v>
      </c>
      <c r="AD41" s="231">
        <f t="shared" si="29"/>
        <v>0</v>
      </c>
      <c r="AE41" s="232">
        <f t="shared" si="30"/>
        <v>0</v>
      </c>
      <c r="AF41" s="365"/>
      <c r="AG41" s="251"/>
      <c r="AH41" s="63">
        <f>'Labor Rates'!AA41</f>
        <v>0</v>
      </c>
      <c r="AI41" s="72">
        <f t="shared" si="31"/>
        <v>0</v>
      </c>
      <c r="AJ41" s="70">
        <f>'Labor Rates'!AC41</f>
        <v>0</v>
      </c>
      <c r="AK41" s="72">
        <f t="shared" si="32"/>
        <v>0</v>
      </c>
      <c r="AL41" s="70">
        <f>'Labor Rates'!AD41</f>
        <v>0</v>
      </c>
      <c r="AM41" s="75">
        <f t="shared" si="33"/>
        <v>0</v>
      </c>
      <c r="AN41" s="91">
        <f t="shared" si="34"/>
        <v>0</v>
      </c>
      <c r="AO41" s="318"/>
      <c r="AP41" s="251"/>
      <c r="AQ41" s="240">
        <f>'Labor Rates'!AH41</f>
        <v>0</v>
      </c>
      <c r="AR41" s="229">
        <f t="shared" si="35"/>
        <v>0</v>
      </c>
      <c r="AS41" s="230">
        <f>'Labor Rates'!AJ41</f>
        <v>0</v>
      </c>
      <c r="AT41" s="229">
        <f t="shared" si="36"/>
        <v>0</v>
      </c>
      <c r="AU41" s="230">
        <f>'Labor Rates'!AK41</f>
        <v>0</v>
      </c>
      <c r="AV41" s="231">
        <f t="shared" si="37"/>
        <v>0</v>
      </c>
      <c r="AW41" s="232">
        <f t="shared" si="38"/>
        <v>0</v>
      </c>
      <c r="AX41" s="372"/>
      <c r="AY41" s="251"/>
      <c r="AZ41" s="240">
        <f>'Labor Rates'!AO41</f>
        <v>0</v>
      </c>
      <c r="BA41" s="229">
        <f t="shared" si="39"/>
        <v>0</v>
      </c>
      <c r="BB41" s="230">
        <f>'Labor Rates'!AQ41</f>
        <v>0</v>
      </c>
      <c r="BC41" s="229">
        <f t="shared" si="40"/>
        <v>0</v>
      </c>
      <c r="BD41" s="230">
        <f>'Labor Rates'!AR41</f>
        <v>0</v>
      </c>
      <c r="BE41" s="231">
        <f t="shared" si="41"/>
        <v>0</v>
      </c>
      <c r="BF41" s="232">
        <f t="shared" si="42"/>
        <v>0</v>
      </c>
      <c r="BG41" s="683"/>
      <c r="BH41" s="414">
        <f t="shared" si="24"/>
        <v>0</v>
      </c>
      <c r="BI41" s="415">
        <f t="shared" si="25"/>
        <v>0</v>
      </c>
      <c r="BJ41" s="416">
        <f t="shared" si="26"/>
        <v>0</v>
      </c>
    </row>
    <row r="42" spans="2:62" x14ac:dyDescent="0.2">
      <c r="B42" s="8"/>
      <c r="C42" s="329" t="str">
        <f>IF(ISBLANK('Labor Rates'!C42),"",'Labor Rates'!C42)</f>
        <v/>
      </c>
      <c r="D42" s="413" t="str">
        <f>IF(ISBLANK('Labor Rates'!D42),"",'Labor Rates'!D42)</f>
        <v/>
      </c>
      <c r="E42" s="350"/>
      <c r="F42" s="251"/>
      <c r="G42" s="240">
        <f>'Labor Rates'!F42</f>
        <v>0</v>
      </c>
      <c r="H42" s="229">
        <f t="shared" si="43"/>
        <v>0</v>
      </c>
      <c r="I42" s="230">
        <f>'Labor Rates'!H42</f>
        <v>0</v>
      </c>
      <c r="J42" s="229">
        <f t="shared" si="44"/>
        <v>0</v>
      </c>
      <c r="K42" s="230">
        <f>'Labor Rates'!I42</f>
        <v>0</v>
      </c>
      <c r="L42" s="231">
        <f t="shared" si="45"/>
        <v>0</v>
      </c>
      <c r="M42" s="232">
        <f t="shared" si="46"/>
        <v>0</v>
      </c>
      <c r="N42" s="354"/>
      <c r="O42" s="251"/>
      <c r="P42" s="240">
        <f>'Labor Rates'!M42</f>
        <v>0</v>
      </c>
      <c r="Q42" s="229">
        <f t="shared" si="47"/>
        <v>0</v>
      </c>
      <c r="R42" s="230">
        <f>'Labor Rates'!O42</f>
        <v>0</v>
      </c>
      <c r="S42" s="229">
        <f t="shared" si="48"/>
        <v>0</v>
      </c>
      <c r="T42" s="230">
        <f>'Labor Rates'!P42</f>
        <v>0</v>
      </c>
      <c r="U42" s="231">
        <f t="shared" si="49"/>
        <v>0</v>
      </c>
      <c r="V42" s="232">
        <f t="shared" si="50"/>
        <v>0</v>
      </c>
      <c r="W42" s="359"/>
      <c r="X42" s="251"/>
      <c r="Y42" s="240">
        <f>'Labor Rates'!T42</f>
        <v>0</v>
      </c>
      <c r="Z42" s="229">
        <f t="shared" si="27"/>
        <v>0</v>
      </c>
      <c r="AA42" s="230">
        <f>'Labor Rates'!V42</f>
        <v>0</v>
      </c>
      <c r="AB42" s="229">
        <f t="shared" si="28"/>
        <v>0</v>
      </c>
      <c r="AC42" s="230">
        <f>'Labor Rates'!W42</f>
        <v>0</v>
      </c>
      <c r="AD42" s="231">
        <f t="shared" si="29"/>
        <v>0</v>
      </c>
      <c r="AE42" s="232">
        <f t="shared" si="30"/>
        <v>0</v>
      </c>
      <c r="AF42" s="365"/>
      <c r="AG42" s="251"/>
      <c r="AH42" s="63">
        <f>'Labor Rates'!AA42</f>
        <v>0</v>
      </c>
      <c r="AI42" s="72">
        <f t="shared" si="31"/>
        <v>0</v>
      </c>
      <c r="AJ42" s="70">
        <f>'Labor Rates'!AC42</f>
        <v>0</v>
      </c>
      <c r="AK42" s="72">
        <f t="shared" si="32"/>
        <v>0</v>
      </c>
      <c r="AL42" s="70">
        <f>'Labor Rates'!AD42</f>
        <v>0</v>
      </c>
      <c r="AM42" s="75">
        <f t="shared" si="33"/>
        <v>0</v>
      </c>
      <c r="AN42" s="91">
        <f t="shared" si="34"/>
        <v>0</v>
      </c>
      <c r="AO42" s="318"/>
      <c r="AP42" s="251"/>
      <c r="AQ42" s="240">
        <f>'Labor Rates'!AH42</f>
        <v>0</v>
      </c>
      <c r="AR42" s="229">
        <f t="shared" si="35"/>
        <v>0</v>
      </c>
      <c r="AS42" s="230">
        <f>'Labor Rates'!AJ42</f>
        <v>0</v>
      </c>
      <c r="AT42" s="229">
        <f t="shared" si="36"/>
        <v>0</v>
      </c>
      <c r="AU42" s="230">
        <f>'Labor Rates'!AK42</f>
        <v>0</v>
      </c>
      <c r="AV42" s="231">
        <f t="shared" si="37"/>
        <v>0</v>
      </c>
      <c r="AW42" s="232">
        <f t="shared" si="38"/>
        <v>0</v>
      </c>
      <c r="AX42" s="372"/>
      <c r="AY42" s="251"/>
      <c r="AZ42" s="240">
        <f>'Labor Rates'!AO42</f>
        <v>0</v>
      </c>
      <c r="BA42" s="229">
        <f t="shared" si="39"/>
        <v>0</v>
      </c>
      <c r="BB42" s="230">
        <f>'Labor Rates'!AQ42</f>
        <v>0</v>
      </c>
      <c r="BC42" s="229">
        <f t="shared" si="40"/>
        <v>0</v>
      </c>
      <c r="BD42" s="230">
        <f>'Labor Rates'!AR42</f>
        <v>0</v>
      </c>
      <c r="BE42" s="231">
        <f t="shared" si="41"/>
        <v>0</v>
      </c>
      <c r="BF42" s="232">
        <f t="shared" si="42"/>
        <v>0</v>
      </c>
      <c r="BG42" s="683"/>
      <c r="BH42" s="414">
        <f t="shared" si="24"/>
        <v>0</v>
      </c>
      <c r="BI42" s="415">
        <f t="shared" si="25"/>
        <v>0</v>
      </c>
      <c r="BJ42" s="416">
        <f t="shared" si="26"/>
        <v>0</v>
      </c>
    </row>
    <row r="43" spans="2:62" x14ac:dyDescent="0.2">
      <c r="B43" s="8"/>
      <c r="C43" s="329" t="str">
        <f>IF(ISBLANK('Labor Rates'!C43),"",'Labor Rates'!C43)</f>
        <v/>
      </c>
      <c r="D43" s="413" t="str">
        <f>IF(ISBLANK('Labor Rates'!D43),"",'Labor Rates'!D43)</f>
        <v/>
      </c>
      <c r="E43" s="350"/>
      <c r="F43" s="251"/>
      <c r="G43" s="240">
        <f>'Labor Rates'!F43</f>
        <v>0</v>
      </c>
      <c r="H43" s="229">
        <f t="shared" si="43"/>
        <v>0</v>
      </c>
      <c r="I43" s="230">
        <f>'Labor Rates'!H43</f>
        <v>0</v>
      </c>
      <c r="J43" s="229">
        <f t="shared" si="44"/>
        <v>0</v>
      </c>
      <c r="K43" s="230">
        <f>'Labor Rates'!I43</f>
        <v>0</v>
      </c>
      <c r="L43" s="231">
        <f t="shared" si="45"/>
        <v>0</v>
      </c>
      <c r="M43" s="232">
        <f t="shared" si="46"/>
        <v>0</v>
      </c>
      <c r="N43" s="354"/>
      <c r="O43" s="251"/>
      <c r="P43" s="240">
        <f>'Labor Rates'!M43</f>
        <v>0</v>
      </c>
      <c r="Q43" s="229">
        <f t="shared" si="47"/>
        <v>0</v>
      </c>
      <c r="R43" s="230">
        <f>'Labor Rates'!O43</f>
        <v>0</v>
      </c>
      <c r="S43" s="229">
        <f t="shared" si="48"/>
        <v>0</v>
      </c>
      <c r="T43" s="230">
        <f>'Labor Rates'!P43</f>
        <v>0</v>
      </c>
      <c r="U43" s="231">
        <f t="shared" si="49"/>
        <v>0</v>
      </c>
      <c r="V43" s="232">
        <f t="shared" si="50"/>
        <v>0</v>
      </c>
      <c r="W43" s="359"/>
      <c r="X43" s="251"/>
      <c r="Y43" s="240">
        <f>'Labor Rates'!T43</f>
        <v>0</v>
      </c>
      <c r="Z43" s="229">
        <f t="shared" si="27"/>
        <v>0</v>
      </c>
      <c r="AA43" s="230">
        <f>'Labor Rates'!V43</f>
        <v>0</v>
      </c>
      <c r="AB43" s="229">
        <f t="shared" si="28"/>
        <v>0</v>
      </c>
      <c r="AC43" s="230">
        <f>'Labor Rates'!W43</f>
        <v>0</v>
      </c>
      <c r="AD43" s="231">
        <f t="shared" si="29"/>
        <v>0</v>
      </c>
      <c r="AE43" s="232">
        <f t="shared" si="30"/>
        <v>0</v>
      </c>
      <c r="AF43" s="365"/>
      <c r="AG43" s="251"/>
      <c r="AH43" s="63">
        <f>'Labor Rates'!AA43</f>
        <v>0</v>
      </c>
      <c r="AI43" s="72">
        <f t="shared" si="31"/>
        <v>0</v>
      </c>
      <c r="AJ43" s="70">
        <f>'Labor Rates'!AC43</f>
        <v>0</v>
      </c>
      <c r="AK43" s="72">
        <f t="shared" si="32"/>
        <v>0</v>
      </c>
      <c r="AL43" s="70">
        <f>'Labor Rates'!AD43</f>
        <v>0</v>
      </c>
      <c r="AM43" s="75">
        <f t="shared" si="33"/>
        <v>0</v>
      </c>
      <c r="AN43" s="91">
        <f t="shared" si="34"/>
        <v>0</v>
      </c>
      <c r="AO43" s="318"/>
      <c r="AP43" s="251"/>
      <c r="AQ43" s="240">
        <f>'Labor Rates'!AH43</f>
        <v>0</v>
      </c>
      <c r="AR43" s="229">
        <f t="shared" si="35"/>
        <v>0</v>
      </c>
      <c r="AS43" s="230">
        <f>'Labor Rates'!AJ43</f>
        <v>0</v>
      </c>
      <c r="AT43" s="229">
        <f t="shared" si="36"/>
        <v>0</v>
      </c>
      <c r="AU43" s="230">
        <f>'Labor Rates'!AK43</f>
        <v>0</v>
      </c>
      <c r="AV43" s="231">
        <f t="shared" si="37"/>
        <v>0</v>
      </c>
      <c r="AW43" s="232">
        <f t="shared" si="38"/>
        <v>0</v>
      </c>
      <c r="AX43" s="372"/>
      <c r="AY43" s="251"/>
      <c r="AZ43" s="240">
        <f>'Labor Rates'!AO43</f>
        <v>0</v>
      </c>
      <c r="BA43" s="229">
        <f t="shared" si="39"/>
        <v>0</v>
      </c>
      <c r="BB43" s="230">
        <f>'Labor Rates'!AQ43</f>
        <v>0</v>
      </c>
      <c r="BC43" s="229">
        <f t="shared" si="40"/>
        <v>0</v>
      </c>
      <c r="BD43" s="230">
        <f>'Labor Rates'!AR43</f>
        <v>0</v>
      </c>
      <c r="BE43" s="231">
        <f t="shared" si="41"/>
        <v>0</v>
      </c>
      <c r="BF43" s="232">
        <f t="shared" si="42"/>
        <v>0</v>
      </c>
      <c r="BG43" s="683"/>
      <c r="BH43" s="414">
        <f t="shared" si="24"/>
        <v>0</v>
      </c>
      <c r="BI43" s="415">
        <f t="shared" si="25"/>
        <v>0</v>
      </c>
      <c r="BJ43" s="416">
        <f t="shared" si="26"/>
        <v>0</v>
      </c>
    </row>
    <row r="44" spans="2:62" x14ac:dyDescent="0.2">
      <c r="B44" s="8"/>
      <c r="C44" s="329" t="str">
        <f>IF(ISBLANK('Labor Rates'!C44),"",'Labor Rates'!C44)</f>
        <v/>
      </c>
      <c r="D44" s="413" t="str">
        <f>IF(ISBLANK('Labor Rates'!D44),"",'Labor Rates'!D44)</f>
        <v/>
      </c>
      <c r="E44" s="350"/>
      <c r="F44" s="251"/>
      <c r="G44" s="240">
        <f>'Labor Rates'!F44</f>
        <v>0</v>
      </c>
      <c r="H44" s="229">
        <f t="shared" si="43"/>
        <v>0</v>
      </c>
      <c r="I44" s="230">
        <f>'Labor Rates'!H44</f>
        <v>0</v>
      </c>
      <c r="J44" s="229">
        <f t="shared" si="44"/>
        <v>0</v>
      </c>
      <c r="K44" s="230">
        <f>'Labor Rates'!I44</f>
        <v>0</v>
      </c>
      <c r="L44" s="231">
        <f t="shared" si="45"/>
        <v>0</v>
      </c>
      <c r="M44" s="232">
        <f t="shared" si="46"/>
        <v>0</v>
      </c>
      <c r="N44" s="354"/>
      <c r="O44" s="251"/>
      <c r="P44" s="240">
        <f>'Labor Rates'!M44</f>
        <v>0</v>
      </c>
      <c r="Q44" s="229">
        <f t="shared" si="47"/>
        <v>0</v>
      </c>
      <c r="R44" s="230">
        <f>'Labor Rates'!O44</f>
        <v>0</v>
      </c>
      <c r="S44" s="229">
        <f t="shared" si="48"/>
        <v>0</v>
      </c>
      <c r="T44" s="230">
        <f>'Labor Rates'!P44</f>
        <v>0</v>
      </c>
      <c r="U44" s="231">
        <f t="shared" si="49"/>
        <v>0</v>
      </c>
      <c r="V44" s="232">
        <f t="shared" si="50"/>
        <v>0</v>
      </c>
      <c r="W44" s="359"/>
      <c r="X44" s="251"/>
      <c r="Y44" s="240">
        <f>'Labor Rates'!T44</f>
        <v>0</v>
      </c>
      <c r="Z44" s="229">
        <f t="shared" si="27"/>
        <v>0</v>
      </c>
      <c r="AA44" s="230">
        <f>'Labor Rates'!V44</f>
        <v>0</v>
      </c>
      <c r="AB44" s="229">
        <f t="shared" si="28"/>
        <v>0</v>
      </c>
      <c r="AC44" s="230">
        <f>'Labor Rates'!W44</f>
        <v>0</v>
      </c>
      <c r="AD44" s="231">
        <f t="shared" si="29"/>
        <v>0</v>
      </c>
      <c r="AE44" s="232">
        <f t="shared" si="30"/>
        <v>0</v>
      </c>
      <c r="AF44" s="365"/>
      <c r="AG44" s="251"/>
      <c r="AH44" s="63">
        <f>'Labor Rates'!AA44</f>
        <v>0</v>
      </c>
      <c r="AI44" s="72">
        <f t="shared" si="31"/>
        <v>0</v>
      </c>
      <c r="AJ44" s="70">
        <f>'Labor Rates'!AC44</f>
        <v>0</v>
      </c>
      <c r="AK44" s="72">
        <f t="shared" si="32"/>
        <v>0</v>
      </c>
      <c r="AL44" s="70">
        <f>'Labor Rates'!AD44</f>
        <v>0</v>
      </c>
      <c r="AM44" s="75">
        <f t="shared" si="33"/>
        <v>0</v>
      </c>
      <c r="AN44" s="91">
        <f t="shared" si="34"/>
        <v>0</v>
      </c>
      <c r="AO44" s="318"/>
      <c r="AP44" s="251"/>
      <c r="AQ44" s="240">
        <f>'Labor Rates'!AH44</f>
        <v>0</v>
      </c>
      <c r="AR44" s="229">
        <f t="shared" si="35"/>
        <v>0</v>
      </c>
      <c r="AS44" s="230">
        <f>'Labor Rates'!AJ44</f>
        <v>0</v>
      </c>
      <c r="AT44" s="229">
        <f t="shared" si="36"/>
        <v>0</v>
      </c>
      <c r="AU44" s="230">
        <f>'Labor Rates'!AK44</f>
        <v>0</v>
      </c>
      <c r="AV44" s="231">
        <f t="shared" si="37"/>
        <v>0</v>
      </c>
      <c r="AW44" s="232">
        <f t="shared" si="38"/>
        <v>0</v>
      </c>
      <c r="AX44" s="372"/>
      <c r="AY44" s="251"/>
      <c r="AZ44" s="240">
        <f>'Labor Rates'!AO44</f>
        <v>0</v>
      </c>
      <c r="BA44" s="229">
        <f t="shared" si="39"/>
        <v>0</v>
      </c>
      <c r="BB44" s="230">
        <f>'Labor Rates'!AQ44</f>
        <v>0</v>
      </c>
      <c r="BC44" s="229">
        <f t="shared" si="40"/>
        <v>0</v>
      </c>
      <c r="BD44" s="230">
        <f>'Labor Rates'!AR44</f>
        <v>0</v>
      </c>
      <c r="BE44" s="231">
        <f t="shared" si="41"/>
        <v>0</v>
      </c>
      <c r="BF44" s="232">
        <f t="shared" si="42"/>
        <v>0</v>
      </c>
      <c r="BG44" s="683"/>
      <c r="BH44" s="414">
        <f t="shared" si="24"/>
        <v>0</v>
      </c>
      <c r="BI44" s="415">
        <f t="shared" si="25"/>
        <v>0</v>
      </c>
      <c r="BJ44" s="416">
        <f t="shared" si="26"/>
        <v>0</v>
      </c>
    </row>
    <row r="45" spans="2:62" x14ac:dyDescent="0.2">
      <c r="B45" s="8"/>
      <c r="C45" s="329" t="str">
        <f>IF(ISBLANK('Labor Rates'!C45),"",'Labor Rates'!C45)</f>
        <v/>
      </c>
      <c r="D45" s="413" t="str">
        <f>IF(ISBLANK('Labor Rates'!D45),"",'Labor Rates'!D45)</f>
        <v/>
      </c>
      <c r="E45" s="350"/>
      <c r="F45" s="251"/>
      <c r="G45" s="240">
        <f>'Labor Rates'!F45</f>
        <v>0</v>
      </c>
      <c r="H45" s="229">
        <f t="shared" si="43"/>
        <v>0</v>
      </c>
      <c r="I45" s="230">
        <f>'Labor Rates'!H45</f>
        <v>0</v>
      </c>
      <c r="J45" s="229">
        <f t="shared" si="44"/>
        <v>0</v>
      </c>
      <c r="K45" s="230">
        <f>'Labor Rates'!I45</f>
        <v>0</v>
      </c>
      <c r="L45" s="231">
        <f t="shared" si="45"/>
        <v>0</v>
      </c>
      <c r="M45" s="232">
        <f t="shared" si="46"/>
        <v>0</v>
      </c>
      <c r="N45" s="354"/>
      <c r="O45" s="251"/>
      <c r="P45" s="240">
        <f>'Labor Rates'!M45</f>
        <v>0</v>
      </c>
      <c r="Q45" s="229">
        <f t="shared" si="47"/>
        <v>0</v>
      </c>
      <c r="R45" s="230">
        <f>'Labor Rates'!O45</f>
        <v>0</v>
      </c>
      <c r="S45" s="229">
        <f t="shared" si="48"/>
        <v>0</v>
      </c>
      <c r="T45" s="230">
        <f>'Labor Rates'!P45</f>
        <v>0</v>
      </c>
      <c r="U45" s="231">
        <f t="shared" si="49"/>
        <v>0</v>
      </c>
      <c r="V45" s="232">
        <f t="shared" si="50"/>
        <v>0</v>
      </c>
      <c r="W45" s="359"/>
      <c r="X45" s="251"/>
      <c r="Y45" s="240">
        <f>'Labor Rates'!T45</f>
        <v>0</v>
      </c>
      <c r="Z45" s="229">
        <f t="shared" si="27"/>
        <v>0</v>
      </c>
      <c r="AA45" s="230">
        <f>'Labor Rates'!V45</f>
        <v>0</v>
      </c>
      <c r="AB45" s="229">
        <f t="shared" si="28"/>
        <v>0</v>
      </c>
      <c r="AC45" s="230">
        <f>'Labor Rates'!W45</f>
        <v>0</v>
      </c>
      <c r="AD45" s="231">
        <f t="shared" si="29"/>
        <v>0</v>
      </c>
      <c r="AE45" s="232">
        <f t="shared" si="30"/>
        <v>0</v>
      </c>
      <c r="AF45" s="365"/>
      <c r="AG45" s="251"/>
      <c r="AH45" s="63">
        <f>'Labor Rates'!AA45</f>
        <v>0</v>
      </c>
      <c r="AI45" s="72">
        <f t="shared" si="31"/>
        <v>0</v>
      </c>
      <c r="AJ45" s="70">
        <f>'Labor Rates'!AC45</f>
        <v>0</v>
      </c>
      <c r="AK45" s="72">
        <f t="shared" si="32"/>
        <v>0</v>
      </c>
      <c r="AL45" s="70">
        <f>'Labor Rates'!AD45</f>
        <v>0</v>
      </c>
      <c r="AM45" s="75">
        <f t="shared" si="33"/>
        <v>0</v>
      </c>
      <c r="AN45" s="91">
        <f t="shared" si="34"/>
        <v>0</v>
      </c>
      <c r="AO45" s="318"/>
      <c r="AP45" s="251"/>
      <c r="AQ45" s="240">
        <f>'Labor Rates'!AH45</f>
        <v>0</v>
      </c>
      <c r="AR45" s="229">
        <f t="shared" si="35"/>
        <v>0</v>
      </c>
      <c r="AS45" s="230">
        <f>'Labor Rates'!AJ45</f>
        <v>0</v>
      </c>
      <c r="AT45" s="229">
        <f t="shared" si="36"/>
        <v>0</v>
      </c>
      <c r="AU45" s="230">
        <f>'Labor Rates'!AK45</f>
        <v>0</v>
      </c>
      <c r="AV45" s="231">
        <f t="shared" si="37"/>
        <v>0</v>
      </c>
      <c r="AW45" s="232">
        <f t="shared" si="38"/>
        <v>0</v>
      </c>
      <c r="AX45" s="372"/>
      <c r="AY45" s="251"/>
      <c r="AZ45" s="240">
        <f>'Labor Rates'!AO45</f>
        <v>0</v>
      </c>
      <c r="BA45" s="229">
        <f t="shared" si="39"/>
        <v>0</v>
      </c>
      <c r="BB45" s="230">
        <f>'Labor Rates'!AQ45</f>
        <v>0</v>
      </c>
      <c r="BC45" s="229">
        <f t="shared" si="40"/>
        <v>0</v>
      </c>
      <c r="BD45" s="230">
        <f>'Labor Rates'!AR45</f>
        <v>0</v>
      </c>
      <c r="BE45" s="231">
        <f t="shared" si="41"/>
        <v>0</v>
      </c>
      <c r="BF45" s="232">
        <f t="shared" si="42"/>
        <v>0</v>
      </c>
      <c r="BG45" s="683"/>
      <c r="BH45" s="414">
        <f t="shared" si="24"/>
        <v>0</v>
      </c>
      <c r="BI45" s="415">
        <f t="shared" si="25"/>
        <v>0</v>
      </c>
      <c r="BJ45" s="416">
        <f t="shared" si="26"/>
        <v>0</v>
      </c>
    </row>
    <row r="46" spans="2:62" x14ac:dyDescent="0.2">
      <c r="B46" s="8"/>
      <c r="C46" s="329" t="str">
        <f>IF(ISBLANK('Labor Rates'!C46),"",'Labor Rates'!C46)</f>
        <v/>
      </c>
      <c r="D46" s="413" t="str">
        <f>IF(ISBLANK('Labor Rates'!D46),"",'Labor Rates'!D46)</f>
        <v/>
      </c>
      <c r="E46" s="350"/>
      <c r="F46" s="251"/>
      <c r="G46" s="240">
        <f>'Labor Rates'!F46</f>
        <v>0</v>
      </c>
      <c r="H46" s="229">
        <f t="shared" si="43"/>
        <v>0</v>
      </c>
      <c r="I46" s="230">
        <f>'Labor Rates'!H46</f>
        <v>0</v>
      </c>
      <c r="J46" s="229">
        <f t="shared" si="44"/>
        <v>0</v>
      </c>
      <c r="K46" s="230">
        <f>'Labor Rates'!I46</f>
        <v>0</v>
      </c>
      <c r="L46" s="231">
        <f t="shared" si="45"/>
        <v>0</v>
      </c>
      <c r="M46" s="232">
        <f t="shared" si="46"/>
        <v>0</v>
      </c>
      <c r="N46" s="354"/>
      <c r="O46" s="251"/>
      <c r="P46" s="240">
        <f>'Labor Rates'!M46</f>
        <v>0</v>
      </c>
      <c r="Q46" s="229">
        <f t="shared" si="47"/>
        <v>0</v>
      </c>
      <c r="R46" s="230">
        <f>'Labor Rates'!O46</f>
        <v>0</v>
      </c>
      <c r="S46" s="229">
        <f t="shared" si="48"/>
        <v>0</v>
      </c>
      <c r="T46" s="230">
        <f>'Labor Rates'!P46</f>
        <v>0</v>
      </c>
      <c r="U46" s="231">
        <f t="shared" si="49"/>
        <v>0</v>
      </c>
      <c r="V46" s="232">
        <f t="shared" si="50"/>
        <v>0</v>
      </c>
      <c r="W46" s="359"/>
      <c r="X46" s="251"/>
      <c r="Y46" s="240">
        <f>'Labor Rates'!T46</f>
        <v>0</v>
      </c>
      <c r="Z46" s="229">
        <f t="shared" si="27"/>
        <v>0</v>
      </c>
      <c r="AA46" s="230">
        <f>'Labor Rates'!V46</f>
        <v>0</v>
      </c>
      <c r="AB46" s="229">
        <f t="shared" si="28"/>
        <v>0</v>
      </c>
      <c r="AC46" s="230">
        <f>'Labor Rates'!W46</f>
        <v>0</v>
      </c>
      <c r="AD46" s="231">
        <f t="shared" si="29"/>
        <v>0</v>
      </c>
      <c r="AE46" s="232">
        <f t="shared" si="30"/>
        <v>0</v>
      </c>
      <c r="AF46" s="365"/>
      <c r="AG46" s="251"/>
      <c r="AH46" s="63">
        <f>'Labor Rates'!AA46</f>
        <v>0</v>
      </c>
      <c r="AI46" s="72">
        <f t="shared" si="31"/>
        <v>0</v>
      </c>
      <c r="AJ46" s="70">
        <f>'Labor Rates'!AC46</f>
        <v>0</v>
      </c>
      <c r="AK46" s="72">
        <f t="shared" si="32"/>
        <v>0</v>
      </c>
      <c r="AL46" s="70">
        <f>'Labor Rates'!AD46</f>
        <v>0</v>
      </c>
      <c r="AM46" s="75">
        <f t="shared" si="33"/>
        <v>0</v>
      </c>
      <c r="AN46" s="91">
        <f t="shared" si="34"/>
        <v>0</v>
      </c>
      <c r="AO46" s="318"/>
      <c r="AP46" s="251"/>
      <c r="AQ46" s="240">
        <f>'Labor Rates'!AH46</f>
        <v>0</v>
      </c>
      <c r="AR46" s="229">
        <f t="shared" si="35"/>
        <v>0</v>
      </c>
      <c r="AS46" s="230">
        <f>'Labor Rates'!AJ46</f>
        <v>0</v>
      </c>
      <c r="AT46" s="229">
        <f t="shared" si="36"/>
        <v>0</v>
      </c>
      <c r="AU46" s="230">
        <f>'Labor Rates'!AK46</f>
        <v>0</v>
      </c>
      <c r="AV46" s="231">
        <f t="shared" si="37"/>
        <v>0</v>
      </c>
      <c r="AW46" s="232">
        <f t="shared" si="38"/>
        <v>0</v>
      </c>
      <c r="AX46" s="372"/>
      <c r="AY46" s="251"/>
      <c r="AZ46" s="240">
        <f>'Labor Rates'!AO46</f>
        <v>0</v>
      </c>
      <c r="BA46" s="229">
        <f t="shared" si="39"/>
        <v>0</v>
      </c>
      <c r="BB46" s="230">
        <f>'Labor Rates'!AQ46</f>
        <v>0</v>
      </c>
      <c r="BC46" s="229">
        <f t="shared" si="40"/>
        <v>0</v>
      </c>
      <c r="BD46" s="230">
        <f>'Labor Rates'!AR46</f>
        <v>0</v>
      </c>
      <c r="BE46" s="231">
        <f t="shared" si="41"/>
        <v>0</v>
      </c>
      <c r="BF46" s="232">
        <f t="shared" si="42"/>
        <v>0</v>
      </c>
      <c r="BG46" s="683"/>
      <c r="BH46" s="414">
        <f t="shared" si="24"/>
        <v>0</v>
      </c>
      <c r="BI46" s="415">
        <f t="shared" si="25"/>
        <v>0</v>
      </c>
      <c r="BJ46" s="416">
        <f t="shared" si="26"/>
        <v>0</v>
      </c>
    </row>
    <row r="47" spans="2:62" x14ac:dyDescent="0.2">
      <c r="B47" s="8"/>
      <c r="C47" s="329" t="str">
        <f>IF(ISBLANK('Labor Rates'!C47),"",'Labor Rates'!C47)</f>
        <v/>
      </c>
      <c r="D47" s="413" t="str">
        <f>IF(ISBLANK('Labor Rates'!D47),"",'Labor Rates'!D47)</f>
        <v/>
      </c>
      <c r="E47" s="350"/>
      <c r="F47" s="251"/>
      <c r="G47" s="240">
        <f>'Labor Rates'!F47</f>
        <v>206.666666666667</v>
      </c>
      <c r="H47" s="229">
        <f t="shared" si="43"/>
        <v>0</v>
      </c>
      <c r="I47" s="230">
        <f>'Labor Rates'!H47</f>
        <v>0.6</v>
      </c>
      <c r="J47" s="229">
        <f t="shared" si="44"/>
        <v>0</v>
      </c>
      <c r="K47" s="230">
        <f>'Labor Rates'!I47</f>
        <v>0.2</v>
      </c>
      <c r="L47" s="231">
        <f t="shared" si="45"/>
        <v>0</v>
      </c>
      <c r="M47" s="232">
        <f t="shared" si="46"/>
        <v>0</v>
      </c>
      <c r="N47" s="354"/>
      <c r="O47" s="251"/>
      <c r="P47" s="240">
        <f>'Labor Rates'!M47</f>
        <v>0</v>
      </c>
      <c r="Q47" s="229">
        <f t="shared" si="47"/>
        <v>0</v>
      </c>
      <c r="R47" s="230">
        <f>'Labor Rates'!O47</f>
        <v>0</v>
      </c>
      <c r="S47" s="229">
        <f t="shared" si="48"/>
        <v>0</v>
      </c>
      <c r="T47" s="230">
        <f>'Labor Rates'!P47</f>
        <v>0</v>
      </c>
      <c r="U47" s="231">
        <f t="shared" si="49"/>
        <v>0</v>
      </c>
      <c r="V47" s="232">
        <f t="shared" si="50"/>
        <v>0</v>
      </c>
      <c r="W47" s="359"/>
      <c r="X47" s="251"/>
      <c r="Y47" s="240">
        <f>'Labor Rates'!T47</f>
        <v>0</v>
      </c>
      <c r="Z47" s="229">
        <f t="shared" si="27"/>
        <v>0</v>
      </c>
      <c r="AA47" s="230">
        <f>'Labor Rates'!V47</f>
        <v>0</v>
      </c>
      <c r="AB47" s="229">
        <f t="shared" si="28"/>
        <v>0</v>
      </c>
      <c r="AC47" s="230">
        <f>'Labor Rates'!W47</f>
        <v>0</v>
      </c>
      <c r="AD47" s="231">
        <f t="shared" si="29"/>
        <v>0</v>
      </c>
      <c r="AE47" s="232">
        <f t="shared" si="30"/>
        <v>0</v>
      </c>
      <c r="AF47" s="365"/>
      <c r="AG47" s="251"/>
      <c r="AH47" s="63">
        <f>'Labor Rates'!AA47</f>
        <v>0</v>
      </c>
      <c r="AI47" s="72">
        <f t="shared" si="31"/>
        <v>0</v>
      </c>
      <c r="AJ47" s="70">
        <f>'Labor Rates'!AC47</f>
        <v>0</v>
      </c>
      <c r="AK47" s="72">
        <f t="shared" si="32"/>
        <v>0</v>
      </c>
      <c r="AL47" s="70">
        <f>'Labor Rates'!AD47</f>
        <v>0</v>
      </c>
      <c r="AM47" s="75">
        <f t="shared" si="33"/>
        <v>0</v>
      </c>
      <c r="AN47" s="91">
        <f t="shared" si="34"/>
        <v>0</v>
      </c>
      <c r="AO47" s="318"/>
      <c r="AP47" s="280"/>
      <c r="AQ47" s="240">
        <f>'Labor Rates'!AH47</f>
        <v>0</v>
      </c>
      <c r="AR47" s="229">
        <f t="shared" si="35"/>
        <v>0</v>
      </c>
      <c r="AS47" s="230">
        <f>'Labor Rates'!AJ47</f>
        <v>0</v>
      </c>
      <c r="AT47" s="229">
        <f t="shared" si="36"/>
        <v>0</v>
      </c>
      <c r="AU47" s="230">
        <f>'Labor Rates'!AK47</f>
        <v>0</v>
      </c>
      <c r="AV47" s="231">
        <f t="shared" si="37"/>
        <v>0</v>
      </c>
      <c r="AW47" s="232">
        <f t="shared" si="38"/>
        <v>0</v>
      </c>
      <c r="AX47" s="372"/>
      <c r="AY47" s="276"/>
      <c r="AZ47" s="240">
        <f>'Labor Rates'!AO47</f>
        <v>0</v>
      </c>
      <c r="BA47" s="229">
        <f t="shared" si="39"/>
        <v>0</v>
      </c>
      <c r="BB47" s="230">
        <f>'Labor Rates'!AQ47</f>
        <v>0</v>
      </c>
      <c r="BC47" s="229">
        <f t="shared" si="40"/>
        <v>0</v>
      </c>
      <c r="BD47" s="230">
        <f>'Labor Rates'!AR47</f>
        <v>0</v>
      </c>
      <c r="BE47" s="231">
        <f t="shared" si="41"/>
        <v>0</v>
      </c>
      <c r="BF47" s="232">
        <f t="shared" si="42"/>
        <v>0</v>
      </c>
      <c r="BG47" s="683"/>
      <c r="BH47" s="414">
        <f t="shared" si="24"/>
        <v>0</v>
      </c>
      <c r="BI47" s="415">
        <f t="shared" si="25"/>
        <v>0</v>
      </c>
      <c r="BJ47" s="416">
        <f t="shared" si="26"/>
        <v>0</v>
      </c>
    </row>
    <row r="48" spans="2:62" x14ac:dyDescent="0.2">
      <c r="B48" s="8"/>
      <c r="C48" s="2" t="s">
        <v>240</v>
      </c>
      <c r="D48" s="7"/>
      <c r="E48" s="350"/>
      <c r="F48" s="412">
        <f>SUM(F8:F47)</f>
        <v>0</v>
      </c>
      <c r="G48" s="71"/>
      <c r="H48" s="74">
        <f>SUM(H8:H47)</f>
        <v>0</v>
      </c>
      <c r="I48" s="7"/>
      <c r="J48" s="73"/>
      <c r="K48" s="7"/>
      <c r="L48" s="7"/>
      <c r="M48" s="85"/>
      <c r="N48" s="354"/>
      <c r="O48" s="412">
        <f>SUM(O8:O47)</f>
        <v>0</v>
      </c>
      <c r="P48" s="3"/>
      <c r="Q48" s="74">
        <f>SUM(Q8:Q47)</f>
        <v>0</v>
      </c>
      <c r="R48" s="7"/>
      <c r="S48" s="7"/>
      <c r="T48" s="7"/>
      <c r="U48" s="7"/>
      <c r="V48" s="85"/>
      <c r="W48" s="359"/>
      <c r="X48" s="78">
        <f>SUM(X8:X47)</f>
        <v>0</v>
      </c>
      <c r="Y48" s="3"/>
      <c r="Z48" s="73">
        <f>SUM(Z8:Z47)</f>
        <v>0</v>
      </c>
      <c r="AA48" s="7"/>
      <c r="AB48" s="7"/>
      <c r="AC48" s="7"/>
      <c r="AD48" s="7"/>
      <c r="AE48" s="85"/>
      <c r="AF48" s="365"/>
      <c r="AG48" s="78">
        <f>SUM(AG8:AG47)</f>
        <v>0</v>
      </c>
      <c r="AH48" s="3"/>
      <c r="AI48" s="73">
        <f>SUM(AI8:AI47)</f>
        <v>0</v>
      </c>
      <c r="AJ48" s="7"/>
      <c r="AK48" s="7"/>
      <c r="AL48" s="7"/>
      <c r="AM48" s="7"/>
      <c r="AN48" s="85"/>
      <c r="AO48" s="318"/>
      <c r="AP48" s="78">
        <f>SUM(AP8:AP47)</f>
        <v>0</v>
      </c>
      <c r="AQ48" s="3"/>
      <c r="AR48" s="73">
        <f>SUM(AR8:AR47)</f>
        <v>0</v>
      </c>
      <c r="AS48" s="7"/>
      <c r="AT48" s="7"/>
      <c r="AU48" s="7"/>
      <c r="AV48" s="7"/>
      <c r="AW48" s="85"/>
      <c r="AX48" s="372"/>
      <c r="AY48" s="9">
        <f>SUM(AY8:AY47)</f>
        <v>0</v>
      </c>
      <c r="AZ48" s="3"/>
      <c r="BA48" s="73">
        <f>SUM(BA8:BA47)</f>
        <v>0</v>
      </c>
      <c r="BB48" s="7"/>
      <c r="BC48" s="7"/>
      <c r="BD48" s="7"/>
      <c r="BE48" s="7"/>
      <c r="BF48" s="85"/>
      <c r="BG48" s="683"/>
      <c r="BH48" s="414">
        <f>SUM(BH8:BH47)</f>
        <v>0</v>
      </c>
      <c r="BI48" s="652">
        <f>H48+Q48+Z48+AI48+AR48+BA48</f>
        <v>0</v>
      </c>
      <c r="BJ48" s="415">
        <f>SUM(BJ8:BJ47)</f>
        <v>0</v>
      </c>
    </row>
    <row r="49" spans="2:61" ht="13.5" thickBot="1" x14ac:dyDescent="0.25">
      <c r="B49" s="14"/>
      <c r="C49" s="127" t="s">
        <v>235</v>
      </c>
      <c r="D49" s="6"/>
      <c r="E49" s="350"/>
      <c r="F49" s="80"/>
      <c r="G49" s="5"/>
      <c r="H49" s="64"/>
      <c r="I49" s="64"/>
      <c r="J49" s="74">
        <f>SUM(J8:J47)</f>
        <v>0</v>
      </c>
      <c r="K49" s="64"/>
      <c r="L49" s="64"/>
      <c r="M49" s="232">
        <f>J49</f>
        <v>0</v>
      </c>
      <c r="N49" s="354"/>
      <c r="O49" s="80"/>
      <c r="P49" s="5"/>
      <c r="Q49" s="64"/>
      <c r="R49" s="64"/>
      <c r="S49" s="74">
        <f>SUM(S8:S47)</f>
        <v>0</v>
      </c>
      <c r="T49" s="64"/>
      <c r="U49" s="64"/>
      <c r="V49" s="232">
        <f>S49</f>
        <v>0</v>
      </c>
      <c r="W49" s="359"/>
      <c r="X49" s="80"/>
      <c r="Y49" s="5"/>
      <c r="Z49" s="64"/>
      <c r="AA49" s="64"/>
      <c r="AB49" s="74">
        <f>SUM(AB8:AB47)</f>
        <v>0</v>
      </c>
      <c r="AC49" s="64"/>
      <c r="AD49" s="64"/>
      <c r="AE49" s="232">
        <f>AB49</f>
        <v>0</v>
      </c>
      <c r="AF49" s="365"/>
      <c r="AG49" s="80"/>
      <c r="AH49" s="5"/>
      <c r="AI49" s="64"/>
      <c r="AJ49" s="64"/>
      <c r="AK49" s="74">
        <f>SUM(AK8:AK47)</f>
        <v>0</v>
      </c>
      <c r="AL49" s="64"/>
      <c r="AM49" s="64"/>
      <c r="AN49" s="232">
        <f>AK49</f>
        <v>0</v>
      </c>
      <c r="AO49" s="318"/>
      <c r="AP49" s="80"/>
      <c r="AQ49" s="5"/>
      <c r="AR49" s="64"/>
      <c r="AS49" s="64"/>
      <c r="AT49" s="74">
        <f>SUM(AT8:AT47)</f>
        <v>0</v>
      </c>
      <c r="AU49" s="64"/>
      <c r="AV49" s="64"/>
      <c r="AW49" s="232">
        <f>AT49</f>
        <v>0</v>
      </c>
      <c r="AX49" s="372"/>
      <c r="AY49" s="10"/>
      <c r="AZ49" s="5"/>
      <c r="BA49" s="64"/>
      <c r="BB49" s="64"/>
      <c r="BC49" s="74">
        <f>SUM(BC8:BC47)</f>
        <v>0</v>
      </c>
      <c r="BD49" s="64"/>
      <c r="BE49" s="64"/>
      <c r="BF49" s="232">
        <f>BC49</f>
        <v>0</v>
      </c>
      <c r="BG49" s="683"/>
      <c r="BH49" s="19"/>
      <c r="BI49" s="331">
        <f>M49+V49+AE49+AN49+AW49+BF49</f>
        <v>0</v>
      </c>
    </row>
    <row r="50" spans="2:61" ht="13.5" hidden="1" thickBot="1" x14ac:dyDescent="0.25">
      <c r="B50" s="14"/>
      <c r="C50" s="4" t="str">
        <f>'Base (Ph1)'!C50</f>
        <v>Insert line(s) &amp; title(s) for any other F/B rates</v>
      </c>
      <c r="D50" s="6"/>
      <c r="E50" s="350"/>
      <c r="F50" s="84">
        <f>H48</f>
        <v>0</v>
      </c>
      <c r="G50" s="76">
        <v>0</v>
      </c>
      <c r="H50" s="64"/>
      <c r="I50" s="64"/>
      <c r="J50" s="64"/>
      <c r="K50" s="64"/>
      <c r="L50" s="64"/>
      <c r="M50" s="929">
        <f>F50*G50</f>
        <v>0</v>
      </c>
      <c r="N50" s="354"/>
      <c r="O50" s="84">
        <f>Q48</f>
        <v>0</v>
      </c>
      <c r="P50" s="76"/>
      <c r="Q50" s="64"/>
      <c r="R50" s="64"/>
      <c r="S50" s="64"/>
      <c r="T50" s="64"/>
      <c r="U50" s="64"/>
      <c r="V50" s="929">
        <f>O50*P50</f>
        <v>0</v>
      </c>
      <c r="W50" s="359"/>
      <c r="X50" s="84">
        <f>Z48</f>
        <v>0</v>
      </c>
      <c r="Y50" s="76"/>
      <c r="Z50" s="64"/>
      <c r="AA50" s="64"/>
      <c r="AB50" s="64"/>
      <c r="AC50" s="64"/>
      <c r="AD50" s="64"/>
      <c r="AE50" s="929">
        <f>X50*Y50</f>
        <v>0</v>
      </c>
      <c r="AF50" s="365"/>
      <c r="AG50" s="84">
        <f>AI48</f>
        <v>0</v>
      </c>
      <c r="AH50" s="76"/>
      <c r="AI50" s="64"/>
      <c r="AJ50" s="64"/>
      <c r="AK50" s="64"/>
      <c r="AL50" s="64"/>
      <c r="AM50" s="64"/>
      <c r="AN50" s="929">
        <f>AG50*AH50</f>
        <v>0</v>
      </c>
      <c r="AO50" s="318"/>
      <c r="AP50" s="84">
        <f>AR48</f>
        <v>0</v>
      </c>
      <c r="AQ50" s="76"/>
      <c r="AR50" s="64"/>
      <c r="AS50" s="64"/>
      <c r="AT50" s="64"/>
      <c r="AU50" s="64"/>
      <c r="AV50" s="64"/>
      <c r="AW50" s="929">
        <f>AP50*AQ50</f>
        <v>0</v>
      </c>
      <c r="AX50" s="372"/>
      <c r="AY50" s="84">
        <f>BA48</f>
        <v>0</v>
      </c>
      <c r="AZ50" s="76"/>
      <c r="BA50" s="64"/>
      <c r="BB50" s="64"/>
      <c r="BC50" s="64"/>
      <c r="BD50" s="64"/>
      <c r="BE50" s="64"/>
      <c r="BF50" s="929">
        <f>AY50*AZ50</f>
        <v>0</v>
      </c>
      <c r="BG50" s="683"/>
      <c r="BH50" s="19"/>
      <c r="BI50" s="92">
        <f>M50+V50+AE50+AN50+AW50+BF50</f>
        <v>0</v>
      </c>
    </row>
    <row r="51" spans="2:61" ht="13.5" thickBot="1" x14ac:dyDescent="0.25">
      <c r="B51" s="14"/>
      <c r="C51" s="3" t="s">
        <v>36</v>
      </c>
      <c r="D51" s="7"/>
      <c r="E51" s="350"/>
      <c r="F51" s="81"/>
      <c r="G51" s="3"/>
      <c r="H51" s="7"/>
      <c r="I51" s="7"/>
      <c r="J51" s="7"/>
      <c r="K51" s="7"/>
      <c r="L51" s="7"/>
      <c r="M51" s="936">
        <f>SUM(M49:M50)</f>
        <v>0</v>
      </c>
      <c r="N51" s="354"/>
      <c r="O51" s="81"/>
      <c r="P51" s="3"/>
      <c r="Q51" s="7"/>
      <c r="R51" s="7"/>
      <c r="S51" s="7"/>
      <c r="T51" s="7"/>
      <c r="U51" s="7"/>
      <c r="V51" s="936">
        <f>SUM(V49:V50)</f>
        <v>0</v>
      </c>
      <c r="W51" s="359"/>
      <c r="X51" s="81"/>
      <c r="Y51" s="3"/>
      <c r="Z51" s="7"/>
      <c r="AA51" s="7"/>
      <c r="AB51" s="7"/>
      <c r="AC51" s="7"/>
      <c r="AD51" s="7"/>
      <c r="AE51" s="936">
        <f>SUM(AE49:AE50)</f>
        <v>0</v>
      </c>
      <c r="AF51" s="365"/>
      <c r="AG51" s="81"/>
      <c r="AH51" s="3"/>
      <c r="AI51" s="7"/>
      <c r="AJ51" s="7"/>
      <c r="AK51" s="7"/>
      <c r="AL51" s="7"/>
      <c r="AM51" s="7"/>
      <c r="AN51" s="936">
        <f>SUM(AN49:AN50)</f>
        <v>0</v>
      </c>
      <c r="AO51" s="318"/>
      <c r="AP51" s="81"/>
      <c r="AQ51" s="3"/>
      <c r="AR51" s="7"/>
      <c r="AS51" s="7"/>
      <c r="AT51" s="7"/>
      <c r="AU51" s="7"/>
      <c r="AV51" s="7"/>
      <c r="AW51" s="936">
        <f>SUM(AW49:AW50)</f>
        <v>0</v>
      </c>
      <c r="AX51" s="372"/>
      <c r="AY51" s="11"/>
      <c r="AZ51" s="3"/>
      <c r="BA51" s="7"/>
      <c r="BB51" s="7"/>
      <c r="BC51" s="7"/>
      <c r="BD51" s="7"/>
      <c r="BE51" s="7"/>
      <c r="BF51" s="936">
        <f>SUM(BF49:BF50)</f>
        <v>0</v>
      </c>
      <c r="BG51" s="683"/>
      <c r="BH51" s="20"/>
      <c r="BI51" s="403">
        <f>SUM(F51:BF51)</f>
        <v>0</v>
      </c>
    </row>
    <row r="52" spans="2:61" ht="13.5" thickBot="1" x14ac:dyDescent="0.25">
      <c r="B52" s="14"/>
      <c r="C52" s="127" t="s">
        <v>237</v>
      </c>
      <c r="D52" s="6"/>
      <c r="E52" s="350"/>
      <c r="F52" s="80"/>
      <c r="G52" s="5"/>
      <c r="H52" s="64"/>
      <c r="I52" s="64"/>
      <c r="J52" s="64"/>
      <c r="K52" s="64"/>
      <c r="L52" s="74">
        <f>SUM(L8:L47)</f>
        <v>0</v>
      </c>
      <c r="M52" s="232">
        <f>L52</f>
        <v>0</v>
      </c>
      <c r="N52" s="354"/>
      <c r="O52" s="80"/>
      <c r="P52" s="5"/>
      <c r="Q52" s="64"/>
      <c r="R52" s="64"/>
      <c r="S52" s="64"/>
      <c r="T52" s="64"/>
      <c r="U52" s="74">
        <f>SUM(U8:U47)</f>
        <v>0</v>
      </c>
      <c r="V52" s="232">
        <f>U52</f>
        <v>0</v>
      </c>
      <c r="W52" s="359"/>
      <c r="X52" s="80"/>
      <c r="Y52" s="5"/>
      <c r="Z52" s="64"/>
      <c r="AA52" s="64"/>
      <c r="AB52" s="64"/>
      <c r="AC52" s="64"/>
      <c r="AD52" s="74">
        <f>SUM(AD8:AD47)</f>
        <v>0</v>
      </c>
      <c r="AE52" s="232">
        <f>AD52</f>
        <v>0</v>
      </c>
      <c r="AF52" s="365"/>
      <c r="AG52" s="80"/>
      <c r="AH52" s="5"/>
      <c r="AI52" s="64"/>
      <c r="AJ52" s="64"/>
      <c r="AK52" s="64"/>
      <c r="AL52" s="64"/>
      <c r="AM52" s="74">
        <f>SUM(AM8:AM47)</f>
        <v>0</v>
      </c>
      <c r="AN52" s="232">
        <f>AM52</f>
        <v>0</v>
      </c>
      <c r="AO52" s="318"/>
      <c r="AP52" s="80"/>
      <c r="AQ52" s="5"/>
      <c r="AR52" s="64"/>
      <c r="AS52" s="64"/>
      <c r="AT52" s="64"/>
      <c r="AU52" s="64"/>
      <c r="AV52" s="74">
        <f>SUM(AV8:AV47)</f>
        <v>0</v>
      </c>
      <c r="AW52" s="232">
        <f>AV52</f>
        <v>0</v>
      </c>
      <c r="AX52" s="372"/>
      <c r="AY52" s="10"/>
      <c r="AZ52" s="5"/>
      <c r="BA52" s="64"/>
      <c r="BB52" s="64"/>
      <c r="BC52" s="64"/>
      <c r="BD52" s="64"/>
      <c r="BE52" s="74">
        <f>SUM(BE8:BE47)</f>
        <v>0</v>
      </c>
      <c r="BF52" s="232">
        <f>BE52</f>
        <v>0</v>
      </c>
      <c r="BG52" s="683"/>
      <c r="BH52" s="19"/>
      <c r="BI52" s="331">
        <f>M52+V52+AE52+AN52+AW52+BF52</f>
        <v>0</v>
      </c>
    </row>
    <row r="53" spans="2:61" ht="13.5" hidden="1" thickBot="1" x14ac:dyDescent="0.25">
      <c r="B53" s="14"/>
      <c r="C53" s="4" t="str">
        <f>'Base (Ph1)'!C53</f>
        <v>Insert line(s) &amp; title(s) for any other O/H rates</v>
      </c>
      <c r="D53" s="6"/>
      <c r="E53" s="350"/>
      <c r="F53" s="84">
        <f>H48+M51</f>
        <v>0</v>
      </c>
      <c r="G53" s="76">
        <v>0</v>
      </c>
      <c r="H53" s="64"/>
      <c r="I53" s="64"/>
      <c r="J53" s="64"/>
      <c r="K53" s="64"/>
      <c r="L53" s="64"/>
      <c r="M53" s="929">
        <f>F53*G53</f>
        <v>0</v>
      </c>
      <c r="N53" s="354"/>
      <c r="O53" s="84">
        <f>Q48+V51</f>
        <v>0</v>
      </c>
      <c r="P53" s="76"/>
      <c r="Q53" s="64"/>
      <c r="R53" s="64"/>
      <c r="S53" s="64"/>
      <c r="T53" s="64"/>
      <c r="U53" s="64"/>
      <c r="V53" s="929">
        <f>O53*P53</f>
        <v>0</v>
      </c>
      <c r="W53" s="359"/>
      <c r="X53" s="84">
        <f>Z48+AE51</f>
        <v>0</v>
      </c>
      <c r="Y53" s="76"/>
      <c r="Z53" s="64"/>
      <c r="AA53" s="64"/>
      <c r="AB53" s="64"/>
      <c r="AC53" s="64"/>
      <c r="AD53" s="64"/>
      <c r="AE53" s="929">
        <f>X53*Y53</f>
        <v>0</v>
      </c>
      <c r="AF53" s="365"/>
      <c r="AG53" s="84">
        <f>AI48+AN51</f>
        <v>0</v>
      </c>
      <c r="AH53" s="76"/>
      <c r="AI53" s="64"/>
      <c r="AJ53" s="64"/>
      <c r="AK53" s="64"/>
      <c r="AL53" s="64"/>
      <c r="AM53" s="64"/>
      <c r="AN53" s="929">
        <f>AG53*AH53</f>
        <v>0</v>
      </c>
      <c r="AO53" s="318"/>
      <c r="AP53" s="84">
        <f>AR48+AW51</f>
        <v>0</v>
      </c>
      <c r="AQ53" s="76"/>
      <c r="AR53" s="64"/>
      <c r="AS53" s="64"/>
      <c r="AT53" s="64"/>
      <c r="AU53" s="64"/>
      <c r="AV53" s="64"/>
      <c r="AW53" s="929">
        <f>AP53*AQ53</f>
        <v>0</v>
      </c>
      <c r="AX53" s="372"/>
      <c r="AY53" s="84">
        <f>BA48+BF51</f>
        <v>0</v>
      </c>
      <c r="AZ53" s="76"/>
      <c r="BA53" s="64"/>
      <c r="BB53" s="64"/>
      <c r="BC53" s="64"/>
      <c r="BD53" s="64"/>
      <c r="BE53" s="64"/>
      <c r="BF53" s="929">
        <f>AY53*AZ53</f>
        <v>0</v>
      </c>
      <c r="BG53" s="683"/>
      <c r="BH53" s="19"/>
      <c r="BI53" s="92">
        <f>M53+V53+AE53+AN53+AW53+BF53</f>
        <v>0</v>
      </c>
    </row>
    <row r="54" spans="2:61" ht="13.5" thickBot="1" x14ac:dyDescent="0.25">
      <c r="B54" s="14"/>
      <c r="C54" s="3" t="s">
        <v>37</v>
      </c>
      <c r="D54" s="7"/>
      <c r="E54" s="350"/>
      <c r="F54" s="81"/>
      <c r="G54" s="3"/>
      <c r="H54" s="7"/>
      <c r="I54" s="7"/>
      <c r="J54" s="7"/>
      <c r="K54" s="7"/>
      <c r="L54" s="7"/>
      <c r="M54" s="936">
        <f>SUM(M52:M53)</f>
        <v>0</v>
      </c>
      <c r="N54" s="354"/>
      <c r="O54" s="81"/>
      <c r="P54" s="3"/>
      <c r="Q54" s="7"/>
      <c r="R54" s="7"/>
      <c r="S54" s="7"/>
      <c r="T54" s="7"/>
      <c r="U54" s="7"/>
      <c r="V54" s="936">
        <f>SUM(V52:V53)</f>
        <v>0</v>
      </c>
      <c r="W54" s="359"/>
      <c r="X54" s="81"/>
      <c r="Y54" s="3"/>
      <c r="Z54" s="7"/>
      <c r="AA54" s="7"/>
      <c r="AB54" s="7"/>
      <c r="AC54" s="7"/>
      <c r="AD54" s="7"/>
      <c r="AE54" s="936">
        <f>SUM(AE52:AE53)</f>
        <v>0</v>
      </c>
      <c r="AF54" s="365"/>
      <c r="AG54" s="81"/>
      <c r="AH54" s="3"/>
      <c r="AI54" s="7"/>
      <c r="AJ54" s="7"/>
      <c r="AK54" s="7"/>
      <c r="AL54" s="7"/>
      <c r="AM54" s="7"/>
      <c r="AN54" s="936">
        <f>SUM(AN52:AN53)</f>
        <v>0</v>
      </c>
      <c r="AO54" s="318"/>
      <c r="AP54" s="81"/>
      <c r="AQ54" s="3"/>
      <c r="AR54" s="7"/>
      <c r="AS54" s="7"/>
      <c r="AT54" s="7"/>
      <c r="AU54" s="7"/>
      <c r="AV54" s="7"/>
      <c r="AW54" s="936">
        <f>SUM(AW52:AW53)</f>
        <v>0</v>
      </c>
      <c r="AX54" s="372"/>
      <c r="AY54" s="11"/>
      <c r="AZ54" s="3"/>
      <c r="BA54" s="7"/>
      <c r="BB54" s="7"/>
      <c r="BC54" s="7"/>
      <c r="BD54" s="7"/>
      <c r="BE54" s="7"/>
      <c r="BF54" s="936">
        <f>SUM(BF52:BF53)</f>
        <v>0</v>
      </c>
      <c r="BG54" s="683"/>
      <c r="BH54" s="20"/>
      <c r="BI54" s="403">
        <f>M54+V54+AE54+AN54+AW54+BF54</f>
        <v>0</v>
      </c>
    </row>
    <row r="55" spans="2:61" x14ac:dyDescent="0.2">
      <c r="B55" s="14" t="s">
        <v>48</v>
      </c>
      <c r="C55" s="1"/>
      <c r="D55" s="17" t="s">
        <v>16</v>
      </c>
      <c r="E55" s="350"/>
      <c r="F55" s="79"/>
      <c r="G55" s="1"/>
      <c r="H55" s="6"/>
      <c r="I55" s="6"/>
      <c r="J55" s="6"/>
      <c r="K55" s="6"/>
      <c r="L55" s="6"/>
      <c r="M55" s="932"/>
      <c r="N55" s="354"/>
      <c r="O55" s="79"/>
      <c r="P55" s="1"/>
      <c r="Q55" s="6"/>
      <c r="R55" s="6"/>
      <c r="S55" s="6"/>
      <c r="T55" s="6"/>
      <c r="U55" s="6"/>
      <c r="V55" s="932"/>
      <c r="W55" s="359"/>
      <c r="X55" s="79"/>
      <c r="Y55" s="1"/>
      <c r="Z55" s="6"/>
      <c r="AA55" s="6"/>
      <c r="AB55" s="6"/>
      <c r="AC55" s="6"/>
      <c r="AD55" s="6"/>
      <c r="AE55" s="932"/>
      <c r="AF55" s="365"/>
      <c r="AG55" s="79"/>
      <c r="AH55" s="79"/>
      <c r="AI55" s="79"/>
      <c r="AJ55" s="79"/>
      <c r="AK55" s="79"/>
      <c r="AL55" s="79"/>
      <c r="AM55" s="6"/>
      <c r="AN55" s="932"/>
      <c r="AO55" s="318"/>
      <c r="AP55" s="79"/>
      <c r="AQ55" s="79"/>
      <c r="AR55" s="79"/>
      <c r="AS55" s="79"/>
      <c r="AT55" s="79"/>
      <c r="AU55" s="79"/>
      <c r="AV55" s="6"/>
      <c r="AW55" s="932"/>
      <c r="AX55" s="372"/>
      <c r="AY55" s="8"/>
      <c r="AZ55" s="79"/>
      <c r="BA55" s="79"/>
      <c r="BB55" s="79"/>
      <c r="BC55" s="79"/>
      <c r="BD55" s="79"/>
      <c r="BE55" s="6"/>
      <c r="BF55" s="932"/>
      <c r="BG55" s="714"/>
      <c r="BH55" s="93"/>
      <c r="BI55" s="92"/>
    </row>
    <row r="56" spans="2:61" x14ac:dyDescent="0.2">
      <c r="B56" s="41"/>
      <c r="C56" s="394" t="str">
        <f>'Base (Ph1)'!C56</f>
        <v>Subcontract/Interorganizational Name - #01</v>
      </c>
      <c r="D56" s="87" t="s">
        <v>78</v>
      </c>
      <c r="E56" s="350"/>
      <c r="F56" s="100"/>
      <c r="G56" s="101"/>
      <c r="H56" s="102"/>
      <c r="I56" s="102"/>
      <c r="J56" s="102"/>
      <c r="K56" s="102"/>
      <c r="L56" s="102"/>
      <c r="M56" s="385">
        <v>0</v>
      </c>
      <c r="N56" s="354"/>
      <c r="O56" s="100"/>
      <c r="P56" s="101"/>
      <c r="Q56" s="102"/>
      <c r="R56" s="102"/>
      <c r="S56" s="102"/>
      <c r="T56" s="102"/>
      <c r="U56" s="102"/>
      <c r="V56" s="385">
        <v>0</v>
      </c>
      <c r="W56" s="359"/>
      <c r="X56" s="100"/>
      <c r="Y56" s="101"/>
      <c r="Z56" s="102"/>
      <c r="AA56" s="102"/>
      <c r="AB56" s="102"/>
      <c r="AC56" s="102"/>
      <c r="AD56" s="102"/>
      <c r="AE56" s="385">
        <v>0</v>
      </c>
      <c r="AF56" s="365"/>
      <c r="AG56" s="100"/>
      <c r="AH56" s="101"/>
      <c r="AI56" s="102"/>
      <c r="AJ56" s="102"/>
      <c r="AK56" s="102"/>
      <c r="AL56" s="102"/>
      <c r="AM56" s="102"/>
      <c r="AN56" s="385">
        <v>0</v>
      </c>
      <c r="AO56" s="318"/>
      <c r="AP56" s="100"/>
      <c r="AQ56" s="101"/>
      <c r="AR56" s="102"/>
      <c r="AS56" s="102"/>
      <c r="AT56" s="102"/>
      <c r="AU56" s="102"/>
      <c r="AV56" s="102"/>
      <c r="AW56" s="385">
        <v>0</v>
      </c>
      <c r="AX56" s="372"/>
      <c r="AY56" s="103"/>
      <c r="AZ56" s="100"/>
      <c r="BA56" s="100"/>
      <c r="BB56" s="100"/>
      <c r="BC56" s="100"/>
      <c r="BD56" s="100"/>
      <c r="BE56" s="102"/>
      <c r="BF56" s="385">
        <v>0</v>
      </c>
      <c r="BG56" s="715"/>
      <c r="BH56" s="94"/>
      <c r="BI56" s="331">
        <f>M56+V56+AE56+AN56+AW56+BF56</f>
        <v>0</v>
      </c>
    </row>
    <row r="57" spans="2:61" x14ac:dyDescent="0.2">
      <c r="B57" s="8"/>
      <c r="C57" s="394" t="str">
        <f>'Base (Ph1)'!C57</f>
        <v>Subcontract/Interorganizational Name - #02</v>
      </c>
      <c r="D57" s="87" t="s">
        <v>78</v>
      </c>
      <c r="E57" s="350"/>
      <c r="F57" s="100"/>
      <c r="G57" s="101"/>
      <c r="H57" s="102"/>
      <c r="I57" s="102"/>
      <c r="J57" s="102"/>
      <c r="K57" s="102"/>
      <c r="L57" s="102"/>
      <c r="M57" s="385">
        <v>0</v>
      </c>
      <c r="N57" s="354"/>
      <c r="O57" s="100"/>
      <c r="P57" s="101"/>
      <c r="Q57" s="102"/>
      <c r="R57" s="102"/>
      <c r="S57" s="102"/>
      <c r="T57" s="102"/>
      <c r="U57" s="102"/>
      <c r="V57" s="385">
        <v>0</v>
      </c>
      <c r="W57" s="359"/>
      <c r="X57" s="100"/>
      <c r="Y57" s="101"/>
      <c r="Z57" s="102"/>
      <c r="AA57" s="102"/>
      <c r="AB57" s="102"/>
      <c r="AC57" s="102"/>
      <c r="AD57" s="102"/>
      <c r="AE57" s="385">
        <v>0</v>
      </c>
      <c r="AF57" s="365"/>
      <c r="AG57" s="100"/>
      <c r="AH57" s="101"/>
      <c r="AI57" s="102"/>
      <c r="AJ57" s="102"/>
      <c r="AK57" s="102"/>
      <c r="AL57" s="102"/>
      <c r="AM57" s="102"/>
      <c r="AN57" s="385">
        <v>0</v>
      </c>
      <c r="AO57" s="318"/>
      <c r="AP57" s="100"/>
      <c r="AQ57" s="101"/>
      <c r="AR57" s="102"/>
      <c r="AS57" s="102"/>
      <c r="AT57" s="102"/>
      <c r="AU57" s="102"/>
      <c r="AV57" s="102"/>
      <c r="AW57" s="385">
        <v>0</v>
      </c>
      <c r="AX57" s="372"/>
      <c r="AY57" s="103"/>
      <c r="AZ57" s="100"/>
      <c r="BA57" s="100"/>
      <c r="BB57" s="100"/>
      <c r="BC57" s="100"/>
      <c r="BD57" s="100"/>
      <c r="BE57" s="102"/>
      <c r="BF57" s="385">
        <v>0</v>
      </c>
      <c r="BG57" s="715"/>
      <c r="BH57" s="94"/>
      <c r="BI57" s="331">
        <f>M57+V57+AE57+AN57+AW57+BF57</f>
        <v>0</v>
      </c>
    </row>
    <row r="58" spans="2:61" x14ac:dyDescent="0.2">
      <c r="B58" s="8"/>
      <c r="C58" s="394" t="str">
        <f>'Base (Ph1)'!C58</f>
        <v>Subcontract/Interorganizational Name - #03</v>
      </c>
      <c r="D58" s="87" t="s">
        <v>78</v>
      </c>
      <c r="E58" s="350"/>
      <c r="F58" s="100"/>
      <c r="G58" s="101"/>
      <c r="H58" s="102"/>
      <c r="I58" s="102"/>
      <c r="J58" s="102"/>
      <c r="K58" s="102"/>
      <c r="L58" s="102"/>
      <c r="M58" s="385">
        <v>0</v>
      </c>
      <c r="N58" s="354"/>
      <c r="O58" s="100"/>
      <c r="P58" s="101"/>
      <c r="Q58" s="102"/>
      <c r="R58" s="102"/>
      <c r="S58" s="102"/>
      <c r="T58" s="102"/>
      <c r="U58" s="102"/>
      <c r="V58" s="385">
        <v>0</v>
      </c>
      <c r="W58" s="359"/>
      <c r="X58" s="100"/>
      <c r="Y58" s="101"/>
      <c r="Z58" s="102"/>
      <c r="AA58" s="102"/>
      <c r="AB58" s="102"/>
      <c r="AC58" s="102"/>
      <c r="AD58" s="102"/>
      <c r="AE58" s="385">
        <v>0</v>
      </c>
      <c r="AF58" s="365"/>
      <c r="AG58" s="100"/>
      <c r="AH58" s="101"/>
      <c r="AI58" s="102"/>
      <c r="AJ58" s="102"/>
      <c r="AK58" s="102"/>
      <c r="AL58" s="102"/>
      <c r="AM58" s="102"/>
      <c r="AN58" s="385">
        <v>0</v>
      </c>
      <c r="AO58" s="318"/>
      <c r="AP58" s="100"/>
      <c r="AQ58" s="101"/>
      <c r="AR58" s="102"/>
      <c r="AS58" s="102"/>
      <c r="AT58" s="102"/>
      <c r="AU58" s="102"/>
      <c r="AV58" s="102"/>
      <c r="AW58" s="385">
        <v>0</v>
      </c>
      <c r="AX58" s="372"/>
      <c r="AY58" s="103"/>
      <c r="AZ58" s="100"/>
      <c r="BA58" s="100"/>
      <c r="BB58" s="100"/>
      <c r="BC58" s="100"/>
      <c r="BD58" s="100"/>
      <c r="BE58" s="102"/>
      <c r="BF58" s="385">
        <v>0</v>
      </c>
      <c r="BG58" s="715"/>
      <c r="BH58" s="94"/>
      <c r="BI58" s="331">
        <f>M58+V58+AE58+AN58+AW58+BF58</f>
        <v>0</v>
      </c>
    </row>
    <row r="59" spans="2:61" ht="24.75" thickBot="1" x14ac:dyDescent="0.25">
      <c r="B59" s="643" t="s">
        <v>64</v>
      </c>
      <c r="C59" s="394" t="str">
        <f>'Base (Ph1)'!C59</f>
        <v xml:space="preserve">Insert line(s) for any additional Subcontractors/Interorganizational </v>
      </c>
      <c r="D59" s="87" t="s">
        <v>78</v>
      </c>
      <c r="E59" s="350"/>
      <c r="F59" s="100"/>
      <c r="G59" s="101"/>
      <c r="H59" s="102"/>
      <c r="I59" s="102"/>
      <c r="J59" s="102"/>
      <c r="K59" s="102"/>
      <c r="L59" s="102"/>
      <c r="M59" s="930">
        <v>0</v>
      </c>
      <c r="N59" s="354"/>
      <c r="O59" s="100"/>
      <c r="P59" s="101"/>
      <c r="Q59" s="102"/>
      <c r="R59" s="102"/>
      <c r="S59" s="102"/>
      <c r="T59" s="102"/>
      <c r="U59" s="102"/>
      <c r="V59" s="930">
        <v>0</v>
      </c>
      <c r="W59" s="359"/>
      <c r="X59" s="100"/>
      <c r="Y59" s="101"/>
      <c r="Z59" s="102"/>
      <c r="AA59" s="102"/>
      <c r="AB59" s="102"/>
      <c r="AC59" s="102"/>
      <c r="AD59" s="102"/>
      <c r="AE59" s="930">
        <v>0</v>
      </c>
      <c r="AF59" s="365"/>
      <c r="AG59" s="100"/>
      <c r="AH59" s="101"/>
      <c r="AI59" s="102"/>
      <c r="AJ59" s="102"/>
      <c r="AK59" s="102"/>
      <c r="AL59" s="102"/>
      <c r="AM59" s="102"/>
      <c r="AN59" s="930">
        <v>0</v>
      </c>
      <c r="AO59" s="318"/>
      <c r="AP59" s="100"/>
      <c r="AQ59" s="101"/>
      <c r="AR59" s="102"/>
      <c r="AS59" s="102"/>
      <c r="AT59" s="102"/>
      <c r="AU59" s="102"/>
      <c r="AV59" s="102"/>
      <c r="AW59" s="930">
        <v>0</v>
      </c>
      <c r="AX59" s="372"/>
      <c r="AY59" s="103"/>
      <c r="AZ59" s="100"/>
      <c r="BA59" s="100"/>
      <c r="BB59" s="100"/>
      <c r="BC59" s="100"/>
      <c r="BD59" s="100"/>
      <c r="BE59" s="102"/>
      <c r="BF59" s="930">
        <v>0</v>
      </c>
      <c r="BG59" s="715"/>
      <c r="BH59" s="94"/>
      <c r="BI59" s="331">
        <f>M59+V59+AE59+AN59+AW59+BF59</f>
        <v>0</v>
      </c>
    </row>
    <row r="60" spans="2:61" ht="13.5" thickBot="1" x14ac:dyDescent="0.25">
      <c r="B60" s="8"/>
      <c r="C60" s="3" t="s">
        <v>62</v>
      </c>
      <c r="D60" s="38"/>
      <c r="E60" s="350"/>
      <c r="F60" s="81"/>
      <c r="G60" s="3"/>
      <c r="H60" s="7"/>
      <c r="I60" s="7"/>
      <c r="J60" s="7"/>
      <c r="K60" s="7"/>
      <c r="L60" s="7"/>
      <c r="M60" s="936">
        <f>SUM(M55:M59)</f>
        <v>0</v>
      </c>
      <c r="N60" s="354"/>
      <c r="O60" s="81"/>
      <c r="P60" s="3"/>
      <c r="Q60" s="7"/>
      <c r="R60" s="7"/>
      <c r="S60" s="7"/>
      <c r="T60" s="7"/>
      <c r="U60" s="7"/>
      <c r="V60" s="936">
        <f>SUM(V55:V59)</f>
        <v>0</v>
      </c>
      <c r="W60" s="359"/>
      <c r="X60" s="81"/>
      <c r="Y60" s="3"/>
      <c r="Z60" s="7"/>
      <c r="AA60" s="7"/>
      <c r="AB60" s="7"/>
      <c r="AC60" s="7"/>
      <c r="AD60" s="7"/>
      <c r="AE60" s="936">
        <f>SUM(AE55:AE59)</f>
        <v>0</v>
      </c>
      <c r="AF60" s="365"/>
      <c r="AG60" s="81"/>
      <c r="AH60" s="3"/>
      <c r="AI60" s="7"/>
      <c r="AJ60" s="7"/>
      <c r="AK60" s="7"/>
      <c r="AL60" s="7"/>
      <c r="AM60" s="7"/>
      <c r="AN60" s="936">
        <f>SUM(AN55:AN59)</f>
        <v>0</v>
      </c>
      <c r="AO60" s="318"/>
      <c r="AP60" s="81"/>
      <c r="AQ60" s="3"/>
      <c r="AR60" s="7"/>
      <c r="AS60" s="7"/>
      <c r="AT60" s="7"/>
      <c r="AU60" s="7"/>
      <c r="AV60" s="7"/>
      <c r="AW60" s="936">
        <f>SUM(AW55:AW59)</f>
        <v>0</v>
      </c>
      <c r="AX60" s="372"/>
      <c r="AY60" s="3"/>
      <c r="AZ60" s="3"/>
      <c r="BA60" s="81"/>
      <c r="BB60" s="81"/>
      <c r="BC60" s="81"/>
      <c r="BD60" s="81"/>
      <c r="BE60" s="7"/>
      <c r="BF60" s="936">
        <f>SUM(BF55:BF59)</f>
        <v>0</v>
      </c>
      <c r="BG60" s="715"/>
      <c r="BH60" s="95"/>
      <c r="BI60" s="403">
        <f>M60+V60+AE60+AN60+AW60+BF60</f>
        <v>0</v>
      </c>
    </row>
    <row r="61" spans="2:61" x14ac:dyDescent="0.2">
      <c r="B61" s="14" t="s">
        <v>17</v>
      </c>
      <c r="C61" s="1"/>
      <c r="D61" s="88"/>
      <c r="E61" s="350"/>
      <c r="F61" s="125" t="s">
        <v>239</v>
      </c>
      <c r="G61" s="125" t="s">
        <v>253</v>
      </c>
      <c r="H61" s="79" t="s">
        <v>428</v>
      </c>
      <c r="J61" s="79" t="s">
        <v>12</v>
      </c>
      <c r="M61" s="932"/>
      <c r="N61" s="354"/>
      <c r="O61" s="125" t="s">
        <v>239</v>
      </c>
      <c r="P61" s="125" t="s">
        <v>253</v>
      </c>
      <c r="Q61" s="79" t="s">
        <v>428</v>
      </c>
      <c r="S61" s="79" t="s">
        <v>12</v>
      </c>
      <c r="V61" s="932"/>
      <c r="W61" s="359"/>
      <c r="X61" s="125" t="s">
        <v>239</v>
      </c>
      <c r="Y61" s="125" t="s">
        <v>253</v>
      </c>
      <c r="Z61" s="79" t="s">
        <v>428</v>
      </c>
      <c r="AB61" s="79" t="s">
        <v>12</v>
      </c>
      <c r="AE61" s="932"/>
      <c r="AF61" s="365"/>
      <c r="AG61" s="125" t="s">
        <v>239</v>
      </c>
      <c r="AH61" s="125" t="s">
        <v>253</v>
      </c>
      <c r="AI61" s="79" t="s">
        <v>428</v>
      </c>
      <c r="AK61" s="79" t="s">
        <v>12</v>
      </c>
      <c r="AN61" s="932"/>
      <c r="AO61" s="318"/>
      <c r="AP61" s="125" t="s">
        <v>239</v>
      </c>
      <c r="AQ61" s="125" t="s">
        <v>253</v>
      </c>
      <c r="AR61" s="79" t="s">
        <v>428</v>
      </c>
      <c r="AT61" s="79" t="s">
        <v>12</v>
      </c>
      <c r="AW61" s="932"/>
      <c r="AX61" s="372"/>
      <c r="AY61" s="125" t="s">
        <v>239</v>
      </c>
      <c r="AZ61" s="125" t="s">
        <v>253</v>
      </c>
      <c r="BA61" s="79" t="s">
        <v>428</v>
      </c>
      <c r="BC61" s="79" t="s">
        <v>12</v>
      </c>
      <c r="BF61" s="932"/>
      <c r="BG61" s="715"/>
      <c r="BH61" s="93"/>
      <c r="BI61" s="92"/>
    </row>
    <row r="62" spans="2:61" x14ac:dyDescent="0.2">
      <c r="B62" s="41"/>
      <c r="C62" s="394" t="str">
        <f>'Base (Ph1)'!C62</f>
        <v>Consultant Name - #01</v>
      </c>
      <c r="D62" s="36" t="s">
        <v>79</v>
      </c>
      <c r="E62" s="350"/>
      <c r="F62" s="386"/>
      <c r="G62" s="387"/>
      <c r="H62" s="387"/>
      <c r="J62" s="387"/>
      <c r="M62" s="91">
        <f>SUM((F62*G62),H62,J62)</f>
        <v>0</v>
      </c>
      <c r="N62" s="354"/>
      <c r="O62" s="386"/>
      <c r="P62" s="387"/>
      <c r="Q62" s="387"/>
      <c r="S62" s="387"/>
      <c r="V62" s="91">
        <f>SUM((O62*P62),Q62,S62)</f>
        <v>0</v>
      </c>
      <c r="W62" s="359"/>
      <c r="X62" s="386"/>
      <c r="Y62" s="387"/>
      <c r="Z62" s="387"/>
      <c r="AB62" s="387"/>
      <c r="AE62" s="91">
        <f>SUM((X62*Y62),Z62,AB62)</f>
        <v>0</v>
      </c>
      <c r="AF62" s="365"/>
      <c r="AG62" s="386"/>
      <c r="AH62" s="387"/>
      <c r="AI62" s="387"/>
      <c r="AK62" s="387"/>
      <c r="AN62" s="91">
        <f>SUM((AG62*AH62),AI62,AK62)</f>
        <v>0</v>
      </c>
      <c r="AO62" s="318"/>
      <c r="AP62" s="386"/>
      <c r="AQ62" s="387"/>
      <c r="AR62" s="387"/>
      <c r="AT62" s="387"/>
      <c r="AW62" s="91">
        <f>SUM((AP62*AQ62),AR62,AT62)</f>
        <v>0</v>
      </c>
      <c r="AX62" s="372"/>
      <c r="AY62" s="386"/>
      <c r="AZ62" s="387"/>
      <c r="BA62" s="387"/>
      <c r="BC62" s="387"/>
      <c r="BF62" s="91">
        <f>SUM((AY62*AZ62),BA62,BC62)</f>
        <v>0</v>
      </c>
      <c r="BG62" s="715"/>
      <c r="BH62" s="401"/>
      <c r="BI62" s="331">
        <f>M62+V62+AE62+AN62+AW62+BF62</f>
        <v>0</v>
      </c>
    </row>
    <row r="63" spans="2:61" x14ac:dyDescent="0.2">
      <c r="B63" s="8"/>
      <c r="C63" s="394" t="str">
        <f>'Base (Ph1)'!C63</f>
        <v>Consultant Name - #02</v>
      </c>
      <c r="D63" s="36" t="s">
        <v>79</v>
      </c>
      <c r="E63" s="350"/>
      <c r="F63" s="386"/>
      <c r="G63" s="387"/>
      <c r="H63" s="387"/>
      <c r="J63" s="387"/>
      <c r="M63" s="91">
        <f>SUM((F63*G63),H63,J63)</f>
        <v>0</v>
      </c>
      <c r="N63" s="354"/>
      <c r="O63" s="386"/>
      <c r="P63" s="387"/>
      <c r="Q63" s="387"/>
      <c r="S63" s="387"/>
      <c r="V63" s="91">
        <f>SUM((O63*P63),Q63,S63)</f>
        <v>0</v>
      </c>
      <c r="W63" s="359"/>
      <c r="X63" s="386"/>
      <c r="Y63" s="387"/>
      <c r="Z63" s="387"/>
      <c r="AB63" s="387"/>
      <c r="AE63" s="91">
        <f>SUM((X63*Y63),Z63,AB63)</f>
        <v>0</v>
      </c>
      <c r="AF63" s="365"/>
      <c r="AG63" s="386"/>
      <c r="AH63" s="387"/>
      <c r="AI63" s="387"/>
      <c r="AK63" s="387"/>
      <c r="AN63" s="91">
        <f>SUM((AG63*AH63),AI63,AK63)</f>
        <v>0</v>
      </c>
      <c r="AO63" s="318"/>
      <c r="AP63" s="386"/>
      <c r="AQ63" s="387"/>
      <c r="AR63" s="387"/>
      <c r="AT63" s="387"/>
      <c r="AW63" s="91">
        <f>SUM((AP63*AQ63),AR63,AT63)</f>
        <v>0</v>
      </c>
      <c r="AX63" s="372"/>
      <c r="AY63" s="386"/>
      <c r="AZ63" s="387"/>
      <c r="BA63" s="387"/>
      <c r="BC63" s="387"/>
      <c r="BF63" s="91">
        <f>SUM((AY63*AZ63),BA63,BC63)</f>
        <v>0</v>
      </c>
      <c r="BG63" s="715"/>
      <c r="BH63" s="401"/>
      <c r="BI63" s="331">
        <f>M63+V63+AE63+AN63+AW63+BF63</f>
        <v>0</v>
      </c>
    </row>
    <row r="64" spans="2:61" x14ac:dyDescent="0.2">
      <c r="B64" s="8"/>
      <c r="C64" s="394" t="str">
        <f>'Base (Ph1)'!C64</f>
        <v>Consultant Name - #03</v>
      </c>
      <c r="D64" s="36" t="s">
        <v>79</v>
      </c>
      <c r="E64" s="350"/>
      <c r="F64" s="386"/>
      <c r="G64" s="387"/>
      <c r="H64" s="387"/>
      <c r="J64" s="387"/>
      <c r="M64" s="91">
        <f>SUM((F64*G64),H64,J64)</f>
        <v>0</v>
      </c>
      <c r="N64" s="354"/>
      <c r="O64" s="386"/>
      <c r="P64" s="387"/>
      <c r="Q64" s="387"/>
      <c r="S64" s="387"/>
      <c r="V64" s="91">
        <f>SUM((O64*P64),Q64,S64)</f>
        <v>0</v>
      </c>
      <c r="W64" s="359"/>
      <c r="X64" s="386"/>
      <c r="Y64" s="387"/>
      <c r="Z64" s="387"/>
      <c r="AB64" s="387"/>
      <c r="AE64" s="91">
        <f>SUM((X64*Y64),Z64,AB64)</f>
        <v>0</v>
      </c>
      <c r="AF64" s="365"/>
      <c r="AG64" s="386"/>
      <c r="AH64" s="387"/>
      <c r="AI64" s="387"/>
      <c r="AK64" s="387"/>
      <c r="AN64" s="91">
        <f>SUM((AG64*AH64),AI64,AK64)</f>
        <v>0</v>
      </c>
      <c r="AO64" s="318"/>
      <c r="AP64" s="386"/>
      <c r="AQ64" s="387"/>
      <c r="AR64" s="387"/>
      <c r="AT64" s="387"/>
      <c r="AW64" s="91">
        <f>SUM((AP64*AQ64),AR64,AT64)</f>
        <v>0</v>
      </c>
      <c r="AX64" s="372"/>
      <c r="AY64" s="386"/>
      <c r="AZ64" s="387"/>
      <c r="BA64" s="387"/>
      <c r="BC64" s="387"/>
      <c r="BF64" s="91">
        <f>SUM((AY64*AZ64),BA64,BC64)</f>
        <v>0</v>
      </c>
      <c r="BG64" s="715"/>
      <c r="BH64" s="401"/>
      <c r="BI64" s="331">
        <f>M64+V64+AE64+AN64+AW64+BF64</f>
        <v>0</v>
      </c>
    </row>
    <row r="65" spans="1:63" ht="13.5" thickBot="1" x14ac:dyDescent="0.25">
      <c r="B65" s="643" t="s">
        <v>64</v>
      </c>
      <c r="C65" s="394" t="str">
        <f>'Base (Ph1)'!C65</f>
        <v>Insert line(s) for any additional Consultants</v>
      </c>
      <c r="D65" s="36" t="s">
        <v>79</v>
      </c>
      <c r="E65" s="350"/>
      <c r="F65" s="386"/>
      <c r="G65" s="387"/>
      <c r="H65" s="387"/>
      <c r="J65" s="387"/>
      <c r="M65" s="91">
        <f>SUM((F65*G65),H65,J65)</f>
        <v>0</v>
      </c>
      <c r="N65" s="354"/>
      <c r="O65" s="386"/>
      <c r="P65" s="387"/>
      <c r="Q65" s="387"/>
      <c r="S65" s="387"/>
      <c r="V65" s="91">
        <f>SUM((O65*P65),Q65,S65)</f>
        <v>0</v>
      </c>
      <c r="W65" s="359"/>
      <c r="X65" s="386"/>
      <c r="Y65" s="387"/>
      <c r="Z65" s="387"/>
      <c r="AB65" s="387"/>
      <c r="AE65" s="91">
        <f>SUM((X65*Y65),Z65,AB65)</f>
        <v>0</v>
      </c>
      <c r="AF65" s="365"/>
      <c r="AG65" s="386"/>
      <c r="AH65" s="387"/>
      <c r="AI65" s="387"/>
      <c r="AK65" s="387"/>
      <c r="AN65" s="91">
        <f>SUM((AG65*AH65),AI65,AK65)</f>
        <v>0</v>
      </c>
      <c r="AO65" s="318"/>
      <c r="AP65" s="386"/>
      <c r="AQ65" s="387"/>
      <c r="AR65" s="387"/>
      <c r="AT65" s="387"/>
      <c r="AW65" s="91">
        <f>SUM((AP65*AQ65),AR65,AT65)</f>
        <v>0</v>
      </c>
      <c r="AX65" s="372"/>
      <c r="AY65" s="386"/>
      <c r="AZ65" s="387"/>
      <c r="BA65" s="387"/>
      <c r="BC65" s="387"/>
      <c r="BF65" s="91">
        <f>SUM((AY65*AZ65),BA65,BC65)</f>
        <v>0</v>
      </c>
      <c r="BG65" s="715"/>
      <c r="BH65" s="401"/>
      <c r="BI65" s="331">
        <f>M65+V65+AE65+AN65+AW65+BF65</f>
        <v>0</v>
      </c>
    </row>
    <row r="66" spans="1:63" ht="13.5" thickBot="1" x14ac:dyDescent="0.25">
      <c r="B66" s="8"/>
      <c r="C66" s="3" t="s">
        <v>63</v>
      </c>
      <c r="D66" s="38"/>
      <c r="E66" s="350"/>
      <c r="F66" s="3"/>
      <c r="G66" s="3"/>
      <c r="H66" s="81"/>
      <c r="I66" s="81"/>
      <c r="J66" s="81"/>
      <c r="K66" s="81"/>
      <c r="L66" s="7"/>
      <c r="M66" s="936">
        <f>SUM(M61:M65)</f>
        <v>0</v>
      </c>
      <c r="N66" s="354"/>
      <c r="O66" s="3"/>
      <c r="P66" s="3"/>
      <c r="Q66" s="81"/>
      <c r="R66" s="81"/>
      <c r="S66" s="81"/>
      <c r="T66" s="81"/>
      <c r="U66" s="7"/>
      <c r="V66" s="936">
        <f>SUM(V61:V65)</f>
        <v>0</v>
      </c>
      <c r="W66" s="359"/>
      <c r="X66" s="3"/>
      <c r="Y66" s="3"/>
      <c r="Z66" s="81"/>
      <c r="AA66" s="81"/>
      <c r="AB66" s="81"/>
      <c r="AC66" s="81"/>
      <c r="AD66" s="7"/>
      <c r="AE66" s="936">
        <f>SUM(AE61:AE65)</f>
        <v>0</v>
      </c>
      <c r="AF66" s="365"/>
      <c r="AG66" s="3"/>
      <c r="AH66" s="3"/>
      <c r="AI66" s="81"/>
      <c r="AJ66" s="81"/>
      <c r="AK66" s="81"/>
      <c r="AL66" s="81"/>
      <c r="AM66" s="7"/>
      <c r="AN66" s="936">
        <f>SUM(AN61:AN65)</f>
        <v>0</v>
      </c>
      <c r="AO66" s="318"/>
      <c r="AP66" s="3"/>
      <c r="AQ66" s="3"/>
      <c r="AR66" s="81"/>
      <c r="AS66" s="81"/>
      <c r="AT66" s="81"/>
      <c r="AU66" s="81"/>
      <c r="AV66" s="7"/>
      <c r="AW66" s="936">
        <f>SUM(AW61:AW65)</f>
        <v>0</v>
      </c>
      <c r="AX66" s="372"/>
      <c r="AY66" s="3"/>
      <c r="AZ66" s="3"/>
      <c r="BA66" s="81"/>
      <c r="BB66" s="81"/>
      <c r="BC66" s="81"/>
      <c r="BD66" s="81"/>
      <c r="BE66" s="7"/>
      <c r="BF66" s="936">
        <f>SUM(BF61:BF65)</f>
        <v>0</v>
      </c>
      <c r="BG66" s="715"/>
      <c r="BH66" s="418"/>
      <c r="BI66" s="403">
        <f>M66+V66+AE66+AN66+AW66+BF66</f>
        <v>0</v>
      </c>
    </row>
    <row r="67" spans="1:63" x14ac:dyDescent="0.2">
      <c r="B67" s="14" t="s">
        <v>7</v>
      </c>
      <c r="C67" s="24"/>
      <c r="D67" s="37"/>
      <c r="E67" s="350"/>
      <c r="F67" s="82"/>
      <c r="G67" s="24"/>
      <c r="H67" s="65"/>
      <c r="I67" s="65"/>
      <c r="J67" s="65"/>
      <c r="K67" s="65"/>
      <c r="L67" s="65"/>
      <c r="M67" s="933"/>
      <c r="N67" s="354"/>
      <c r="O67" s="24"/>
      <c r="P67" s="24"/>
      <c r="Q67" s="65"/>
      <c r="R67" s="65"/>
      <c r="S67" s="65"/>
      <c r="T67" s="65"/>
      <c r="U67" s="65"/>
      <c r="V67" s="933"/>
      <c r="W67" s="359"/>
      <c r="X67" s="24"/>
      <c r="Y67" s="24"/>
      <c r="Z67" s="65"/>
      <c r="AA67" s="65"/>
      <c r="AB67" s="65"/>
      <c r="AC67" s="65"/>
      <c r="AD67" s="65"/>
      <c r="AE67" s="933"/>
      <c r="AF67" s="365"/>
      <c r="AG67" s="24"/>
      <c r="AH67" s="24"/>
      <c r="AI67" s="65"/>
      <c r="AJ67" s="65"/>
      <c r="AK67" s="65"/>
      <c r="AL67" s="65"/>
      <c r="AM67" s="65"/>
      <c r="AN67" s="933"/>
      <c r="AO67" s="318"/>
      <c r="AP67" s="24"/>
      <c r="AQ67" s="24"/>
      <c r="AR67" s="65"/>
      <c r="AS67" s="65"/>
      <c r="AT67" s="65"/>
      <c r="AU67" s="65"/>
      <c r="AV67" s="65"/>
      <c r="AW67" s="933"/>
      <c r="AX67" s="372"/>
      <c r="AY67" s="24"/>
      <c r="AZ67" s="24"/>
      <c r="BA67" s="82"/>
      <c r="BB67" s="82"/>
      <c r="BC67" s="82"/>
      <c r="BD67" s="82"/>
      <c r="BE67" s="65"/>
      <c r="BF67" s="933"/>
      <c r="BG67" s="715"/>
      <c r="BH67" s="96"/>
      <c r="BI67" s="653"/>
    </row>
    <row r="68" spans="1:63" x14ac:dyDescent="0.2">
      <c r="B68" s="8"/>
      <c r="C68" s="127" t="str">
        <f>'Base (Ph1)'!C68</f>
        <v>Materials/Supplies</v>
      </c>
      <c r="D68" s="36" t="s">
        <v>74</v>
      </c>
      <c r="E68" s="350"/>
      <c r="F68" s="100"/>
      <c r="G68" s="101"/>
      <c r="H68" s="102"/>
      <c r="I68" s="102"/>
      <c r="J68" s="102"/>
      <c r="K68" s="102"/>
      <c r="L68" s="102"/>
      <c r="M68" s="385">
        <v>0</v>
      </c>
      <c r="N68" s="354"/>
      <c r="O68" s="101"/>
      <c r="P68" s="101"/>
      <c r="Q68" s="102"/>
      <c r="R68" s="102"/>
      <c r="S68" s="102"/>
      <c r="T68" s="102"/>
      <c r="U68" s="102"/>
      <c r="V68" s="385">
        <v>0</v>
      </c>
      <c r="W68" s="359"/>
      <c r="X68" s="101"/>
      <c r="Y68" s="101"/>
      <c r="Z68" s="102"/>
      <c r="AA68" s="102"/>
      <c r="AB68" s="102"/>
      <c r="AC68" s="102"/>
      <c r="AD68" s="102"/>
      <c r="AE68" s="385">
        <v>0</v>
      </c>
      <c r="AF68" s="365"/>
      <c r="AG68" s="101"/>
      <c r="AH68" s="101"/>
      <c r="AI68" s="102"/>
      <c r="AJ68" s="102"/>
      <c r="AK68" s="102"/>
      <c r="AL68" s="102"/>
      <c r="AM68" s="102"/>
      <c r="AN68" s="385">
        <v>0</v>
      </c>
      <c r="AO68" s="318"/>
      <c r="AP68" s="101"/>
      <c r="AQ68" s="101"/>
      <c r="AR68" s="102"/>
      <c r="AS68" s="102"/>
      <c r="AT68" s="102"/>
      <c r="AU68" s="102"/>
      <c r="AV68" s="102"/>
      <c r="AW68" s="385">
        <v>0</v>
      </c>
      <c r="AX68" s="372"/>
      <c r="AY68" s="101"/>
      <c r="AZ68" s="101"/>
      <c r="BA68" s="100"/>
      <c r="BB68" s="100"/>
      <c r="BC68" s="100"/>
      <c r="BD68" s="100"/>
      <c r="BE68" s="102"/>
      <c r="BF68" s="385">
        <v>0</v>
      </c>
      <c r="BG68" s="715"/>
      <c r="BH68" s="97"/>
      <c r="BI68" s="331">
        <f>M68+V68+AE68+AN68+AW68+BF68</f>
        <v>0</v>
      </c>
    </row>
    <row r="69" spans="1:63" x14ac:dyDescent="0.2">
      <c r="B69" s="41"/>
      <c r="C69" s="127" t="str">
        <f>'Base (Ph1)'!C69</f>
        <v>Equipment</v>
      </c>
      <c r="D69" s="36" t="s">
        <v>75</v>
      </c>
      <c r="E69" s="350"/>
      <c r="F69" s="100"/>
      <c r="G69" s="101"/>
      <c r="H69" s="102"/>
      <c r="I69" s="102"/>
      <c r="J69" s="102"/>
      <c r="K69" s="102"/>
      <c r="L69" s="102"/>
      <c r="M69" s="385">
        <v>0</v>
      </c>
      <c r="N69" s="354"/>
      <c r="O69" s="101"/>
      <c r="P69" s="101"/>
      <c r="Q69" s="102"/>
      <c r="R69" s="102"/>
      <c r="S69" s="102"/>
      <c r="T69" s="102"/>
      <c r="U69" s="102"/>
      <c r="V69" s="385">
        <v>0</v>
      </c>
      <c r="W69" s="359"/>
      <c r="X69" s="101"/>
      <c r="Y69" s="101"/>
      <c r="Z69" s="102"/>
      <c r="AA69" s="102"/>
      <c r="AB69" s="102"/>
      <c r="AC69" s="102"/>
      <c r="AD69" s="102"/>
      <c r="AE69" s="385">
        <v>0</v>
      </c>
      <c r="AF69" s="365"/>
      <c r="AG69" s="101"/>
      <c r="AH69" s="101"/>
      <c r="AI69" s="102"/>
      <c r="AJ69" s="102"/>
      <c r="AK69" s="102"/>
      <c r="AL69" s="102"/>
      <c r="AM69" s="102"/>
      <c r="AN69" s="385">
        <v>0</v>
      </c>
      <c r="AO69" s="318"/>
      <c r="AP69" s="101"/>
      <c r="AQ69" s="101"/>
      <c r="AR69" s="102"/>
      <c r="AS69" s="102"/>
      <c r="AT69" s="102"/>
      <c r="AU69" s="102"/>
      <c r="AV69" s="102"/>
      <c r="AW69" s="385">
        <v>0</v>
      </c>
      <c r="AX69" s="372"/>
      <c r="AY69" s="101"/>
      <c r="AZ69" s="101"/>
      <c r="BA69" s="100"/>
      <c r="BB69" s="100"/>
      <c r="BC69" s="100"/>
      <c r="BD69" s="100"/>
      <c r="BE69" s="102"/>
      <c r="BF69" s="385">
        <v>0</v>
      </c>
      <c r="BG69" s="715"/>
      <c r="BH69" s="97"/>
      <c r="BI69" s="331">
        <f>M69+V69+AE69+AN69+AW69+BF69</f>
        <v>0</v>
      </c>
    </row>
    <row r="70" spans="1:63" x14ac:dyDescent="0.2">
      <c r="B70" s="8"/>
      <c r="C70" s="127" t="str">
        <f>'Base (Ph1)'!C70</f>
        <v>Travel</v>
      </c>
      <c r="D70" s="36" t="s">
        <v>77</v>
      </c>
      <c r="E70" s="350"/>
      <c r="F70" s="100"/>
      <c r="G70" s="101"/>
      <c r="H70" s="102"/>
      <c r="I70" s="102"/>
      <c r="J70" s="102"/>
      <c r="K70" s="102"/>
      <c r="L70" s="102"/>
      <c r="M70" s="385">
        <v>0</v>
      </c>
      <c r="N70" s="354"/>
      <c r="O70" s="101"/>
      <c r="P70" s="101"/>
      <c r="Q70" s="102"/>
      <c r="R70" s="102"/>
      <c r="S70" s="102"/>
      <c r="T70" s="102"/>
      <c r="U70" s="102"/>
      <c r="V70" s="385">
        <v>0</v>
      </c>
      <c r="W70" s="359"/>
      <c r="X70" s="101"/>
      <c r="Y70" s="101"/>
      <c r="Z70" s="102"/>
      <c r="AA70" s="102"/>
      <c r="AB70" s="102"/>
      <c r="AC70" s="102"/>
      <c r="AD70" s="102"/>
      <c r="AE70" s="385">
        <v>0</v>
      </c>
      <c r="AF70" s="365"/>
      <c r="AG70" s="101"/>
      <c r="AH70" s="101"/>
      <c r="AI70" s="102"/>
      <c r="AJ70" s="102"/>
      <c r="AK70" s="102"/>
      <c r="AL70" s="102"/>
      <c r="AM70" s="102"/>
      <c r="AN70" s="385">
        <v>0</v>
      </c>
      <c r="AO70" s="318"/>
      <c r="AP70" s="101"/>
      <c r="AQ70" s="101"/>
      <c r="AR70" s="102"/>
      <c r="AS70" s="102"/>
      <c r="AT70" s="102"/>
      <c r="AU70" s="102"/>
      <c r="AV70" s="102"/>
      <c r="AW70" s="385">
        <v>0</v>
      </c>
      <c r="AX70" s="372"/>
      <c r="AY70" s="101"/>
      <c r="AZ70" s="101"/>
      <c r="BA70" s="100"/>
      <c r="BB70" s="100"/>
      <c r="BC70" s="100"/>
      <c r="BD70" s="100"/>
      <c r="BE70" s="102"/>
      <c r="BF70" s="385">
        <v>0</v>
      </c>
      <c r="BG70" s="715"/>
      <c r="BH70" s="97"/>
      <c r="BI70" s="331">
        <f>M70+V70+AE70+AN70+AW70+BF70</f>
        <v>0</v>
      </c>
    </row>
    <row r="71" spans="1:63" ht="13.5" thickBot="1" x14ac:dyDescent="0.25">
      <c r="B71" s="8"/>
      <c r="C71" s="394" t="str">
        <f>'Base (Ph1)'!C71</f>
        <v>Insert line(s) for any other types of ODCs</v>
      </c>
      <c r="D71" s="36" t="s">
        <v>76</v>
      </c>
      <c r="E71" s="350"/>
      <c r="F71" s="100"/>
      <c r="G71" s="101"/>
      <c r="H71" s="102"/>
      <c r="I71" s="102"/>
      <c r="J71" s="102"/>
      <c r="K71" s="102"/>
      <c r="L71" s="102"/>
      <c r="M71" s="930">
        <v>0</v>
      </c>
      <c r="N71" s="354"/>
      <c r="O71" s="101"/>
      <c r="P71" s="101"/>
      <c r="Q71" s="102"/>
      <c r="R71" s="102"/>
      <c r="S71" s="102"/>
      <c r="T71" s="102"/>
      <c r="U71" s="102"/>
      <c r="V71" s="930">
        <v>0</v>
      </c>
      <c r="W71" s="359"/>
      <c r="X71" s="101"/>
      <c r="Y71" s="101"/>
      <c r="Z71" s="102"/>
      <c r="AA71" s="102"/>
      <c r="AB71" s="102"/>
      <c r="AC71" s="102"/>
      <c r="AD71" s="102"/>
      <c r="AE71" s="930">
        <v>0</v>
      </c>
      <c r="AF71" s="365"/>
      <c r="AG71" s="101"/>
      <c r="AH71" s="101"/>
      <c r="AI71" s="102"/>
      <c r="AJ71" s="102"/>
      <c r="AK71" s="102"/>
      <c r="AL71" s="102"/>
      <c r="AM71" s="102"/>
      <c r="AN71" s="930">
        <v>0</v>
      </c>
      <c r="AO71" s="318"/>
      <c r="AP71" s="101"/>
      <c r="AQ71" s="101"/>
      <c r="AR71" s="102"/>
      <c r="AS71" s="102"/>
      <c r="AT71" s="102"/>
      <c r="AU71" s="102"/>
      <c r="AV71" s="102"/>
      <c r="AW71" s="930">
        <v>0</v>
      </c>
      <c r="AX71" s="372"/>
      <c r="AY71" s="101"/>
      <c r="AZ71" s="101"/>
      <c r="BA71" s="100"/>
      <c r="BB71" s="100"/>
      <c r="BC71" s="100"/>
      <c r="BD71" s="100"/>
      <c r="BE71" s="102"/>
      <c r="BF71" s="930">
        <v>0</v>
      </c>
      <c r="BG71" s="715"/>
      <c r="BH71" s="97"/>
      <c r="BI71" s="331">
        <f>M71+V71+AE71+AN71+AW71+BF71</f>
        <v>0</v>
      </c>
    </row>
    <row r="72" spans="1:63" ht="13.5" thickBot="1" x14ac:dyDescent="0.25">
      <c r="B72" s="8"/>
      <c r="C72" s="3" t="s">
        <v>38</v>
      </c>
      <c r="D72" s="7"/>
      <c r="E72" s="350"/>
      <c r="F72" s="81"/>
      <c r="G72" s="3"/>
      <c r="H72" s="7"/>
      <c r="I72" s="7"/>
      <c r="J72" s="7"/>
      <c r="K72" s="7"/>
      <c r="L72" s="7"/>
      <c r="M72" s="936">
        <f>SUM(M67:M71)</f>
        <v>0</v>
      </c>
      <c r="N72" s="354"/>
      <c r="O72" s="3"/>
      <c r="P72" s="3"/>
      <c r="Q72" s="7"/>
      <c r="R72" s="7"/>
      <c r="S72" s="7"/>
      <c r="T72" s="7"/>
      <c r="U72" s="7"/>
      <c r="V72" s="936">
        <f>SUM(V67:V71)</f>
        <v>0</v>
      </c>
      <c r="W72" s="359"/>
      <c r="X72" s="3"/>
      <c r="Y72" s="3"/>
      <c r="Z72" s="7"/>
      <c r="AA72" s="7"/>
      <c r="AB72" s="7"/>
      <c r="AC72" s="7"/>
      <c r="AD72" s="7"/>
      <c r="AE72" s="936">
        <f>SUM(AE67:AE71)</f>
        <v>0</v>
      </c>
      <c r="AF72" s="365"/>
      <c r="AG72" s="3"/>
      <c r="AH72" s="3"/>
      <c r="AI72" s="7"/>
      <c r="AJ72" s="7"/>
      <c r="AK72" s="7"/>
      <c r="AL72" s="7"/>
      <c r="AM72" s="7"/>
      <c r="AN72" s="936">
        <f>SUM(AN67:AN71)</f>
        <v>0</v>
      </c>
      <c r="AO72" s="318"/>
      <c r="AP72" s="3"/>
      <c r="AQ72" s="3"/>
      <c r="AR72" s="7"/>
      <c r="AS72" s="7"/>
      <c r="AT72" s="7"/>
      <c r="AU72" s="7"/>
      <c r="AV72" s="7"/>
      <c r="AW72" s="936">
        <f>SUM(AW67:AW71)</f>
        <v>0</v>
      </c>
      <c r="AX72" s="372"/>
      <c r="AY72" s="3"/>
      <c r="AZ72" s="3"/>
      <c r="BA72" s="81"/>
      <c r="BB72" s="81"/>
      <c r="BC72" s="81"/>
      <c r="BD72" s="81"/>
      <c r="BE72" s="7"/>
      <c r="BF72" s="936">
        <f>SUM(BF67:BF71)</f>
        <v>0</v>
      </c>
      <c r="BG72" s="715"/>
      <c r="BH72" s="95"/>
      <c r="BI72" s="403">
        <f>M72+V72+AE72+AN72+AW72+BF72</f>
        <v>0</v>
      </c>
    </row>
    <row r="73" spans="1:63" x14ac:dyDescent="0.2">
      <c r="B73" s="14" t="s">
        <v>194</v>
      </c>
      <c r="C73" s="1"/>
      <c r="D73" s="6"/>
      <c r="E73" s="350"/>
      <c r="G73" s="125" t="s">
        <v>26</v>
      </c>
      <c r="H73" s="341" t="s">
        <v>49</v>
      </c>
      <c r="I73" s="6"/>
      <c r="J73" s="6"/>
      <c r="K73" s="6"/>
      <c r="L73" s="6"/>
      <c r="M73" s="932"/>
      <c r="N73" s="354"/>
      <c r="P73" s="125" t="s">
        <v>26</v>
      </c>
      <c r="Q73" s="125" t="s">
        <v>49</v>
      </c>
      <c r="R73" s="6"/>
      <c r="S73" s="6"/>
      <c r="T73" s="6"/>
      <c r="U73" s="6"/>
      <c r="V73" s="932"/>
      <c r="W73" s="359"/>
      <c r="Y73" s="125" t="s">
        <v>26</v>
      </c>
      <c r="Z73" s="125" t="s">
        <v>49</v>
      </c>
      <c r="AA73" s="6"/>
      <c r="AB73" s="6"/>
      <c r="AC73" s="6"/>
      <c r="AD73" s="6"/>
      <c r="AE73" s="932"/>
      <c r="AF73" s="365"/>
      <c r="AH73" s="125" t="s">
        <v>26</v>
      </c>
      <c r="AI73" s="125" t="s">
        <v>49</v>
      </c>
      <c r="AJ73" s="6"/>
      <c r="AK73" s="6"/>
      <c r="AL73" s="6"/>
      <c r="AM73" s="6"/>
      <c r="AN73" s="932"/>
      <c r="AO73" s="318"/>
      <c r="AQ73" s="125" t="s">
        <v>26</v>
      </c>
      <c r="AR73" s="125" t="s">
        <v>49</v>
      </c>
      <c r="AS73" s="6"/>
      <c r="AT73" s="6"/>
      <c r="AU73" s="6"/>
      <c r="AV73" s="6"/>
      <c r="AW73" s="932"/>
      <c r="AX73" s="372"/>
      <c r="AZ73" s="125" t="s">
        <v>26</v>
      </c>
      <c r="BA73" s="125" t="s">
        <v>49</v>
      </c>
      <c r="BB73" s="79"/>
      <c r="BC73" s="79"/>
      <c r="BD73" s="79"/>
      <c r="BE73" s="6"/>
      <c r="BF73" s="932"/>
      <c r="BG73" s="715"/>
      <c r="BH73" s="93"/>
      <c r="BI73" s="92"/>
    </row>
    <row r="74" spans="1:63" x14ac:dyDescent="0.2">
      <c r="B74" s="41"/>
      <c r="C74" s="394" t="str">
        <f>'Base (Ph1)'!C74</f>
        <v>Insert M/H O/H rate title</v>
      </c>
      <c r="D74" s="6"/>
      <c r="E74" s="350"/>
      <c r="G74" s="384">
        <v>0</v>
      </c>
      <c r="H74" s="383">
        <v>0</v>
      </c>
      <c r="I74" s="104"/>
      <c r="J74" s="104"/>
      <c r="K74" s="104"/>
      <c r="L74" s="104"/>
      <c r="M74" s="91">
        <f>H74*G74</f>
        <v>0</v>
      </c>
      <c r="N74" s="354"/>
      <c r="P74" s="384">
        <v>0</v>
      </c>
      <c r="Q74" s="383">
        <v>0</v>
      </c>
      <c r="R74" s="104"/>
      <c r="S74" s="104"/>
      <c r="T74" s="104"/>
      <c r="U74" s="104"/>
      <c r="V74" s="91">
        <f>Q74*P74</f>
        <v>0</v>
      </c>
      <c r="W74" s="359"/>
      <c r="Y74" s="384">
        <v>0</v>
      </c>
      <c r="Z74" s="383">
        <v>0</v>
      </c>
      <c r="AA74" s="104"/>
      <c r="AB74" s="104"/>
      <c r="AC74" s="104"/>
      <c r="AD74" s="104"/>
      <c r="AE74" s="91">
        <f>Z74*Y74</f>
        <v>0</v>
      </c>
      <c r="AF74" s="365"/>
      <c r="AH74" s="384">
        <v>0</v>
      </c>
      <c r="AI74" s="383">
        <v>0</v>
      </c>
      <c r="AJ74" s="104"/>
      <c r="AK74" s="104"/>
      <c r="AL74" s="104"/>
      <c r="AM74" s="104"/>
      <c r="AN74" s="91">
        <f>AI74*AH74</f>
        <v>0</v>
      </c>
      <c r="AO74" s="318"/>
      <c r="AQ74" s="384">
        <v>0</v>
      </c>
      <c r="AR74" s="383">
        <v>0</v>
      </c>
      <c r="AS74" s="104"/>
      <c r="AT74" s="104"/>
      <c r="AU74" s="104"/>
      <c r="AV74" s="104"/>
      <c r="AW74" s="91">
        <f>AR74*AQ74</f>
        <v>0</v>
      </c>
      <c r="AX74" s="372"/>
      <c r="AZ74" s="384">
        <v>0</v>
      </c>
      <c r="BA74" s="383">
        <v>0</v>
      </c>
      <c r="BB74" s="106"/>
      <c r="BC74" s="106"/>
      <c r="BD74" s="106"/>
      <c r="BE74" s="104"/>
      <c r="BF74" s="91">
        <f>BA74*AZ74</f>
        <v>0</v>
      </c>
      <c r="BG74" s="715"/>
      <c r="BH74" s="94"/>
      <c r="BI74" s="331">
        <f>M74+V74+AE74+AN74+AW74+BF74</f>
        <v>0</v>
      </c>
    </row>
    <row r="75" spans="1:63" ht="13.5" thickBot="1" x14ac:dyDescent="0.25">
      <c r="B75" s="643" t="s">
        <v>64</v>
      </c>
      <c r="C75" s="394" t="str">
        <f>'Base (Ph1)'!C75</f>
        <v>Insert line(s) &amp; title(s) for any other M/H O/H rates</v>
      </c>
      <c r="D75" s="6"/>
      <c r="E75" s="350"/>
      <c r="G75" s="384"/>
      <c r="H75" s="383"/>
      <c r="I75" s="104"/>
      <c r="J75" s="104"/>
      <c r="K75" s="104"/>
      <c r="L75" s="104"/>
      <c r="M75" s="931">
        <f>H75*G75</f>
        <v>0</v>
      </c>
      <c r="N75" s="354"/>
      <c r="P75" s="384"/>
      <c r="Q75" s="383"/>
      <c r="R75" s="104"/>
      <c r="S75" s="104"/>
      <c r="T75" s="104"/>
      <c r="U75" s="104"/>
      <c r="V75" s="931">
        <f>Q75*P75</f>
        <v>0</v>
      </c>
      <c r="W75" s="359"/>
      <c r="Y75" s="384"/>
      <c r="Z75" s="383"/>
      <c r="AA75" s="104"/>
      <c r="AB75" s="104"/>
      <c r="AC75" s="104"/>
      <c r="AD75" s="104"/>
      <c r="AE75" s="931">
        <f>Z75*Y75</f>
        <v>0</v>
      </c>
      <c r="AF75" s="365"/>
      <c r="AH75" s="384"/>
      <c r="AI75" s="383"/>
      <c r="AJ75" s="104"/>
      <c r="AK75" s="104"/>
      <c r="AL75" s="104"/>
      <c r="AM75" s="104"/>
      <c r="AN75" s="931">
        <f>AI75*AH75</f>
        <v>0</v>
      </c>
      <c r="AO75" s="318"/>
      <c r="AQ75" s="384"/>
      <c r="AR75" s="383"/>
      <c r="AS75" s="104"/>
      <c r="AT75" s="104"/>
      <c r="AU75" s="104"/>
      <c r="AV75" s="104"/>
      <c r="AW75" s="931">
        <f>AR75*AQ75</f>
        <v>0</v>
      </c>
      <c r="AX75" s="372"/>
      <c r="AZ75" s="384"/>
      <c r="BA75" s="383"/>
      <c r="BB75" s="106"/>
      <c r="BC75" s="106"/>
      <c r="BD75" s="106"/>
      <c r="BE75" s="104"/>
      <c r="BF75" s="931">
        <f>BA75*AZ75</f>
        <v>0</v>
      </c>
      <c r="BG75" s="715"/>
      <c r="BH75" s="94"/>
      <c r="BI75" s="331">
        <f>M75+V75+AE75+AN75+AW75+BF75</f>
        <v>0</v>
      </c>
    </row>
    <row r="76" spans="1:63" ht="13.5" thickBot="1" x14ac:dyDescent="0.25">
      <c r="B76" s="8"/>
      <c r="C76" s="3" t="s">
        <v>34</v>
      </c>
      <c r="D76" s="7"/>
      <c r="E76" s="350"/>
      <c r="F76" s="81"/>
      <c r="G76" s="3"/>
      <c r="H76" s="7"/>
      <c r="I76" s="7"/>
      <c r="J76" s="7"/>
      <c r="K76" s="7"/>
      <c r="L76" s="7"/>
      <c r="M76" s="936">
        <f>SUM(M73:M75)</f>
        <v>0</v>
      </c>
      <c r="N76" s="354"/>
      <c r="O76" s="3"/>
      <c r="P76" s="3"/>
      <c r="Q76" s="7"/>
      <c r="R76" s="7"/>
      <c r="S76" s="7"/>
      <c r="T76" s="7"/>
      <c r="U76" s="7"/>
      <c r="V76" s="936">
        <f>SUM(V73:V75)</f>
        <v>0</v>
      </c>
      <c r="W76" s="359"/>
      <c r="X76" s="3"/>
      <c r="Y76" s="3"/>
      <c r="Z76" s="7"/>
      <c r="AA76" s="7"/>
      <c r="AB76" s="7"/>
      <c r="AC76" s="7"/>
      <c r="AD76" s="7"/>
      <c r="AE76" s="936">
        <f>SUM(AE73:AE75)</f>
        <v>0</v>
      </c>
      <c r="AF76" s="365"/>
      <c r="AG76" s="3"/>
      <c r="AH76" s="3"/>
      <c r="AI76" s="7"/>
      <c r="AJ76" s="7"/>
      <c r="AK76" s="7"/>
      <c r="AL76" s="7"/>
      <c r="AM76" s="7"/>
      <c r="AN76" s="936">
        <f>SUM(AN73:AN75)</f>
        <v>0</v>
      </c>
      <c r="AO76" s="318"/>
      <c r="AP76" s="3"/>
      <c r="AQ76" s="3"/>
      <c r="AR76" s="7"/>
      <c r="AS76" s="7"/>
      <c r="AT76" s="7"/>
      <c r="AU76" s="7"/>
      <c r="AV76" s="7"/>
      <c r="AW76" s="936">
        <f>SUM(AW73:AW75)</f>
        <v>0</v>
      </c>
      <c r="AX76" s="372"/>
      <c r="AY76" s="3"/>
      <c r="AZ76" s="3"/>
      <c r="BA76" s="81"/>
      <c r="BB76" s="81"/>
      <c r="BC76" s="81"/>
      <c r="BD76" s="81"/>
      <c r="BE76" s="7"/>
      <c r="BF76" s="936">
        <f>SUM(BF73:BF75)</f>
        <v>0</v>
      </c>
      <c r="BG76" s="715"/>
      <c r="BH76" s="95"/>
      <c r="BI76" s="403">
        <f>M76+V76+AE76+AN76+AW76+BF76</f>
        <v>0</v>
      </c>
    </row>
    <row r="77" spans="1:63" s="124" customFormat="1" x14ac:dyDescent="0.2">
      <c r="A77" s="134"/>
      <c r="B77" s="107" t="s">
        <v>18</v>
      </c>
      <c r="C77" s="108"/>
      <c r="D77" s="109"/>
      <c r="E77" s="350"/>
      <c r="F77" s="111"/>
      <c r="G77" s="108"/>
      <c r="H77" s="109"/>
      <c r="I77" s="109"/>
      <c r="J77" s="109"/>
      <c r="K77" s="109"/>
      <c r="L77" s="109"/>
      <c r="M77" s="934">
        <f>H48+M51+M54+M60+M66+M72+M76</f>
        <v>0</v>
      </c>
      <c r="N77" s="354"/>
      <c r="O77" s="108"/>
      <c r="P77" s="108"/>
      <c r="Q77" s="109"/>
      <c r="R77" s="109"/>
      <c r="S77" s="109"/>
      <c r="T77" s="109"/>
      <c r="U77" s="109"/>
      <c r="V77" s="934">
        <f>Q48+V51+V54+V60+V66+V72+V76</f>
        <v>0</v>
      </c>
      <c r="W77" s="359"/>
      <c r="X77" s="108"/>
      <c r="Y77" s="108"/>
      <c r="Z77" s="109"/>
      <c r="AA77" s="109"/>
      <c r="AB77" s="109"/>
      <c r="AC77" s="109"/>
      <c r="AD77" s="109"/>
      <c r="AE77" s="934">
        <f>Z48+AE51+AE54+AE60+AE66+AE72+AE76</f>
        <v>0</v>
      </c>
      <c r="AF77" s="365"/>
      <c r="AG77" s="108"/>
      <c r="AH77" s="108"/>
      <c r="AI77" s="109"/>
      <c r="AJ77" s="109"/>
      <c r="AK77" s="109"/>
      <c r="AL77" s="109"/>
      <c r="AM77" s="109"/>
      <c r="AN77" s="934">
        <f>AI48+AN51+AN54+AN60+AN66+AN72+AN76</f>
        <v>0</v>
      </c>
      <c r="AO77" s="318"/>
      <c r="AP77" s="108"/>
      <c r="AQ77" s="108"/>
      <c r="AR77" s="109"/>
      <c r="AS77" s="109"/>
      <c r="AT77" s="109"/>
      <c r="AU77" s="109"/>
      <c r="AV77" s="109"/>
      <c r="AW77" s="934">
        <f>AR48+AW51+AW54+AW60+AW66+AW72+AW76</f>
        <v>0</v>
      </c>
      <c r="AX77" s="372"/>
      <c r="AY77" s="108"/>
      <c r="AZ77" s="108"/>
      <c r="BA77" s="111"/>
      <c r="BB77" s="111"/>
      <c r="BC77" s="111"/>
      <c r="BD77" s="111"/>
      <c r="BE77" s="109"/>
      <c r="BF77" s="934">
        <f>BA48+BF51+BF54+BF60+BF66+BF72+BF76</f>
        <v>0</v>
      </c>
      <c r="BG77" s="715"/>
      <c r="BH77" s="112"/>
      <c r="BI77" s="403">
        <f>M77+V77+AE77+AN77+AW77+BF77</f>
        <v>0</v>
      </c>
      <c r="BJ77"/>
      <c r="BK77"/>
    </row>
    <row r="78" spans="1:63" x14ac:dyDescent="0.2">
      <c r="B78" s="14" t="s">
        <v>195</v>
      </c>
      <c r="C78" s="1"/>
      <c r="D78" s="6"/>
      <c r="E78" s="350"/>
      <c r="G78" s="125" t="s">
        <v>26</v>
      </c>
      <c r="H78" s="341" t="s">
        <v>49</v>
      </c>
      <c r="I78" s="6"/>
      <c r="J78" s="6"/>
      <c r="K78" s="6"/>
      <c r="L78" s="6"/>
      <c r="M78" s="86"/>
      <c r="N78" s="354"/>
      <c r="P78" s="125" t="s">
        <v>26</v>
      </c>
      <c r="Q78" s="125" t="s">
        <v>49</v>
      </c>
      <c r="R78" s="6"/>
      <c r="S78" s="6"/>
      <c r="T78" s="6"/>
      <c r="U78" s="6"/>
      <c r="V78" s="86"/>
      <c r="W78" s="359"/>
      <c r="Y78" s="125" t="s">
        <v>26</v>
      </c>
      <c r="Z78" s="125" t="s">
        <v>49</v>
      </c>
      <c r="AA78" s="6"/>
      <c r="AB78" s="6"/>
      <c r="AC78" s="6"/>
      <c r="AD78" s="6"/>
      <c r="AE78" s="86"/>
      <c r="AF78" s="365"/>
      <c r="AH78" s="125" t="s">
        <v>26</v>
      </c>
      <c r="AI78" s="125" t="s">
        <v>49</v>
      </c>
      <c r="AJ78" s="6"/>
      <c r="AK78" s="6"/>
      <c r="AL78" s="6"/>
      <c r="AM78" s="6"/>
      <c r="AN78" s="86"/>
      <c r="AO78" s="318"/>
      <c r="AQ78" s="125" t="s">
        <v>26</v>
      </c>
      <c r="AR78" s="125" t="s">
        <v>49</v>
      </c>
      <c r="AS78" s="6"/>
      <c r="AT78" s="6"/>
      <c r="AU78" s="6"/>
      <c r="AV78" s="6"/>
      <c r="AW78" s="86"/>
      <c r="AX78" s="372"/>
      <c r="AZ78" s="125" t="s">
        <v>26</v>
      </c>
      <c r="BA78" s="125" t="s">
        <v>49</v>
      </c>
      <c r="BB78" s="79"/>
      <c r="BC78" s="79"/>
      <c r="BD78" s="79"/>
      <c r="BE78" s="6"/>
      <c r="BF78" s="86"/>
      <c r="BG78" s="715"/>
      <c r="BH78" s="93"/>
      <c r="BI78" s="92"/>
    </row>
    <row r="79" spans="1:63" x14ac:dyDescent="0.2">
      <c r="B79" s="8"/>
      <c r="C79" s="127" t="str">
        <f>'Base (Ph1)'!C79</f>
        <v>G&amp;A</v>
      </c>
      <c r="D79" s="6"/>
      <c r="E79" s="350"/>
      <c r="G79" s="384">
        <v>0</v>
      </c>
      <c r="H79" s="84">
        <f>M77</f>
        <v>0</v>
      </c>
      <c r="I79" s="104"/>
      <c r="J79" s="104"/>
      <c r="K79" s="104"/>
      <c r="L79" s="104"/>
      <c r="M79" s="91">
        <f>H79*G79</f>
        <v>0</v>
      </c>
      <c r="N79" s="354"/>
      <c r="P79" s="384">
        <v>0</v>
      </c>
      <c r="Q79" s="379">
        <f>V77</f>
        <v>0</v>
      </c>
      <c r="R79" s="104"/>
      <c r="S79" s="104"/>
      <c r="T79" s="104"/>
      <c r="U79" s="104"/>
      <c r="V79" s="91">
        <f>Q79*P79</f>
        <v>0</v>
      </c>
      <c r="W79" s="359"/>
      <c r="Y79" s="384">
        <v>0</v>
      </c>
      <c r="Z79" s="379">
        <f>AE77</f>
        <v>0</v>
      </c>
      <c r="AA79" s="104"/>
      <c r="AB79" s="104"/>
      <c r="AC79" s="104"/>
      <c r="AD79" s="104"/>
      <c r="AE79" s="91">
        <f>Z79*Y79</f>
        <v>0</v>
      </c>
      <c r="AF79" s="365"/>
      <c r="AH79" s="384">
        <v>0</v>
      </c>
      <c r="AI79" s="379">
        <f>AN77</f>
        <v>0</v>
      </c>
      <c r="AJ79" s="104"/>
      <c r="AK79" s="104"/>
      <c r="AL79" s="104"/>
      <c r="AM79" s="104"/>
      <c r="AN79" s="91">
        <f>AI79*AH79</f>
        <v>0</v>
      </c>
      <c r="AO79" s="318"/>
      <c r="AQ79" s="384">
        <v>0</v>
      </c>
      <c r="AR79" s="379">
        <f>AW77</f>
        <v>0</v>
      </c>
      <c r="AS79" s="104"/>
      <c r="AT79" s="104"/>
      <c r="AU79" s="104"/>
      <c r="AV79" s="104"/>
      <c r="AW79" s="91">
        <f>AR79*AQ79</f>
        <v>0</v>
      </c>
      <c r="AX79" s="372"/>
      <c r="AZ79" s="384">
        <v>0</v>
      </c>
      <c r="BA79" s="380">
        <f>BF48+BF51+BF54+BF60+BF66+BF72+BF76</f>
        <v>0</v>
      </c>
      <c r="BB79" s="106"/>
      <c r="BC79" s="106"/>
      <c r="BD79" s="106"/>
      <c r="BE79" s="104"/>
      <c r="BF79" s="91">
        <f>BA79*AZ79</f>
        <v>0</v>
      </c>
      <c r="BG79" s="715"/>
      <c r="BH79" s="94"/>
      <c r="BI79" s="331">
        <f>M79+V79+AE79+AN79+AW79+BF79</f>
        <v>0</v>
      </c>
    </row>
    <row r="80" spans="1:63" ht="13.5" thickBot="1" x14ac:dyDescent="0.25">
      <c r="B80" s="8"/>
      <c r="C80" s="394" t="str">
        <f>'Base (Ph1)'!C80</f>
        <v>Insert line(s) &amp; title(s) for any other G&amp;A rates</v>
      </c>
      <c r="D80" s="6"/>
      <c r="E80" s="350"/>
      <c r="G80" s="384"/>
      <c r="H80" s="383"/>
      <c r="I80" s="104"/>
      <c r="J80" s="104"/>
      <c r="K80" s="104"/>
      <c r="L80" s="104"/>
      <c r="M80" s="931">
        <f>H80*G80</f>
        <v>0</v>
      </c>
      <c r="N80" s="354"/>
      <c r="P80" s="384"/>
      <c r="Q80" s="387"/>
      <c r="R80" s="104"/>
      <c r="S80" s="104"/>
      <c r="T80" s="104"/>
      <c r="U80" s="104"/>
      <c r="V80" s="931">
        <f>Q80*P80</f>
        <v>0</v>
      </c>
      <c r="W80" s="359"/>
      <c r="Y80" s="384"/>
      <c r="Z80" s="387"/>
      <c r="AA80" s="104"/>
      <c r="AB80" s="104"/>
      <c r="AC80" s="104"/>
      <c r="AD80" s="104"/>
      <c r="AE80" s="931">
        <f>Z80*Y80</f>
        <v>0</v>
      </c>
      <c r="AF80" s="365"/>
      <c r="AH80" s="384"/>
      <c r="AI80" s="387"/>
      <c r="AJ80" s="104"/>
      <c r="AK80" s="104"/>
      <c r="AL80" s="104"/>
      <c r="AM80" s="104"/>
      <c r="AN80" s="931">
        <f>AI80*AH80</f>
        <v>0</v>
      </c>
      <c r="AO80" s="318"/>
      <c r="AQ80" s="384"/>
      <c r="AR80" s="387"/>
      <c r="AS80" s="104"/>
      <c r="AT80" s="104"/>
      <c r="AU80" s="104"/>
      <c r="AV80" s="104"/>
      <c r="AW80" s="931">
        <f>AR80*AQ80</f>
        <v>0</v>
      </c>
      <c r="AX80" s="372"/>
      <c r="AZ80" s="384"/>
      <c r="BA80" s="388"/>
      <c r="BB80" s="106"/>
      <c r="BC80" s="106"/>
      <c r="BD80" s="106"/>
      <c r="BE80" s="104"/>
      <c r="BF80" s="931">
        <f>BA80*AZ80</f>
        <v>0</v>
      </c>
      <c r="BG80" s="715"/>
      <c r="BH80" s="94"/>
      <c r="BI80" s="331">
        <f>M80+V80+AE80+AN80+AW80+BF80</f>
        <v>0</v>
      </c>
    </row>
    <row r="81" spans="2:61" ht="13.5" thickBot="1" x14ac:dyDescent="0.25">
      <c r="B81" s="8"/>
      <c r="C81" s="3" t="s">
        <v>39</v>
      </c>
      <c r="D81" s="7"/>
      <c r="E81" s="350"/>
      <c r="F81" s="81"/>
      <c r="G81" s="3"/>
      <c r="H81" s="7"/>
      <c r="I81" s="7"/>
      <c r="J81" s="7"/>
      <c r="K81" s="7"/>
      <c r="L81" s="7"/>
      <c r="M81" s="936">
        <f>SUM(M78:M80)</f>
        <v>0</v>
      </c>
      <c r="N81" s="354"/>
      <c r="O81" s="3"/>
      <c r="P81" s="3"/>
      <c r="Q81" s="7"/>
      <c r="R81" s="7"/>
      <c r="S81" s="7"/>
      <c r="T81" s="7"/>
      <c r="U81" s="7"/>
      <c r="V81" s="936">
        <f>SUM(V79:V80)</f>
        <v>0</v>
      </c>
      <c r="W81" s="359"/>
      <c r="X81" s="3"/>
      <c r="Y81" s="3"/>
      <c r="Z81" s="7"/>
      <c r="AA81" s="7"/>
      <c r="AB81" s="7"/>
      <c r="AC81" s="7"/>
      <c r="AD81" s="7"/>
      <c r="AE81" s="936">
        <f>SUM(AE79:AE80)</f>
        <v>0</v>
      </c>
      <c r="AF81" s="365"/>
      <c r="AG81" s="3"/>
      <c r="AH81" s="3"/>
      <c r="AI81" s="7"/>
      <c r="AJ81" s="7"/>
      <c r="AK81" s="7"/>
      <c r="AL81" s="7"/>
      <c r="AM81" s="7"/>
      <c r="AN81" s="936">
        <f>SUM(AN79:AN80)</f>
        <v>0</v>
      </c>
      <c r="AO81" s="318"/>
      <c r="AP81" s="3"/>
      <c r="AQ81" s="3"/>
      <c r="AR81" s="7"/>
      <c r="AS81" s="7"/>
      <c r="AT81" s="7"/>
      <c r="AU81" s="7"/>
      <c r="AV81" s="7"/>
      <c r="AW81" s="936">
        <f>SUM(AW79:AW80)</f>
        <v>0</v>
      </c>
      <c r="AX81" s="372"/>
      <c r="AY81" s="3"/>
      <c r="AZ81" s="3"/>
      <c r="BA81" s="81"/>
      <c r="BB81" s="81"/>
      <c r="BC81" s="81"/>
      <c r="BD81" s="81"/>
      <c r="BE81" s="7"/>
      <c r="BF81" s="936">
        <f>SUM(BF79:BF80)</f>
        <v>0</v>
      </c>
      <c r="BG81" s="715"/>
      <c r="BH81" s="95"/>
      <c r="BI81" s="403">
        <f>M81+V81+AE81+AN81+AW81+BF81</f>
        <v>0</v>
      </c>
    </row>
    <row r="82" spans="2:61" ht="13.5" thickBot="1" x14ac:dyDescent="0.25">
      <c r="B82" s="107" t="s">
        <v>18</v>
      </c>
      <c r="C82" s="113"/>
      <c r="D82" s="114"/>
      <c r="E82" s="350"/>
      <c r="F82" s="116"/>
      <c r="G82" s="113"/>
      <c r="H82" s="114"/>
      <c r="I82" s="114"/>
      <c r="J82" s="114"/>
      <c r="K82" s="114"/>
      <c r="L82" s="114"/>
      <c r="M82" s="936">
        <f>M77+M81</f>
        <v>0</v>
      </c>
      <c r="N82" s="354"/>
      <c r="O82" s="113"/>
      <c r="P82" s="113"/>
      <c r="Q82" s="114"/>
      <c r="R82" s="114"/>
      <c r="S82" s="114"/>
      <c r="T82" s="114"/>
      <c r="U82" s="114"/>
      <c r="V82" s="936">
        <f>V77+V81</f>
        <v>0</v>
      </c>
      <c r="W82" s="359"/>
      <c r="X82" s="113"/>
      <c r="Y82" s="113"/>
      <c r="Z82" s="114"/>
      <c r="AA82" s="114"/>
      <c r="AB82" s="114"/>
      <c r="AC82" s="114"/>
      <c r="AD82" s="114"/>
      <c r="AE82" s="936">
        <f>AE77+AE81</f>
        <v>0</v>
      </c>
      <c r="AF82" s="365"/>
      <c r="AG82" s="113"/>
      <c r="AH82" s="113"/>
      <c r="AI82" s="114"/>
      <c r="AJ82" s="114"/>
      <c r="AK82" s="114"/>
      <c r="AL82" s="114"/>
      <c r="AM82" s="114"/>
      <c r="AN82" s="936">
        <f>AN77+AN81</f>
        <v>0</v>
      </c>
      <c r="AO82" s="318"/>
      <c r="AP82" s="113"/>
      <c r="AQ82" s="113"/>
      <c r="AR82" s="114"/>
      <c r="AS82" s="114"/>
      <c r="AT82" s="114"/>
      <c r="AU82" s="114"/>
      <c r="AV82" s="114"/>
      <c r="AW82" s="936">
        <f>AW77+AW81</f>
        <v>0</v>
      </c>
      <c r="AX82" s="372"/>
      <c r="AY82" s="113"/>
      <c r="AZ82" s="113"/>
      <c r="BA82" s="116"/>
      <c r="BB82" s="116"/>
      <c r="BC82" s="116"/>
      <c r="BD82" s="116"/>
      <c r="BE82" s="114"/>
      <c r="BF82" s="936">
        <f>BF77+BF81</f>
        <v>0</v>
      </c>
      <c r="BG82" s="715"/>
      <c r="BH82" s="117"/>
      <c r="BI82" s="331">
        <f>M82+V82+AE82+AN82+AW82+BF82</f>
        <v>0</v>
      </c>
    </row>
    <row r="83" spans="2:61" x14ac:dyDescent="0.2">
      <c r="B83" s="14" t="s">
        <v>196</v>
      </c>
      <c r="C83" s="1"/>
      <c r="D83" s="6"/>
      <c r="E83" s="350"/>
      <c r="G83" s="125" t="s">
        <v>26</v>
      </c>
      <c r="H83" s="341" t="s">
        <v>49</v>
      </c>
      <c r="I83" s="6"/>
      <c r="J83" s="6"/>
      <c r="K83" s="6"/>
      <c r="L83" s="6"/>
      <c r="M83" s="932"/>
      <c r="N83" s="354"/>
      <c r="P83" s="125" t="s">
        <v>26</v>
      </c>
      <c r="Q83" s="125" t="s">
        <v>49</v>
      </c>
      <c r="R83" s="6"/>
      <c r="S83" s="6"/>
      <c r="T83" s="6"/>
      <c r="U83" s="6"/>
      <c r="V83" s="932"/>
      <c r="W83" s="359"/>
      <c r="Y83" s="125" t="s">
        <v>26</v>
      </c>
      <c r="Z83" s="125" t="s">
        <v>49</v>
      </c>
      <c r="AA83" s="6"/>
      <c r="AB83" s="6"/>
      <c r="AC83" s="6"/>
      <c r="AD83" s="6"/>
      <c r="AE83" s="932"/>
      <c r="AF83" s="365"/>
      <c r="AH83" s="125" t="s">
        <v>26</v>
      </c>
      <c r="AI83" s="125" t="s">
        <v>49</v>
      </c>
      <c r="AJ83" s="6"/>
      <c r="AK83" s="6"/>
      <c r="AL83" s="6"/>
      <c r="AM83" s="6"/>
      <c r="AN83" s="932"/>
      <c r="AO83" s="318"/>
      <c r="AQ83" s="125" t="s">
        <v>26</v>
      </c>
      <c r="AR83" s="125" t="s">
        <v>49</v>
      </c>
      <c r="AS83" s="6"/>
      <c r="AT83" s="6"/>
      <c r="AU83" s="6"/>
      <c r="AV83" s="6"/>
      <c r="AW83" s="932"/>
      <c r="AX83" s="372"/>
      <c r="AZ83" s="125" t="s">
        <v>26</v>
      </c>
      <c r="BA83" s="125" t="s">
        <v>49</v>
      </c>
      <c r="BB83" s="79"/>
      <c r="BC83" s="79"/>
      <c r="BD83" s="79"/>
      <c r="BE83" s="6"/>
      <c r="BF83" s="932"/>
      <c r="BG83" s="715"/>
      <c r="BH83" s="93"/>
      <c r="BI83" s="92"/>
    </row>
    <row r="84" spans="2:61" x14ac:dyDescent="0.2">
      <c r="B84" s="643" t="s">
        <v>64</v>
      </c>
      <c r="C84" s="127" t="str">
        <f>'Base (Ph1)'!C84</f>
        <v>Insert COM rate title</v>
      </c>
      <c r="D84" s="6"/>
      <c r="E84" s="350"/>
      <c r="G84" s="384">
        <v>0</v>
      </c>
      <c r="H84" s="383">
        <v>0</v>
      </c>
      <c r="I84" s="104"/>
      <c r="J84" s="104"/>
      <c r="K84" s="104"/>
      <c r="L84" s="104"/>
      <c r="M84" s="91">
        <f>H84*G84</f>
        <v>0</v>
      </c>
      <c r="N84" s="354"/>
      <c r="P84" s="384">
        <v>0</v>
      </c>
      <c r="Q84" s="383">
        <v>0</v>
      </c>
      <c r="R84" s="104"/>
      <c r="S84" s="104"/>
      <c r="T84" s="104"/>
      <c r="U84" s="104"/>
      <c r="V84" s="91">
        <f>Q84*P84</f>
        <v>0</v>
      </c>
      <c r="W84" s="359"/>
      <c r="Y84" s="384">
        <v>0</v>
      </c>
      <c r="Z84" s="383">
        <v>0</v>
      </c>
      <c r="AA84" s="104"/>
      <c r="AB84" s="104"/>
      <c r="AC84" s="104"/>
      <c r="AD84" s="104"/>
      <c r="AE84" s="91">
        <f>Z84*Y84</f>
        <v>0</v>
      </c>
      <c r="AF84" s="365"/>
      <c r="AH84" s="384">
        <v>0</v>
      </c>
      <c r="AI84" s="383">
        <v>0</v>
      </c>
      <c r="AJ84" s="104"/>
      <c r="AK84" s="104"/>
      <c r="AL84" s="104"/>
      <c r="AM84" s="104"/>
      <c r="AN84" s="91">
        <f>AI84*AH84</f>
        <v>0</v>
      </c>
      <c r="AO84" s="318"/>
      <c r="AQ84" s="384">
        <v>0</v>
      </c>
      <c r="AR84" s="383">
        <v>0</v>
      </c>
      <c r="AS84" s="104"/>
      <c r="AT84" s="104"/>
      <c r="AU84" s="104"/>
      <c r="AV84" s="104"/>
      <c r="AW84" s="91">
        <f>AR84*AQ84</f>
        <v>0</v>
      </c>
      <c r="AX84" s="372"/>
      <c r="AZ84" s="384">
        <v>0</v>
      </c>
      <c r="BA84" s="383">
        <v>0</v>
      </c>
      <c r="BB84" s="106"/>
      <c r="BC84" s="106"/>
      <c r="BD84" s="106"/>
      <c r="BE84" s="104"/>
      <c r="BF84" s="91">
        <f>BA84*AZ84</f>
        <v>0</v>
      </c>
      <c r="BG84" s="715"/>
      <c r="BH84" s="94"/>
      <c r="BI84" s="331">
        <f>M84+V84+AE84+AN84+AW84+BF84</f>
        <v>0</v>
      </c>
    </row>
    <row r="85" spans="2:61" ht="13.5" thickBot="1" x14ac:dyDescent="0.25">
      <c r="B85" s="643" t="s">
        <v>64</v>
      </c>
      <c r="C85" s="394" t="str">
        <f>'Base (Ph1)'!C85</f>
        <v>Insert line(s) &amp; title(s) for any other COM rates</v>
      </c>
      <c r="D85" s="6"/>
      <c r="E85" s="350"/>
      <c r="G85" s="384"/>
      <c r="H85" s="383"/>
      <c r="I85" s="104"/>
      <c r="J85" s="104"/>
      <c r="K85" s="104"/>
      <c r="L85" s="104"/>
      <c r="M85" s="931">
        <f>H85*G85</f>
        <v>0</v>
      </c>
      <c r="N85" s="354"/>
      <c r="P85" s="384"/>
      <c r="Q85" s="383"/>
      <c r="R85" s="104"/>
      <c r="S85" s="104"/>
      <c r="T85" s="104"/>
      <c r="U85" s="104"/>
      <c r="V85" s="931">
        <f>Q85*P85</f>
        <v>0</v>
      </c>
      <c r="W85" s="359"/>
      <c r="Y85" s="384"/>
      <c r="Z85" s="383"/>
      <c r="AA85" s="104"/>
      <c r="AB85" s="104"/>
      <c r="AC85" s="104"/>
      <c r="AD85" s="104"/>
      <c r="AE85" s="931">
        <f>Z85*Y85</f>
        <v>0</v>
      </c>
      <c r="AF85" s="365"/>
      <c r="AH85" s="384"/>
      <c r="AI85" s="383"/>
      <c r="AJ85" s="104"/>
      <c r="AK85" s="104"/>
      <c r="AL85" s="104"/>
      <c r="AM85" s="104"/>
      <c r="AN85" s="931">
        <f>AI85*AH85</f>
        <v>0</v>
      </c>
      <c r="AO85" s="318"/>
      <c r="AQ85" s="384"/>
      <c r="AR85" s="383"/>
      <c r="AS85" s="104"/>
      <c r="AT85" s="104"/>
      <c r="AU85" s="104"/>
      <c r="AV85" s="104"/>
      <c r="AW85" s="931">
        <f>AR85*AQ85</f>
        <v>0</v>
      </c>
      <c r="AX85" s="372"/>
      <c r="AZ85" s="384"/>
      <c r="BA85" s="383"/>
      <c r="BB85" s="106"/>
      <c r="BC85" s="106"/>
      <c r="BD85" s="106"/>
      <c r="BE85" s="104"/>
      <c r="BF85" s="931">
        <f>BA85*AZ85</f>
        <v>0</v>
      </c>
      <c r="BG85" s="715"/>
      <c r="BH85" s="94"/>
      <c r="BI85" s="331">
        <f>M85+V85+AE85+AN85+AW85+BF85</f>
        <v>0</v>
      </c>
    </row>
    <row r="86" spans="2:61" ht="13.5" thickBot="1" x14ac:dyDescent="0.25">
      <c r="B86" s="8"/>
      <c r="C86" s="3" t="s">
        <v>20</v>
      </c>
      <c r="D86" s="7"/>
      <c r="E86" s="350"/>
      <c r="F86" s="81"/>
      <c r="G86" s="3"/>
      <c r="H86" s="7"/>
      <c r="I86" s="7"/>
      <c r="J86" s="7"/>
      <c r="K86" s="7"/>
      <c r="L86" s="7"/>
      <c r="M86" s="936">
        <f>SUM(M83:M85)</f>
        <v>0</v>
      </c>
      <c r="N86" s="354"/>
      <c r="O86" s="3"/>
      <c r="P86" s="3"/>
      <c r="Q86" s="7"/>
      <c r="R86" s="7"/>
      <c r="S86" s="7"/>
      <c r="T86" s="7"/>
      <c r="U86" s="7"/>
      <c r="V86" s="936">
        <f>SUM(V84:V85)</f>
        <v>0</v>
      </c>
      <c r="W86" s="359"/>
      <c r="X86" s="3"/>
      <c r="Y86" s="3"/>
      <c r="Z86" s="7"/>
      <c r="AA86" s="7"/>
      <c r="AB86" s="7"/>
      <c r="AC86" s="7"/>
      <c r="AD86" s="7"/>
      <c r="AE86" s="936">
        <f>SUM(AE84:AE85)</f>
        <v>0</v>
      </c>
      <c r="AF86" s="365"/>
      <c r="AG86" s="3"/>
      <c r="AH86" s="3"/>
      <c r="AI86" s="7"/>
      <c r="AJ86" s="7"/>
      <c r="AK86" s="7"/>
      <c r="AL86" s="7"/>
      <c r="AM86" s="7"/>
      <c r="AN86" s="936">
        <f>SUM(AN84:AN85)</f>
        <v>0</v>
      </c>
      <c r="AO86" s="318"/>
      <c r="AP86" s="3"/>
      <c r="AQ86" s="3"/>
      <c r="AR86" s="7"/>
      <c r="AS86" s="7"/>
      <c r="AT86" s="7"/>
      <c r="AU86" s="7"/>
      <c r="AV86" s="7"/>
      <c r="AW86" s="936">
        <f>SUM(AW84:AW85)</f>
        <v>0</v>
      </c>
      <c r="AX86" s="372"/>
      <c r="AY86" s="3"/>
      <c r="AZ86" s="3"/>
      <c r="BA86" s="81"/>
      <c r="BB86" s="81"/>
      <c r="BC86" s="81"/>
      <c r="BD86" s="81"/>
      <c r="BE86" s="7"/>
      <c r="BF86" s="936">
        <f>SUM(BF84:BF85)</f>
        <v>0</v>
      </c>
      <c r="BG86" s="715"/>
      <c r="BH86" s="95"/>
      <c r="BI86" s="403">
        <f>M86+V86+AE86+AN86+AW86+BF86</f>
        <v>0</v>
      </c>
    </row>
    <row r="87" spans="2:61" ht="13.5" thickBot="1" x14ac:dyDescent="0.25">
      <c r="B87" s="662" t="s">
        <v>19</v>
      </c>
      <c r="C87" s="663"/>
      <c r="D87" s="664"/>
      <c r="E87" s="350"/>
      <c r="F87" s="665"/>
      <c r="G87" s="663"/>
      <c r="H87" s="664"/>
      <c r="I87" s="664"/>
      <c r="J87" s="664"/>
      <c r="K87" s="664"/>
      <c r="L87" s="664"/>
      <c r="M87" s="937">
        <f>M82+M86</f>
        <v>0</v>
      </c>
      <c r="N87" s="354"/>
      <c r="O87" s="663"/>
      <c r="P87" s="663"/>
      <c r="Q87" s="664"/>
      <c r="R87" s="664"/>
      <c r="S87" s="664"/>
      <c r="T87" s="664"/>
      <c r="U87" s="664"/>
      <c r="V87" s="937">
        <f>V82+V86</f>
        <v>0</v>
      </c>
      <c r="W87" s="359"/>
      <c r="X87" s="663"/>
      <c r="Y87" s="663"/>
      <c r="Z87" s="664"/>
      <c r="AA87" s="664"/>
      <c r="AB87" s="664"/>
      <c r="AC87" s="664"/>
      <c r="AD87" s="664"/>
      <c r="AE87" s="937">
        <f>AE82+AE86</f>
        <v>0</v>
      </c>
      <c r="AF87" s="365"/>
      <c r="AG87" s="663"/>
      <c r="AH87" s="663"/>
      <c r="AI87" s="664"/>
      <c r="AJ87" s="664"/>
      <c r="AK87" s="664"/>
      <c r="AL87" s="664"/>
      <c r="AM87" s="664"/>
      <c r="AN87" s="937">
        <f>AN82+AN86</f>
        <v>0</v>
      </c>
      <c r="AO87" s="318"/>
      <c r="AP87" s="663"/>
      <c r="AQ87" s="663"/>
      <c r="AR87" s="664"/>
      <c r="AS87" s="664"/>
      <c r="AT87" s="664"/>
      <c r="AU87" s="664"/>
      <c r="AV87" s="664"/>
      <c r="AW87" s="937">
        <f>AW82+AW86</f>
        <v>0</v>
      </c>
      <c r="AX87" s="372"/>
      <c r="AY87" s="663"/>
      <c r="AZ87" s="663"/>
      <c r="BA87" s="665"/>
      <c r="BB87" s="665"/>
      <c r="BC87" s="665"/>
      <c r="BD87" s="665"/>
      <c r="BE87" s="664"/>
      <c r="BF87" s="91">
        <f>BF82+BF86</f>
        <v>0</v>
      </c>
      <c r="BG87" s="715"/>
      <c r="BH87" s="666"/>
      <c r="BI87" s="403">
        <f>M87+V87+AE87+AN87+AW87+BF87</f>
        <v>0</v>
      </c>
    </row>
    <row r="88" spans="2:61" x14ac:dyDescent="0.2">
      <c r="B88" s="644" t="s">
        <v>499</v>
      </c>
      <c r="C88" s="645"/>
      <c r="D88" s="646"/>
      <c r="E88" s="350"/>
      <c r="F88" s="647"/>
      <c r="G88" s="647"/>
      <c r="H88" s="647"/>
      <c r="I88" s="647"/>
      <c r="J88" s="647"/>
      <c r="K88" s="647"/>
      <c r="L88" s="647"/>
      <c r="M88" s="935"/>
      <c r="N88" s="354"/>
      <c r="O88" s="647"/>
      <c r="P88" s="647"/>
      <c r="Q88" s="647"/>
      <c r="R88" s="647"/>
      <c r="S88" s="647"/>
      <c r="T88" s="647"/>
      <c r="U88" s="647"/>
      <c r="V88" s="703"/>
      <c r="W88" s="359"/>
      <c r="X88" s="647"/>
      <c r="Y88" s="647"/>
      <c r="Z88" s="647"/>
      <c r="AA88" s="647"/>
      <c r="AB88" s="647"/>
      <c r="AC88" s="647"/>
      <c r="AD88" s="647"/>
      <c r="AE88" s="703"/>
      <c r="AF88" s="365"/>
      <c r="AG88" s="647"/>
      <c r="AH88" s="647"/>
      <c r="AI88" s="647"/>
      <c r="AJ88" s="647"/>
      <c r="AK88" s="647"/>
      <c r="AL88" s="647"/>
      <c r="AM88" s="647"/>
      <c r="AN88" s="703"/>
      <c r="AO88" s="318"/>
      <c r="AP88" s="647"/>
      <c r="AQ88" s="647"/>
      <c r="AR88" s="647"/>
      <c r="AS88" s="647"/>
      <c r="AT88" s="647"/>
      <c r="AU88" s="647"/>
      <c r="AV88" s="647"/>
      <c r="AW88" s="703"/>
      <c r="AX88" s="372"/>
      <c r="AY88" s="647"/>
      <c r="AZ88" s="647"/>
      <c r="BA88" s="647"/>
      <c r="BB88" s="647"/>
      <c r="BC88" s="647"/>
      <c r="BD88" s="647"/>
      <c r="BE88" s="654"/>
      <c r="BF88" s="654"/>
      <c r="BG88" s="675"/>
      <c r="BH88" s="650" t="s">
        <v>501</v>
      </c>
      <c r="BI88" s="405">
        <f>BI87-BI70</f>
        <v>0</v>
      </c>
    </row>
    <row r="89" spans="2:61" ht="13.5" thickBot="1" x14ac:dyDescent="0.25">
      <c r="B89" s="21" t="s">
        <v>27</v>
      </c>
      <c r="C89" s="16"/>
      <c r="E89" s="350"/>
      <c r="F89" s="105"/>
      <c r="G89" s="105"/>
      <c r="H89" s="105"/>
      <c r="I89" s="105"/>
      <c r="J89" s="105"/>
      <c r="K89" s="704"/>
      <c r="L89" s="105"/>
      <c r="M89" s="705"/>
      <c r="N89" s="354"/>
      <c r="O89" s="105"/>
      <c r="P89" s="105"/>
      <c r="Q89" s="105"/>
      <c r="R89" s="105"/>
      <c r="S89" s="105"/>
      <c r="T89" s="105"/>
      <c r="U89" s="105"/>
      <c r="V89" s="705"/>
      <c r="W89" s="359"/>
      <c r="X89" s="105"/>
      <c r="Y89" s="105"/>
      <c r="Z89" s="105"/>
      <c r="AA89" s="105"/>
      <c r="AB89" s="105"/>
      <c r="AC89" s="105"/>
      <c r="AD89" s="105"/>
      <c r="AE89" s="705"/>
      <c r="AF89" s="365"/>
      <c r="AG89" s="105"/>
      <c r="AH89" s="105"/>
      <c r="AI89" s="105"/>
      <c r="AJ89" s="105"/>
      <c r="AK89" s="105"/>
      <c r="AL89" s="105"/>
      <c r="AM89" s="105"/>
      <c r="AN89" s="705"/>
      <c r="AO89" s="318"/>
      <c r="AP89" s="105"/>
      <c r="AQ89" s="105"/>
      <c r="AR89" s="105"/>
      <c r="AS89" s="105"/>
      <c r="AT89" s="105"/>
      <c r="AU89" s="105"/>
      <c r="AV89" s="105"/>
      <c r="AW89" s="705"/>
      <c r="AX89" s="372"/>
      <c r="AY89" s="105"/>
      <c r="AZ89" s="105"/>
      <c r="BA89" s="105"/>
      <c r="BB89" s="105"/>
      <c r="BC89" s="105"/>
      <c r="BD89" s="105"/>
      <c r="BE89" s="655"/>
      <c r="BF89" s="648" t="s">
        <v>500</v>
      </c>
      <c r="BG89" s="668"/>
      <c r="BH89" s="657" t="e">
        <f>BI89/BI88</f>
        <v>#DIV/0!</v>
      </c>
      <c r="BI89" s="656"/>
    </row>
    <row r="90" spans="2:61" ht="13.5" thickBot="1" x14ac:dyDescent="0.25">
      <c r="B90" s="118" t="s">
        <v>28</v>
      </c>
      <c r="C90" s="119"/>
      <c r="D90" s="120"/>
      <c r="E90" s="350"/>
      <c r="F90" s="684"/>
      <c r="G90" s="684"/>
      <c r="H90" s="684"/>
      <c r="I90" s="684"/>
      <c r="J90" s="684"/>
      <c r="K90" s="684"/>
      <c r="L90" s="684"/>
      <c r="M90" s="706"/>
      <c r="N90" s="354"/>
      <c r="O90" s="121"/>
      <c r="P90" s="121"/>
      <c r="Q90" s="121"/>
      <c r="R90" s="121"/>
      <c r="S90" s="121"/>
      <c r="T90" s="121"/>
      <c r="U90" s="121"/>
      <c r="V90" s="706"/>
      <c r="W90" s="359"/>
      <c r="X90" s="121"/>
      <c r="Y90" s="121"/>
      <c r="Z90" s="121"/>
      <c r="AA90" s="121"/>
      <c r="AB90" s="121"/>
      <c r="AC90" s="121"/>
      <c r="AD90" s="121"/>
      <c r="AE90" s="706"/>
      <c r="AF90" s="365"/>
      <c r="AG90" s="121"/>
      <c r="AH90" s="121"/>
      <c r="AI90" s="121"/>
      <c r="AJ90" s="121"/>
      <c r="AK90" s="121"/>
      <c r="AL90" s="121"/>
      <c r="AM90" s="121"/>
      <c r="AN90" s="706"/>
      <c r="AO90" s="318"/>
      <c r="AP90" s="121"/>
      <c r="AQ90" s="121"/>
      <c r="AR90" s="121"/>
      <c r="AS90" s="121"/>
      <c r="AT90" s="121"/>
      <c r="AU90" s="121"/>
      <c r="AV90" s="121"/>
      <c r="AW90" s="706"/>
      <c r="AX90" s="372"/>
      <c r="AY90" s="121"/>
      <c r="AZ90" s="121"/>
      <c r="BA90" s="121"/>
      <c r="BB90" s="121"/>
      <c r="BC90" s="121"/>
      <c r="BD90" s="121"/>
      <c r="BE90" s="121"/>
      <c r="BF90" s="121"/>
      <c r="BG90" s="716"/>
      <c r="BH90" s="649" t="s">
        <v>498</v>
      </c>
      <c r="BI90" s="687">
        <f>BI87+BI89</f>
        <v>0</v>
      </c>
    </row>
    <row r="91" spans="2:61" ht="13.5" thickBot="1" x14ac:dyDescent="0.25">
      <c r="E91" s="701"/>
      <c r="F91" s="685"/>
      <c r="G91" s="685"/>
      <c r="H91" s="685"/>
      <c r="I91" s="685"/>
      <c r="J91" s="685"/>
      <c r="K91" s="685"/>
      <c r="L91" s="685"/>
      <c r="M91" s="686"/>
      <c r="N91" s="708"/>
      <c r="O91" s="697"/>
      <c r="P91" s="697"/>
      <c r="Q91" s="697"/>
      <c r="R91" s="697"/>
      <c r="S91" s="697"/>
      <c r="T91" s="697"/>
      <c r="U91" s="697"/>
      <c r="V91" s="698"/>
      <c r="W91" s="709"/>
      <c r="X91" s="694"/>
      <c r="Y91" s="694"/>
      <c r="Z91" s="695" t="s">
        <v>65</v>
      </c>
      <c r="AA91" s="694"/>
      <c r="AB91" s="694"/>
      <c r="AC91" s="694"/>
      <c r="AD91" s="694"/>
      <c r="AE91" s="696"/>
      <c r="AF91" s="711"/>
      <c r="AG91" s="692"/>
      <c r="AH91" s="692"/>
      <c r="AI91" s="692"/>
      <c r="AJ91" s="692"/>
      <c r="AK91" s="692"/>
      <c r="AL91" s="692"/>
      <c r="AM91" s="692"/>
      <c r="AN91" s="693"/>
      <c r="AO91" s="712"/>
      <c r="AP91" s="690"/>
      <c r="AQ91" s="690"/>
      <c r="AR91" s="690"/>
      <c r="AS91" s="690"/>
      <c r="AT91" s="690"/>
      <c r="AU91" s="690"/>
      <c r="AV91" s="690"/>
      <c r="AW91" s="691"/>
      <c r="AX91" s="713"/>
      <c r="AY91" s="699"/>
      <c r="AZ91" s="699"/>
      <c r="BA91" s="699"/>
      <c r="BB91" s="699"/>
      <c r="BC91" s="699"/>
      <c r="BD91" s="699"/>
      <c r="BE91" s="699"/>
      <c r="BF91" s="700"/>
      <c r="BG91" s="717"/>
      <c r="BH91" s="688"/>
      <c r="BI91" s="689"/>
    </row>
    <row r="92" spans="2:61" ht="108.75" customHeight="1" x14ac:dyDescent="0.2">
      <c r="B92" s="566" t="s">
        <v>81</v>
      </c>
      <c r="C92" s="1444" t="s">
        <v>494</v>
      </c>
      <c r="D92" s="1444"/>
      <c r="E92" s="632"/>
      <c r="F92" s="632"/>
      <c r="G92" s="632"/>
      <c r="H92" s="632"/>
      <c r="I92" s="632"/>
      <c r="J92" s="632"/>
      <c r="K92" s="632"/>
      <c r="L92" s="632"/>
      <c r="M92" s="632"/>
      <c r="N92" s="632"/>
      <c r="O92" s="632"/>
      <c r="Z92" s="29"/>
    </row>
    <row r="93" spans="2:61" ht="33" customHeight="1" x14ac:dyDescent="0.2">
      <c r="B93" s="610" t="s">
        <v>42</v>
      </c>
      <c r="C93" s="1441" t="s">
        <v>651</v>
      </c>
      <c r="D93" s="1441"/>
    </row>
    <row r="94" spans="2:61" ht="45" customHeight="1" x14ac:dyDescent="0.2">
      <c r="B94" s="641" t="s">
        <v>13</v>
      </c>
      <c r="C94" s="1441" t="s">
        <v>652</v>
      </c>
      <c r="D94" s="1441"/>
    </row>
    <row r="95" spans="2:61" ht="58.5" customHeight="1" x14ac:dyDescent="0.2">
      <c r="B95" s="641" t="s">
        <v>44</v>
      </c>
      <c r="C95" s="1488" t="s">
        <v>653</v>
      </c>
      <c r="D95" s="1488"/>
      <c r="E95" s="634"/>
      <c r="F95" s="634"/>
      <c r="G95" s="634"/>
      <c r="H95" s="634"/>
      <c r="I95" s="634"/>
      <c r="J95" s="634"/>
      <c r="K95" s="634"/>
      <c r="L95" s="634"/>
      <c r="M95" s="634"/>
      <c r="N95" s="634"/>
      <c r="O95" s="634"/>
      <c r="P95" s="634"/>
      <c r="Q95" s="57"/>
      <c r="R95" s="57"/>
      <c r="T95" s="57"/>
      <c r="U95" s="57"/>
      <c r="V95" s="57"/>
      <c r="W95" s="57"/>
      <c r="X95" s="57"/>
      <c r="AF95" s="57"/>
      <c r="AO95" s="57"/>
      <c r="AX95" s="57"/>
    </row>
    <row r="96" spans="2:61" ht="45" customHeight="1" x14ac:dyDescent="0.2">
      <c r="B96" s="641" t="s">
        <v>45</v>
      </c>
      <c r="C96" s="1489" t="s">
        <v>654</v>
      </c>
      <c r="D96" s="1489"/>
      <c r="E96" s="651"/>
      <c r="F96" s="651"/>
      <c r="G96" s="651"/>
      <c r="H96" s="651"/>
      <c r="I96" s="651"/>
      <c r="J96" s="651"/>
      <c r="K96" s="651"/>
      <c r="L96" s="651"/>
      <c r="M96" s="651"/>
      <c r="N96" s="651"/>
      <c r="O96" s="651"/>
      <c r="P96" s="651"/>
      <c r="Q96" s="651"/>
      <c r="R96" s="651"/>
    </row>
    <row r="97" spans="2:4" ht="69" customHeight="1" x14ac:dyDescent="0.2">
      <c r="B97" s="641" t="s">
        <v>497</v>
      </c>
      <c r="C97" s="1489" t="s">
        <v>496</v>
      </c>
      <c r="D97" s="1489"/>
    </row>
    <row r="98" spans="2:4" ht="13.5" thickBot="1" x14ac:dyDescent="0.25"/>
    <row r="99" spans="2:4" ht="16.5" thickTop="1" x14ac:dyDescent="0.25">
      <c r="C99" s="870" t="s">
        <v>511</v>
      </c>
    </row>
    <row r="100" spans="2:4" ht="15.75" x14ac:dyDescent="0.2">
      <c r="B100" s="871" t="s">
        <v>512</v>
      </c>
      <c r="C100" s="1491" t="s">
        <v>530</v>
      </c>
      <c r="D100" s="1491"/>
    </row>
    <row r="101" spans="2:4" ht="15.75" x14ac:dyDescent="0.2">
      <c r="B101" s="874"/>
      <c r="C101" s="1492"/>
      <c r="D101" s="1493"/>
    </row>
    <row r="102" spans="2:4" ht="15.75" x14ac:dyDescent="0.2">
      <c r="B102" s="290"/>
      <c r="C102" s="1494"/>
      <c r="D102" s="1495"/>
    </row>
    <row r="103" spans="2:4" ht="15.75" x14ac:dyDescent="0.2">
      <c r="B103" s="290"/>
      <c r="C103" s="1494"/>
      <c r="D103" s="1495"/>
    </row>
    <row r="104" spans="2:4" ht="15.75" x14ac:dyDescent="0.2">
      <c r="B104" s="290"/>
      <c r="C104" s="1494"/>
      <c r="D104" s="1495"/>
    </row>
    <row r="105" spans="2:4" ht="15.75" x14ac:dyDescent="0.2">
      <c r="B105" s="290"/>
      <c r="C105" s="1494"/>
      <c r="D105" s="1495"/>
    </row>
    <row r="106" spans="2:4" ht="15.75" x14ac:dyDescent="0.2">
      <c r="B106" s="290"/>
      <c r="C106" s="1494"/>
      <c r="D106" s="1495"/>
    </row>
    <row r="107" spans="2:4" ht="15.75" x14ac:dyDescent="0.2">
      <c r="B107" s="290"/>
      <c r="C107" s="1494"/>
      <c r="D107" s="1495"/>
    </row>
    <row r="108" spans="2:4" ht="15.75" x14ac:dyDescent="0.2">
      <c r="B108" s="290"/>
      <c r="C108" s="1494"/>
      <c r="D108" s="1495"/>
    </row>
    <row r="109" spans="2:4" ht="15.75" x14ac:dyDescent="0.2">
      <c r="B109" s="290"/>
      <c r="C109" s="1494"/>
      <c r="D109" s="1495"/>
    </row>
    <row r="110" spans="2:4" ht="15.75" x14ac:dyDescent="0.2">
      <c r="B110" s="290"/>
      <c r="C110" s="1494"/>
      <c r="D110" s="1495"/>
    </row>
    <row r="111" spans="2:4" ht="15.75" x14ac:dyDescent="0.2">
      <c r="B111" s="290"/>
      <c r="C111" s="1494"/>
      <c r="D111" s="1495"/>
    </row>
    <row r="112" spans="2:4" ht="15.75" x14ac:dyDescent="0.2">
      <c r="B112" s="290"/>
      <c r="C112" s="1494"/>
      <c r="D112" s="1495"/>
    </row>
    <row r="113" spans="2:4" ht="15.75" x14ac:dyDescent="0.2">
      <c r="B113" s="290"/>
      <c r="C113" s="1494"/>
      <c r="D113" s="1495"/>
    </row>
    <row r="139" spans="2:2" x14ac:dyDescent="0.2">
      <c r="B139" s="60" t="s">
        <v>522</v>
      </c>
    </row>
  </sheetData>
  <mergeCells count="35">
    <mergeCell ref="R6:S6"/>
    <mergeCell ref="I5:J5"/>
    <mergeCell ref="R5:S5"/>
    <mergeCell ref="C94:D94"/>
    <mergeCell ref="C95:D95"/>
    <mergeCell ref="C97:D97"/>
    <mergeCell ref="C96:D96"/>
    <mergeCell ref="BI6:BJ6"/>
    <mergeCell ref="AJ4:AK4"/>
    <mergeCell ref="AS4:AT4"/>
    <mergeCell ref="C92:D92"/>
    <mergeCell ref="C93:D93"/>
    <mergeCell ref="AJ5:AK5"/>
    <mergeCell ref="AS5:AT5"/>
    <mergeCell ref="AA5:AB5"/>
    <mergeCell ref="AA6:AB6"/>
    <mergeCell ref="AJ6:AK6"/>
    <mergeCell ref="AS6:AT6"/>
    <mergeCell ref="I4:J4"/>
    <mergeCell ref="R4:S4"/>
    <mergeCell ref="I6:J6"/>
    <mergeCell ref="C101:D101"/>
    <mergeCell ref="C100:D100"/>
    <mergeCell ref="C102:D102"/>
    <mergeCell ref="C103:D103"/>
    <mergeCell ref="C104:D104"/>
    <mergeCell ref="C110:D110"/>
    <mergeCell ref="C111:D111"/>
    <mergeCell ref="C112:D112"/>
    <mergeCell ref="C113:D113"/>
    <mergeCell ref="C105:D105"/>
    <mergeCell ref="C106:D106"/>
    <mergeCell ref="C107:D107"/>
    <mergeCell ref="C108:D108"/>
    <mergeCell ref="C109:D10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85E8FF"/>
    <pageSetUpPr fitToPage="1"/>
  </sheetPr>
  <dimension ref="A1:BD104"/>
  <sheetViews>
    <sheetView zoomScale="90" zoomScaleNormal="90" workbookViewId="0">
      <pane xSplit="5" topLeftCell="F1" activePane="topRight" state="frozen"/>
      <selection pane="topRight" activeCell="P35" sqref="P35"/>
    </sheetView>
  </sheetViews>
  <sheetFormatPr defaultColWidth="8.7109375" defaultRowHeight="12.75" x14ac:dyDescent="0.2"/>
  <cols>
    <col min="1" max="1" width="0.85546875" style="35" customWidth="1"/>
    <col min="2" max="2" width="6" style="35" customWidth="1"/>
    <col min="3" max="3" width="15.85546875" style="35" customWidth="1"/>
    <col min="4" max="4" width="21.7109375" style="35" customWidth="1"/>
    <col min="5" max="5" width="11.7109375" style="35" customWidth="1"/>
    <col min="6" max="7" width="9.85546875" style="35" customWidth="1"/>
    <col min="8" max="8" width="6.42578125" style="35" customWidth="1"/>
    <col min="9" max="9" width="10" style="35" customWidth="1"/>
    <col min="10" max="10" width="10.5703125" style="35" customWidth="1"/>
    <col min="11" max="11" width="5.5703125" style="35" customWidth="1"/>
    <col min="12" max="12" width="38.140625" style="35" customWidth="1"/>
    <col min="13" max="13" width="9.85546875" style="35" customWidth="1"/>
    <col min="14" max="14" width="1.5703125" style="35" bestFit="1" customWidth="1"/>
    <col min="15" max="15" width="21.140625" style="35" customWidth="1"/>
    <col min="16" max="23" width="18.7109375" style="35" customWidth="1"/>
    <col min="24" max="16384" width="8.7109375" style="35"/>
  </cols>
  <sheetData>
    <row r="1" spans="1:14" ht="15" x14ac:dyDescent="0.2">
      <c r="B1" s="1066" t="s">
        <v>21</v>
      </c>
      <c r="C1" s="1054"/>
      <c r="D1" s="1056"/>
      <c r="E1" s="1054"/>
      <c r="F1" s="1065"/>
      <c r="G1" s="1065"/>
      <c r="H1" s="1065"/>
      <c r="I1" s="1065"/>
      <c r="J1" s="1065"/>
      <c r="K1" s="1065"/>
      <c r="L1" s="1065"/>
      <c r="M1" s="1065"/>
      <c r="N1" s="53"/>
    </row>
    <row r="2" spans="1:14" ht="15.75" customHeight="1" x14ac:dyDescent="0.2">
      <c r="A2" s="513"/>
      <c r="B2" s="1508" t="str">
        <f>INITIALIZATION!C5</f>
        <v>Proposer's Name (Prime or Sub)</v>
      </c>
      <c r="C2" s="1508"/>
      <c r="D2" s="1508"/>
      <c r="E2" s="1508"/>
      <c r="G2" s="514"/>
      <c r="H2" s="514"/>
      <c r="I2" s="514"/>
      <c r="J2" s="514"/>
      <c r="K2" s="514"/>
      <c r="L2" s="637"/>
      <c r="M2" s="514"/>
      <c r="N2" s="514"/>
    </row>
    <row r="3" spans="1:14" ht="15" x14ac:dyDescent="0.2">
      <c r="B3" s="833"/>
      <c r="C3" s="833"/>
      <c r="D3" s="833"/>
      <c r="E3" s="611" t="s">
        <v>541</v>
      </c>
      <c r="F3" s="833"/>
      <c r="G3" s="833"/>
      <c r="H3" s="833"/>
      <c r="I3" s="833"/>
      <c r="J3" s="833"/>
      <c r="K3" s="833"/>
      <c r="L3" s="833"/>
      <c r="M3" s="833"/>
      <c r="N3" s="833"/>
    </row>
    <row r="4" spans="1:14" ht="48.75" customHeight="1" x14ac:dyDescent="0.2">
      <c r="B4" s="1418" t="s">
        <v>442</v>
      </c>
      <c r="C4" s="1506"/>
      <c r="D4" s="1506"/>
      <c r="E4" s="1506"/>
      <c r="F4" s="1506"/>
      <c r="G4" s="1506"/>
      <c r="H4" s="1506"/>
      <c r="I4" s="1506"/>
      <c r="J4" s="1506"/>
      <c r="K4" s="1506"/>
      <c r="L4" s="1506"/>
      <c r="M4" s="1506"/>
      <c r="N4" s="515"/>
    </row>
    <row r="5" spans="1:14" ht="15" x14ac:dyDescent="0.2">
      <c r="B5" s="146"/>
      <c r="C5" s="146"/>
      <c r="D5" s="146"/>
      <c r="E5" s="146"/>
      <c r="F5" s="146"/>
      <c r="G5" s="146"/>
      <c r="H5" s="146"/>
      <c r="I5" s="146"/>
      <c r="J5" s="146"/>
      <c r="K5" s="146"/>
      <c r="L5" s="638"/>
      <c r="M5" s="146"/>
      <c r="N5" s="146"/>
    </row>
    <row r="6" spans="1:14" ht="19.5" customHeight="1" x14ac:dyDescent="0.2">
      <c r="B6" s="1507" t="s">
        <v>443</v>
      </c>
      <c r="C6" s="1507"/>
      <c r="D6" s="1507"/>
      <c r="E6" s="1507"/>
      <c r="F6" s="1507"/>
      <c r="G6" s="1507"/>
      <c r="H6" s="1507"/>
      <c r="I6" s="1507"/>
      <c r="J6" s="1507"/>
      <c r="K6" s="1507"/>
      <c r="L6" s="1507"/>
      <c r="M6" s="1507"/>
      <c r="N6" s="571"/>
    </row>
    <row r="7" spans="1:14" ht="44.25" customHeight="1" x14ac:dyDescent="0.2">
      <c r="B7" s="1507"/>
      <c r="C7" s="1507"/>
      <c r="D7" s="1507"/>
      <c r="E7" s="1507"/>
      <c r="F7" s="1507"/>
      <c r="G7" s="1507"/>
      <c r="H7" s="1507"/>
      <c r="I7" s="1507"/>
      <c r="J7" s="1507"/>
      <c r="K7" s="1507"/>
      <c r="L7" s="1507"/>
      <c r="M7" s="1507"/>
      <c r="N7" s="571"/>
    </row>
    <row r="8" spans="1:14" ht="14.25" customHeight="1" x14ac:dyDescent="0.2">
      <c r="B8" s="536"/>
      <c r="C8" s="536"/>
      <c r="D8" s="536"/>
      <c r="E8" s="536"/>
      <c r="F8" s="536"/>
      <c r="G8" s="536"/>
      <c r="H8" s="536"/>
      <c r="I8" s="536"/>
      <c r="J8" s="536"/>
      <c r="K8" s="536"/>
      <c r="L8" s="536"/>
      <c r="M8" s="536"/>
      <c r="N8" s="536"/>
    </row>
    <row r="9" spans="1:14" s="155" customFormat="1" ht="15" customHeight="1" x14ac:dyDescent="0.2">
      <c r="B9" s="1507" t="s">
        <v>89</v>
      </c>
      <c r="C9" s="1507"/>
      <c r="D9" s="1507"/>
      <c r="E9" s="1507"/>
      <c r="F9" s="1507"/>
      <c r="G9" s="1507"/>
      <c r="H9" s="1507"/>
      <c r="I9" s="1507"/>
      <c r="J9" s="1507"/>
      <c r="K9" s="1507"/>
      <c r="L9" s="1507"/>
      <c r="M9" s="1507"/>
      <c r="N9" s="572"/>
    </row>
    <row r="10" spans="1:14" ht="15.75" customHeight="1" x14ac:dyDescent="0.2">
      <c r="B10" s="536"/>
      <c r="C10" s="536"/>
      <c r="D10" s="536"/>
      <c r="E10" s="536"/>
      <c r="F10" s="536"/>
      <c r="G10" s="536"/>
      <c r="H10" s="536"/>
      <c r="I10" s="536"/>
      <c r="J10" s="536"/>
      <c r="K10" s="536"/>
      <c r="L10" s="536"/>
      <c r="M10" s="536"/>
      <c r="N10" s="536"/>
    </row>
    <row r="11" spans="1:14" ht="68.25" customHeight="1" x14ac:dyDescent="0.2">
      <c r="B11" s="1418" t="s">
        <v>441</v>
      </c>
      <c r="C11" s="1418"/>
      <c r="D11" s="1418"/>
      <c r="E11" s="1418"/>
      <c r="F11" s="1418"/>
      <c r="G11" s="1418"/>
      <c r="H11" s="1418"/>
      <c r="I11" s="1418"/>
      <c r="J11" s="1418"/>
      <c r="K11" s="1418"/>
      <c r="L11" s="1418"/>
      <c r="M11" s="1418"/>
      <c r="N11" s="146"/>
    </row>
    <row r="12" spans="1:14" ht="15.75" thickBot="1" x14ac:dyDescent="0.25">
      <c r="B12" s="832"/>
      <c r="C12" s="832"/>
      <c r="D12" s="832"/>
      <c r="E12" s="832"/>
      <c r="F12" s="832"/>
      <c r="G12" s="832"/>
      <c r="H12" s="832"/>
      <c r="I12" s="832"/>
      <c r="J12" s="832"/>
      <c r="K12" s="832"/>
      <c r="L12" s="832"/>
      <c r="M12" s="832"/>
      <c r="N12" s="833"/>
    </row>
    <row r="13" spans="1:14" ht="15.75" thickBot="1" x14ac:dyDescent="0.25">
      <c r="B13" s="832"/>
      <c r="C13" s="832"/>
      <c r="D13" s="832"/>
      <c r="E13" s="1071"/>
      <c r="F13" s="1071"/>
      <c r="G13" s="1071"/>
      <c r="H13" s="1071"/>
      <c r="I13" s="1071"/>
      <c r="J13" s="1071"/>
      <c r="K13" s="1067" t="s">
        <v>655</v>
      </c>
      <c r="L13" s="832"/>
      <c r="M13" s="832"/>
      <c r="N13" s="833"/>
    </row>
    <row r="14" spans="1:14" ht="15" x14ac:dyDescent="0.2">
      <c r="B14" s="832"/>
      <c r="C14" s="832"/>
      <c r="D14" s="832"/>
      <c r="E14" s="832"/>
      <c r="F14" s="1070"/>
      <c r="G14" s="1070"/>
      <c r="H14" s="1069" t="s">
        <v>586</v>
      </c>
      <c r="I14" s="832"/>
      <c r="J14" s="832"/>
      <c r="K14" s="1068"/>
      <c r="L14" s="832"/>
      <c r="M14" s="832"/>
      <c r="N14" s="833"/>
    </row>
    <row r="15" spans="1:14" s="938" customFormat="1" ht="62.25" customHeight="1" x14ac:dyDescent="0.2">
      <c r="C15" s="1513" t="s">
        <v>658</v>
      </c>
      <c r="D15" s="1514"/>
      <c r="E15" s="1211" t="s">
        <v>80</v>
      </c>
      <c r="F15" s="1511" t="s">
        <v>588</v>
      </c>
      <c r="G15" s="1512"/>
      <c r="H15" s="1211" t="s">
        <v>587</v>
      </c>
      <c r="I15" s="1511" t="s">
        <v>585</v>
      </c>
      <c r="J15" s="1512"/>
      <c r="K15" s="910" t="s">
        <v>584</v>
      </c>
      <c r="L15" s="1212" t="s">
        <v>583</v>
      </c>
      <c r="M15" s="910" t="s">
        <v>90</v>
      </c>
    </row>
    <row r="16" spans="1:14" ht="12.75" customHeight="1" x14ac:dyDescent="0.2">
      <c r="C16" s="1515"/>
      <c r="D16" s="1516"/>
      <c r="E16" s="585"/>
      <c r="F16" s="1509"/>
      <c r="G16" s="1510"/>
      <c r="H16" s="831"/>
      <c r="I16" s="1509"/>
      <c r="J16" s="1510"/>
      <c r="K16" s="906"/>
      <c r="L16" s="907"/>
      <c r="M16" s="585"/>
    </row>
    <row r="17" spans="3:56" x14ac:dyDescent="0.2">
      <c r="C17" s="1515"/>
      <c r="D17" s="1516"/>
      <c r="E17" s="585"/>
      <c r="F17" s="1509"/>
      <c r="G17" s="1510"/>
      <c r="H17" s="906"/>
      <c r="I17" s="1509"/>
      <c r="J17" s="1510"/>
      <c r="K17" s="906"/>
      <c r="L17" s="907"/>
      <c r="M17" s="585"/>
    </row>
    <row r="18" spans="3:56" x14ac:dyDescent="0.2">
      <c r="C18" s="1515"/>
      <c r="D18" s="1516"/>
      <c r="E18" s="585"/>
      <c r="F18" s="1509"/>
      <c r="G18" s="1510"/>
      <c r="H18" s="906"/>
      <c r="I18" s="1509"/>
      <c r="J18" s="1510"/>
      <c r="K18" s="906"/>
      <c r="L18" s="907"/>
      <c r="M18" s="585"/>
    </row>
    <row r="19" spans="3:56" x14ac:dyDescent="0.2">
      <c r="C19" s="1515"/>
      <c r="D19" s="1516"/>
      <c r="E19" s="585"/>
      <c r="F19" s="1509"/>
      <c r="G19" s="1510"/>
      <c r="H19" s="906"/>
      <c r="I19" s="1509"/>
      <c r="J19" s="1510"/>
      <c r="K19" s="906"/>
      <c r="L19" s="907"/>
      <c r="M19" s="585"/>
    </row>
    <row r="20" spans="3:56" x14ac:dyDescent="0.2">
      <c r="C20" s="1515"/>
      <c r="D20" s="1516"/>
      <c r="E20" s="585"/>
      <c r="F20" s="1509"/>
      <c r="G20" s="1510"/>
      <c r="H20" s="906"/>
      <c r="I20" s="1509"/>
      <c r="J20" s="1510"/>
      <c r="K20" s="906"/>
      <c r="L20" s="907"/>
      <c r="M20" s="585"/>
    </row>
    <row r="22" spans="3:56" ht="45" customHeight="1" x14ac:dyDescent="0.2">
      <c r="C22" s="610" t="s">
        <v>42</v>
      </c>
      <c r="D22" s="1517" t="s">
        <v>767</v>
      </c>
      <c r="E22" s="1517"/>
      <c r="F22" s="1517"/>
      <c r="G22" s="1517"/>
      <c r="H22" s="1517"/>
      <c r="I22" s="1517"/>
      <c r="J22" s="1517"/>
      <c r="K22" s="1517"/>
    </row>
    <row r="23" spans="3:56" ht="9.75" customHeight="1" x14ac:dyDescent="0.2">
      <c r="C23" s="610"/>
      <c r="D23" s="904"/>
      <c r="E23" s="904"/>
      <c r="F23" s="904"/>
      <c r="G23" s="904"/>
      <c r="H23" s="904"/>
      <c r="I23" s="904"/>
      <c r="J23" s="904"/>
      <c r="K23" s="904"/>
    </row>
    <row r="24" spans="3:56" ht="69.75" customHeight="1" x14ac:dyDescent="0.2">
      <c r="C24" s="610" t="s">
        <v>43</v>
      </c>
      <c r="D24" s="1518" t="s">
        <v>771</v>
      </c>
      <c r="E24" s="1518"/>
      <c r="F24" s="1518"/>
      <c r="G24" s="1518"/>
      <c r="H24" s="1518"/>
      <c r="I24" s="1518"/>
      <c r="J24" s="1518"/>
      <c r="K24" s="1518"/>
    </row>
    <row r="25" spans="3:56" s="432" customFormat="1" ht="21" customHeight="1" x14ac:dyDescent="0.2">
      <c r="D25" s="1518"/>
      <c r="E25" s="1518"/>
      <c r="F25" s="1518"/>
      <c r="G25" s="1518"/>
      <c r="H25" s="1518"/>
      <c r="I25" s="1518"/>
      <c r="J25" s="1518"/>
      <c r="K25" s="1518"/>
      <c r="N25" s="456"/>
      <c r="O25" s="454"/>
      <c r="P25" s="1031" t="s">
        <v>656</v>
      </c>
      <c r="Q25" s="1031"/>
      <c r="R25" s="1032"/>
      <c r="S25" s="1032"/>
      <c r="T25" s="1032"/>
      <c r="U25" s="1032"/>
      <c r="X25" s="431"/>
      <c r="Y25" s="431"/>
      <c r="Z25" s="431"/>
      <c r="AA25" s="431"/>
      <c r="AB25" s="431"/>
      <c r="AC25" s="431"/>
      <c r="AD25" s="431"/>
      <c r="AE25" s="431"/>
      <c r="AF25" s="431"/>
      <c r="AG25" s="431"/>
      <c r="AH25" s="431"/>
      <c r="AI25" s="431"/>
      <c r="AJ25" s="431"/>
      <c r="AK25" s="431"/>
      <c r="AL25" s="431"/>
      <c r="AM25" s="431"/>
      <c r="AN25" s="431"/>
      <c r="AO25" s="431"/>
      <c r="AP25" s="431"/>
      <c r="AQ25" s="431"/>
      <c r="AR25" s="431"/>
      <c r="AS25" s="431"/>
      <c r="AT25" s="431"/>
      <c r="AU25" s="431"/>
      <c r="AV25" s="431"/>
      <c r="AW25" s="431"/>
      <c r="AX25" s="431"/>
      <c r="AY25" s="431"/>
      <c r="AZ25" s="431"/>
      <c r="BA25" s="431"/>
      <c r="BB25" s="431"/>
      <c r="BC25" s="431"/>
      <c r="BD25" s="431"/>
    </row>
    <row r="26" spans="3:56" s="432" customFormat="1" ht="12.75" customHeight="1" x14ac:dyDescent="0.2">
      <c r="D26" s="1518"/>
      <c r="E26" s="1518"/>
      <c r="F26" s="1518"/>
      <c r="G26" s="1518"/>
      <c r="H26" s="1518"/>
      <c r="I26" s="1518"/>
      <c r="J26" s="1518"/>
      <c r="K26" s="1518"/>
      <c r="N26" s="457"/>
      <c r="O26" s="1127" t="s">
        <v>404</v>
      </c>
      <c r="P26" s="458"/>
      <c r="Q26" s="459"/>
      <c r="R26" s="460"/>
      <c r="S26" s="461"/>
      <c r="T26" s="462"/>
      <c r="U26" s="463"/>
      <c r="X26" s="431"/>
      <c r="Y26" s="431"/>
      <c r="Z26" s="431"/>
      <c r="AA26" s="431"/>
      <c r="AB26" s="431"/>
      <c r="AC26" s="431"/>
      <c r="AD26" s="431"/>
      <c r="AE26" s="431"/>
      <c r="AF26" s="431"/>
      <c r="AG26" s="431"/>
      <c r="AH26" s="431"/>
      <c r="AI26" s="431"/>
      <c r="AJ26" s="431"/>
      <c r="AK26" s="431"/>
      <c r="AL26" s="431"/>
      <c r="AM26" s="431"/>
      <c r="AN26" s="431"/>
      <c r="AO26" s="431"/>
      <c r="AP26" s="431"/>
      <c r="AQ26" s="431"/>
      <c r="AR26" s="431"/>
      <c r="AS26" s="431"/>
      <c r="AT26" s="431"/>
      <c r="AU26" s="431"/>
      <c r="AV26" s="431"/>
      <c r="AW26" s="431"/>
      <c r="AX26" s="431"/>
      <c r="AY26" s="431"/>
      <c r="AZ26" s="431"/>
      <c r="BA26" s="431"/>
      <c r="BB26" s="431"/>
      <c r="BC26" s="431"/>
    </row>
    <row r="27" spans="3:56" s="432" customFormat="1" ht="12.75" customHeight="1" x14ac:dyDescent="0.2">
      <c r="D27" s="1518"/>
      <c r="E27" s="1518"/>
      <c r="F27" s="1518"/>
      <c r="G27" s="1518"/>
      <c r="H27" s="1518"/>
      <c r="I27" s="1518"/>
      <c r="J27" s="1518"/>
      <c r="K27" s="1518"/>
      <c r="N27" s="457"/>
      <c r="O27" s="1127" t="s">
        <v>405</v>
      </c>
      <c r="P27" s="1161" t="s">
        <v>282</v>
      </c>
      <c r="Q27" s="1161" t="s">
        <v>283</v>
      </c>
      <c r="R27" s="1161" t="s">
        <v>284</v>
      </c>
      <c r="S27" s="1161" t="s">
        <v>285</v>
      </c>
      <c r="T27" s="1161" t="s">
        <v>286</v>
      </c>
      <c r="U27" s="1161" t="s">
        <v>287</v>
      </c>
      <c r="X27" s="431"/>
      <c r="Y27" s="431"/>
      <c r="Z27" s="431"/>
      <c r="AA27" s="431"/>
      <c r="AB27" s="431"/>
      <c r="AC27" s="431"/>
      <c r="AD27" s="431"/>
      <c r="AE27" s="431"/>
      <c r="AF27" s="431"/>
      <c r="AG27" s="431"/>
      <c r="AH27" s="431"/>
      <c r="AI27" s="431"/>
      <c r="AJ27" s="431"/>
      <c r="AK27" s="431"/>
      <c r="AL27" s="431"/>
      <c r="AM27" s="431"/>
      <c r="AN27" s="431"/>
      <c r="AO27" s="431"/>
      <c r="AP27" s="431"/>
      <c r="AQ27" s="431"/>
      <c r="AR27" s="431"/>
      <c r="AS27" s="431"/>
      <c r="AT27" s="431"/>
      <c r="AU27" s="431"/>
      <c r="AV27" s="431"/>
      <c r="AW27" s="431"/>
      <c r="AX27" s="431"/>
      <c r="AY27" s="431"/>
      <c r="AZ27" s="431"/>
      <c r="BA27" s="431"/>
      <c r="BB27" s="431"/>
      <c r="BC27" s="431"/>
    </row>
    <row r="28" spans="3:56" s="432" customFormat="1" ht="12.75" customHeight="1" x14ac:dyDescent="0.2">
      <c r="D28" s="1518"/>
      <c r="E28" s="1518"/>
      <c r="F28" s="1518"/>
      <c r="G28" s="1518"/>
      <c r="H28" s="1518"/>
      <c r="I28" s="1518"/>
      <c r="J28" s="1518"/>
      <c r="K28" s="1518"/>
      <c r="N28" s="457"/>
      <c r="O28" s="1127" t="s">
        <v>406</v>
      </c>
      <c r="P28" s="1162">
        <f>'Proposer Acct. Data'!C12</f>
        <v>0</v>
      </c>
      <c r="Q28" s="1162">
        <f>'Proposer Acct. Data'!D12</f>
        <v>366</v>
      </c>
      <c r="R28" s="1162">
        <f>'Proposer Acct. Data'!E12</f>
        <v>731</v>
      </c>
      <c r="S28" s="1162">
        <f>'Proposer Acct. Data'!F12</f>
        <v>1096</v>
      </c>
      <c r="T28" s="1162">
        <f>'Proposer Acct. Data'!G12</f>
        <v>1461</v>
      </c>
      <c r="U28" s="1162">
        <f>'Proposer Acct. Data'!H12</f>
        <v>1827</v>
      </c>
      <c r="X28" s="431"/>
      <c r="Y28" s="431"/>
      <c r="Z28" s="431"/>
      <c r="AA28" s="431"/>
      <c r="AB28" s="431"/>
      <c r="AC28" s="431"/>
      <c r="AD28" s="431"/>
      <c r="AE28" s="431"/>
      <c r="AF28" s="431"/>
      <c r="AG28" s="431"/>
      <c r="AH28" s="431"/>
      <c r="AI28" s="431"/>
      <c r="AJ28" s="431"/>
      <c r="AK28" s="431"/>
      <c r="AL28" s="431"/>
      <c r="AM28" s="431"/>
      <c r="AN28" s="431"/>
      <c r="AO28" s="431"/>
      <c r="AP28" s="431"/>
      <c r="AQ28" s="431"/>
      <c r="AR28" s="431"/>
      <c r="AS28" s="431"/>
      <c r="AT28" s="431"/>
      <c r="AU28" s="431"/>
      <c r="AV28" s="431"/>
      <c r="AW28" s="431"/>
      <c r="AX28" s="431"/>
      <c r="AY28" s="431"/>
      <c r="AZ28" s="431"/>
      <c r="BA28" s="431"/>
      <c r="BB28" s="431"/>
      <c r="BC28" s="431"/>
    </row>
    <row r="29" spans="3:56" s="432" customFormat="1" ht="12.75" customHeight="1" x14ac:dyDescent="0.2">
      <c r="D29" s="1518"/>
      <c r="E29" s="1518"/>
      <c r="F29" s="1518"/>
      <c r="G29" s="1518"/>
      <c r="H29" s="1518"/>
      <c r="I29" s="1518"/>
      <c r="J29" s="1518"/>
      <c r="K29" s="1518"/>
      <c r="N29" s="457"/>
      <c r="O29" s="1127" t="s">
        <v>407</v>
      </c>
      <c r="P29" s="1162">
        <f>'Proposer Acct. Data'!C13</f>
        <v>0</v>
      </c>
      <c r="Q29" s="1162">
        <f>'Proposer Acct. Data'!D13</f>
        <v>366</v>
      </c>
      <c r="R29" s="1162">
        <f>'Proposer Acct. Data'!E13</f>
        <v>731</v>
      </c>
      <c r="S29" s="1162">
        <f>'Proposer Acct. Data'!F13</f>
        <v>1096</v>
      </c>
      <c r="T29" s="1162">
        <f>'Proposer Acct. Data'!G13</f>
        <v>1461</v>
      </c>
      <c r="U29" s="1162">
        <f>'Proposer Acct. Data'!H13</f>
        <v>1827</v>
      </c>
      <c r="X29" s="431"/>
      <c r="Y29" s="431"/>
      <c r="Z29" s="431"/>
      <c r="AA29" s="431"/>
      <c r="AB29" s="431"/>
      <c r="AC29" s="431"/>
      <c r="AD29" s="431"/>
      <c r="AE29" s="431"/>
      <c r="AF29" s="431"/>
      <c r="AG29" s="431"/>
      <c r="AH29" s="431"/>
      <c r="AI29" s="431"/>
      <c r="AJ29" s="431"/>
      <c r="AK29" s="431"/>
      <c r="AL29" s="431"/>
      <c r="AM29" s="431"/>
      <c r="AN29" s="431"/>
      <c r="AO29" s="431"/>
      <c r="AP29" s="431"/>
      <c r="AQ29" s="431"/>
      <c r="AR29" s="431"/>
      <c r="AS29" s="431"/>
      <c r="AT29" s="431"/>
      <c r="AU29" s="431"/>
      <c r="AV29" s="431"/>
      <c r="AW29" s="431"/>
      <c r="AX29" s="431"/>
      <c r="AY29" s="431"/>
      <c r="AZ29" s="431"/>
      <c r="BA29" s="431"/>
      <c r="BB29" s="431"/>
      <c r="BC29" s="431"/>
    </row>
    <row r="30" spans="3:56" s="432" customFormat="1" ht="12.75" customHeight="1" x14ac:dyDescent="0.2">
      <c r="D30" s="1172"/>
      <c r="E30" s="1172"/>
      <c r="F30" s="1172"/>
      <c r="G30" s="1172"/>
      <c r="H30" s="1172"/>
      <c r="I30" s="1172"/>
      <c r="J30" s="1172"/>
      <c r="K30" s="1172"/>
      <c r="M30" s="456"/>
      <c r="N30" s="457"/>
      <c r="O30" s="454"/>
      <c r="P30" s="464"/>
      <c r="X30" s="431"/>
      <c r="Y30" s="431"/>
      <c r="Z30" s="431"/>
      <c r="AA30" s="431"/>
      <c r="AB30" s="431"/>
      <c r="AC30" s="431"/>
      <c r="AD30" s="431"/>
      <c r="AE30" s="431"/>
      <c r="AF30" s="431"/>
      <c r="AG30" s="431"/>
      <c r="AH30" s="431"/>
      <c r="AI30" s="431"/>
      <c r="AJ30" s="431"/>
      <c r="AK30" s="431"/>
      <c r="AL30" s="431"/>
      <c r="AM30" s="431"/>
      <c r="AN30" s="431"/>
      <c r="AO30" s="431"/>
      <c r="AP30" s="431"/>
      <c r="AQ30" s="431"/>
      <c r="AR30" s="431"/>
      <c r="AS30" s="431"/>
      <c r="AT30" s="431"/>
      <c r="AU30" s="431"/>
      <c r="AV30" s="431"/>
      <c r="AW30" s="431"/>
      <c r="AX30" s="431"/>
      <c r="AY30" s="431"/>
      <c r="AZ30" s="431"/>
      <c r="BA30" s="431"/>
      <c r="BB30" s="431"/>
      <c r="BC30" s="431"/>
    </row>
    <row r="31" spans="3:56" s="432" customFormat="1" ht="18.75" customHeight="1" x14ac:dyDescent="0.2">
      <c r="C31" s="610" t="s">
        <v>667</v>
      </c>
      <c r="D31" s="1505" t="s">
        <v>668</v>
      </c>
      <c r="E31" s="1505"/>
      <c r="F31" s="1505"/>
      <c r="G31" s="1505"/>
      <c r="H31" s="1505"/>
      <c r="I31" s="1505"/>
      <c r="J31" s="1505"/>
      <c r="K31" s="1505"/>
      <c r="M31" s="456"/>
      <c r="N31" s="457"/>
      <c r="P31" s="1154" t="s">
        <v>661</v>
      </c>
      <c r="Q31" s="1032"/>
      <c r="R31" s="1032"/>
      <c r="S31" s="1032"/>
      <c r="T31" s="1032"/>
      <c r="X31" s="431"/>
      <c r="Y31" s="431"/>
      <c r="Z31" s="431"/>
      <c r="AA31" s="431"/>
      <c r="AB31" s="431"/>
      <c r="AC31" s="431"/>
      <c r="AD31" s="431"/>
      <c r="AE31" s="431"/>
      <c r="AF31" s="431"/>
      <c r="AG31" s="431"/>
      <c r="AH31" s="431"/>
      <c r="AI31" s="431"/>
      <c r="AJ31" s="431"/>
      <c r="AK31" s="431"/>
      <c r="AL31" s="431"/>
      <c r="AM31" s="431"/>
      <c r="AN31" s="431"/>
      <c r="AO31" s="431"/>
      <c r="AP31" s="431"/>
      <c r="AQ31" s="431"/>
      <c r="AR31" s="431"/>
      <c r="AS31" s="431"/>
      <c r="AT31" s="431"/>
      <c r="AU31" s="431"/>
      <c r="AV31" s="431"/>
      <c r="AW31" s="431"/>
      <c r="AX31" s="431"/>
      <c r="AY31" s="431"/>
      <c r="AZ31" s="431"/>
      <c r="BA31" s="431"/>
      <c r="BB31" s="431"/>
      <c r="BC31" s="431"/>
    </row>
    <row r="32" spans="3:56" s="432" customFormat="1" ht="12.75" customHeight="1" thickBot="1" x14ac:dyDescent="0.25">
      <c r="D32" s="1505"/>
      <c r="E32" s="1505"/>
      <c r="F32" s="1505"/>
      <c r="G32" s="1505"/>
      <c r="H32" s="1505"/>
      <c r="I32" s="1505"/>
      <c r="J32" s="1505"/>
      <c r="K32" s="1505"/>
      <c r="N32" s="457"/>
      <c r="P32" s="1112"/>
      <c r="Q32" s="1113"/>
      <c r="R32" s="1114"/>
      <c r="S32" s="1115"/>
      <c r="T32" s="1116"/>
      <c r="U32" s="1117"/>
      <c r="V32" s="1139" t="s">
        <v>657</v>
      </c>
      <c r="X32" s="431"/>
      <c r="Y32" s="431"/>
      <c r="Z32" s="431"/>
      <c r="AA32" s="431"/>
      <c r="AB32" s="431"/>
      <c r="AC32" s="431"/>
      <c r="AD32" s="431"/>
      <c r="AE32" s="431"/>
      <c r="AF32" s="431"/>
      <c r="AG32" s="431"/>
      <c r="AH32" s="431"/>
      <c r="AI32" s="431"/>
      <c r="AJ32" s="431"/>
      <c r="AK32" s="431"/>
      <c r="AL32" s="431"/>
      <c r="AM32" s="431"/>
      <c r="AN32" s="431"/>
      <c r="AO32" s="431"/>
      <c r="AP32" s="431"/>
      <c r="AQ32" s="431"/>
      <c r="AR32" s="431"/>
      <c r="AS32" s="431"/>
      <c r="AT32" s="431"/>
      <c r="AU32" s="431"/>
      <c r="AV32" s="431"/>
      <c r="AW32" s="431"/>
      <c r="AX32" s="431"/>
      <c r="AY32" s="431"/>
      <c r="AZ32" s="431"/>
      <c r="BA32" s="431"/>
      <c r="BB32" s="431"/>
      <c r="BC32" s="431"/>
    </row>
    <row r="33" spans="3:55" s="432" customFormat="1" ht="12.75" customHeight="1" thickBot="1" x14ac:dyDescent="0.25">
      <c r="M33" s="1156" t="s">
        <v>13</v>
      </c>
      <c r="N33" s="457"/>
      <c r="O33" s="1666" t="s">
        <v>662</v>
      </c>
      <c r="P33" s="1163">
        <f>'Base (Ph1)'!M60</f>
        <v>0</v>
      </c>
      <c r="Q33" s="1164">
        <f>'Base (Ph1)'!V60</f>
        <v>0</v>
      </c>
      <c r="R33" s="1164">
        <f>'Base (Ph1)'!AE60</f>
        <v>0</v>
      </c>
      <c r="S33" s="1164">
        <f>'Base (Ph1)'!AN60</f>
        <v>0</v>
      </c>
      <c r="T33" s="1164">
        <f>'Base (Ph1)'!AW60</f>
        <v>0</v>
      </c>
      <c r="U33" s="1165">
        <f>'Base (Ph1)'!BF60</f>
        <v>0</v>
      </c>
      <c r="V33" s="1166">
        <f>SUM(P33:U33)</f>
        <v>0</v>
      </c>
      <c r="W33" s="1159" t="s">
        <v>426</v>
      </c>
      <c r="X33" s="431"/>
      <c r="Y33" s="431"/>
      <c r="Z33" s="431"/>
      <c r="AA33" s="431"/>
      <c r="AB33" s="431"/>
      <c r="AC33" s="431"/>
      <c r="AD33" s="431"/>
      <c r="AE33" s="431"/>
      <c r="AF33" s="431"/>
      <c r="AG33" s="431"/>
      <c r="AH33" s="431"/>
      <c r="AI33" s="431"/>
      <c r="AJ33" s="431"/>
      <c r="AK33" s="431"/>
      <c r="AL33" s="431"/>
      <c r="AM33" s="431"/>
      <c r="AN33" s="431"/>
      <c r="AO33" s="431"/>
      <c r="AP33" s="431"/>
      <c r="AQ33" s="431"/>
      <c r="AR33" s="431"/>
      <c r="AS33" s="431"/>
      <c r="AT33" s="431"/>
      <c r="AU33" s="431"/>
      <c r="AV33" s="431"/>
      <c r="AW33" s="431"/>
      <c r="AX33" s="431"/>
      <c r="AY33" s="431"/>
      <c r="AZ33" s="431"/>
      <c r="BA33" s="431"/>
      <c r="BB33" s="431"/>
      <c r="BC33" s="431"/>
    </row>
    <row r="34" spans="3:55" s="432" customFormat="1" ht="6.75" customHeight="1" x14ac:dyDescent="0.2">
      <c r="M34" s="1123"/>
      <c r="N34" s="457"/>
      <c r="O34" s="1137"/>
      <c r="P34" s="1141"/>
      <c r="Q34" s="1141"/>
      <c r="R34" s="1141"/>
      <c r="S34" s="1141"/>
      <c r="T34" s="1141"/>
      <c r="U34" s="1141"/>
      <c r="V34" s="1142"/>
      <c r="W34" s="1142"/>
      <c r="X34" s="431"/>
      <c r="Y34" s="431"/>
      <c r="Z34" s="431"/>
      <c r="AA34" s="431"/>
      <c r="AB34" s="431"/>
      <c r="AC34" s="431"/>
      <c r="AD34" s="431"/>
      <c r="AE34" s="431"/>
      <c r="AF34" s="431"/>
      <c r="AG34" s="431"/>
      <c r="AH34" s="431"/>
      <c r="AI34" s="431"/>
      <c r="AJ34" s="431"/>
      <c r="AK34" s="431"/>
      <c r="AL34" s="431"/>
      <c r="AM34" s="431"/>
      <c r="AN34" s="431"/>
      <c r="AO34" s="431"/>
      <c r="AP34" s="431"/>
      <c r="AQ34" s="431"/>
      <c r="AR34" s="431"/>
      <c r="AS34" s="431"/>
      <c r="AT34" s="431"/>
      <c r="AU34" s="431"/>
      <c r="AV34" s="431"/>
      <c r="AW34" s="431"/>
      <c r="AX34" s="431"/>
      <c r="AY34" s="431"/>
      <c r="AZ34" s="431"/>
      <c r="BA34" s="431"/>
      <c r="BB34" s="431"/>
      <c r="BC34" s="431"/>
    </row>
    <row r="35" spans="3:55" s="432" customFormat="1" ht="12.75" customHeight="1" thickBot="1" x14ac:dyDescent="0.25">
      <c r="C35" s="1504" t="s">
        <v>658</v>
      </c>
      <c r="D35" s="1504"/>
      <c r="L35" s="1504" t="s">
        <v>658</v>
      </c>
      <c r="M35" s="1504"/>
      <c r="N35" s="457"/>
      <c r="O35" s="1146" t="s">
        <v>659</v>
      </c>
      <c r="P35" s="1152">
        <f t="shared" ref="P35:U35" si="0">SUM(P36:P40)</f>
        <v>0</v>
      </c>
      <c r="Q35" s="1152">
        <f t="shared" si="0"/>
        <v>0</v>
      </c>
      <c r="R35" s="1152">
        <f t="shared" si="0"/>
        <v>0</v>
      </c>
      <c r="S35" s="1152">
        <f t="shared" si="0"/>
        <v>0</v>
      </c>
      <c r="T35" s="1152">
        <f t="shared" si="0"/>
        <v>0</v>
      </c>
      <c r="U35" s="1152">
        <f t="shared" si="0"/>
        <v>0</v>
      </c>
      <c r="V35" s="1153">
        <f>SUM(P35:U35)</f>
        <v>0</v>
      </c>
      <c r="W35" s="1160">
        <f>V33-V35</f>
        <v>0</v>
      </c>
      <c r="X35" s="431"/>
      <c r="Y35" s="431"/>
      <c r="Z35" s="431"/>
      <c r="AA35" s="431"/>
      <c r="AB35" s="431"/>
      <c r="AC35" s="431"/>
      <c r="AD35" s="431"/>
      <c r="AE35" s="431"/>
      <c r="AF35" s="431"/>
      <c r="AG35" s="431"/>
      <c r="AH35" s="431"/>
      <c r="AI35" s="431"/>
      <c r="AJ35" s="431"/>
      <c r="AK35" s="431"/>
      <c r="AL35" s="431"/>
      <c r="AM35" s="431"/>
      <c r="AN35" s="431"/>
      <c r="AO35" s="431"/>
      <c r="AP35" s="431"/>
      <c r="AQ35" s="431"/>
      <c r="AR35" s="431"/>
      <c r="AS35" s="431"/>
      <c r="AT35" s="431"/>
      <c r="AU35" s="431"/>
      <c r="AV35" s="431"/>
      <c r="AW35" s="431"/>
      <c r="AX35" s="431"/>
      <c r="AY35" s="431"/>
      <c r="AZ35" s="431"/>
      <c r="BA35" s="431"/>
      <c r="BB35" s="431"/>
      <c r="BC35" s="431"/>
    </row>
    <row r="36" spans="3:55" s="432" customFormat="1" ht="12.75" customHeight="1" x14ac:dyDescent="0.2">
      <c r="C36" s="1500">
        <f>$C$16</f>
        <v>0</v>
      </c>
      <c r="D36" s="1501">
        <f t="shared" ref="D36:D40" si="1">$C16</f>
        <v>0</v>
      </c>
      <c r="E36" s="1170"/>
      <c r="F36" s="1170"/>
      <c r="G36" s="1170"/>
      <c r="H36" s="1170"/>
      <c r="I36" s="1170"/>
      <c r="J36" s="1170"/>
      <c r="K36" s="1170"/>
      <c r="L36" s="1136">
        <f>$C$16</f>
        <v>0</v>
      </c>
      <c r="M36" s="1143"/>
      <c r="N36" s="1144"/>
      <c r="O36" s="1145"/>
      <c r="P36" s="1147"/>
      <c r="Q36" s="1147"/>
      <c r="R36" s="1147"/>
      <c r="S36" s="1148"/>
      <c r="T36" s="1148"/>
      <c r="U36" s="1149"/>
      <c r="W36" s="1140" t="s">
        <v>666</v>
      </c>
      <c r="X36" s="431"/>
      <c r="Y36" s="431"/>
      <c r="Z36" s="431"/>
      <c r="AA36" s="431"/>
      <c r="AB36" s="431"/>
      <c r="AC36" s="431"/>
      <c r="AD36" s="431"/>
      <c r="AE36" s="431"/>
      <c r="AF36" s="431"/>
      <c r="AG36" s="431"/>
      <c r="AH36" s="431"/>
      <c r="AI36" s="431"/>
      <c r="AJ36" s="431"/>
      <c r="AK36" s="431"/>
      <c r="AL36" s="431"/>
      <c r="AM36" s="431"/>
      <c r="AN36" s="431"/>
      <c r="AO36" s="431"/>
      <c r="AP36" s="431"/>
      <c r="AQ36" s="431"/>
      <c r="AR36" s="431"/>
      <c r="AS36" s="431"/>
      <c r="AT36" s="431"/>
      <c r="AU36" s="431"/>
      <c r="AV36" s="431"/>
      <c r="AW36" s="431"/>
      <c r="AX36" s="431"/>
      <c r="AY36" s="431"/>
      <c r="AZ36" s="431"/>
      <c r="BA36" s="431"/>
      <c r="BB36" s="431"/>
      <c r="BC36" s="431"/>
    </row>
    <row r="37" spans="3:55" s="432" customFormat="1" ht="12.75" customHeight="1" x14ac:dyDescent="0.2">
      <c r="C37" s="1502">
        <f>$C$17</f>
        <v>0</v>
      </c>
      <c r="D37" s="1503">
        <f t="shared" si="1"/>
        <v>0</v>
      </c>
      <c r="E37" s="1170"/>
      <c r="F37" s="1170"/>
      <c r="G37" s="1170"/>
      <c r="H37" s="1170"/>
      <c r="I37" s="1170"/>
      <c r="J37" s="1170"/>
      <c r="K37" s="1170"/>
      <c r="L37" s="1168">
        <f>$C$17</f>
        <v>0</v>
      </c>
      <c r="M37" s="1143"/>
      <c r="N37" s="1144"/>
      <c r="O37" s="1145"/>
      <c r="P37" s="1147"/>
      <c r="Q37" s="1147"/>
      <c r="R37" s="1147"/>
      <c r="S37" s="1150"/>
      <c r="T37" s="1150"/>
      <c r="U37" s="1151"/>
      <c r="V37" s="470"/>
      <c r="W37" s="470"/>
      <c r="X37" s="431"/>
      <c r="Y37" s="431"/>
      <c r="Z37" s="431"/>
      <c r="AA37" s="431"/>
      <c r="AB37" s="431"/>
      <c r="AC37" s="431"/>
      <c r="AD37" s="431"/>
      <c r="AE37" s="431"/>
      <c r="AF37" s="431"/>
      <c r="AG37" s="431"/>
      <c r="AH37" s="431"/>
      <c r="AI37" s="431"/>
      <c r="AJ37" s="431"/>
      <c r="AK37" s="431"/>
      <c r="AL37" s="431"/>
      <c r="AM37" s="431"/>
      <c r="AN37" s="431"/>
      <c r="AO37" s="431"/>
      <c r="AP37" s="431"/>
      <c r="AQ37" s="431"/>
      <c r="AR37" s="431"/>
      <c r="AS37" s="431"/>
      <c r="AT37" s="431"/>
      <c r="AU37" s="431"/>
      <c r="AV37" s="431"/>
      <c r="AW37" s="431"/>
      <c r="AX37" s="431"/>
      <c r="AY37" s="431"/>
      <c r="AZ37" s="431"/>
      <c r="BA37" s="431"/>
      <c r="BB37" s="431"/>
      <c r="BC37" s="431"/>
    </row>
    <row r="38" spans="3:55" s="432" customFormat="1" ht="12.75" customHeight="1" x14ac:dyDescent="0.2">
      <c r="C38" s="1502">
        <f>$C$18</f>
        <v>0</v>
      </c>
      <c r="D38" s="1503">
        <f t="shared" si="1"/>
        <v>0</v>
      </c>
      <c r="E38" s="1170"/>
      <c r="F38" s="1170"/>
      <c r="G38" s="1170"/>
      <c r="H38" s="1170"/>
      <c r="I38" s="1170"/>
      <c r="J38" s="1170"/>
      <c r="K38" s="1170"/>
      <c r="L38" s="1168">
        <f>$C$18</f>
        <v>0</v>
      </c>
      <c r="M38" s="1143"/>
      <c r="N38" s="1144"/>
      <c r="O38" s="1145"/>
      <c r="P38" s="1147"/>
      <c r="Q38" s="1147"/>
      <c r="R38" s="1147"/>
      <c r="S38" s="1150"/>
      <c r="T38" s="1150"/>
      <c r="U38" s="1151"/>
      <c r="V38" s="470"/>
      <c r="W38" s="470"/>
      <c r="X38" s="431"/>
      <c r="Y38" s="431"/>
      <c r="Z38" s="431"/>
      <c r="AA38" s="431"/>
      <c r="AB38" s="431"/>
      <c r="AC38" s="431"/>
      <c r="AD38" s="431"/>
      <c r="AE38" s="431"/>
      <c r="AF38" s="431"/>
      <c r="AG38" s="431"/>
      <c r="AH38" s="431"/>
      <c r="AI38" s="431"/>
      <c r="AJ38" s="431"/>
      <c r="AK38" s="431"/>
      <c r="AL38" s="431"/>
      <c r="AM38" s="431"/>
      <c r="AN38" s="431"/>
      <c r="AO38" s="431"/>
      <c r="AP38" s="431"/>
      <c r="AQ38" s="431"/>
      <c r="AR38" s="431"/>
      <c r="AS38" s="431"/>
      <c r="AT38" s="431"/>
      <c r="AU38" s="431"/>
      <c r="AV38" s="431"/>
      <c r="AW38" s="431"/>
      <c r="AX38" s="431"/>
      <c r="AY38" s="431"/>
      <c r="AZ38" s="431"/>
      <c r="BA38" s="431"/>
      <c r="BB38" s="431"/>
      <c r="BC38" s="431"/>
    </row>
    <row r="39" spans="3:55" s="432" customFormat="1" ht="12.75" customHeight="1" x14ac:dyDescent="0.2">
      <c r="C39" s="1502">
        <f>$C$19</f>
        <v>0</v>
      </c>
      <c r="D39" s="1503">
        <f t="shared" si="1"/>
        <v>0</v>
      </c>
      <c r="E39" s="1170"/>
      <c r="F39" s="1170"/>
      <c r="G39" s="1170"/>
      <c r="H39" s="1170"/>
      <c r="I39" s="1170"/>
      <c r="J39" s="1170"/>
      <c r="K39" s="1170"/>
      <c r="L39" s="1168">
        <f>$C$19</f>
        <v>0</v>
      </c>
      <c r="M39" s="1143"/>
      <c r="N39" s="1144"/>
      <c r="O39" s="1145"/>
      <c r="P39" s="1147"/>
      <c r="Q39" s="1147"/>
      <c r="R39" s="1147"/>
      <c r="S39" s="1150"/>
      <c r="T39" s="1150"/>
      <c r="U39" s="1151"/>
      <c r="V39" s="470"/>
      <c r="W39" s="470"/>
      <c r="X39" s="431"/>
      <c r="Y39" s="431"/>
      <c r="Z39" s="431"/>
      <c r="AA39" s="431"/>
      <c r="AB39" s="431"/>
      <c r="AC39" s="431"/>
      <c r="AD39" s="431"/>
      <c r="AE39" s="431"/>
      <c r="AF39" s="431"/>
      <c r="AG39" s="431"/>
      <c r="AH39" s="431"/>
      <c r="AI39" s="431"/>
      <c r="AJ39" s="431"/>
      <c r="AK39" s="431"/>
      <c r="AL39" s="431"/>
      <c r="AM39" s="431"/>
      <c r="AN39" s="431"/>
      <c r="AO39" s="431"/>
      <c r="AP39" s="431"/>
      <c r="AQ39" s="431"/>
      <c r="AR39" s="431"/>
      <c r="AS39" s="431"/>
      <c r="AT39" s="431"/>
      <c r="AU39" s="431"/>
      <c r="AV39" s="431"/>
      <c r="AW39" s="431"/>
      <c r="AX39" s="431"/>
      <c r="AY39" s="431"/>
      <c r="AZ39" s="431"/>
      <c r="BA39" s="431"/>
      <c r="BB39" s="431"/>
      <c r="BC39" s="431"/>
    </row>
    <row r="40" spans="3:55" s="432" customFormat="1" ht="12.75" customHeight="1" thickBot="1" x14ac:dyDescent="0.25">
      <c r="C40" s="1498">
        <f>$C$20</f>
        <v>0</v>
      </c>
      <c r="D40" s="1499">
        <f t="shared" si="1"/>
        <v>0</v>
      </c>
      <c r="E40" s="1170"/>
      <c r="F40" s="1170"/>
      <c r="G40" s="1170"/>
      <c r="H40" s="1170"/>
      <c r="I40" s="1170"/>
      <c r="J40" s="1170"/>
      <c r="K40" s="1170"/>
      <c r="L40" s="1169">
        <f>$C$20</f>
        <v>0</v>
      </c>
      <c r="M40" s="1143"/>
      <c r="N40" s="1144"/>
      <c r="O40" s="1145"/>
      <c r="P40" s="1147"/>
      <c r="Q40" s="1147"/>
      <c r="R40" s="1147"/>
      <c r="S40" s="1150"/>
      <c r="T40" s="1150"/>
      <c r="U40" s="1151"/>
      <c r="V40" s="470"/>
      <c r="W40" s="470"/>
      <c r="X40" s="431"/>
      <c r="Y40" s="431"/>
      <c r="Z40" s="431"/>
      <c r="AA40" s="431"/>
      <c r="AB40" s="431"/>
      <c r="AC40" s="431"/>
      <c r="AD40" s="431"/>
      <c r="AE40" s="431"/>
      <c r="AF40" s="431"/>
      <c r="AG40" s="431"/>
      <c r="AH40" s="431"/>
      <c r="AI40" s="431"/>
      <c r="AJ40" s="431"/>
      <c r="AK40" s="431"/>
      <c r="AL40" s="431"/>
      <c r="AM40" s="431"/>
      <c r="AN40" s="431"/>
      <c r="AO40" s="431"/>
      <c r="AP40" s="431"/>
      <c r="AQ40" s="431"/>
      <c r="AR40" s="431"/>
      <c r="AS40" s="431"/>
      <c r="AT40" s="431"/>
      <c r="AU40" s="431"/>
      <c r="AV40" s="431"/>
      <c r="AW40" s="431"/>
      <c r="AX40" s="431"/>
      <c r="AY40" s="431"/>
      <c r="AZ40" s="431"/>
      <c r="BA40" s="431"/>
      <c r="BB40" s="431"/>
      <c r="BC40" s="431"/>
    </row>
    <row r="41" spans="3:55" s="432" customFormat="1" ht="8.25" customHeight="1" thickBot="1" x14ac:dyDescent="0.25">
      <c r="M41" s="1157"/>
      <c r="N41" s="1158"/>
      <c r="O41" s="1155"/>
      <c r="P41" s="1155"/>
      <c r="Q41" s="1155"/>
      <c r="R41" s="1155"/>
      <c r="S41" s="1155"/>
      <c r="T41" s="1155"/>
      <c r="U41" s="1155"/>
      <c r="V41" s="1155"/>
      <c r="W41" s="1155"/>
      <c r="X41" s="431"/>
      <c r="Y41" s="431"/>
      <c r="Z41" s="431"/>
      <c r="AA41" s="431"/>
      <c r="AB41" s="431"/>
      <c r="AC41" s="431"/>
      <c r="AD41" s="431"/>
      <c r="AE41" s="431"/>
      <c r="AF41" s="431"/>
      <c r="AG41" s="431"/>
      <c r="AH41" s="431"/>
      <c r="AI41" s="431"/>
      <c r="AJ41" s="431"/>
      <c r="AK41" s="431"/>
      <c r="AL41" s="431"/>
      <c r="AM41" s="431"/>
      <c r="AN41" s="431"/>
      <c r="AO41" s="431"/>
      <c r="AP41" s="431"/>
      <c r="AQ41" s="431"/>
      <c r="AR41" s="431"/>
      <c r="AS41" s="431"/>
      <c r="AT41" s="431"/>
      <c r="AU41" s="431"/>
      <c r="AV41" s="431"/>
      <c r="AW41" s="431"/>
      <c r="AX41" s="431"/>
      <c r="AY41" s="431"/>
      <c r="AZ41" s="431"/>
      <c r="BA41" s="431"/>
      <c r="BB41" s="431"/>
      <c r="BC41" s="431"/>
    </row>
    <row r="42" spans="3:55" s="432" customFormat="1" ht="12.75" customHeight="1" thickBot="1" x14ac:dyDescent="0.25">
      <c r="M42" s="1156" t="s">
        <v>13</v>
      </c>
      <c r="N42" s="457"/>
      <c r="O42" s="1666" t="s">
        <v>660</v>
      </c>
      <c r="P42" s="1163">
        <f>'O-I (Ph2)'!M60</f>
        <v>0</v>
      </c>
      <c r="Q42" s="1164">
        <f>'O-I (Ph2)'!V60</f>
        <v>0</v>
      </c>
      <c r="R42" s="1164">
        <f>'O-I (Ph2)'!AE60</f>
        <v>0</v>
      </c>
      <c r="S42" s="1164">
        <f>'O-I (Ph2)'!AN60</f>
        <v>0</v>
      </c>
      <c r="T42" s="1164">
        <f>'O-I (Ph2)'!AW60</f>
        <v>0</v>
      </c>
      <c r="U42" s="1165">
        <f>'O-I (Ph2)'!BF60</f>
        <v>0</v>
      </c>
      <c r="V42" s="1166">
        <f>SUM(P42:U42)</f>
        <v>0</v>
      </c>
      <c r="W42" s="1159" t="s">
        <v>426</v>
      </c>
      <c r="X42" s="431"/>
      <c r="Y42" s="431"/>
      <c r="Z42" s="431"/>
      <c r="AA42" s="431"/>
      <c r="AB42" s="431"/>
      <c r="AC42" s="431"/>
      <c r="AD42" s="431"/>
      <c r="AE42" s="431"/>
      <c r="AF42" s="431"/>
      <c r="AG42" s="431"/>
      <c r="AH42" s="431"/>
      <c r="AI42" s="431"/>
      <c r="AJ42" s="431"/>
      <c r="AK42" s="431"/>
      <c r="AL42" s="431"/>
      <c r="AM42" s="431"/>
      <c r="AN42" s="431"/>
      <c r="AO42" s="431"/>
      <c r="AP42" s="431"/>
      <c r="AQ42" s="431"/>
      <c r="AR42" s="431"/>
      <c r="AS42" s="431"/>
      <c r="AT42" s="431"/>
      <c r="AU42" s="431"/>
      <c r="AV42" s="431"/>
      <c r="AW42" s="431"/>
      <c r="AX42" s="431"/>
      <c r="AY42" s="431"/>
      <c r="AZ42" s="431"/>
      <c r="BA42" s="431"/>
      <c r="BB42" s="431"/>
      <c r="BC42" s="431"/>
    </row>
    <row r="43" spans="3:55" s="432" customFormat="1" ht="6.75" customHeight="1" x14ac:dyDescent="0.2">
      <c r="M43" s="1123"/>
      <c r="N43" s="457"/>
      <c r="O43" s="1137"/>
      <c r="P43" s="1141"/>
      <c r="Q43" s="1141"/>
      <c r="R43" s="1141"/>
      <c r="S43" s="1141"/>
      <c r="T43" s="1141"/>
      <c r="U43" s="1141"/>
      <c r="V43" s="1142"/>
      <c r="W43" s="1142"/>
      <c r="X43" s="431"/>
      <c r="Y43" s="431"/>
      <c r="Z43" s="431"/>
      <c r="AA43" s="431"/>
      <c r="AB43" s="431"/>
      <c r="AC43" s="431"/>
      <c r="AD43" s="431"/>
      <c r="AE43" s="431"/>
      <c r="AF43" s="431"/>
      <c r="AG43" s="431"/>
      <c r="AH43" s="431"/>
      <c r="AI43" s="431"/>
      <c r="AJ43" s="431"/>
      <c r="AK43" s="431"/>
      <c r="AL43" s="431"/>
      <c r="AM43" s="431"/>
      <c r="AN43" s="431"/>
      <c r="AO43" s="431"/>
      <c r="AP43" s="431"/>
      <c r="AQ43" s="431"/>
      <c r="AR43" s="431"/>
      <c r="AS43" s="431"/>
      <c r="AT43" s="431"/>
      <c r="AU43" s="431"/>
      <c r="AV43" s="431"/>
      <c r="AW43" s="431"/>
      <c r="AX43" s="431"/>
      <c r="AY43" s="431"/>
      <c r="AZ43" s="431"/>
      <c r="BA43" s="431"/>
      <c r="BB43" s="431"/>
      <c r="BC43" s="431"/>
    </row>
    <row r="44" spans="3:55" s="432" customFormat="1" ht="12.75" customHeight="1" thickBot="1" x14ac:dyDescent="0.25">
      <c r="L44" s="1133"/>
      <c r="M44" s="1123"/>
      <c r="N44" s="457"/>
      <c r="O44" s="1146" t="s">
        <v>659</v>
      </c>
      <c r="P44" s="1152">
        <f t="shared" ref="P44:U44" si="2">SUM(P45:P49)</f>
        <v>0</v>
      </c>
      <c r="Q44" s="1152">
        <f t="shared" si="2"/>
        <v>0</v>
      </c>
      <c r="R44" s="1152">
        <f t="shared" si="2"/>
        <v>0</v>
      </c>
      <c r="S44" s="1152">
        <f t="shared" si="2"/>
        <v>0</v>
      </c>
      <c r="T44" s="1152">
        <f t="shared" si="2"/>
        <v>0</v>
      </c>
      <c r="U44" s="1152">
        <f t="shared" si="2"/>
        <v>0</v>
      </c>
      <c r="V44" s="1138">
        <f>SUM(P44:U44)</f>
        <v>0</v>
      </c>
      <c r="W44" s="1160">
        <f>V42-V44</f>
        <v>0</v>
      </c>
      <c r="X44" s="431"/>
      <c r="Y44" s="431"/>
      <c r="Z44" s="431"/>
      <c r="AA44" s="431"/>
      <c r="AB44" s="431"/>
      <c r="AC44" s="431"/>
      <c r="AD44" s="431"/>
      <c r="AE44" s="431"/>
      <c r="AF44" s="431"/>
      <c r="AG44" s="431"/>
      <c r="AH44" s="431"/>
      <c r="AI44" s="431"/>
      <c r="AJ44" s="431"/>
      <c r="AK44" s="431"/>
      <c r="AL44" s="431"/>
      <c r="AM44" s="431"/>
      <c r="AN44" s="431"/>
      <c r="AO44" s="431"/>
      <c r="AP44" s="431"/>
      <c r="AQ44" s="431"/>
      <c r="AR44" s="431"/>
      <c r="AS44" s="431"/>
      <c r="AT44" s="431"/>
      <c r="AU44" s="431"/>
      <c r="AV44" s="431"/>
      <c r="AW44" s="431"/>
      <c r="AX44" s="431"/>
      <c r="AY44" s="431"/>
      <c r="AZ44" s="431"/>
      <c r="BA44" s="431"/>
      <c r="BB44" s="431"/>
      <c r="BC44" s="431"/>
    </row>
    <row r="45" spans="3:55" s="432" customFormat="1" ht="12.75" customHeight="1" x14ac:dyDescent="0.2">
      <c r="C45" s="1500">
        <f>$C$16</f>
        <v>0</v>
      </c>
      <c r="D45" s="1501">
        <f t="shared" ref="D45" si="3">$C27</f>
        <v>0</v>
      </c>
      <c r="E45" s="1170"/>
      <c r="F45" s="1170"/>
      <c r="G45" s="1170"/>
      <c r="H45" s="1170"/>
      <c r="I45" s="1170"/>
      <c r="J45" s="1170"/>
      <c r="K45" s="1170"/>
      <c r="L45" s="1134">
        <f>$C$16</f>
        <v>0</v>
      </c>
      <c r="M45" s="1143"/>
      <c r="N45" s="1144"/>
      <c r="O45" s="1145"/>
      <c r="P45" s="1130"/>
      <c r="Q45" s="1130"/>
      <c r="R45" s="1130"/>
      <c r="S45" s="1128"/>
      <c r="T45" s="1128"/>
      <c r="U45" s="1129"/>
      <c r="W45" s="1140" t="s">
        <v>666</v>
      </c>
      <c r="X45" s="431"/>
      <c r="Y45" s="431"/>
      <c r="Z45" s="431"/>
      <c r="AA45" s="431"/>
      <c r="AB45" s="431"/>
      <c r="AC45" s="431"/>
      <c r="AD45" s="431"/>
      <c r="AE45" s="431"/>
      <c r="AF45" s="431"/>
      <c r="AG45" s="431"/>
      <c r="AH45" s="431"/>
      <c r="AI45" s="431"/>
      <c r="AJ45" s="431"/>
      <c r="AK45" s="431"/>
      <c r="AL45" s="431"/>
      <c r="AM45" s="431"/>
      <c r="AN45" s="431"/>
      <c r="AO45" s="431"/>
      <c r="AP45" s="431"/>
      <c r="AQ45" s="431"/>
      <c r="AR45" s="431"/>
      <c r="AS45" s="431"/>
      <c r="AT45" s="431"/>
      <c r="AU45" s="431"/>
      <c r="AV45" s="431"/>
      <c r="AW45" s="431"/>
      <c r="AX45" s="431"/>
      <c r="AY45" s="431"/>
      <c r="AZ45" s="431"/>
      <c r="BA45" s="431"/>
      <c r="BB45" s="431"/>
      <c r="BC45" s="431"/>
    </row>
    <row r="46" spans="3:55" s="432" customFormat="1" ht="12.75" customHeight="1" x14ac:dyDescent="0.2">
      <c r="C46" s="1502">
        <f>$C$17</f>
        <v>0</v>
      </c>
      <c r="D46" s="1503">
        <f t="shared" ref="D46" si="4">$C28</f>
        <v>0</v>
      </c>
      <c r="E46" s="1170"/>
      <c r="F46" s="1170"/>
      <c r="G46" s="1170"/>
      <c r="H46" s="1170"/>
      <c r="I46" s="1170"/>
      <c r="J46" s="1170"/>
      <c r="K46" s="1170"/>
      <c r="L46" s="1135">
        <f>$C$17</f>
        <v>0</v>
      </c>
      <c r="M46" s="1143"/>
      <c r="N46" s="1144"/>
      <c r="O46" s="1145"/>
      <c r="P46" s="1130"/>
      <c r="Q46" s="1130"/>
      <c r="R46" s="1130"/>
      <c r="S46" s="1131"/>
      <c r="T46" s="1131"/>
      <c r="U46" s="1132"/>
      <c r="X46" s="431"/>
      <c r="Y46" s="431"/>
      <c r="Z46" s="431"/>
      <c r="AA46" s="431"/>
      <c r="AB46" s="431"/>
      <c r="AC46" s="431"/>
      <c r="AD46" s="431"/>
      <c r="AE46" s="431"/>
      <c r="AF46" s="431"/>
      <c r="AG46" s="431"/>
      <c r="AH46" s="431"/>
      <c r="AI46" s="431"/>
      <c r="AJ46" s="431"/>
      <c r="AK46" s="431"/>
      <c r="AL46" s="431"/>
      <c r="AM46" s="431"/>
      <c r="AN46" s="431"/>
      <c r="AO46" s="431"/>
      <c r="AP46" s="431"/>
      <c r="AQ46" s="431"/>
      <c r="AR46" s="431"/>
      <c r="AS46" s="431"/>
      <c r="AT46" s="431"/>
      <c r="AU46" s="431"/>
      <c r="AV46" s="431"/>
      <c r="AW46" s="431"/>
      <c r="AX46" s="431"/>
      <c r="AY46" s="431"/>
      <c r="AZ46" s="431"/>
      <c r="BA46" s="431"/>
      <c r="BB46" s="431"/>
      <c r="BC46" s="431"/>
    </row>
    <row r="47" spans="3:55" s="432" customFormat="1" ht="12.75" customHeight="1" x14ac:dyDescent="0.2">
      <c r="C47" s="1502">
        <f>$C$18</f>
        <v>0</v>
      </c>
      <c r="D47" s="1503">
        <f t="shared" ref="D47" si="5">$C29</f>
        <v>0</v>
      </c>
      <c r="E47" s="1170"/>
      <c r="F47" s="1170"/>
      <c r="G47" s="1170"/>
      <c r="H47" s="1170"/>
      <c r="I47" s="1170"/>
      <c r="J47" s="1170"/>
      <c r="K47" s="1170"/>
      <c r="L47" s="1135">
        <f>$C$18</f>
        <v>0</v>
      </c>
      <c r="M47" s="1143"/>
      <c r="N47" s="1144"/>
      <c r="O47" s="1145"/>
      <c r="P47" s="1130"/>
      <c r="Q47" s="1130"/>
      <c r="R47" s="1130"/>
      <c r="S47" s="1131"/>
      <c r="T47" s="1131"/>
      <c r="U47" s="1132"/>
      <c r="X47" s="431"/>
      <c r="Y47" s="431"/>
      <c r="Z47" s="431"/>
      <c r="AA47" s="431"/>
      <c r="AB47" s="431"/>
      <c r="AC47" s="431"/>
      <c r="AD47" s="431"/>
      <c r="AE47" s="431"/>
      <c r="AF47" s="431"/>
      <c r="AG47" s="431"/>
      <c r="AH47" s="431"/>
      <c r="AI47" s="431"/>
      <c r="AJ47" s="431"/>
      <c r="AK47" s="431"/>
      <c r="AL47" s="431"/>
      <c r="AM47" s="431"/>
      <c r="AN47" s="431"/>
      <c r="AO47" s="431"/>
      <c r="AP47" s="431"/>
      <c r="AQ47" s="431"/>
      <c r="AR47" s="431"/>
      <c r="AS47" s="431"/>
      <c r="AT47" s="431"/>
      <c r="AU47" s="431"/>
      <c r="AV47" s="431"/>
      <c r="AW47" s="431"/>
      <c r="AX47" s="431"/>
      <c r="AY47" s="431"/>
      <c r="AZ47" s="431"/>
      <c r="BA47" s="431"/>
      <c r="BB47" s="431"/>
      <c r="BC47" s="431"/>
    </row>
    <row r="48" spans="3:55" s="432" customFormat="1" ht="12.75" customHeight="1" x14ac:dyDescent="0.2">
      <c r="C48" s="1502">
        <f>$C$19</f>
        <v>0</v>
      </c>
      <c r="D48" s="1503">
        <f t="shared" ref="D48" si="6">$C30</f>
        <v>0</v>
      </c>
      <c r="E48" s="1170"/>
      <c r="F48" s="1170"/>
      <c r="G48" s="1170"/>
      <c r="H48" s="1170"/>
      <c r="I48" s="1170"/>
      <c r="J48" s="1170"/>
      <c r="K48" s="1170"/>
      <c r="L48" s="1135">
        <f>$C$19</f>
        <v>0</v>
      </c>
      <c r="M48" s="1143"/>
      <c r="N48" s="1144"/>
      <c r="O48" s="1145"/>
      <c r="P48" s="1130"/>
      <c r="Q48" s="1130"/>
      <c r="R48" s="1130"/>
      <c r="S48" s="1131"/>
      <c r="T48" s="1131"/>
      <c r="U48" s="1132"/>
      <c r="X48" s="431"/>
      <c r="Y48" s="431"/>
      <c r="Z48" s="431"/>
      <c r="AA48" s="431"/>
      <c r="AB48" s="431"/>
      <c r="AC48" s="431"/>
      <c r="AD48" s="431"/>
      <c r="AE48" s="431"/>
      <c r="AF48" s="431"/>
      <c r="AG48" s="431"/>
      <c r="AH48" s="431"/>
      <c r="AI48" s="431"/>
      <c r="AJ48" s="431"/>
      <c r="AK48" s="431"/>
      <c r="AL48" s="431"/>
      <c r="AM48" s="431"/>
      <c r="AN48" s="431"/>
      <c r="AO48" s="431"/>
      <c r="AP48" s="431"/>
      <c r="AQ48" s="431"/>
      <c r="AR48" s="431"/>
      <c r="AS48" s="431"/>
      <c r="AT48" s="431"/>
      <c r="AU48" s="431"/>
      <c r="AV48" s="431"/>
      <c r="AW48" s="431"/>
      <c r="AX48" s="431"/>
      <c r="AY48" s="431"/>
      <c r="AZ48" s="431"/>
      <c r="BA48" s="431"/>
      <c r="BB48" s="431"/>
      <c r="BC48" s="431"/>
    </row>
    <row r="49" spans="3:55" s="432" customFormat="1" ht="12.75" customHeight="1" thickBot="1" x14ac:dyDescent="0.25">
      <c r="C49" s="1498">
        <f>$C$20</f>
        <v>0</v>
      </c>
      <c r="D49" s="1499" t="e">
        <f>#REF!</f>
        <v>#REF!</v>
      </c>
      <c r="E49" s="1170"/>
      <c r="F49" s="1170"/>
      <c r="G49" s="1170"/>
      <c r="H49" s="1170"/>
      <c r="I49" s="1170"/>
      <c r="J49" s="1170"/>
      <c r="K49" s="1170"/>
      <c r="L49" s="1167">
        <f>$C$20</f>
        <v>0</v>
      </c>
      <c r="M49" s="1143"/>
      <c r="N49" s="1144"/>
      <c r="O49" s="1145"/>
      <c r="P49" s="1130"/>
      <c r="Q49" s="1130"/>
      <c r="R49" s="1130"/>
      <c r="S49" s="1131"/>
      <c r="T49" s="1131"/>
      <c r="U49" s="1132"/>
      <c r="X49" s="431"/>
      <c r="Y49" s="431"/>
      <c r="Z49" s="431"/>
      <c r="AA49" s="431"/>
      <c r="AB49" s="431"/>
      <c r="AC49" s="431"/>
      <c r="AD49" s="431"/>
      <c r="AE49" s="431"/>
      <c r="AF49" s="431"/>
      <c r="AG49" s="431"/>
      <c r="AH49" s="431"/>
      <c r="AI49" s="431"/>
      <c r="AJ49" s="431"/>
      <c r="AK49" s="431"/>
      <c r="AL49" s="431"/>
      <c r="AM49" s="431"/>
      <c r="AN49" s="431"/>
      <c r="AO49" s="431"/>
      <c r="AP49" s="431"/>
      <c r="AQ49" s="431"/>
      <c r="AR49" s="431"/>
      <c r="AS49" s="431"/>
      <c r="AT49" s="431"/>
      <c r="AU49" s="431"/>
      <c r="AV49" s="431"/>
      <c r="AW49" s="431"/>
      <c r="AX49" s="431"/>
      <c r="AY49" s="431"/>
      <c r="AZ49" s="431"/>
      <c r="BA49" s="431"/>
      <c r="BB49" s="431"/>
      <c r="BC49" s="431"/>
    </row>
    <row r="50" spans="3:55" s="432" customFormat="1" ht="8.25" customHeight="1" thickBot="1" x14ac:dyDescent="0.25">
      <c r="M50" s="1157"/>
      <c r="N50" s="1158"/>
      <c r="O50" s="1155"/>
      <c r="P50" s="1155"/>
      <c r="Q50" s="1155"/>
      <c r="R50" s="1155"/>
      <c r="S50" s="1155"/>
      <c r="T50" s="1155"/>
      <c r="U50" s="1155"/>
      <c r="V50" s="1155"/>
      <c r="W50" s="1155"/>
      <c r="X50" s="431"/>
      <c r="Y50" s="431"/>
      <c r="Z50" s="431"/>
      <c r="AA50" s="431"/>
      <c r="AB50" s="431"/>
      <c r="AC50" s="431"/>
      <c r="AD50" s="431"/>
      <c r="AE50" s="431"/>
      <c r="AF50" s="431"/>
      <c r="AG50" s="431"/>
      <c r="AH50" s="431"/>
      <c r="AI50" s="431"/>
      <c r="AJ50" s="431"/>
      <c r="AK50" s="431"/>
      <c r="AL50" s="431"/>
      <c r="AM50" s="431"/>
      <c r="AN50" s="431"/>
      <c r="AO50" s="431"/>
      <c r="AP50" s="431"/>
      <c r="AQ50" s="431"/>
      <c r="AR50" s="431"/>
      <c r="AS50" s="431"/>
      <c r="AT50" s="431"/>
      <c r="AU50" s="431"/>
      <c r="AV50" s="431"/>
      <c r="AW50" s="431"/>
      <c r="AX50" s="431"/>
      <c r="AY50" s="431"/>
      <c r="AZ50" s="431"/>
      <c r="BA50" s="431"/>
      <c r="BB50" s="431"/>
      <c r="BC50" s="431"/>
    </row>
    <row r="51" spans="3:55" s="432" customFormat="1" ht="12.75" customHeight="1" thickBot="1" x14ac:dyDescent="0.25">
      <c r="M51" s="1156" t="s">
        <v>13</v>
      </c>
      <c r="N51" s="457"/>
      <c r="O51" s="1666" t="s">
        <v>663</v>
      </c>
      <c r="P51" s="1163">
        <f>'O-II (Ph3)'!M60</f>
        <v>0</v>
      </c>
      <c r="Q51" s="1164">
        <f>'O-II (Ph3)'!V60</f>
        <v>0</v>
      </c>
      <c r="R51" s="1164">
        <f>'O-II (Ph3)'!AE60</f>
        <v>0</v>
      </c>
      <c r="S51" s="1164">
        <f>'O-II (Ph3)'!AN60</f>
        <v>0</v>
      </c>
      <c r="T51" s="1164">
        <f>'O-II (Ph3)'!AW60</f>
        <v>0</v>
      </c>
      <c r="U51" s="1164">
        <f>'O-II (Ph3)'!BF60</f>
        <v>0</v>
      </c>
      <c r="V51" s="1166">
        <f>SUM(P51:U51)</f>
        <v>0</v>
      </c>
      <c r="W51" s="1159" t="s">
        <v>426</v>
      </c>
      <c r="X51" s="431"/>
      <c r="Y51" s="431"/>
      <c r="Z51" s="431"/>
      <c r="AA51" s="431"/>
      <c r="AB51" s="431"/>
      <c r="AC51" s="431"/>
      <c r="AD51" s="431"/>
      <c r="AE51" s="431"/>
      <c r="AF51" s="431"/>
      <c r="AG51" s="431"/>
      <c r="AH51" s="431"/>
      <c r="AI51" s="431"/>
      <c r="AJ51" s="431"/>
      <c r="AK51" s="431"/>
      <c r="AL51" s="431"/>
      <c r="AM51" s="431"/>
      <c r="AN51" s="431"/>
      <c r="AO51" s="431"/>
      <c r="AP51" s="431"/>
      <c r="AQ51" s="431"/>
      <c r="AR51" s="431"/>
      <c r="AS51" s="431"/>
      <c r="AT51" s="431"/>
      <c r="AU51" s="431"/>
      <c r="AV51" s="431"/>
      <c r="AW51" s="431"/>
      <c r="AX51" s="431"/>
      <c r="AY51" s="431"/>
      <c r="AZ51" s="431"/>
      <c r="BA51" s="431"/>
      <c r="BB51" s="431"/>
      <c r="BC51" s="431"/>
    </row>
    <row r="52" spans="3:55" s="432" customFormat="1" ht="6.75" customHeight="1" x14ac:dyDescent="0.2">
      <c r="M52" s="1123"/>
      <c r="N52" s="457"/>
      <c r="O52" s="1137"/>
      <c r="P52" s="1141"/>
      <c r="Q52" s="1141"/>
      <c r="R52" s="1141"/>
      <c r="S52" s="1141"/>
      <c r="T52" s="1141"/>
      <c r="U52" s="1141"/>
      <c r="V52" s="1142"/>
      <c r="W52" s="1142"/>
      <c r="X52" s="431"/>
      <c r="Y52" s="431"/>
      <c r="Z52" s="431"/>
      <c r="AA52" s="431"/>
      <c r="AB52" s="431"/>
      <c r="AC52" s="431"/>
      <c r="AD52" s="431"/>
      <c r="AE52" s="431"/>
      <c r="AF52" s="431"/>
      <c r="AG52" s="431"/>
      <c r="AH52" s="431"/>
      <c r="AI52" s="431"/>
      <c r="AJ52" s="431"/>
      <c r="AK52" s="431"/>
      <c r="AL52" s="431"/>
      <c r="AM52" s="431"/>
      <c r="AN52" s="431"/>
      <c r="AO52" s="431"/>
      <c r="AP52" s="431"/>
      <c r="AQ52" s="431"/>
      <c r="AR52" s="431"/>
      <c r="AS52" s="431"/>
      <c r="AT52" s="431"/>
      <c r="AU52" s="431"/>
      <c r="AV52" s="431"/>
      <c r="AW52" s="431"/>
      <c r="AX52" s="431"/>
      <c r="AY52" s="431"/>
      <c r="AZ52" s="431"/>
      <c r="BA52" s="431"/>
      <c r="BB52" s="431"/>
      <c r="BC52" s="431"/>
    </row>
    <row r="53" spans="3:55" s="432" customFormat="1" ht="12.75" customHeight="1" thickBot="1" x14ac:dyDescent="0.25">
      <c r="L53" s="1133"/>
      <c r="M53" s="1123"/>
      <c r="N53" s="457"/>
      <c r="O53" s="1146" t="s">
        <v>659</v>
      </c>
      <c r="P53" s="1152">
        <f t="shared" ref="P53:U53" si="7">SUM(P54:P58)</f>
        <v>0</v>
      </c>
      <c r="Q53" s="1152">
        <f t="shared" si="7"/>
        <v>0</v>
      </c>
      <c r="R53" s="1152">
        <f t="shared" si="7"/>
        <v>0</v>
      </c>
      <c r="S53" s="1152">
        <f t="shared" si="7"/>
        <v>0</v>
      </c>
      <c r="T53" s="1152">
        <f t="shared" si="7"/>
        <v>0</v>
      </c>
      <c r="U53" s="1152">
        <f t="shared" si="7"/>
        <v>0</v>
      </c>
      <c r="V53" s="1138">
        <f>SUM(P53:U53)</f>
        <v>0</v>
      </c>
      <c r="W53" s="1160">
        <f>V51-V53</f>
        <v>0</v>
      </c>
      <c r="X53" s="431"/>
      <c r="Y53" s="431"/>
      <c r="Z53" s="431"/>
      <c r="AA53" s="431"/>
      <c r="AB53" s="431"/>
      <c r="AC53" s="431"/>
      <c r="AD53" s="431"/>
      <c r="AE53" s="431"/>
      <c r="AF53" s="431"/>
      <c r="AG53" s="431"/>
      <c r="AH53" s="431"/>
      <c r="AI53" s="431"/>
      <c r="AJ53" s="431"/>
      <c r="AK53" s="431"/>
      <c r="AL53" s="431"/>
      <c r="AM53" s="431"/>
      <c r="AN53" s="431"/>
      <c r="AO53" s="431"/>
      <c r="AP53" s="431"/>
      <c r="AQ53" s="431"/>
      <c r="AR53" s="431"/>
      <c r="AS53" s="431"/>
      <c r="AT53" s="431"/>
      <c r="AU53" s="431"/>
      <c r="AV53" s="431"/>
      <c r="AW53" s="431"/>
      <c r="AX53" s="431"/>
      <c r="AY53" s="431"/>
      <c r="AZ53" s="431"/>
      <c r="BA53" s="431"/>
      <c r="BB53" s="431"/>
      <c r="BC53" s="431"/>
    </row>
    <row r="54" spans="3:55" s="432" customFormat="1" ht="12.75" customHeight="1" x14ac:dyDescent="0.2">
      <c r="C54" s="1500">
        <f>$C$16</f>
        <v>0</v>
      </c>
      <c r="D54" s="1501">
        <f t="shared" ref="D54" si="8">$C36</f>
        <v>0</v>
      </c>
      <c r="E54" s="1170"/>
      <c r="F54" s="1170"/>
      <c r="G54" s="1170"/>
      <c r="H54" s="1170"/>
      <c r="I54" s="1170"/>
      <c r="J54" s="1170"/>
      <c r="K54" s="1170"/>
      <c r="L54" s="1134">
        <f>$C$16</f>
        <v>0</v>
      </c>
      <c r="M54" s="1143"/>
      <c r="N54" s="1144"/>
      <c r="O54" s="1145"/>
      <c r="P54" s="1130"/>
      <c r="Q54" s="1130"/>
      <c r="R54" s="1130"/>
      <c r="S54" s="1128"/>
      <c r="T54" s="1128"/>
      <c r="U54" s="1129"/>
      <c r="W54" s="1140" t="s">
        <v>666</v>
      </c>
      <c r="X54" s="431"/>
      <c r="Y54" s="431"/>
      <c r="Z54" s="431"/>
      <c r="AA54" s="431"/>
      <c r="AB54" s="431"/>
      <c r="AC54" s="431"/>
      <c r="AD54" s="431"/>
      <c r="AE54" s="431"/>
      <c r="AF54" s="431"/>
      <c r="AG54" s="431"/>
      <c r="AH54" s="431"/>
      <c r="AI54" s="431"/>
      <c r="AJ54" s="431"/>
      <c r="AK54" s="431"/>
      <c r="AL54" s="431"/>
      <c r="AM54" s="431"/>
      <c r="AN54" s="431"/>
      <c r="AO54" s="431"/>
      <c r="AP54" s="431"/>
      <c r="AQ54" s="431"/>
      <c r="AR54" s="431"/>
      <c r="AS54" s="431"/>
      <c r="AT54" s="431"/>
      <c r="AU54" s="431"/>
      <c r="AV54" s="431"/>
      <c r="AW54" s="431"/>
      <c r="AX54" s="431"/>
      <c r="AY54" s="431"/>
      <c r="AZ54" s="431"/>
      <c r="BA54" s="431"/>
      <c r="BB54" s="431"/>
      <c r="BC54" s="431"/>
    </row>
    <row r="55" spans="3:55" s="432" customFormat="1" ht="12.75" customHeight="1" x14ac:dyDescent="0.2">
      <c r="C55" s="1502">
        <f>$C$17</f>
        <v>0</v>
      </c>
      <c r="D55" s="1503">
        <f t="shared" ref="D55" si="9">$C37</f>
        <v>0</v>
      </c>
      <c r="E55" s="1170"/>
      <c r="F55" s="1170"/>
      <c r="G55" s="1170"/>
      <c r="H55" s="1170"/>
      <c r="I55" s="1170"/>
      <c r="J55" s="1170"/>
      <c r="K55" s="1170"/>
      <c r="L55" s="1135">
        <f>$C$17</f>
        <v>0</v>
      </c>
      <c r="M55" s="1143"/>
      <c r="N55" s="1144"/>
      <c r="O55" s="1145"/>
      <c r="P55" s="1130"/>
      <c r="Q55" s="1130"/>
      <c r="R55" s="1130"/>
      <c r="S55" s="1131"/>
      <c r="T55" s="1131"/>
      <c r="U55" s="1132"/>
      <c r="X55" s="431"/>
      <c r="Y55" s="431"/>
      <c r="Z55" s="431"/>
      <c r="AA55" s="431"/>
      <c r="AB55" s="431"/>
      <c r="AC55" s="431"/>
      <c r="AD55" s="431"/>
      <c r="AE55" s="431"/>
      <c r="AF55" s="431"/>
      <c r="AG55" s="431"/>
      <c r="AH55" s="431"/>
      <c r="AI55" s="431"/>
      <c r="AJ55" s="431"/>
      <c r="AK55" s="431"/>
      <c r="AL55" s="431"/>
      <c r="AM55" s="431"/>
      <c r="AN55" s="431"/>
      <c r="AO55" s="431"/>
      <c r="AP55" s="431"/>
      <c r="AQ55" s="431"/>
      <c r="AR55" s="431"/>
      <c r="AS55" s="431"/>
      <c r="AT55" s="431"/>
      <c r="AU55" s="431"/>
      <c r="AV55" s="431"/>
      <c r="AW55" s="431"/>
      <c r="AX55" s="431"/>
      <c r="AY55" s="431"/>
      <c r="AZ55" s="431"/>
      <c r="BA55" s="431"/>
      <c r="BB55" s="431"/>
      <c r="BC55" s="431"/>
    </row>
    <row r="56" spans="3:55" s="432" customFormat="1" ht="12.75" customHeight="1" x14ac:dyDescent="0.2">
      <c r="C56" s="1502">
        <f>$C$18</f>
        <v>0</v>
      </c>
      <c r="D56" s="1503">
        <f t="shared" ref="D56" si="10">$C38</f>
        <v>0</v>
      </c>
      <c r="E56" s="1170"/>
      <c r="F56" s="1170"/>
      <c r="G56" s="1170"/>
      <c r="H56" s="1170"/>
      <c r="I56" s="1170"/>
      <c r="J56" s="1170"/>
      <c r="K56" s="1170"/>
      <c r="L56" s="1135">
        <f>$C$18</f>
        <v>0</v>
      </c>
      <c r="M56" s="1143"/>
      <c r="N56" s="1144"/>
      <c r="O56" s="1145"/>
      <c r="P56" s="1130"/>
      <c r="Q56" s="1130"/>
      <c r="R56" s="1130"/>
      <c r="S56" s="1131"/>
      <c r="T56" s="1131"/>
      <c r="U56" s="1132"/>
      <c r="X56" s="431"/>
      <c r="Y56" s="431"/>
      <c r="Z56" s="431"/>
      <c r="AA56" s="431"/>
      <c r="AB56" s="431"/>
      <c r="AC56" s="431"/>
      <c r="AD56" s="431"/>
      <c r="AE56" s="431"/>
      <c r="AF56" s="431"/>
      <c r="AG56" s="431"/>
      <c r="AH56" s="431"/>
      <c r="AI56" s="431"/>
      <c r="AJ56" s="431"/>
      <c r="AK56" s="431"/>
      <c r="AL56" s="431"/>
      <c r="AM56" s="431"/>
      <c r="AN56" s="431"/>
      <c r="AO56" s="431"/>
      <c r="AP56" s="431"/>
      <c r="AQ56" s="431"/>
      <c r="AR56" s="431"/>
      <c r="AS56" s="431"/>
      <c r="AT56" s="431"/>
      <c r="AU56" s="431"/>
      <c r="AV56" s="431"/>
      <c r="AW56" s="431"/>
      <c r="AX56" s="431"/>
      <c r="AY56" s="431"/>
      <c r="AZ56" s="431"/>
      <c r="BA56" s="431"/>
      <c r="BB56" s="431"/>
      <c r="BC56" s="431"/>
    </row>
    <row r="57" spans="3:55" s="432" customFormat="1" ht="12.75" customHeight="1" x14ac:dyDescent="0.2">
      <c r="C57" s="1502">
        <f>$C$19</f>
        <v>0</v>
      </c>
      <c r="D57" s="1503">
        <f t="shared" ref="D57" si="11">$C39</f>
        <v>0</v>
      </c>
      <c r="E57" s="1170"/>
      <c r="F57" s="1170"/>
      <c r="G57" s="1170"/>
      <c r="H57" s="1170"/>
      <c r="I57" s="1170"/>
      <c r="J57" s="1170"/>
      <c r="K57" s="1170"/>
      <c r="L57" s="1135">
        <f>$C$19</f>
        <v>0</v>
      </c>
      <c r="M57" s="1143"/>
      <c r="N57" s="1144"/>
      <c r="O57" s="1145"/>
      <c r="P57" s="1130"/>
      <c r="Q57" s="1130"/>
      <c r="R57" s="1130"/>
      <c r="S57" s="1131"/>
      <c r="T57" s="1131"/>
      <c r="U57" s="1132"/>
      <c r="X57" s="431"/>
      <c r="Y57" s="431"/>
      <c r="Z57" s="431"/>
      <c r="AA57" s="431"/>
      <c r="AB57" s="431"/>
      <c r="AC57" s="431"/>
      <c r="AD57" s="431"/>
      <c r="AE57" s="431"/>
      <c r="AF57" s="431"/>
      <c r="AG57" s="431"/>
      <c r="AH57" s="431"/>
      <c r="AI57" s="431"/>
      <c r="AJ57" s="431"/>
      <c r="AK57" s="431"/>
      <c r="AL57" s="431"/>
      <c r="AM57" s="431"/>
      <c r="AN57" s="431"/>
      <c r="AO57" s="431"/>
      <c r="AP57" s="431"/>
      <c r="AQ57" s="431"/>
      <c r="AR57" s="431"/>
      <c r="AS57" s="431"/>
      <c r="AT57" s="431"/>
      <c r="AU57" s="431"/>
      <c r="AV57" s="431"/>
      <c r="AW57" s="431"/>
      <c r="AX57" s="431"/>
      <c r="AY57" s="431"/>
      <c r="AZ57" s="431"/>
      <c r="BA57" s="431"/>
      <c r="BB57" s="431"/>
      <c r="BC57" s="431"/>
    </row>
    <row r="58" spans="3:55" s="432" customFormat="1" ht="12.75" customHeight="1" thickBot="1" x14ac:dyDescent="0.25">
      <c r="C58" s="1498">
        <f>$C$20</f>
        <v>0</v>
      </c>
      <c r="D58" s="1499">
        <f t="shared" ref="D58" si="12">$C40</f>
        <v>0</v>
      </c>
      <c r="E58" s="1170"/>
      <c r="F58" s="1170"/>
      <c r="G58" s="1170"/>
      <c r="H58" s="1170"/>
      <c r="I58" s="1170"/>
      <c r="J58" s="1170"/>
      <c r="K58" s="1170"/>
      <c r="L58" s="1167">
        <f>$C$20</f>
        <v>0</v>
      </c>
      <c r="M58" s="1143"/>
      <c r="N58" s="1144"/>
      <c r="O58" s="1145"/>
      <c r="P58" s="1130"/>
      <c r="Q58" s="1130"/>
      <c r="R58" s="1130"/>
      <c r="S58" s="1131"/>
      <c r="T58" s="1131"/>
      <c r="U58" s="1132"/>
      <c r="X58" s="431"/>
      <c r="Y58" s="431"/>
      <c r="Z58" s="431"/>
      <c r="AA58" s="431"/>
      <c r="AB58" s="431"/>
      <c r="AC58" s="431"/>
      <c r="AD58" s="431"/>
      <c r="AE58" s="431"/>
      <c r="AF58" s="431"/>
      <c r="AG58" s="431"/>
      <c r="AH58" s="431"/>
      <c r="AI58" s="431"/>
      <c r="AJ58" s="431"/>
      <c r="AK58" s="431"/>
      <c r="AL58" s="431"/>
      <c r="AM58" s="431"/>
      <c r="AN58" s="431"/>
      <c r="AO58" s="431"/>
      <c r="AP58" s="431"/>
      <c r="AQ58" s="431"/>
      <c r="AR58" s="431"/>
      <c r="AS58" s="431"/>
      <c r="AT58" s="431"/>
      <c r="AU58" s="431"/>
      <c r="AV58" s="431"/>
      <c r="AW58" s="431"/>
      <c r="AX58" s="431"/>
      <c r="AY58" s="431"/>
      <c r="AZ58" s="431"/>
      <c r="BA58" s="431"/>
      <c r="BB58" s="431"/>
      <c r="BC58" s="431"/>
    </row>
    <row r="59" spans="3:55" s="432" customFormat="1" ht="8.25" customHeight="1" thickBot="1" x14ac:dyDescent="0.25">
      <c r="M59" s="1157"/>
      <c r="N59" s="1158"/>
      <c r="O59" s="1155"/>
      <c r="P59" s="1155"/>
      <c r="Q59" s="1155"/>
      <c r="R59" s="1155"/>
      <c r="S59" s="1155"/>
      <c r="T59" s="1155"/>
      <c r="U59" s="1155"/>
      <c r="V59" s="1155"/>
      <c r="W59" s="1155"/>
      <c r="X59" s="431"/>
      <c r="Y59" s="431"/>
      <c r="Z59" s="431"/>
      <c r="AA59" s="431"/>
      <c r="AB59" s="431"/>
      <c r="AC59" s="431"/>
      <c r="AD59" s="431"/>
      <c r="AE59" s="431"/>
      <c r="AF59" s="431"/>
      <c r="AG59" s="431"/>
      <c r="AH59" s="431"/>
      <c r="AI59" s="431"/>
      <c r="AJ59" s="431"/>
      <c r="AK59" s="431"/>
      <c r="AL59" s="431"/>
      <c r="AM59" s="431"/>
      <c r="AN59" s="431"/>
      <c r="AO59" s="431"/>
      <c r="AP59" s="431"/>
      <c r="AQ59" s="431"/>
      <c r="AR59" s="431"/>
      <c r="AS59" s="431"/>
      <c r="AT59" s="431"/>
      <c r="AU59" s="431"/>
      <c r="AV59" s="431"/>
      <c r="AW59" s="431"/>
      <c r="AX59" s="431"/>
      <c r="AY59" s="431"/>
      <c r="AZ59" s="431"/>
      <c r="BA59" s="431"/>
      <c r="BB59" s="431"/>
      <c r="BC59" s="431"/>
    </row>
    <row r="60" spans="3:55" s="432" customFormat="1" ht="12.75" customHeight="1" thickBot="1" x14ac:dyDescent="0.25">
      <c r="M60" s="1156" t="s">
        <v>13</v>
      </c>
      <c r="N60" s="457"/>
      <c r="O60" s="1666" t="s">
        <v>664</v>
      </c>
      <c r="P60" s="1163">
        <f>'O-III (Ph4)'!M60</f>
        <v>0</v>
      </c>
      <c r="Q60" s="1164">
        <f>'O-III (Ph4)'!V60</f>
        <v>0</v>
      </c>
      <c r="R60" s="1164">
        <f>'O-III (Ph4)'!AE60</f>
        <v>0</v>
      </c>
      <c r="S60" s="1164">
        <f>'O-III (Ph4)'!AN60</f>
        <v>0</v>
      </c>
      <c r="T60" s="1164">
        <f>'O-III (Ph4)'!AW60</f>
        <v>0</v>
      </c>
      <c r="U60" s="1165">
        <f>'O-III (Ph4)'!BF60</f>
        <v>0</v>
      </c>
      <c r="V60" s="1166">
        <f>SUM(P60:U60)</f>
        <v>0</v>
      </c>
      <c r="W60" s="1159" t="s">
        <v>426</v>
      </c>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431"/>
      <c r="AW60" s="431"/>
      <c r="AX60" s="431"/>
      <c r="AY60" s="431"/>
      <c r="AZ60" s="431"/>
      <c r="BA60" s="431"/>
      <c r="BB60" s="431"/>
      <c r="BC60" s="431"/>
    </row>
    <row r="61" spans="3:55" s="432" customFormat="1" ht="6.75" customHeight="1" x14ac:dyDescent="0.2">
      <c r="M61" s="1123"/>
      <c r="N61" s="457"/>
      <c r="O61" s="1137"/>
      <c r="P61" s="1141"/>
      <c r="Q61" s="1141"/>
      <c r="R61" s="1141"/>
      <c r="S61" s="1141"/>
      <c r="T61" s="1141"/>
      <c r="U61" s="1141"/>
      <c r="V61" s="1142"/>
      <c r="W61" s="1142"/>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431"/>
      <c r="AW61" s="431"/>
      <c r="AX61" s="431"/>
      <c r="AY61" s="431"/>
      <c r="AZ61" s="431"/>
      <c r="BA61" s="431"/>
      <c r="BB61" s="431"/>
      <c r="BC61" s="431"/>
    </row>
    <row r="62" spans="3:55" s="432" customFormat="1" ht="12.75" customHeight="1" thickBot="1" x14ac:dyDescent="0.25">
      <c r="L62" s="1133"/>
      <c r="M62" s="1123"/>
      <c r="N62" s="457"/>
      <c r="O62" s="1146" t="s">
        <v>659</v>
      </c>
      <c r="P62" s="1152">
        <f t="shared" ref="P62:U62" si="13">SUM(P63:P67)</f>
        <v>0</v>
      </c>
      <c r="Q62" s="1152">
        <f t="shared" si="13"/>
        <v>0</v>
      </c>
      <c r="R62" s="1152">
        <f t="shared" si="13"/>
        <v>0</v>
      </c>
      <c r="S62" s="1152">
        <f t="shared" si="13"/>
        <v>0</v>
      </c>
      <c r="T62" s="1152">
        <f t="shared" si="13"/>
        <v>0</v>
      </c>
      <c r="U62" s="1152">
        <f t="shared" si="13"/>
        <v>0</v>
      </c>
      <c r="V62" s="1138">
        <f>SUM(P62:U62)</f>
        <v>0</v>
      </c>
      <c r="W62" s="1160">
        <f>V60-V62</f>
        <v>0</v>
      </c>
      <c r="X62" s="431"/>
      <c r="Y62" s="431"/>
      <c r="Z62" s="431"/>
      <c r="AA62" s="431"/>
      <c r="AB62" s="431"/>
      <c r="AC62" s="431"/>
      <c r="AD62" s="431"/>
      <c r="AE62" s="431"/>
      <c r="AF62" s="431"/>
      <c r="AG62" s="431"/>
      <c r="AH62" s="431"/>
      <c r="AI62" s="431"/>
      <c r="AJ62" s="431"/>
      <c r="AK62" s="431"/>
      <c r="AL62" s="431"/>
      <c r="AM62" s="431"/>
      <c r="AN62" s="431"/>
      <c r="AO62" s="431"/>
      <c r="AP62" s="431"/>
      <c r="AQ62" s="431"/>
      <c r="AR62" s="431"/>
      <c r="AS62" s="431"/>
      <c r="AT62" s="431"/>
      <c r="AU62" s="431"/>
      <c r="AV62" s="431"/>
      <c r="AW62" s="431"/>
      <c r="AX62" s="431"/>
      <c r="AY62" s="431"/>
      <c r="AZ62" s="431"/>
      <c r="BA62" s="431"/>
      <c r="BB62" s="431"/>
      <c r="BC62" s="431"/>
    </row>
    <row r="63" spans="3:55" s="432" customFormat="1" ht="12.75" customHeight="1" x14ac:dyDescent="0.2">
      <c r="C63" s="1500">
        <f>$C$16</f>
        <v>0</v>
      </c>
      <c r="D63" s="1501">
        <f t="shared" ref="D63" si="14">$C45</f>
        <v>0</v>
      </c>
      <c r="E63" s="1170"/>
      <c r="F63" s="1170"/>
      <c r="G63" s="1170"/>
      <c r="H63" s="1170"/>
      <c r="I63" s="1170"/>
      <c r="J63" s="1170"/>
      <c r="K63" s="1170"/>
      <c r="L63" s="1134">
        <f>$C$16</f>
        <v>0</v>
      </c>
      <c r="M63" s="1143"/>
      <c r="N63" s="1144"/>
      <c r="O63" s="1145"/>
      <c r="P63" s="1130"/>
      <c r="Q63" s="1130"/>
      <c r="R63" s="1130"/>
      <c r="S63" s="1128"/>
      <c r="T63" s="1128"/>
      <c r="U63" s="1129"/>
      <c r="W63" s="1140" t="s">
        <v>666</v>
      </c>
      <c r="X63" s="431"/>
      <c r="Y63" s="431"/>
      <c r="Z63" s="431"/>
      <c r="AA63" s="431"/>
      <c r="AB63" s="431"/>
      <c r="AC63" s="431"/>
      <c r="AD63" s="431"/>
      <c r="AE63" s="431"/>
      <c r="AF63" s="431"/>
      <c r="AG63" s="431"/>
      <c r="AH63" s="431"/>
      <c r="AI63" s="431"/>
      <c r="AJ63" s="431"/>
      <c r="AK63" s="431"/>
      <c r="AL63" s="431"/>
      <c r="AM63" s="431"/>
      <c r="AN63" s="431"/>
      <c r="AO63" s="431"/>
      <c r="AP63" s="431"/>
      <c r="AQ63" s="431"/>
      <c r="AR63" s="431"/>
      <c r="AS63" s="431"/>
      <c r="AT63" s="431"/>
      <c r="AU63" s="431"/>
      <c r="AV63" s="431"/>
      <c r="AW63" s="431"/>
      <c r="AX63" s="431"/>
      <c r="AY63" s="431"/>
      <c r="AZ63" s="431"/>
      <c r="BA63" s="431"/>
      <c r="BB63" s="431"/>
      <c r="BC63" s="431"/>
    </row>
    <row r="64" spans="3:55" s="432" customFormat="1" ht="12.75" customHeight="1" x14ac:dyDescent="0.2">
      <c r="C64" s="1502">
        <f>$C$17</f>
        <v>0</v>
      </c>
      <c r="D64" s="1503">
        <f t="shared" ref="D64" si="15">$C46</f>
        <v>0</v>
      </c>
      <c r="E64" s="1170"/>
      <c r="F64" s="1170"/>
      <c r="G64" s="1170"/>
      <c r="H64" s="1170"/>
      <c r="I64" s="1170"/>
      <c r="J64" s="1170"/>
      <c r="K64" s="1170"/>
      <c r="L64" s="1135">
        <f>$C$17</f>
        <v>0</v>
      </c>
      <c r="M64" s="1143"/>
      <c r="N64" s="1144"/>
      <c r="O64" s="1145"/>
      <c r="P64" s="1130"/>
      <c r="Q64" s="1130"/>
      <c r="R64" s="1130"/>
      <c r="S64" s="1131"/>
      <c r="T64" s="1131"/>
      <c r="U64" s="1132"/>
      <c r="X64" s="431"/>
      <c r="Y64" s="431"/>
      <c r="Z64" s="431"/>
      <c r="AA64" s="431"/>
      <c r="AB64" s="431"/>
      <c r="AC64" s="431"/>
      <c r="AD64" s="431"/>
      <c r="AE64" s="431"/>
      <c r="AF64" s="431"/>
      <c r="AG64" s="431"/>
      <c r="AH64" s="431"/>
      <c r="AI64" s="431"/>
      <c r="AJ64" s="431"/>
      <c r="AK64" s="431"/>
      <c r="AL64" s="431"/>
      <c r="AM64" s="431"/>
      <c r="AN64" s="431"/>
      <c r="AO64" s="431"/>
      <c r="AP64" s="431"/>
      <c r="AQ64" s="431"/>
      <c r="AR64" s="431"/>
      <c r="AS64" s="431"/>
      <c r="AT64" s="431"/>
      <c r="AU64" s="431"/>
      <c r="AV64" s="431"/>
      <c r="AW64" s="431"/>
      <c r="AX64" s="431"/>
      <c r="AY64" s="431"/>
      <c r="AZ64" s="431"/>
      <c r="BA64" s="431"/>
      <c r="BB64" s="431"/>
      <c r="BC64" s="431"/>
    </row>
    <row r="65" spans="3:55" s="432" customFormat="1" ht="12.75" customHeight="1" x14ac:dyDescent="0.2">
      <c r="C65" s="1502">
        <f>$C$18</f>
        <v>0</v>
      </c>
      <c r="D65" s="1503">
        <f t="shared" ref="D65" si="16">$C47</f>
        <v>0</v>
      </c>
      <c r="E65" s="1170"/>
      <c r="F65" s="1170"/>
      <c r="G65" s="1170"/>
      <c r="H65" s="1170"/>
      <c r="I65" s="1170"/>
      <c r="J65" s="1170"/>
      <c r="K65" s="1170"/>
      <c r="L65" s="1135">
        <f>$C$18</f>
        <v>0</v>
      </c>
      <c r="M65" s="1143"/>
      <c r="N65" s="1144"/>
      <c r="O65" s="1145"/>
      <c r="P65" s="1130"/>
      <c r="Q65" s="1130"/>
      <c r="R65" s="1130"/>
      <c r="S65" s="1131"/>
      <c r="T65" s="1131"/>
      <c r="U65" s="1132"/>
      <c r="X65" s="431"/>
      <c r="Y65" s="431"/>
      <c r="Z65" s="431"/>
      <c r="AA65" s="431"/>
      <c r="AB65" s="431"/>
      <c r="AC65" s="431"/>
      <c r="AD65" s="431"/>
      <c r="AE65" s="431"/>
      <c r="AF65" s="431"/>
      <c r="AG65" s="431"/>
      <c r="AH65" s="431"/>
      <c r="AI65" s="431"/>
      <c r="AJ65" s="431"/>
      <c r="AK65" s="431"/>
      <c r="AL65" s="431"/>
      <c r="AM65" s="431"/>
      <c r="AN65" s="431"/>
      <c r="AO65" s="431"/>
      <c r="AP65" s="431"/>
      <c r="AQ65" s="431"/>
      <c r="AR65" s="431"/>
      <c r="AS65" s="431"/>
      <c r="AT65" s="431"/>
      <c r="AU65" s="431"/>
      <c r="AV65" s="431"/>
      <c r="AW65" s="431"/>
      <c r="AX65" s="431"/>
      <c r="AY65" s="431"/>
      <c r="AZ65" s="431"/>
      <c r="BA65" s="431"/>
      <c r="BB65" s="431"/>
      <c r="BC65" s="431"/>
    </row>
    <row r="66" spans="3:55" s="432" customFormat="1" ht="12.75" customHeight="1" x14ac:dyDescent="0.2">
      <c r="C66" s="1502">
        <f>$C$19</f>
        <v>0</v>
      </c>
      <c r="D66" s="1503">
        <f t="shared" ref="D66" si="17">$C48</f>
        <v>0</v>
      </c>
      <c r="E66" s="1170"/>
      <c r="F66" s="1170"/>
      <c r="G66" s="1170"/>
      <c r="H66" s="1170"/>
      <c r="I66" s="1170"/>
      <c r="J66" s="1170"/>
      <c r="K66" s="1170"/>
      <c r="L66" s="1135">
        <f>$C$19</f>
        <v>0</v>
      </c>
      <c r="M66" s="1143"/>
      <c r="N66" s="1144"/>
      <c r="O66" s="1145"/>
      <c r="P66" s="1130"/>
      <c r="Q66" s="1130"/>
      <c r="R66" s="1130"/>
      <c r="S66" s="1131"/>
      <c r="T66" s="1131"/>
      <c r="U66" s="1132"/>
      <c r="X66" s="431"/>
      <c r="Y66" s="431"/>
      <c r="Z66" s="431"/>
      <c r="AA66" s="431"/>
      <c r="AB66" s="431"/>
      <c r="AC66" s="431"/>
      <c r="AD66" s="431"/>
      <c r="AE66" s="431"/>
      <c r="AF66" s="431"/>
      <c r="AG66" s="431"/>
      <c r="AH66" s="431"/>
      <c r="AI66" s="431"/>
      <c r="AJ66" s="431"/>
      <c r="AK66" s="431"/>
      <c r="AL66" s="431"/>
      <c r="AM66" s="431"/>
      <c r="AN66" s="431"/>
      <c r="AO66" s="431"/>
      <c r="AP66" s="431"/>
      <c r="AQ66" s="431"/>
      <c r="AR66" s="431"/>
      <c r="AS66" s="431"/>
      <c r="AT66" s="431"/>
      <c r="AU66" s="431"/>
      <c r="AV66" s="431"/>
      <c r="AW66" s="431"/>
      <c r="AX66" s="431"/>
      <c r="AY66" s="431"/>
      <c r="AZ66" s="431"/>
      <c r="BA66" s="431"/>
      <c r="BB66" s="431"/>
      <c r="BC66" s="431"/>
    </row>
    <row r="67" spans="3:55" s="432" customFormat="1" ht="12.75" customHeight="1" thickBot="1" x14ac:dyDescent="0.25">
      <c r="C67" s="1498">
        <f>$C$20</f>
        <v>0</v>
      </c>
      <c r="D67" s="1499">
        <f t="shared" ref="D67" si="18">$C49</f>
        <v>0</v>
      </c>
      <c r="E67" s="1170"/>
      <c r="F67" s="1170"/>
      <c r="G67" s="1170"/>
      <c r="H67" s="1170"/>
      <c r="I67" s="1170"/>
      <c r="J67" s="1170"/>
      <c r="K67" s="1170"/>
      <c r="L67" s="1167">
        <f>$C$20</f>
        <v>0</v>
      </c>
      <c r="M67" s="1143"/>
      <c r="N67" s="1144"/>
      <c r="O67" s="1145"/>
      <c r="P67" s="1130"/>
      <c r="Q67" s="1130"/>
      <c r="R67" s="1130"/>
      <c r="S67" s="1131"/>
      <c r="T67" s="1131"/>
      <c r="U67" s="1132"/>
      <c r="X67" s="431"/>
      <c r="Y67" s="431"/>
      <c r="Z67" s="431"/>
      <c r="AA67" s="431"/>
      <c r="AB67" s="431"/>
      <c r="AC67" s="431"/>
      <c r="AD67" s="431"/>
      <c r="AE67" s="431"/>
      <c r="AF67" s="431"/>
      <c r="AG67" s="431"/>
      <c r="AH67" s="431"/>
      <c r="AI67" s="431"/>
      <c r="AJ67" s="431"/>
      <c r="AK67" s="431"/>
      <c r="AL67" s="431"/>
      <c r="AM67" s="431"/>
      <c r="AN67" s="431"/>
      <c r="AO67" s="431"/>
      <c r="AP67" s="431"/>
      <c r="AQ67" s="431"/>
      <c r="AR67" s="431"/>
      <c r="AS67" s="431"/>
      <c r="AT67" s="431"/>
      <c r="AU67" s="431"/>
      <c r="AV67" s="431"/>
      <c r="AW67" s="431"/>
      <c r="AX67" s="431"/>
      <c r="AY67" s="431"/>
      <c r="AZ67" s="431"/>
      <c r="BA67" s="431"/>
      <c r="BB67" s="431"/>
      <c r="BC67" s="431"/>
    </row>
    <row r="68" spans="3:55" s="432" customFormat="1" ht="8.25" customHeight="1" thickBot="1" x14ac:dyDescent="0.25">
      <c r="M68" s="1157"/>
      <c r="N68" s="1158"/>
      <c r="O68" s="1155"/>
      <c r="P68" s="1155"/>
      <c r="Q68" s="1155"/>
      <c r="R68" s="1155"/>
      <c r="S68" s="1155"/>
      <c r="T68" s="1155"/>
      <c r="U68" s="1155"/>
      <c r="V68" s="1155"/>
      <c r="W68" s="1155"/>
      <c r="X68" s="431"/>
      <c r="Y68" s="431"/>
      <c r="Z68" s="431"/>
      <c r="AA68" s="431"/>
      <c r="AB68" s="431"/>
      <c r="AC68" s="431"/>
      <c r="AD68" s="431"/>
      <c r="AE68" s="431"/>
      <c r="AF68" s="431"/>
      <c r="AG68" s="431"/>
      <c r="AH68" s="431"/>
      <c r="AI68" s="431"/>
      <c r="AJ68" s="431"/>
      <c r="AK68" s="431"/>
      <c r="AL68" s="431"/>
      <c r="AM68" s="431"/>
      <c r="AN68" s="431"/>
      <c r="AO68" s="431"/>
      <c r="AP68" s="431"/>
      <c r="AQ68" s="431"/>
      <c r="AR68" s="431"/>
      <c r="AS68" s="431"/>
      <c r="AT68" s="431"/>
      <c r="AU68" s="431"/>
      <c r="AV68" s="431"/>
      <c r="AW68" s="431"/>
      <c r="AX68" s="431"/>
      <c r="AY68" s="431"/>
      <c r="AZ68" s="431"/>
      <c r="BA68" s="431"/>
      <c r="BB68" s="431"/>
      <c r="BC68" s="431"/>
    </row>
    <row r="69" spans="3:55" s="432" customFormat="1" ht="12.75" customHeight="1" thickBot="1" x14ac:dyDescent="0.25">
      <c r="M69" s="1156" t="s">
        <v>13</v>
      </c>
      <c r="N69" s="457"/>
      <c r="O69" s="1666" t="s">
        <v>768</v>
      </c>
      <c r="P69" s="1163">
        <f>'O-IV (Ph5)'!M60</f>
        <v>0</v>
      </c>
      <c r="Q69" s="1164">
        <f>'O-IV (Ph5)'!V60</f>
        <v>0</v>
      </c>
      <c r="R69" s="1164">
        <f>'O-IV (Ph5)'!AE60</f>
        <v>0</v>
      </c>
      <c r="S69" s="1164">
        <f>'O-IV (Ph5)'!AN60</f>
        <v>0</v>
      </c>
      <c r="T69" s="1164">
        <f>'O-IV (Ph5)'!AW60</f>
        <v>0</v>
      </c>
      <c r="U69" s="1165">
        <f>'O-IV (Ph5)'!BF60</f>
        <v>0</v>
      </c>
      <c r="V69" s="1166">
        <f>SUM(P69:U69)</f>
        <v>0</v>
      </c>
      <c r="W69" s="1159" t="s">
        <v>426</v>
      </c>
      <c r="X69" s="431"/>
      <c r="Y69" s="431"/>
      <c r="Z69" s="431"/>
      <c r="AA69" s="431"/>
      <c r="AB69" s="431"/>
      <c r="AC69" s="431"/>
      <c r="AD69" s="431"/>
      <c r="AE69" s="431"/>
      <c r="AF69" s="431"/>
      <c r="AG69" s="431"/>
      <c r="AH69" s="431"/>
      <c r="AI69" s="431"/>
      <c r="AJ69" s="431"/>
      <c r="AK69" s="431"/>
      <c r="AL69" s="431"/>
      <c r="AM69" s="431"/>
      <c r="AN69" s="431"/>
      <c r="AO69" s="431"/>
      <c r="AP69" s="431"/>
      <c r="AQ69" s="431"/>
      <c r="AR69" s="431"/>
      <c r="AS69" s="431"/>
      <c r="AT69" s="431"/>
      <c r="AU69" s="431"/>
      <c r="AV69" s="431"/>
      <c r="AW69" s="431"/>
      <c r="AX69" s="431"/>
      <c r="AY69" s="431"/>
      <c r="AZ69" s="431"/>
      <c r="BA69" s="431"/>
      <c r="BB69" s="431"/>
      <c r="BC69" s="431"/>
    </row>
    <row r="70" spans="3:55" s="432" customFormat="1" ht="6.75" customHeight="1" x14ac:dyDescent="0.2">
      <c r="M70" s="1123"/>
      <c r="N70" s="457"/>
      <c r="O70" s="1137"/>
      <c r="P70" s="1141"/>
      <c r="Q70" s="1141"/>
      <c r="R70" s="1141"/>
      <c r="S70" s="1141"/>
      <c r="T70" s="1141"/>
      <c r="U70" s="1141"/>
      <c r="V70" s="1142"/>
      <c r="W70" s="1142"/>
      <c r="X70" s="431"/>
      <c r="Y70" s="431"/>
      <c r="Z70" s="431"/>
      <c r="AA70" s="431"/>
      <c r="AB70" s="431"/>
      <c r="AC70" s="431"/>
      <c r="AD70" s="431"/>
      <c r="AE70" s="431"/>
      <c r="AF70" s="431"/>
      <c r="AG70" s="431"/>
      <c r="AH70" s="431"/>
      <c r="AI70" s="431"/>
      <c r="AJ70" s="431"/>
      <c r="AK70" s="431"/>
      <c r="AL70" s="431"/>
      <c r="AM70" s="431"/>
      <c r="AN70" s="431"/>
      <c r="AO70" s="431"/>
      <c r="AP70" s="431"/>
      <c r="AQ70" s="431"/>
      <c r="AR70" s="431"/>
      <c r="AS70" s="431"/>
      <c r="AT70" s="431"/>
      <c r="AU70" s="431"/>
      <c r="AV70" s="431"/>
      <c r="AW70" s="431"/>
      <c r="AX70" s="431"/>
      <c r="AY70" s="431"/>
      <c r="AZ70" s="431"/>
      <c r="BA70" s="431"/>
      <c r="BB70" s="431"/>
      <c r="BC70" s="431"/>
    </row>
    <row r="71" spans="3:55" s="432" customFormat="1" ht="12.75" customHeight="1" thickBot="1" x14ac:dyDescent="0.25">
      <c r="L71" s="1133"/>
      <c r="M71" s="1123"/>
      <c r="N71" s="457"/>
      <c r="O71" s="1146" t="s">
        <v>659</v>
      </c>
      <c r="P71" s="1152">
        <f t="shared" ref="P71:U71" si="19">SUM(P72:P76)</f>
        <v>0</v>
      </c>
      <c r="Q71" s="1152">
        <f t="shared" si="19"/>
        <v>0</v>
      </c>
      <c r="R71" s="1152">
        <f t="shared" si="19"/>
        <v>0</v>
      </c>
      <c r="S71" s="1152">
        <f t="shared" si="19"/>
        <v>0</v>
      </c>
      <c r="T71" s="1152">
        <f t="shared" si="19"/>
        <v>0</v>
      </c>
      <c r="U71" s="1152">
        <f t="shared" si="19"/>
        <v>0</v>
      </c>
      <c r="V71" s="1138">
        <f>SUM(P71:U71)</f>
        <v>0</v>
      </c>
      <c r="W71" s="1160">
        <f>V69-V71</f>
        <v>0</v>
      </c>
      <c r="X71" s="431"/>
      <c r="Y71" s="431"/>
      <c r="Z71" s="431"/>
      <c r="AA71" s="431"/>
      <c r="AB71" s="431"/>
      <c r="AC71" s="431"/>
      <c r="AD71" s="431"/>
      <c r="AE71" s="431"/>
      <c r="AF71" s="431"/>
      <c r="AG71" s="431"/>
      <c r="AH71" s="431"/>
      <c r="AI71" s="431"/>
      <c r="AJ71" s="431"/>
      <c r="AK71" s="431"/>
      <c r="AL71" s="431"/>
      <c r="AM71" s="431"/>
      <c r="AN71" s="431"/>
      <c r="AO71" s="431"/>
      <c r="AP71" s="431"/>
      <c r="AQ71" s="431"/>
      <c r="AR71" s="431"/>
      <c r="AS71" s="431"/>
      <c r="AT71" s="431"/>
      <c r="AU71" s="431"/>
      <c r="AV71" s="431"/>
      <c r="AW71" s="431"/>
      <c r="AX71" s="431"/>
      <c r="AY71" s="431"/>
      <c r="AZ71" s="431"/>
      <c r="BA71" s="431"/>
      <c r="BB71" s="431"/>
      <c r="BC71" s="431"/>
    </row>
    <row r="72" spans="3:55" s="432" customFormat="1" ht="12.75" customHeight="1" x14ac:dyDescent="0.2">
      <c r="C72" s="1500">
        <f>$C$16</f>
        <v>0</v>
      </c>
      <c r="D72" s="1501">
        <f t="shared" ref="D72:D76" si="20">$C54</f>
        <v>0</v>
      </c>
      <c r="E72" s="1170"/>
      <c r="F72" s="1170"/>
      <c r="G72" s="1170"/>
      <c r="H72" s="1170"/>
      <c r="I72" s="1170"/>
      <c r="J72" s="1170"/>
      <c r="K72" s="1170"/>
      <c r="L72" s="1134">
        <f>$C$16</f>
        <v>0</v>
      </c>
      <c r="M72" s="1143"/>
      <c r="N72" s="1144"/>
      <c r="O72" s="1145"/>
      <c r="P72" s="1130"/>
      <c r="Q72" s="1130"/>
      <c r="R72" s="1130"/>
      <c r="S72" s="1128"/>
      <c r="T72" s="1128"/>
      <c r="U72" s="1129"/>
      <c r="W72" s="1140" t="s">
        <v>666</v>
      </c>
      <c r="X72" s="431"/>
      <c r="Y72" s="431"/>
      <c r="Z72" s="431"/>
      <c r="AA72" s="431"/>
      <c r="AB72" s="431"/>
      <c r="AC72" s="431"/>
      <c r="AD72" s="431"/>
      <c r="AE72" s="431"/>
      <c r="AF72" s="431"/>
      <c r="AG72" s="431"/>
      <c r="AH72" s="431"/>
      <c r="AI72" s="431"/>
      <c r="AJ72" s="431"/>
      <c r="AK72" s="431"/>
      <c r="AL72" s="431"/>
      <c r="AM72" s="431"/>
      <c r="AN72" s="431"/>
      <c r="AO72" s="431"/>
      <c r="AP72" s="431"/>
      <c r="AQ72" s="431"/>
      <c r="AR72" s="431"/>
      <c r="AS72" s="431"/>
      <c r="AT72" s="431"/>
      <c r="AU72" s="431"/>
      <c r="AV72" s="431"/>
      <c r="AW72" s="431"/>
      <c r="AX72" s="431"/>
      <c r="AY72" s="431"/>
      <c r="AZ72" s="431"/>
      <c r="BA72" s="431"/>
      <c r="BB72" s="431"/>
      <c r="BC72" s="431"/>
    </row>
    <row r="73" spans="3:55" s="432" customFormat="1" ht="12.75" customHeight="1" x14ac:dyDescent="0.2">
      <c r="C73" s="1502">
        <f>$C$17</f>
        <v>0</v>
      </c>
      <c r="D73" s="1503">
        <f t="shared" si="20"/>
        <v>0</v>
      </c>
      <c r="E73" s="1170"/>
      <c r="F73" s="1170"/>
      <c r="G73" s="1170"/>
      <c r="H73" s="1170"/>
      <c r="I73" s="1170"/>
      <c r="J73" s="1170"/>
      <c r="K73" s="1170"/>
      <c r="L73" s="1135">
        <f>$C$17</f>
        <v>0</v>
      </c>
      <c r="M73" s="1143"/>
      <c r="N73" s="1144"/>
      <c r="O73" s="1145"/>
      <c r="P73" s="1130"/>
      <c r="Q73" s="1130"/>
      <c r="R73" s="1130"/>
      <c r="S73" s="1131"/>
      <c r="T73" s="1131"/>
      <c r="U73" s="1132"/>
      <c r="X73" s="431"/>
      <c r="Y73" s="431"/>
      <c r="Z73" s="431"/>
      <c r="AA73" s="431"/>
      <c r="AB73" s="431"/>
      <c r="AC73" s="431"/>
      <c r="AD73" s="431"/>
      <c r="AE73" s="431"/>
      <c r="AF73" s="431"/>
      <c r="AG73" s="431"/>
      <c r="AH73" s="431"/>
      <c r="AI73" s="431"/>
      <c r="AJ73" s="431"/>
      <c r="AK73" s="431"/>
      <c r="AL73" s="431"/>
      <c r="AM73" s="431"/>
      <c r="AN73" s="431"/>
      <c r="AO73" s="431"/>
      <c r="AP73" s="431"/>
      <c r="AQ73" s="431"/>
      <c r="AR73" s="431"/>
      <c r="AS73" s="431"/>
      <c r="AT73" s="431"/>
      <c r="AU73" s="431"/>
      <c r="AV73" s="431"/>
      <c r="AW73" s="431"/>
      <c r="AX73" s="431"/>
      <c r="AY73" s="431"/>
      <c r="AZ73" s="431"/>
      <c r="BA73" s="431"/>
      <c r="BB73" s="431"/>
      <c r="BC73" s="431"/>
    </row>
    <row r="74" spans="3:55" s="432" customFormat="1" ht="12.75" customHeight="1" x14ac:dyDescent="0.2">
      <c r="C74" s="1502">
        <f>$C$18</f>
        <v>0</v>
      </c>
      <c r="D74" s="1503">
        <f t="shared" si="20"/>
        <v>0</v>
      </c>
      <c r="E74" s="1170"/>
      <c r="F74" s="1170"/>
      <c r="G74" s="1170"/>
      <c r="H74" s="1170"/>
      <c r="I74" s="1170"/>
      <c r="J74" s="1170"/>
      <c r="K74" s="1170"/>
      <c r="L74" s="1135">
        <f>$C$18</f>
        <v>0</v>
      </c>
      <c r="M74" s="1143"/>
      <c r="N74" s="1144"/>
      <c r="O74" s="1145"/>
      <c r="P74" s="1130"/>
      <c r="Q74" s="1130"/>
      <c r="R74" s="1130"/>
      <c r="S74" s="1131"/>
      <c r="T74" s="1131"/>
      <c r="U74" s="1132"/>
      <c r="X74" s="431"/>
      <c r="Y74" s="431"/>
      <c r="Z74" s="431"/>
      <c r="AA74" s="431"/>
      <c r="AB74" s="431"/>
      <c r="AC74" s="431"/>
      <c r="AD74" s="431"/>
      <c r="AE74" s="431"/>
      <c r="AF74" s="431"/>
      <c r="AG74" s="431"/>
      <c r="AH74" s="431"/>
      <c r="AI74" s="431"/>
      <c r="AJ74" s="431"/>
      <c r="AK74" s="431"/>
      <c r="AL74" s="431"/>
      <c r="AM74" s="431"/>
      <c r="AN74" s="431"/>
      <c r="AO74" s="431"/>
      <c r="AP74" s="431"/>
      <c r="AQ74" s="431"/>
      <c r="AR74" s="431"/>
      <c r="AS74" s="431"/>
      <c r="AT74" s="431"/>
      <c r="AU74" s="431"/>
      <c r="AV74" s="431"/>
      <c r="AW74" s="431"/>
      <c r="AX74" s="431"/>
      <c r="AY74" s="431"/>
      <c r="AZ74" s="431"/>
      <c r="BA74" s="431"/>
      <c r="BB74" s="431"/>
      <c r="BC74" s="431"/>
    </row>
    <row r="75" spans="3:55" s="432" customFormat="1" ht="12.75" customHeight="1" x14ac:dyDescent="0.2">
      <c r="C75" s="1502">
        <f>$C$19</f>
        <v>0</v>
      </c>
      <c r="D75" s="1503">
        <f t="shared" si="20"/>
        <v>0</v>
      </c>
      <c r="E75" s="1170"/>
      <c r="F75" s="1170"/>
      <c r="G75" s="1170"/>
      <c r="H75" s="1170"/>
      <c r="I75" s="1170"/>
      <c r="J75" s="1170"/>
      <c r="K75" s="1170"/>
      <c r="L75" s="1135">
        <f>$C$19</f>
        <v>0</v>
      </c>
      <c r="M75" s="1143"/>
      <c r="N75" s="1144"/>
      <c r="O75" s="1145"/>
      <c r="P75" s="1130"/>
      <c r="Q75" s="1130"/>
      <c r="R75" s="1130"/>
      <c r="S75" s="1131"/>
      <c r="T75" s="1131"/>
      <c r="U75" s="1132"/>
      <c r="X75" s="431"/>
      <c r="Y75" s="431"/>
      <c r="Z75" s="431"/>
      <c r="AA75" s="431"/>
      <c r="AB75" s="431"/>
      <c r="AC75" s="431"/>
      <c r="AD75" s="431"/>
      <c r="AE75" s="431"/>
      <c r="AF75" s="431"/>
      <c r="AG75" s="431"/>
      <c r="AH75" s="431"/>
      <c r="AI75" s="431"/>
      <c r="AJ75" s="431"/>
      <c r="AK75" s="431"/>
      <c r="AL75" s="431"/>
      <c r="AM75" s="431"/>
      <c r="AN75" s="431"/>
      <c r="AO75" s="431"/>
      <c r="AP75" s="431"/>
      <c r="AQ75" s="431"/>
      <c r="AR75" s="431"/>
      <c r="AS75" s="431"/>
      <c r="AT75" s="431"/>
      <c r="AU75" s="431"/>
      <c r="AV75" s="431"/>
      <c r="AW75" s="431"/>
      <c r="AX75" s="431"/>
      <c r="AY75" s="431"/>
      <c r="AZ75" s="431"/>
      <c r="BA75" s="431"/>
      <c r="BB75" s="431"/>
      <c r="BC75" s="431"/>
    </row>
    <row r="76" spans="3:55" s="432" customFormat="1" ht="12.75" customHeight="1" thickBot="1" x14ac:dyDescent="0.25">
      <c r="C76" s="1498">
        <f>$C$20</f>
        <v>0</v>
      </c>
      <c r="D76" s="1499">
        <f t="shared" si="20"/>
        <v>0</v>
      </c>
      <c r="E76" s="1170"/>
      <c r="F76" s="1170"/>
      <c r="G76" s="1170"/>
      <c r="H76" s="1170"/>
      <c r="I76" s="1170"/>
      <c r="J76" s="1170"/>
      <c r="K76" s="1170"/>
      <c r="L76" s="1167">
        <f>$C$20</f>
        <v>0</v>
      </c>
      <c r="M76" s="1143"/>
      <c r="N76" s="1144"/>
      <c r="O76" s="1145"/>
      <c r="P76" s="1130"/>
      <c r="Q76" s="1130"/>
      <c r="R76" s="1130"/>
      <c r="S76" s="1131"/>
      <c r="T76" s="1131"/>
      <c r="U76" s="1132"/>
      <c r="X76" s="431"/>
      <c r="Y76" s="431"/>
      <c r="Z76" s="431"/>
      <c r="AA76" s="431"/>
      <c r="AB76" s="431"/>
      <c r="AC76" s="431"/>
      <c r="AD76" s="431"/>
      <c r="AE76" s="431"/>
      <c r="AF76" s="431"/>
      <c r="AG76" s="431"/>
      <c r="AH76" s="431"/>
      <c r="AI76" s="431"/>
      <c r="AJ76" s="431"/>
      <c r="AK76" s="431"/>
      <c r="AL76" s="431"/>
      <c r="AM76" s="431"/>
      <c r="AN76" s="431"/>
      <c r="AO76" s="431"/>
      <c r="AP76" s="431"/>
      <c r="AQ76" s="431"/>
      <c r="AR76" s="431"/>
      <c r="AS76" s="431"/>
      <c r="AT76" s="431"/>
      <c r="AU76" s="431"/>
      <c r="AV76" s="431"/>
      <c r="AW76" s="431"/>
      <c r="AX76" s="431"/>
      <c r="AY76" s="431"/>
      <c r="AZ76" s="431"/>
      <c r="BA76" s="431"/>
      <c r="BB76" s="431"/>
      <c r="BC76" s="431"/>
    </row>
    <row r="77" spans="3:55" s="432" customFormat="1" ht="8.25" customHeight="1" thickBot="1" x14ac:dyDescent="0.25">
      <c r="M77" s="1157"/>
      <c r="N77" s="1158"/>
      <c r="O77" s="1155"/>
      <c r="P77" s="1155"/>
      <c r="Q77" s="1155"/>
      <c r="R77" s="1155"/>
      <c r="S77" s="1155"/>
      <c r="T77" s="1155"/>
      <c r="U77" s="1155"/>
      <c r="V77" s="1155"/>
      <c r="W77" s="1155"/>
      <c r="X77" s="431"/>
      <c r="Y77" s="431"/>
      <c r="Z77" s="431"/>
      <c r="AA77" s="431"/>
      <c r="AB77" s="431"/>
      <c r="AC77" s="431"/>
      <c r="AD77" s="431"/>
      <c r="AE77" s="431"/>
      <c r="AF77" s="431"/>
      <c r="AG77" s="431"/>
      <c r="AH77" s="431"/>
      <c r="AI77" s="431"/>
      <c r="AJ77" s="431"/>
      <c r="AK77" s="431"/>
      <c r="AL77" s="431"/>
      <c r="AM77" s="431"/>
      <c r="AN77" s="431"/>
      <c r="AO77" s="431"/>
      <c r="AP77" s="431"/>
      <c r="AQ77" s="431"/>
      <c r="AR77" s="431"/>
      <c r="AS77" s="431"/>
      <c r="AT77" s="431"/>
      <c r="AU77" s="431"/>
      <c r="AV77" s="431"/>
      <c r="AW77" s="431"/>
      <c r="AX77" s="431"/>
      <c r="AY77" s="431"/>
      <c r="AZ77" s="431"/>
      <c r="BA77" s="431"/>
      <c r="BB77" s="431"/>
      <c r="BC77" s="431"/>
    </row>
    <row r="78" spans="3:55" s="432" customFormat="1" ht="12.75" customHeight="1" thickBot="1" x14ac:dyDescent="0.25">
      <c r="M78" s="1156" t="s">
        <v>13</v>
      </c>
      <c r="N78" s="457"/>
      <c r="O78" s="1666" t="s">
        <v>665</v>
      </c>
      <c r="P78" s="1163">
        <f>'O-V (Ph6)'!M60</f>
        <v>0</v>
      </c>
      <c r="Q78" s="1164">
        <f>'O-V (Ph6)'!V60</f>
        <v>0</v>
      </c>
      <c r="R78" s="1164">
        <f>'O-V (Ph6)'!AE60</f>
        <v>0</v>
      </c>
      <c r="S78" s="1164">
        <f>'O-V (Ph6)'!AN60</f>
        <v>0</v>
      </c>
      <c r="T78" s="1164">
        <f>'O-V (Ph6)'!AW60</f>
        <v>0</v>
      </c>
      <c r="U78" s="1165">
        <f>'O-V (Ph6)'!BF60</f>
        <v>0</v>
      </c>
      <c r="V78" s="1166">
        <f>SUM(P78:U78)</f>
        <v>0</v>
      </c>
      <c r="W78" s="1159" t="s">
        <v>426</v>
      </c>
      <c r="X78" s="431"/>
      <c r="Y78" s="431"/>
      <c r="Z78" s="431"/>
      <c r="AA78" s="431"/>
      <c r="AB78" s="431"/>
      <c r="AC78" s="431"/>
      <c r="AD78" s="431"/>
      <c r="AE78" s="431"/>
      <c r="AF78" s="431"/>
      <c r="AG78" s="431"/>
      <c r="AH78" s="431"/>
      <c r="AI78" s="431"/>
      <c r="AJ78" s="431"/>
      <c r="AK78" s="431"/>
      <c r="AL78" s="431"/>
      <c r="AM78" s="431"/>
      <c r="AN78" s="431"/>
      <c r="AO78" s="431"/>
      <c r="AP78" s="431"/>
      <c r="AQ78" s="431"/>
      <c r="AR78" s="431"/>
      <c r="AS78" s="431"/>
      <c r="AT78" s="431"/>
      <c r="AU78" s="431"/>
      <c r="AV78" s="431"/>
      <c r="AW78" s="431"/>
      <c r="AX78" s="431"/>
      <c r="AY78" s="431"/>
      <c r="AZ78" s="431"/>
      <c r="BA78" s="431"/>
      <c r="BB78" s="431"/>
      <c r="BC78" s="431"/>
    </row>
    <row r="79" spans="3:55" s="432" customFormat="1" ht="6.75" customHeight="1" x14ac:dyDescent="0.2">
      <c r="M79" s="1123"/>
      <c r="N79" s="457"/>
      <c r="O79" s="1137"/>
      <c r="P79" s="1141"/>
      <c r="Q79" s="1141"/>
      <c r="R79" s="1141"/>
      <c r="S79" s="1141"/>
      <c r="T79" s="1141"/>
      <c r="U79" s="1141"/>
      <c r="V79" s="1142"/>
      <c r="W79" s="1142"/>
      <c r="X79" s="431"/>
      <c r="Y79" s="431"/>
      <c r="Z79" s="431"/>
      <c r="AA79" s="431"/>
      <c r="AB79" s="431"/>
      <c r="AC79" s="431"/>
      <c r="AD79" s="431"/>
      <c r="AE79" s="431"/>
      <c r="AF79" s="431"/>
      <c r="AG79" s="431"/>
      <c r="AH79" s="431"/>
      <c r="AI79" s="431"/>
      <c r="AJ79" s="431"/>
      <c r="AK79" s="431"/>
      <c r="AL79" s="431"/>
      <c r="AM79" s="431"/>
      <c r="AN79" s="431"/>
      <c r="AO79" s="431"/>
      <c r="AP79" s="431"/>
      <c r="AQ79" s="431"/>
      <c r="AR79" s="431"/>
      <c r="AS79" s="431"/>
      <c r="AT79" s="431"/>
      <c r="AU79" s="431"/>
      <c r="AV79" s="431"/>
      <c r="AW79" s="431"/>
      <c r="AX79" s="431"/>
      <c r="AY79" s="431"/>
      <c r="AZ79" s="431"/>
      <c r="BA79" s="431"/>
      <c r="BB79" s="431"/>
      <c r="BC79" s="431"/>
    </row>
    <row r="80" spans="3:55" s="432" customFormat="1" ht="12.75" customHeight="1" thickBot="1" x14ac:dyDescent="0.25">
      <c r="L80" s="1133"/>
      <c r="M80" s="1123"/>
      <c r="N80" s="457"/>
      <c r="O80" s="1146" t="s">
        <v>659</v>
      </c>
      <c r="P80" s="1152">
        <f t="shared" ref="P80:U80" si="21">SUM(P81:P85)</f>
        <v>0</v>
      </c>
      <c r="Q80" s="1152">
        <f t="shared" si="21"/>
        <v>0</v>
      </c>
      <c r="R80" s="1152">
        <f t="shared" si="21"/>
        <v>0</v>
      </c>
      <c r="S80" s="1152">
        <f t="shared" si="21"/>
        <v>0</v>
      </c>
      <c r="T80" s="1152">
        <f t="shared" si="21"/>
        <v>0</v>
      </c>
      <c r="U80" s="1152">
        <f t="shared" si="21"/>
        <v>0</v>
      </c>
      <c r="V80" s="1138">
        <f>SUM(P80:U80)</f>
        <v>0</v>
      </c>
      <c r="W80" s="1160">
        <f>V78-V80</f>
        <v>0</v>
      </c>
      <c r="X80" s="431"/>
      <c r="Y80" s="431"/>
      <c r="Z80" s="431"/>
      <c r="AA80" s="431"/>
      <c r="AB80" s="431"/>
      <c r="AC80" s="431"/>
      <c r="AD80" s="431"/>
      <c r="AE80" s="431"/>
      <c r="AF80" s="431"/>
      <c r="AG80" s="431"/>
      <c r="AH80" s="431"/>
      <c r="AI80" s="431"/>
      <c r="AJ80" s="431"/>
      <c r="AK80" s="431"/>
      <c r="AL80" s="431"/>
      <c r="AM80" s="431"/>
      <c r="AN80" s="431"/>
      <c r="AO80" s="431"/>
      <c r="AP80" s="431"/>
      <c r="AQ80" s="431"/>
      <c r="AR80" s="431"/>
      <c r="AS80" s="431"/>
      <c r="AT80" s="431"/>
      <c r="AU80" s="431"/>
      <c r="AV80" s="431"/>
      <c r="AW80" s="431"/>
      <c r="AX80" s="431"/>
      <c r="AY80" s="431"/>
      <c r="AZ80" s="431"/>
      <c r="BA80" s="431"/>
      <c r="BB80" s="431"/>
      <c r="BC80" s="431"/>
    </row>
    <row r="81" spans="2:55" s="432" customFormat="1" ht="12.75" customHeight="1" x14ac:dyDescent="0.2">
      <c r="C81" s="1500">
        <f>$C$16</f>
        <v>0</v>
      </c>
      <c r="D81" s="1501">
        <f t="shared" ref="D81:D85" si="22">$C63</f>
        <v>0</v>
      </c>
      <c r="E81" s="1170"/>
      <c r="F81" s="1170"/>
      <c r="G81" s="1170"/>
      <c r="H81" s="1170"/>
      <c r="I81" s="1170"/>
      <c r="J81" s="1170"/>
      <c r="K81" s="1170"/>
      <c r="L81" s="1134">
        <f>$C$16</f>
        <v>0</v>
      </c>
      <c r="M81" s="1143"/>
      <c r="N81" s="1144"/>
      <c r="O81" s="1145"/>
      <c r="P81" s="1130"/>
      <c r="Q81" s="1130"/>
      <c r="R81" s="1130"/>
      <c r="S81" s="1128"/>
      <c r="T81" s="1128"/>
      <c r="U81" s="1129"/>
      <c r="W81" s="1140" t="s">
        <v>666</v>
      </c>
      <c r="X81" s="431"/>
      <c r="Y81" s="431"/>
      <c r="Z81" s="431"/>
      <c r="AA81" s="431"/>
      <c r="AB81" s="431"/>
      <c r="AC81" s="431"/>
      <c r="AD81" s="431"/>
      <c r="AE81" s="431"/>
      <c r="AF81" s="431"/>
      <c r="AG81" s="431"/>
      <c r="AH81" s="431"/>
      <c r="AI81" s="431"/>
      <c r="AJ81" s="431"/>
      <c r="AK81" s="431"/>
      <c r="AL81" s="431"/>
      <c r="AM81" s="431"/>
      <c r="AN81" s="431"/>
      <c r="AO81" s="431"/>
      <c r="AP81" s="431"/>
      <c r="AQ81" s="431"/>
      <c r="AR81" s="431"/>
      <c r="AS81" s="431"/>
      <c r="AT81" s="431"/>
      <c r="AU81" s="431"/>
      <c r="AV81" s="431"/>
      <c r="AW81" s="431"/>
      <c r="AX81" s="431"/>
      <c r="AY81" s="431"/>
      <c r="AZ81" s="431"/>
      <c r="BA81" s="431"/>
      <c r="BB81" s="431"/>
      <c r="BC81" s="431"/>
    </row>
    <row r="82" spans="2:55" s="432" customFormat="1" ht="12.75" customHeight="1" x14ac:dyDescent="0.2">
      <c r="C82" s="1502">
        <f>$C$17</f>
        <v>0</v>
      </c>
      <c r="D82" s="1503">
        <f t="shared" si="22"/>
        <v>0</v>
      </c>
      <c r="E82" s="1170"/>
      <c r="F82" s="1170"/>
      <c r="G82" s="1170"/>
      <c r="H82" s="1170"/>
      <c r="I82" s="1170"/>
      <c r="J82" s="1170"/>
      <c r="K82" s="1170"/>
      <c r="L82" s="1135">
        <f>$C$17</f>
        <v>0</v>
      </c>
      <c r="M82" s="1143"/>
      <c r="N82" s="1144"/>
      <c r="O82" s="1145"/>
      <c r="P82" s="1130"/>
      <c r="Q82" s="1130"/>
      <c r="R82" s="1130"/>
      <c r="S82" s="1131"/>
      <c r="T82" s="1131"/>
      <c r="U82" s="1132"/>
      <c r="X82" s="431"/>
      <c r="Y82" s="431"/>
      <c r="Z82" s="431"/>
      <c r="AA82" s="431"/>
      <c r="AB82" s="431"/>
      <c r="AC82" s="431"/>
      <c r="AD82" s="431"/>
      <c r="AE82" s="431"/>
      <c r="AF82" s="431"/>
      <c r="AG82" s="431"/>
      <c r="AH82" s="431"/>
      <c r="AI82" s="431"/>
      <c r="AJ82" s="431"/>
      <c r="AK82" s="431"/>
      <c r="AL82" s="431"/>
      <c r="AM82" s="431"/>
      <c r="AN82" s="431"/>
      <c r="AO82" s="431"/>
      <c r="AP82" s="431"/>
      <c r="AQ82" s="431"/>
      <c r="AR82" s="431"/>
      <c r="AS82" s="431"/>
      <c r="AT82" s="431"/>
      <c r="AU82" s="431"/>
      <c r="AV82" s="431"/>
      <c r="AW82" s="431"/>
      <c r="AX82" s="431"/>
      <c r="AY82" s="431"/>
      <c r="AZ82" s="431"/>
      <c r="BA82" s="431"/>
      <c r="BB82" s="431"/>
      <c r="BC82" s="431"/>
    </row>
    <row r="83" spans="2:55" s="432" customFormat="1" ht="12.75" customHeight="1" x14ac:dyDescent="0.2">
      <c r="C83" s="1502">
        <f>$C$18</f>
        <v>0</v>
      </c>
      <c r="D83" s="1503">
        <f t="shared" si="22"/>
        <v>0</v>
      </c>
      <c r="E83" s="1170"/>
      <c r="F83" s="1170"/>
      <c r="G83" s="1170"/>
      <c r="H83" s="1170"/>
      <c r="I83" s="1170"/>
      <c r="J83" s="1170"/>
      <c r="K83" s="1170"/>
      <c r="L83" s="1135">
        <f>$C$18</f>
        <v>0</v>
      </c>
      <c r="M83" s="1143"/>
      <c r="N83" s="1144"/>
      <c r="O83" s="1145"/>
      <c r="P83" s="1130"/>
      <c r="Q83" s="1130"/>
      <c r="R83" s="1130"/>
      <c r="S83" s="1131"/>
      <c r="T83" s="1131"/>
      <c r="U83" s="1132"/>
      <c r="X83" s="431"/>
      <c r="Y83" s="431"/>
      <c r="Z83" s="431"/>
      <c r="AA83" s="431"/>
      <c r="AB83" s="431"/>
      <c r="AC83" s="431"/>
      <c r="AD83" s="431"/>
      <c r="AE83" s="431"/>
      <c r="AF83" s="431"/>
      <c r="AG83" s="431"/>
      <c r="AH83" s="431"/>
      <c r="AI83" s="431"/>
      <c r="AJ83" s="431"/>
      <c r="AK83" s="431"/>
      <c r="AL83" s="431"/>
      <c r="AM83" s="431"/>
      <c r="AN83" s="431"/>
      <c r="AO83" s="431"/>
      <c r="AP83" s="431"/>
      <c r="AQ83" s="431"/>
      <c r="AR83" s="431"/>
      <c r="AS83" s="431"/>
      <c r="AT83" s="431"/>
      <c r="AU83" s="431"/>
      <c r="AV83" s="431"/>
      <c r="AW83" s="431"/>
      <c r="AX83" s="431"/>
      <c r="AY83" s="431"/>
      <c r="AZ83" s="431"/>
      <c r="BA83" s="431"/>
      <c r="BB83" s="431"/>
      <c r="BC83" s="431"/>
    </row>
    <row r="84" spans="2:55" s="432" customFormat="1" ht="12.75" customHeight="1" x14ac:dyDescent="0.2">
      <c r="C84" s="1502">
        <f>$C$19</f>
        <v>0</v>
      </c>
      <c r="D84" s="1503">
        <f t="shared" si="22"/>
        <v>0</v>
      </c>
      <c r="E84" s="1170"/>
      <c r="F84" s="1170"/>
      <c r="G84" s="1170"/>
      <c r="H84" s="1170"/>
      <c r="I84" s="1170"/>
      <c r="J84" s="1170"/>
      <c r="K84" s="1170"/>
      <c r="L84" s="1135">
        <f>$C$19</f>
        <v>0</v>
      </c>
      <c r="M84" s="1143"/>
      <c r="N84" s="1144"/>
      <c r="O84" s="1145"/>
      <c r="P84" s="1130"/>
      <c r="Q84" s="1130"/>
      <c r="R84" s="1130"/>
      <c r="S84" s="1131"/>
      <c r="T84" s="1131"/>
      <c r="U84" s="1132"/>
      <c r="X84" s="431"/>
      <c r="Y84" s="431"/>
      <c r="Z84" s="431"/>
      <c r="AA84" s="431"/>
      <c r="AB84" s="431"/>
      <c r="AC84" s="431"/>
      <c r="AD84" s="431"/>
      <c r="AE84" s="431"/>
      <c r="AF84" s="431"/>
      <c r="AG84" s="431"/>
      <c r="AH84" s="431"/>
      <c r="AI84" s="431"/>
      <c r="AJ84" s="431"/>
      <c r="AK84" s="431"/>
      <c r="AL84" s="431"/>
      <c r="AM84" s="431"/>
      <c r="AN84" s="431"/>
      <c r="AO84" s="431"/>
      <c r="AP84" s="431"/>
      <c r="AQ84" s="431"/>
      <c r="AR84" s="431"/>
      <c r="AS84" s="431"/>
      <c r="AT84" s="431"/>
      <c r="AU84" s="431"/>
      <c r="AV84" s="431"/>
      <c r="AW84" s="431"/>
      <c r="AX84" s="431"/>
      <c r="AY84" s="431"/>
      <c r="AZ84" s="431"/>
      <c r="BA84" s="431"/>
      <c r="BB84" s="431"/>
      <c r="BC84" s="431"/>
    </row>
    <row r="85" spans="2:55" s="432" customFormat="1" ht="12.75" customHeight="1" thickBot="1" x14ac:dyDescent="0.25">
      <c r="C85" s="1498">
        <f>$C$20</f>
        <v>0</v>
      </c>
      <c r="D85" s="1499">
        <f t="shared" si="22"/>
        <v>0</v>
      </c>
      <c r="E85" s="1170"/>
      <c r="F85" s="1170"/>
      <c r="G85" s="1170"/>
      <c r="H85" s="1170"/>
      <c r="I85" s="1170"/>
      <c r="J85" s="1170"/>
      <c r="K85" s="1170"/>
      <c r="L85" s="1167">
        <f>$C$20</f>
        <v>0</v>
      </c>
      <c r="M85" s="1143"/>
      <c r="N85" s="1144"/>
      <c r="O85" s="1145"/>
      <c r="P85" s="1130"/>
      <c r="Q85" s="1130"/>
      <c r="R85" s="1130"/>
      <c r="S85" s="1131"/>
      <c r="T85" s="1131"/>
      <c r="U85" s="1132"/>
      <c r="X85" s="431"/>
      <c r="Y85" s="431"/>
      <c r="Z85" s="431"/>
      <c r="AA85" s="431"/>
      <c r="AB85" s="431"/>
      <c r="AC85" s="431"/>
      <c r="AD85" s="431"/>
      <c r="AE85" s="431"/>
      <c r="AF85" s="431"/>
      <c r="AG85" s="431"/>
      <c r="AH85" s="431"/>
      <c r="AI85" s="431"/>
      <c r="AJ85" s="431"/>
      <c r="AK85" s="431"/>
      <c r="AL85" s="431"/>
      <c r="AM85" s="431"/>
      <c r="AN85" s="431"/>
      <c r="AO85" s="431"/>
      <c r="AP85" s="431"/>
      <c r="AQ85" s="431"/>
      <c r="AR85" s="431"/>
      <c r="AS85" s="431"/>
      <c r="AT85" s="431"/>
      <c r="AU85" s="431"/>
      <c r="AV85" s="431"/>
      <c r="AW85" s="431"/>
      <c r="AX85" s="431"/>
      <c r="AY85" s="431"/>
      <c r="AZ85" s="431"/>
      <c r="BA85" s="431"/>
      <c r="BB85" s="431"/>
      <c r="BC85" s="431"/>
    </row>
    <row r="86" spans="2:55" s="432" customFormat="1" ht="12.75" customHeight="1" x14ac:dyDescent="0.2">
      <c r="F86" s="1124"/>
      <c r="G86" s="1124"/>
      <c r="H86" s="1124"/>
      <c r="I86" s="1124"/>
      <c r="J86" s="1124"/>
      <c r="K86" s="1124"/>
      <c r="M86" s="1124"/>
      <c r="O86" s="457"/>
      <c r="P86" s="457"/>
      <c r="Q86" s="431"/>
      <c r="R86" s="431"/>
      <c r="S86" s="431"/>
      <c r="T86" s="431"/>
      <c r="U86" s="431"/>
      <c r="V86" s="431"/>
      <c r="W86" s="431"/>
      <c r="X86" s="431"/>
      <c r="Y86" s="431"/>
      <c r="Z86" s="431"/>
      <c r="AA86" s="431"/>
      <c r="AB86" s="431"/>
      <c r="AC86" s="431"/>
      <c r="AD86" s="431"/>
      <c r="AE86" s="431"/>
      <c r="AF86" s="431"/>
      <c r="AG86" s="431"/>
      <c r="AH86" s="431"/>
      <c r="AI86" s="431"/>
      <c r="AJ86" s="431"/>
      <c r="AK86" s="431"/>
      <c r="AL86" s="431"/>
      <c r="AM86" s="431"/>
      <c r="AN86" s="431"/>
      <c r="AO86" s="431"/>
      <c r="AP86" s="431"/>
      <c r="AQ86" s="431"/>
      <c r="AR86" s="431"/>
      <c r="AS86" s="431"/>
      <c r="AT86" s="431"/>
      <c r="AU86" s="431"/>
      <c r="AV86" s="431"/>
      <c r="AW86" s="431"/>
      <c r="AX86" s="431"/>
      <c r="AY86" s="431"/>
      <c r="AZ86" s="431"/>
      <c r="BA86" s="431"/>
      <c r="BB86" s="431"/>
      <c r="BC86" s="431"/>
    </row>
    <row r="87" spans="2:55" ht="14.25" x14ac:dyDescent="0.2">
      <c r="L87" s="432"/>
    </row>
    <row r="88" spans="2:55" ht="13.5" thickBot="1" x14ac:dyDescent="0.25"/>
    <row r="89" spans="2:55" customFormat="1" ht="16.5" thickBot="1" x14ac:dyDescent="0.3">
      <c r="C89" s="1520" t="s">
        <v>511</v>
      </c>
      <c r="D89" s="1521"/>
      <c r="E89" s="35"/>
    </row>
    <row r="90" spans="2:55" customFormat="1" ht="15.75" x14ac:dyDescent="0.2">
      <c r="B90" s="872" t="s">
        <v>512</v>
      </c>
      <c r="C90" s="1317" t="s">
        <v>530</v>
      </c>
      <c r="D90" s="1318"/>
      <c r="E90" s="1316"/>
    </row>
    <row r="91" spans="2:55" customFormat="1" ht="15.75" x14ac:dyDescent="0.2">
      <c r="B91" s="873"/>
      <c r="C91" s="1519"/>
      <c r="D91" s="1519"/>
      <c r="E91" s="1519"/>
    </row>
    <row r="92" spans="2:55" customFormat="1" ht="15.75" x14ac:dyDescent="0.2">
      <c r="B92" s="290"/>
      <c r="C92" s="1519"/>
      <c r="D92" s="1519"/>
      <c r="E92" s="1519"/>
    </row>
    <row r="93" spans="2:55" customFormat="1" ht="15.75" x14ac:dyDescent="0.2">
      <c r="B93" s="290"/>
      <c r="C93" s="1519"/>
      <c r="D93" s="1519"/>
      <c r="E93" s="1519"/>
    </row>
    <row r="94" spans="2:55" customFormat="1" ht="15.75" x14ac:dyDescent="0.2">
      <c r="B94" s="290"/>
      <c r="C94" s="1519"/>
      <c r="D94" s="1519"/>
      <c r="E94" s="1519"/>
    </row>
    <row r="95" spans="2:55" customFormat="1" ht="15.75" x14ac:dyDescent="0.2">
      <c r="B95" s="290"/>
      <c r="C95" s="1519"/>
      <c r="D95" s="1519"/>
      <c r="E95" s="1519"/>
    </row>
    <row r="96" spans="2:55" customFormat="1" ht="15.75" x14ac:dyDescent="0.2">
      <c r="B96" s="290"/>
      <c r="C96" s="1519"/>
      <c r="D96" s="1519"/>
      <c r="E96" s="1519"/>
    </row>
    <row r="97" spans="2:5" customFormat="1" ht="15.75" x14ac:dyDescent="0.2">
      <c r="B97" s="290"/>
      <c r="C97" s="1519"/>
      <c r="D97" s="1519"/>
      <c r="E97" s="1519"/>
    </row>
    <row r="98" spans="2:5" customFormat="1" ht="15.75" x14ac:dyDescent="0.2">
      <c r="B98" s="290"/>
      <c r="C98" s="1519"/>
      <c r="D98" s="1519"/>
      <c r="E98" s="1519"/>
    </row>
    <row r="99" spans="2:5" customFormat="1" ht="15.75" x14ac:dyDescent="0.2">
      <c r="B99" s="290"/>
      <c r="C99" s="1519"/>
      <c r="D99" s="1519"/>
      <c r="E99" s="1519"/>
    </row>
    <row r="100" spans="2:5" customFormat="1" ht="15.75" x14ac:dyDescent="0.2">
      <c r="B100" s="290"/>
      <c r="C100" s="1519"/>
      <c r="D100" s="1519"/>
      <c r="E100" s="1519"/>
    </row>
    <row r="101" spans="2:5" customFormat="1" ht="15.75" x14ac:dyDescent="0.2">
      <c r="B101" s="290"/>
      <c r="C101" s="1519"/>
      <c r="D101" s="1519"/>
      <c r="E101" s="1519"/>
    </row>
    <row r="102" spans="2:5" customFormat="1" ht="15.75" x14ac:dyDescent="0.2">
      <c r="B102" s="290"/>
      <c r="C102" s="1519"/>
      <c r="D102" s="1519"/>
      <c r="E102" s="1519"/>
    </row>
    <row r="103" spans="2:5" customFormat="1" ht="15.75" x14ac:dyDescent="0.2">
      <c r="B103" s="290"/>
      <c r="C103" s="1519"/>
      <c r="D103" s="1519"/>
      <c r="E103" s="1519"/>
    </row>
    <row r="104" spans="2:5" customFormat="1" x14ac:dyDescent="0.2"/>
  </sheetData>
  <mergeCells count="72">
    <mergeCell ref="C100:E100"/>
    <mergeCell ref="C101:E101"/>
    <mergeCell ref="C102:E102"/>
    <mergeCell ref="C103:E103"/>
    <mergeCell ref="C89:D89"/>
    <mergeCell ref="C91:E91"/>
    <mergeCell ref="C92:E92"/>
    <mergeCell ref="C93:E93"/>
    <mergeCell ref="C94:E94"/>
    <mergeCell ref="C95:E95"/>
    <mergeCell ref="C96:E96"/>
    <mergeCell ref="C97:E97"/>
    <mergeCell ref="C98:E98"/>
    <mergeCell ref="C99:E99"/>
    <mergeCell ref="D22:K22"/>
    <mergeCell ref="D24:K29"/>
    <mergeCell ref="C19:D19"/>
    <mergeCell ref="C20:D20"/>
    <mergeCell ref="F18:G18"/>
    <mergeCell ref="F19:G19"/>
    <mergeCell ref="F20:G20"/>
    <mergeCell ref="C18:D18"/>
    <mergeCell ref="I18:J18"/>
    <mergeCell ref="I19:J19"/>
    <mergeCell ref="I20:J20"/>
    <mergeCell ref="I16:J16"/>
    <mergeCell ref="I17:J17"/>
    <mergeCell ref="I15:J15"/>
    <mergeCell ref="C15:D15"/>
    <mergeCell ref="C16:D16"/>
    <mergeCell ref="C17:D17"/>
    <mergeCell ref="F15:G15"/>
    <mergeCell ref="F16:G16"/>
    <mergeCell ref="F17:G17"/>
    <mergeCell ref="B11:M11"/>
    <mergeCell ref="B4:M4"/>
    <mergeCell ref="B6:M7"/>
    <mergeCell ref="B9:M9"/>
    <mergeCell ref="B2:E2"/>
    <mergeCell ref="D31:K32"/>
    <mergeCell ref="C47:D47"/>
    <mergeCell ref="C48:D48"/>
    <mergeCell ref="C49:D49"/>
    <mergeCell ref="C45:D45"/>
    <mergeCell ref="C46:D46"/>
    <mergeCell ref="C40:D40"/>
    <mergeCell ref="L35:M35"/>
    <mergeCell ref="C63:D63"/>
    <mergeCell ref="C64:D64"/>
    <mergeCell ref="C65:D65"/>
    <mergeCell ref="C66:D66"/>
    <mergeCell ref="C54:D54"/>
    <mergeCell ref="C55:D55"/>
    <mergeCell ref="C56:D56"/>
    <mergeCell ref="C57:D57"/>
    <mergeCell ref="C58:D58"/>
    <mergeCell ref="C39:D39"/>
    <mergeCell ref="C36:D36"/>
    <mergeCell ref="C37:D37"/>
    <mergeCell ref="C38:D38"/>
    <mergeCell ref="C35:D35"/>
    <mergeCell ref="C67:D67"/>
    <mergeCell ref="C72:D72"/>
    <mergeCell ref="C73:D73"/>
    <mergeCell ref="C74:D74"/>
    <mergeCell ref="C75:D75"/>
    <mergeCell ref="C85:D85"/>
    <mergeCell ref="C76:D76"/>
    <mergeCell ref="C81:D81"/>
    <mergeCell ref="C82:D82"/>
    <mergeCell ref="C83:D83"/>
    <mergeCell ref="C84:D84"/>
  </mergeCells>
  <phoneticPr fontId="3" type="noConversion"/>
  <dataValidations disablePrompts="1" count="1">
    <dataValidation type="list" allowBlank="1" showInputMessage="1" showErrorMessage="1" sqref="N16:N20">
      <formula1>#REF!</formula1>
    </dataValidation>
  </dataValidations>
  <printOptions horizontalCentered="1"/>
  <pageMargins left="0.5" right="0.5" top="0.5" bottom="0.5" header="0.25" footer="0.25"/>
  <pageSetup scale="63" orientation="landscape" r:id="rId1"/>
  <headerFooter alignWithMargins="0">
    <oddHeader>&amp;C&amp;"Arial,Bold"&amp;12&amp;A</oddHeader>
    <oddFooter>&amp;LOfferor: &amp;CPage &amp;P of &amp;N Pages&amp;R&amp;F</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'Drop-Down Values'!$D$6:$D$7</xm:f>
          </x14:formula1>
          <xm:sqref>H16:H20 K16:K20 M16:M20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85E8FF"/>
    <pageSetUpPr fitToPage="1"/>
  </sheetPr>
  <dimension ref="B1:AJ145"/>
  <sheetViews>
    <sheetView workbookViewId="0">
      <pane xSplit="7" ySplit="6" topLeftCell="H7" activePane="bottomRight" state="frozen"/>
      <selection pane="topRight" activeCell="H1" sqref="H1"/>
      <selection pane="bottomLeft" activeCell="A7" sqref="A7"/>
      <selection pane="bottomRight" activeCell="C3" sqref="C3"/>
    </sheetView>
  </sheetViews>
  <sheetFormatPr defaultColWidth="8.7109375" defaultRowHeight="12.75" outlineLevelRow="1" x14ac:dyDescent="0.2"/>
  <cols>
    <col min="1" max="1" width="0.85546875" style="35" customWidth="1"/>
    <col min="2" max="2" width="6.7109375" style="35" customWidth="1"/>
    <col min="3" max="3" width="10.42578125" style="35" customWidth="1"/>
    <col min="4" max="4" width="13.28515625" style="35" customWidth="1"/>
    <col min="5" max="5" width="15.7109375" style="35" customWidth="1"/>
    <col min="6" max="6" width="18.7109375" style="35" customWidth="1"/>
    <col min="7" max="7" width="18.42578125" style="35" customWidth="1"/>
    <col min="8" max="8" width="11.7109375" style="35" customWidth="1"/>
    <col min="9" max="9" width="13.5703125" style="35" customWidth="1"/>
    <col min="10" max="10" width="13" style="35" customWidth="1"/>
    <col min="11" max="11" width="14" style="35" customWidth="1"/>
    <col min="12" max="12" width="12.7109375" style="35" customWidth="1"/>
    <col min="13" max="13" width="14" style="35" customWidth="1"/>
    <col min="14" max="15" width="14.42578125" style="35" customWidth="1"/>
    <col min="16" max="16" width="14" style="35" customWidth="1"/>
    <col min="17" max="17" width="8" style="35" customWidth="1"/>
    <col min="18" max="18" width="14.7109375" style="35" customWidth="1"/>
    <col min="19" max="19" width="1.85546875" style="35" customWidth="1"/>
    <col min="20" max="16384" width="8.7109375" style="35"/>
  </cols>
  <sheetData>
    <row r="1" spans="2:36" ht="15" x14ac:dyDescent="0.2">
      <c r="B1" s="1063" t="s">
        <v>554</v>
      </c>
      <c r="C1" s="1063"/>
      <c r="D1" s="1054"/>
      <c r="E1" s="1064"/>
      <c r="F1" s="1054"/>
      <c r="G1" s="1054"/>
      <c r="H1" s="1054"/>
      <c r="I1" s="1054"/>
      <c r="J1" s="1054"/>
      <c r="K1" s="1054"/>
      <c r="L1" s="1054"/>
      <c r="M1" s="1054"/>
      <c r="N1" s="1054"/>
      <c r="O1" s="1054"/>
      <c r="P1" s="1054"/>
      <c r="Q1" s="1054"/>
      <c r="R1" s="1054"/>
      <c r="S1" s="53"/>
    </row>
    <row r="2" spans="2:36" ht="18.75" customHeight="1" x14ac:dyDescent="0.2">
      <c r="B2" s="1555" t="str">
        <f>INITIALIZATION!C5</f>
        <v>Proposer's Name (Prime or Sub)</v>
      </c>
      <c r="C2" s="1555"/>
      <c r="D2" s="1555"/>
      <c r="E2" s="1555"/>
      <c r="AJ2" s="35" t="s">
        <v>522</v>
      </c>
    </row>
    <row r="3" spans="2:36" ht="20.25" x14ac:dyDescent="0.3">
      <c r="B3" s="495"/>
      <c r="C3" s="495"/>
      <c r="F3" s="899"/>
      <c r="G3" s="899"/>
    </row>
    <row r="4" spans="2:36" ht="13.5" customHeight="1" thickBot="1" x14ac:dyDescent="0.25">
      <c r="B4" s="611"/>
      <c r="E4" s="611"/>
      <c r="Q4" s="1312" t="s">
        <v>429</v>
      </c>
    </row>
    <row r="5" spans="2:36" ht="13.5" customHeight="1" thickBot="1" x14ac:dyDescent="0.25">
      <c r="B5" s="611"/>
      <c r="C5" s="611" t="s">
        <v>82</v>
      </c>
      <c r="D5" s="611" t="s">
        <v>82</v>
      </c>
      <c r="E5" s="1522" t="s">
        <v>545</v>
      </c>
      <c r="F5" s="1523"/>
      <c r="G5" s="1524"/>
      <c r="H5" s="611" t="s">
        <v>82</v>
      </c>
      <c r="I5" s="611"/>
      <c r="M5" s="611" t="s">
        <v>82</v>
      </c>
      <c r="N5" s="611"/>
      <c r="O5" s="611"/>
      <c r="P5" s="611"/>
      <c r="Q5" s="1311"/>
    </row>
    <row r="6" spans="2:36" ht="41.25" customHeight="1" thickBot="1" x14ac:dyDescent="0.25">
      <c r="B6" s="577" t="s">
        <v>446</v>
      </c>
      <c r="C6" s="577" t="s">
        <v>448</v>
      </c>
      <c r="D6" s="577" t="s">
        <v>461</v>
      </c>
      <c r="E6" s="1562" t="s">
        <v>552</v>
      </c>
      <c r="F6" s="1563"/>
      <c r="G6" s="1564"/>
      <c r="H6" s="577" t="s">
        <v>532</v>
      </c>
      <c r="I6" s="577" t="s">
        <v>11</v>
      </c>
      <c r="J6" s="577" t="s">
        <v>533</v>
      </c>
      <c r="K6" s="577" t="s">
        <v>428</v>
      </c>
      <c r="L6" s="577" t="s">
        <v>12</v>
      </c>
      <c r="M6" s="577" t="s">
        <v>534</v>
      </c>
      <c r="N6" s="1522" t="s">
        <v>723</v>
      </c>
      <c r="O6" s="1523"/>
      <c r="P6" s="1524"/>
      <c r="Q6" s="577" t="s">
        <v>555</v>
      </c>
      <c r="R6" s="577" t="s">
        <v>462</v>
      </c>
    </row>
    <row r="7" spans="2:36" ht="13.5" thickBot="1" x14ac:dyDescent="0.25">
      <c r="B7" s="1043">
        <v>1</v>
      </c>
      <c r="C7" s="1566" t="s">
        <v>546</v>
      </c>
      <c r="D7" s="1567"/>
      <c r="E7" s="1556"/>
      <c r="F7" s="1557"/>
      <c r="G7" s="1558"/>
      <c r="H7" s="1299">
        <f>SUM(H8:H15)</f>
        <v>0</v>
      </c>
      <c r="I7" s="1289"/>
      <c r="J7" s="946">
        <f>SUM(J8:J15)</f>
        <v>0</v>
      </c>
      <c r="K7" s="946">
        <f>SUM(K8:K15)</f>
        <v>0</v>
      </c>
      <c r="L7" s="946">
        <f>SUM(L8:L15)</f>
        <v>0</v>
      </c>
      <c r="M7" s="947">
        <f>SUM(M8:M15)</f>
        <v>0</v>
      </c>
      <c r="N7" s="1532"/>
      <c r="O7" s="1533"/>
      <c r="P7" s="1534"/>
      <c r="Q7" s="941"/>
      <c r="R7" s="881" t="s">
        <v>536</v>
      </c>
    </row>
    <row r="8" spans="2:36" x14ac:dyDescent="0.2">
      <c r="B8" s="1042">
        <v>1.1000000000000001</v>
      </c>
      <c r="C8" s="944"/>
      <c r="D8" s="944"/>
      <c r="E8" s="1559"/>
      <c r="F8" s="1560"/>
      <c r="G8" s="1561"/>
      <c r="H8" s="1300"/>
      <c r="I8" s="1308"/>
      <c r="J8" s="940">
        <f>H8*I8</f>
        <v>0</v>
      </c>
      <c r="K8" s="939"/>
      <c r="L8" s="939"/>
      <c r="M8" s="940">
        <f>SUM(J8:L8)</f>
        <v>0</v>
      </c>
      <c r="N8" s="1535"/>
      <c r="O8" s="1536"/>
      <c r="P8" s="1537"/>
      <c r="Q8" s="1179"/>
      <c r="R8" s="1180"/>
    </row>
    <row r="9" spans="2:36" x14ac:dyDescent="0.2">
      <c r="B9" s="949">
        <v>1.2</v>
      </c>
      <c r="C9" s="944"/>
      <c r="D9" s="944"/>
      <c r="E9" s="1549"/>
      <c r="F9" s="1550"/>
      <c r="G9" s="1551"/>
      <c r="H9" s="1301"/>
      <c r="I9" s="1308"/>
      <c r="J9" s="940">
        <f t="shared" ref="J9:J15" si="0">H9*I9</f>
        <v>0</v>
      </c>
      <c r="K9" s="883"/>
      <c r="L9" s="883"/>
      <c r="M9" s="595">
        <f t="shared" ref="M9:M15" si="1">SUM(J9:L9)</f>
        <v>0</v>
      </c>
      <c r="N9" s="1535"/>
      <c r="O9" s="1536"/>
      <c r="P9" s="1537"/>
      <c r="Q9" s="1181"/>
      <c r="R9" s="1182"/>
    </row>
    <row r="10" spans="2:36" x14ac:dyDescent="0.2">
      <c r="B10" s="949">
        <v>1.3</v>
      </c>
      <c r="C10" s="944"/>
      <c r="D10" s="944"/>
      <c r="E10" s="1549"/>
      <c r="F10" s="1550"/>
      <c r="G10" s="1551"/>
      <c r="H10" s="1301"/>
      <c r="I10" s="1308"/>
      <c r="J10" s="940">
        <f t="shared" si="0"/>
        <v>0</v>
      </c>
      <c r="K10" s="883"/>
      <c r="L10" s="883"/>
      <c r="M10" s="595">
        <f t="shared" si="1"/>
        <v>0</v>
      </c>
      <c r="N10" s="1535"/>
      <c r="O10" s="1536"/>
      <c r="P10" s="1537"/>
      <c r="Q10" s="1181"/>
      <c r="R10" s="1182"/>
    </row>
    <row r="11" spans="2:36" x14ac:dyDescent="0.2">
      <c r="B11" s="949">
        <v>1.4</v>
      </c>
      <c r="C11" s="944"/>
      <c r="D11" s="944"/>
      <c r="E11" s="1549"/>
      <c r="F11" s="1550"/>
      <c r="G11" s="1551"/>
      <c r="H11" s="1301"/>
      <c r="I11" s="1308"/>
      <c r="J11" s="940">
        <f t="shared" si="0"/>
        <v>0</v>
      </c>
      <c r="K11" s="883"/>
      <c r="L11" s="883"/>
      <c r="M11" s="595">
        <f t="shared" si="1"/>
        <v>0</v>
      </c>
      <c r="N11" s="1535"/>
      <c r="O11" s="1536"/>
      <c r="P11" s="1537"/>
      <c r="Q11" s="1181"/>
      <c r="R11" s="1182"/>
    </row>
    <row r="12" spans="2:36" x14ac:dyDescent="0.2">
      <c r="B12" s="949">
        <v>1.5</v>
      </c>
      <c r="C12" s="944"/>
      <c r="D12" s="944"/>
      <c r="E12" s="1549"/>
      <c r="F12" s="1550"/>
      <c r="G12" s="1551"/>
      <c r="H12" s="1301"/>
      <c r="I12" s="1308"/>
      <c r="J12" s="940">
        <f t="shared" si="0"/>
        <v>0</v>
      </c>
      <c r="K12" s="883"/>
      <c r="L12" s="883"/>
      <c r="M12" s="595">
        <f t="shared" si="1"/>
        <v>0</v>
      </c>
      <c r="N12" s="1535"/>
      <c r="O12" s="1536"/>
      <c r="P12" s="1537"/>
      <c r="Q12" s="1181"/>
      <c r="R12" s="1182"/>
    </row>
    <row r="13" spans="2:36" x14ac:dyDescent="0.2">
      <c r="B13" s="949">
        <v>1.6</v>
      </c>
      <c r="C13" s="944"/>
      <c r="D13" s="944"/>
      <c r="E13" s="1549"/>
      <c r="F13" s="1550"/>
      <c r="G13" s="1551"/>
      <c r="H13" s="1301"/>
      <c r="I13" s="1308"/>
      <c r="J13" s="940">
        <f t="shared" si="0"/>
        <v>0</v>
      </c>
      <c r="K13" s="883"/>
      <c r="L13" s="883"/>
      <c r="M13" s="595">
        <f t="shared" si="1"/>
        <v>0</v>
      </c>
      <c r="N13" s="1535"/>
      <c r="O13" s="1536"/>
      <c r="P13" s="1537"/>
      <c r="Q13" s="1181"/>
      <c r="R13" s="1182"/>
    </row>
    <row r="14" spans="2:36" x14ac:dyDescent="0.2">
      <c r="B14" s="949">
        <v>1.7</v>
      </c>
      <c r="C14" s="944"/>
      <c r="D14" s="944"/>
      <c r="E14" s="1549"/>
      <c r="F14" s="1550"/>
      <c r="G14" s="1551"/>
      <c r="H14" s="1301"/>
      <c r="I14" s="1308"/>
      <c r="J14" s="940">
        <f t="shared" si="0"/>
        <v>0</v>
      </c>
      <c r="K14" s="883"/>
      <c r="L14" s="883"/>
      <c r="M14" s="595">
        <f t="shared" si="1"/>
        <v>0</v>
      </c>
      <c r="N14" s="1535"/>
      <c r="O14" s="1536"/>
      <c r="P14" s="1537"/>
      <c r="Q14" s="1181"/>
      <c r="R14" s="1182"/>
    </row>
    <row r="15" spans="2:36" ht="13.5" thickBot="1" x14ac:dyDescent="0.25">
      <c r="B15" s="950">
        <v>1.8</v>
      </c>
      <c r="C15" s="944"/>
      <c r="D15" s="944"/>
      <c r="E15" s="1552"/>
      <c r="F15" s="1553"/>
      <c r="G15" s="1554"/>
      <c r="H15" s="1302"/>
      <c r="I15" s="1308"/>
      <c r="J15" s="940">
        <f t="shared" si="0"/>
        <v>0</v>
      </c>
      <c r="K15" s="942"/>
      <c r="L15" s="942"/>
      <c r="M15" s="599">
        <f t="shared" si="1"/>
        <v>0</v>
      </c>
      <c r="N15" s="1538"/>
      <c r="O15" s="1539"/>
      <c r="P15" s="1540"/>
      <c r="Q15" s="1183"/>
      <c r="R15" s="1184"/>
    </row>
    <row r="16" spans="2:36" ht="13.5" customHeight="1" thickBot="1" x14ac:dyDescent="0.25">
      <c r="B16" s="948">
        <v>2</v>
      </c>
      <c r="C16" s="1568" t="s">
        <v>547</v>
      </c>
      <c r="D16" s="1569"/>
      <c r="E16" s="1556"/>
      <c r="F16" s="1557"/>
      <c r="G16" s="1558"/>
      <c r="H16" s="1299">
        <f>SUM(H17:H24)</f>
        <v>0</v>
      </c>
      <c r="I16" s="1289"/>
      <c r="J16" s="946">
        <f>SUM(J17:J24)</f>
        <v>0</v>
      </c>
      <c r="K16" s="946">
        <f>SUM(K17:K24)</f>
        <v>0</v>
      </c>
      <c r="L16" s="946">
        <f>SUM(L17:L24)</f>
        <v>0</v>
      </c>
      <c r="M16" s="947">
        <f>SUM(M17:M24)</f>
        <v>0</v>
      </c>
      <c r="N16" s="1532"/>
      <c r="O16" s="1533"/>
      <c r="P16" s="1534"/>
      <c r="Q16" s="941"/>
      <c r="R16" s="881"/>
    </row>
    <row r="17" spans="2:18" x14ac:dyDescent="0.2">
      <c r="B17" s="949">
        <v>2.1</v>
      </c>
      <c r="C17" s="944"/>
      <c r="D17" s="944"/>
      <c r="E17" s="1559"/>
      <c r="F17" s="1560"/>
      <c r="G17" s="1561"/>
      <c r="H17" s="1300"/>
      <c r="I17" s="1308"/>
      <c r="J17" s="940">
        <f>H17*I17</f>
        <v>0</v>
      </c>
      <c r="K17" s="939"/>
      <c r="L17" s="939"/>
      <c r="M17" s="940">
        <f t="shared" ref="M17:M24" si="2">SUM(J17:L17)</f>
        <v>0</v>
      </c>
      <c r="N17" s="1535"/>
      <c r="O17" s="1536"/>
      <c r="P17" s="1537"/>
      <c r="Q17" s="1179"/>
      <c r="R17" s="1180"/>
    </row>
    <row r="18" spans="2:18" x14ac:dyDescent="0.2">
      <c r="B18" s="949">
        <v>2.2000000000000002</v>
      </c>
      <c r="C18" s="944"/>
      <c r="D18" s="944"/>
      <c r="E18" s="1549"/>
      <c r="F18" s="1550"/>
      <c r="G18" s="1551"/>
      <c r="H18" s="1301"/>
      <c r="I18" s="1308"/>
      <c r="J18" s="940">
        <f t="shared" ref="J18:J24" si="3">H18*I18</f>
        <v>0</v>
      </c>
      <c r="K18" s="883"/>
      <c r="L18" s="883"/>
      <c r="M18" s="595">
        <f t="shared" si="2"/>
        <v>0</v>
      </c>
      <c r="N18" s="1535"/>
      <c r="O18" s="1536"/>
      <c r="P18" s="1537"/>
      <c r="Q18" s="1181"/>
      <c r="R18" s="1182"/>
    </row>
    <row r="19" spans="2:18" x14ac:dyDescent="0.2">
      <c r="B19" s="949">
        <v>2.2999999999999998</v>
      </c>
      <c r="C19" s="944"/>
      <c r="D19" s="944"/>
      <c r="E19" s="1549"/>
      <c r="F19" s="1550"/>
      <c r="G19" s="1551"/>
      <c r="H19" s="1301"/>
      <c r="I19" s="1308"/>
      <c r="J19" s="940">
        <f t="shared" si="3"/>
        <v>0</v>
      </c>
      <c r="K19" s="883"/>
      <c r="L19" s="883"/>
      <c r="M19" s="595">
        <f t="shared" si="2"/>
        <v>0</v>
      </c>
      <c r="N19" s="1535"/>
      <c r="O19" s="1536"/>
      <c r="P19" s="1537"/>
      <c r="Q19" s="1181"/>
      <c r="R19" s="1182"/>
    </row>
    <row r="20" spans="2:18" x14ac:dyDescent="0.2">
      <c r="B20" s="949">
        <v>2.4</v>
      </c>
      <c r="C20" s="944"/>
      <c r="D20" s="944"/>
      <c r="E20" s="1549"/>
      <c r="F20" s="1550"/>
      <c r="G20" s="1551"/>
      <c r="H20" s="1301"/>
      <c r="I20" s="1308"/>
      <c r="J20" s="940">
        <f t="shared" si="3"/>
        <v>0</v>
      </c>
      <c r="K20" s="883"/>
      <c r="L20" s="883"/>
      <c r="M20" s="595">
        <f t="shared" si="2"/>
        <v>0</v>
      </c>
      <c r="N20" s="1535"/>
      <c r="O20" s="1536"/>
      <c r="P20" s="1537"/>
      <c r="Q20" s="1181"/>
      <c r="R20" s="1182"/>
    </row>
    <row r="21" spans="2:18" x14ac:dyDescent="0.2">
      <c r="B21" s="949">
        <v>2.5</v>
      </c>
      <c r="C21" s="944"/>
      <c r="D21" s="944"/>
      <c r="E21" s="1549"/>
      <c r="F21" s="1550"/>
      <c r="G21" s="1551"/>
      <c r="H21" s="1301"/>
      <c r="I21" s="1308"/>
      <c r="J21" s="940">
        <f t="shared" si="3"/>
        <v>0</v>
      </c>
      <c r="K21" s="883"/>
      <c r="L21" s="883"/>
      <c r="M21" s="595">
        <f t="shared" si="2"/>
        <v>0</v>
      </c>
      <c r="N21" s="1535"/>
      <c r="O21" s="1536"/>
      <c r="P21" s="1537"/>
      <c r="Q21" s="1181"/>
      <c r="R21" s="1182"/>
    </row>
    <row r="22" spans="2:18" x14ac:dyDescent="0.2">
      <c r="B22" s="949">
        <v>2.6</v>
      </c>
      <c r="C22" s="944"/>
      <c r="D22" s="944"/>
      <c r="E22" s="1549"/>
      <c r="F22" s="1550"/>
      <c r="G22" s="1551"/>
      <c r="H22" s="1301"/>
      <c r="I22" s="1308"/>
      <c r="J22" s="940">
        <f t="shared" si="3"/>
        <v>0</v>
      </c>
      <c r="K22" s="883"/>
      <c r="L22" s="883"/>
      <c r="M22" s="595">
        <f t="shared" si="2"/>
        <v>0</v>
      </c>
      <c r="N22" s="1535"/>
      <c r="O22" s="1536"/>
      <c r="P22" s="1537"/>
      <c r="Q22" s="1181"/>
      <c r="R22" s="1182"/>
    </row>
    <row r="23" spans="2:18" x14ac:dyDescent="0.2">
      <c r="B23" s="949">
        <v>2.7</v>
      </c>
      <c r="C23" s="944"/>
      <c r="D23" s="944"/>
      <c r="E23" s="1549"/>
      <c r="F23" s="1550"/>
      <c r="G23" s="1551"/>
      <c r="H23" s="1301"/>
      <c r="I23" s="1308"/>
      <c r="J23" s="940">
        <f t="shared" si="3"/>
        <v>0</v>
      </c>
      <c r="K23" s="883"/>
      <c r="L23" s="883"/>
      <c r="M23" s="595">
        <f t="shared" si="2"/>
        <v>0</v>
      </c>
      <c r="N23" s="1535"/>
      <c r="O23" s="1536"/>
      <c r="P23" s="1537"/>
      <c r="Q23" s="1181"/>
      <c r="R23" s="1182"/>
    </row>
    <row r="24" spans="2:18" ht="13.5" thickBot="1" x14ac:dyDescent="0.25">
      <c r="B24" s="949">
        <v>2.8</v>
      </c>
      <c r="C24" s="944"/>
      <c r="D24" s="944"/>
      <c r="E24" s="1552"/>
      <c r="F24" s="1553"/>
      <c r="G24" s="1554"/>
      <c r="H24" s="1302"/>
      <c r="I24" s="1308"/>
      <c r="J24" s="940">
        <f t="shared" si="3"/>
        <v>0</v>
      </c>
      <c r="K24" s="942"/>
      <c r="L24" s="942"/>
      <c r="M24" s="599">
        <f t="shared" si="2"/>
        <v>0</v>
      </c>
      <c r="N24" s="1538"/>
      <c r="O24" s="1539"/>
      <c r="P24" s="1540"/>
      <c r="Q24" s="1183"/>
      <c r="R24" s="1184"/>
    </row>
    <row r="25" spans="2:18" ht="13.5" customHeight="1" thickBot="1" x14ac:dyDescent="0.25">
      <c r="B25" s="948">
        <v>3</v>
      </c>
      <c r="C25" s="1568" t="s">
        <v>548</v>
      </c>
      <c r="D25" s="1569"/>
      <c r="E25" s="1556"/>
      <c r="F25" s="1557"/>
      <c r="G25" s="1558"/>
      <c r="H25" s="1299">
        <f>SUM(H26:H33)</f>
        <v>0</v>
      </c>
      <c r="I25" s="1289"/>
      <c r="J25" s="946">
        <f>SUM(J26:J33)</f>
        <v>0</v>
      </c>
      <c r="K25" s="946">
        <f>SUM(K26:K33)</f>
        <v>0</v>
      </c>
      <c r="L25" s="946">
        <f>SUM(L26:L33)</f>
        <v>0</v>
      </c>
      <c r="M25" s="947">
        <f>SUM(M26:M33)</f>
        <v>0</v>
      </c>
      <c r="N25" s="1532"/>
      <c r="O25" s="1533"/>
      <c r="P25" s="1534"/>
      <c r="Q25" s="941"/>
      <c r="R25" s="881"/>
    </row>
    <row r="26" spans="2:18" x14ac:dyDescent="0.2">
      <c r="B26" s="949">
        <v>3.1</v>
      </c>
      <c r="C26" s="944"/>
      <c r="D26" s="944"/>
      <c r="E26" s="1559"/>
      <c r="F26" s="1560"/>
      <c r="G26" s="1561"/>
      <c r="H26" s="1300"/>
      <c r="I26" s="1308"/>
      <c r="J26" s="940">
        <f>H26*I26</f>
        <v>0</v>
      </c>
      <c r="K26" s="939"/>
      <c r="L26" s="939"/>
      <c r="M26" s="940">
        <f t="shared" ref="M26:M33" si="4">SUM(J26:L26)</f>
        <v>0</v>
      </c>
      <c r="N26" s="1535"/>
      <c r="O26" s="1536"/>
      <c r="P26" s="1537"/>
      <c r="Q26" s="1179"/>
      <c r="R26" s="1180"/>
    </row>
    <row r="27" spans="2:18" x14ac:dyDescent="0.2">
      <c r="B27" s="949">
        <v>3.2</v>
      </c>
      <c r="C27" s="944"/>
      <c r="D27" s="944"/>
      <c r="E27" s="1549"/>
      <c r="F27" s="1550"/>
      <c r="G27" s="1551"/>
      <c r="H27" s="1301"/>
      <c r="I27" s="1308"/>
      <c r="J27" s="940">
        <f t="shared" ref="J27:J33" si="5">H27*I27</f>
        <v>0</v>
      </c>
      <c r="K27" s="883"/>
      <c r="L27" s="883"/>
      <c r="M27" s="595">
        <f t="shared" si="4"/>
        <v>0</v>
      </c>
      <c r="N27" s="1535"/>
      <c r="O27" s="1536"/>
      <c r="P27" s="1537"/>
      <c r="Q27" s="1181"/>
      <c r="R27" s="1182"/>
    </row>
    <row r="28" spans="2:18" x14ac:dyDescent="0.2">
      <c r="B28" s="949">
        <v>3.3</v>
      </c>
      <c r="C28" s="944"/>
      <c r="D28" s="944"/>
      <c r="E28" s="1549"/>
      <c r="F28" s="1550"/>
      <c r="G28" s="1551"/>
      <c r="H28" s="1301"/>
      <c r="I28" s="1308"/>
      <c r="J28" s="940">
        <f t="shared" si="5"/>
        <v>0</v>
      </c>
      <c r="K28" s="883"/>
      <c r="L28" s="883"/>
      <c r="M28" s="595">
        <f t="shared" si="4"/>
        <v>0</v>
      </c>
      <c r="N28" s="1535"/>
      <c r="O28" s="1536"/>
      <c r="P28" s="1537"/>
      <c r="Q28" s="1181"/>
      <c r="R28" s="1182"/>
    </row>
    <row r="29" spans="2:18" x14ac:dyDescent="0.2">
      <c r="B29" s="949">
        <v>3.4</v>
      </c>
      <c r="C29" s="944"/>
      <c r="D29" s="944"/>
      <c r="E29" s="1549"/>
      <c r="F29" s="1550"/>
      <c r="G29" s="1551"/>
      <c r="H29" s="1301"/>
      <c r="I29" s="1308"/>
      <c r="J29" s="940">
        <f t="shared" si="5"/>
        <v>0</v>
      </c>
      <c r="K29" s="883"/>
      <c r="L29" s="883"/>
      <c r="M29" s="595">
        <f t="shared" si="4"/>
        <v>0</v>
      </c>
      <c r="N29" s="1535"/>
      <c r="O29" s="1536"/>
      <c r="P29" s="1537"/>
      <c r="Q29" s="1181"/>
      <c r="R29" s="1182"/>
    </row>
    <row r="30" spans="2:18" x14ac:dyDescent="0.2">
      <c r="B30" s="949">
        <v>3.5</v>
      </c>
      <c r="C30" s="944"/>
      <c r="D30" s="944"/>
      <c r="E30" s="1549"/>
      <c r="F30" s="1550"/>
      <c r="G30" s="1551"/>
      <c r="H30" s="1301"/>
      <c r="I30" s="1308"/>
      <c r="J30" s="940">
        <f t="shared" si="5"/>
        <v>0</v>
      </c>
      <c r="K30" s="883"/>
      <c r="L30" s="883"/>
      <c r="M30" s="595">
        <f t="shared" si="4"/>
        <v>0</v>
      </c>
      <c r="N30" s="1535"/>
      <c r="O30" s="1536"/>
      <c r="P30" s="1537"/>
      <c r="Q30" s="1181"/>
      <c r="R30" s="1182"/>
    </row>
    <row r="31" spans="2:18" x14ac:dyDescent="0.2">
      <c r="B31" s="949">
        <v>3.6</v>
      </c>
      <c r="C31" s="944"/>
      <c r="D31" s="944"/>
      <c r="E31" s="1549"/>
      <c r="F31" s="1550"/>
      <c r="G31" s="1551"/>
      <c r="H31" s="1301"/>
      <c r="I31" s="1308"/>
      <c r="J31" s="940">
        <f t="shared" si="5"/>
        <v>0</v>
      </c>
      <c r="K31" s="883"/>
      <c r="L31" s="883"/>
      <c r="M31" s="595">
        <f t="shared" si="4"/>
        <v>0</v>
      </c>
      <c r="N31" s="1535"/>
      <c r="O31" s="1536"/>
      <c r="P31" s="1537"/>
      <c r="Q31" s="1181"/>
      <c r="R31" s="1182"/>
    </row>
    <row r="32" spans="2:18" x14ac:dyDescent="0.2">
      <c r="B32" s="949">
        <v>3.7</v>
      </c>
      <c r="C32" s="944"/>
      <c r="D32" s="944"/>
      <c r="E32" s="1549"/>
      <c r="F32" s="1550"/>
      <c r="G32" s="1551"/>
      <c r="H32" s="1301"/>
      <c r="I32" s="1308"/>
      <c r="J32" s="940">
        <f t="shared" si="5"/>
        <v>0</v>
      </c>
      <c r="K32" s="883"/>
      <c r="L32" s="883"/>
      <c r="M32" s="595">
        <f t="shared" si="4"/>
        <v>0</v>
      </c>
      <c r="N32" s="1535"/>
      <c r="O32" s="1536"/>
      <c r="P32" s="1537"/>
      <c r="Q32" s="1181"/>
      <c r="R32" s="1182"/>
    </row>
    <row r="33" spans="2:18" ht="13.5" thickBot="1" x14ac:dyDescent="0.25">
      <c r="B33" s="949">
        <v>3.8</v>
      </c>
      <c r="C33" s="944"/>
      <c r="D33" s="944"/>
      <c r="E33" s="1552"/>
      <c r="F33" s="1553"/>
      <c r="G33" s="1554"/>
      <c r="H33" s="1302"/>
      <c r="I33" s="1308"/>
      <c r="J33" s="940">
        <f t="shared" si="5"/>
        <v>0</v>
      </c>
      <c r="K33" s="942"/>
      <c r="L33" s="942"/>
      <c r="M33" s="599">
        <f t="shared" si="4"/>
        <v>0</v>
      </c>
      <c r="N33" s="1538"/>
      <c r="O33" s="1539"/>
      <c r="P33" s="1540"/>
      <c r="Q33" s="1183"/>
      <c r="R33" s="1184"/>
    </row>
    <row r="34" spans="2:18" ht="13.5" hidden="1" customHeight="1" outlineLevel="1" thickBot="1" x14ac:dyDescent="0.25">
      <c r="B34" s="948">
        <v>4</v>
      </c>
      <c r="C34" s="1568" t="s">
        <v>549</v>
      </c>
      <c r="D34" s="1569"/>
      <c r="E34" s="1556"/>
      <c r="F34" s="1557"/>
      <c r="G34" s="1558"/>
      <c r="H34" s="1299">
        <f>SUM(H35:H42)</f>
        <v>0</v>
      </c>
      <c r="I34" s="1289"/>
      <c r="J34" s="946">
        <f>SUM(J35:J42)</f>
        <v>0</v>
      </c>
      <c r="K34" s="946">
        <f>SUM(K35:K42)</f>
        <v>0</v>
      </c>
      <c r="L34" s="946">
        <f>SUM(L35:L42)</f>
        <v>0</v>
      </c>
      <c r="M34" s="947">
        <f>SUM(M35:M42)</f>
        <v>0</v>
      </c>
      <c r="N34" s="1532"/>
      <c r="O34" s="1533"/>
      <c r="P34" s="1534"/>
      <c r="Q34" s="941"/>
      <c r="R34" s="881"/>
    </row>
    <row r="35" spans="2:18" ht="12.75" hidden="1" customHeight="1" outlineLevel="1" x14ac:dyDescent="0.2">
      <c r="B35" s="949">
        <v>4.0999999999999996</v>
      </c>
      <c r="C35" s="944"/>
      <c r="D35" s="944"/>
      <c r="E35" s="1559"/>
      <c r="F35" s="1560"/>
      <c r="G35" s="1561"/>
      <c r="H35" s="1300"/>
      <c r="I35" s="1308"/>
      <c r="J35" s="940">
        <f>H35*I35</f>
        <v>0</v>
      </c>
      <c r="K35" s="939"/>
      <c r="L35" s="939"/>
      <c r="M35" s="940">
        <f t="shared" ref="M35:M42" si="6">SUM(J35:L35)</f>
        <v>0</v>
      </c>
      <c r="N35" s="1535"/>
      <c r="O35" s="1536"/>
      <c r="P35" s="1537"/>
      <c r="Q35" s="1179"/>
      <c r="R35" s="1180"/>
    </row>
    <row r="36" spans="2:18" ht="12.75" hidden="1" customHeight="1" outlineLevel="1" x14ac:dyDescent="0.2">
      <c r="B36" s="949">
        <v>4.2</v>
      </c>
      <c r="C36" s="944"/>
      <c r="D36" s="944"/>
      <c r="E36" s="1549"/>
      <c r="F36" s="1550"/>
      <c r="G36" s="1551"/>
      <c r="H36" s="1301"/>
      <c r="I36" s="1308"/>
      <c r="J36" s="940">
        <f t="shared" ref="J36:J42" si="7">H36*I36</f>
        <v>0</v>
      </c>
      <c r="K36" s="883"/>
      <c r="L36" s="883"/>
      <c r="M36" s="595">
        <f t="shared" si="6"/>
        <v>0</v>
      </c>
      <c r="N36" s="1535"/>
      <c r="O36" s="1536"/>
      <c r="P36" s="1537"/>
      <c r="Q36" s="1181"/>
      <c r="R36" s="1182"/>
    </row>
    <row r="37" spans="2:18" ht="12.75" hidden="1" customHeight="1" outlineLevel="1" x14ac:dyDescent="0.2">
      <c r="B37" s="949">
        <v>4.3</v>
      </c>
      <c r="C37" s="944"/>
      <c r="D37" s="944"/>
      <c r="E37" s="1549"/>
      <c r="F37" s="1550"/>
      <c r="G37" s="1551"/>
      <c r="H37" s="1301"/>
      <c r="I37" s="1308"/>
      <c r="J37" s="940">
        <f t="shared" si="7"/>
        <v>0</v>
      </c>
      <c r="K37" s="883"/>
      <c r="L37" s="883"/>
      <c r="M37" s="595">
        <f t="shared" si="6"/>
        <v>0</v>
      </c>
      <c r="N37" s="1535"/>
      <c r="O37" s="1536"/>
      <c r="P37" s="1537"/>
      <c r="Q37" s="1181"/>
      <c r="R37" s="1182"/>
    </row>
    <row r="38" spans="2:18" ht="12.75" hidden="1" customHeight="1" outlineLevel="1" x14ac:dyDescent="0.2">
      <c r="B38" s="949">
        <v>4.4000000000000004</v>
      </c>
      <c r="C38" s="944"/>
      <c r="D38" s="944"/>
      <c r="E38" s="1549"/>
      <c r="F38" s="1550"/>
      <c r="G38" s="1551"/>
      <c r="H38" s="1301"/>
      <c r="I38" s="1308"/>
      <c r="J38" s="940">
        <f t="shared" si="7"/>
        <v>0</v>
      </c>
      <c r="K38" s="883"/>
      <c r="L38" s="883"/>
      <c r="M38" s="595">
        <f t="shared" si="6"/>
        <v>0</v>
      </c>
      <c r="N38" s="1535"/>
      <c r="O38" s="1536"/>
      <c r="P38" s="1537"/>
      <c r="Q38" s="1181"/>
      <c r="R38" s="1182"/>
    </row>
    <row r="39" spans="2:18" ht="12.75" hidden="1" customHeight="1" outlineLevel="1" x14ac:dyDescent="0.2">
      <c r="B39" s="949">
        <v>4.5</v>
      </c>
      <c r="C39" s="944"/>
      <c r="D39" s="944"/>
      <c r="E39" s="1549"/>
      <c r="F39" s="1550"/>
      <c r="G39" s="1551"/>
      <c r="H39" s="1301"/>
      <c r="I39" s="1308"/>
      <c r="J39" s="940">
        <f t="shared" si="7"/>
        <v>0</v>
      </c>
      <c r="K39" s="883"/>
      <c r="L39" s="883"/>
      <c r="M39" s="595">
        <f t="shared" si="6"/>
        <v>0</v>
      </c>
      <c r="N39" s="1535"/>
      <c r="O39" s="1536"/>
      <c r="P39" s="1537"/>
      <c r="Q39" s="1181"/>
      <c r="R39" s="1182"/>
    </row>
    <row r="40" spans="2:18" ht="12.75" hidden="1" customHeight="1" outlineLevel="1" x14ac:dyDescent="0.2">
      <c r="B40" s="949">
        <v>4.5999999999999996</v>
      </c>
      <c r="C40" s="944"/>
      <c r="D40" s="944"/>
      <c r="E40" s="1549"/>
      <c r="F40" s="1550"/>
      <c r="G40" s="1551"/>
      <c r="H40" s="1301"/>
      <c r="I40" s="1308"/>
      <c r="J40" s="940">
        <f t="shared" si="7"/>
        <v>0</v>
      </c>
      <c r="K40" s="883"/>
      <c r="L40" s="883"/>
      <c r="M40" s="595">
        <f t="shared" si="6"/>
        <v>0</v>
      </c>
      <c r="N40" s="1535"/>
      <c r="O40" s="1536"/>
      <c r="P40" s="1537"/>
      <c r="Q40" s="1181"/>
      <c r="R40" s="1182"/>
    </row>
    <row r="41" spans="2:18" ht="12.75" hidden="1" customHeight="1" outlineLevel="1" x14ac:dyDescent="0.2">
      <c r="B41" s="949">
        <v>4.7</v>
      </c>
      <c r="C41" s="944"/>
      <c r="D41" s="944"/>
      <c r="E41" s="1549"/>
      <c r="F41" s="1550"/>
      <c r="G41" s="1551"/>
      <c r="H41" s="1301"/>
      <c r="I41" s="1308"/>
      <c r="J41" s="940">
        <f t="shared" si="7"/>
        <v>0</v>
      </c>
      <c r="K41" s="883"/>
      <c r="L41" s="883"/>
      <c r="M41" s="595">
        <f t="shared" si="6"/>
        <v>0</v>
      </c>
      <c r="N41" s="1535"/>
      <c r="O41" s="1536"/>
      <c r="P41" s="1537"/>
      <c r="Q41" s="1181"/>
      <c r="R41" s="1182"/>
    </row>
    <row r="42" spans="2:18" ht="13.5" hidden="1" customHeight="1" outlineLevel="1" thickBot="1" x14ac:dyDescent="0.25">
      <c r="B42" s="949">
        <v>4.8</v>
      </c>
      <c r="C42" s="945"/>
      <c r="D42" s="945"/>
      <c r="E42" s="1552"/>
      <c r="F42" s="1553"/>
      <c r="G42" s="1554"/>
      <c r="H42" s="1302"/>
      <c r="I42" s="1308"/>
      <c r="J42" s="940">
        <f t="shared" si="7"/>
        <v>0</v>
      </c>
      <c r="K42" s="942"/>
      <c r="L42" s="942"/>
      <c r="M42" s="599">
        <f t="shared" si="6"/>
        <v>0</v>
      </c>
      <c r="N42" s="1538"/>
      <c r="O42" s="1539"/>
      <c r="P42" s="1540"/>
      <c r="Q42" s="1183"/>
      <c r="R42" s="1184"/>
    </row>
    <row r="43" spans="2:18" ht="13.5" hidden="1" customHeight="1" outlineLevel="1" thickBot="1" x14ac:dyDescent="0.25">
      <c r="B43" s="948">
        <v>5</v>
      </c>
      <c r="C43" s="1568" t="s">
        <v>550</v>
      </c>
      <c r="D43" s="1569"/>
      <c r="E43" s="1556"/>
      <c r="F43" s="1557"/>
      <c r="G43" s="1558"/>
      <c r="H43" s="1299">
        <f>SUM(H44:H51)</f>
        <v>0</v>
      </c>
      <c r="I43" s="1289"/>
      <c r="J43" s="946">
        <f>SUM(J44:J51)</f>
        <v>0</v>
      </c>
      <c r="K43" s="946">
        <f>SUM(K44:K51)</f>
        <v>0</v>
      </c>
      <c r="L43" s="946">
        <f>SUM(L44:L51)</f>
        <v>0</v>
      </c>
      <c r="M43" s="947">
        <f>SUM(M44:M51)</f>
        <v>0</v>
      </c>
      <c r="N43" s="1532"/>
      <c r="O43" s="1533"/>
      <c r="P43" s="1534"/>
      <c r="Q43" s="941"/>
      <c r="R43" s="881"/>
    </row>
    <row r="44" spans="2:18" ht="12.75" hidden="1" customHeight="1" outlineLevel="1" x14ac:dyDescent="0.2">
      <c r="B44" s="949">
        <v>5.0999999999999996</v>
      </c>
      <c r="C44" s="944"/>
      <c r="D44" s="944"/>
      <c r="E44" s="1559"/>
      <c r="F44" s="1560"/>
      <c r="G44" s="1561"/>
      <c r="H44" s="1300"/>
      <c r="I44" s="1308"/>
      <c r="J44" s="940">
        <f>H44*I44</f>
        <v>0</v>
      </c>
      <c r="K44" s="939"/>
      <c r="L44" s="939"/>
      <c r="M44" s="940">
        <f t="shared" ref="M44:M51" si="8">SUM(J44:L44)</f>
        <v>0</v>
      </c>
      <c r="N44" s="1535"/>
      <c r="O44" s="1536"/>
      <c r="P44" s="1537"/>
      <c r="Q44" s="1179"/>
      <c r="R44" s="1180"/>
    </row>
    <row r="45" spans="2:18" ht="12.75" hidden="1" customHeight="1" outlineLevel="1" x14ac:dyDescent="0.2">
      <c r="B45" s="949">
        <v>5.2</v>
      </c>
      <c r="C45" s="944"/>
      <c r="D45" s="944"/>
      <c r="E45" s="1549"/>
      <c r="F45" s="1550"/>
      <c r="G45" s="1551"/>
      <c r="H45" s="1301"/>
      <c r="I45" s="1308"/>
      <c r="J45" s="940">
        <f t="shared" ref="J45:J51" si="9">H45*I45</f>
        <v>0</v>
      </c>
      <c r="K45" s="883"/>
      <c r="L45" s="883"/>
      <c r="M45" s="595">
        <f t="shared" si="8"/>
        <v>0</v>
      </c>
      <c r="N45" s="1535"/>
      <c r="O45" s="1536"/>
      <c r="P45" s="1537"/>
      <c r="Q45" s="1181"/>
      <c r="R45" s="1182"/>
    </row>
    <row r="46" spans="2:18" ht="12.75" hidden="1" customHeight="1" outlineLevel="1" x14ac:dyDescent="0.2">
      <c r="B46" s="949">
        <v>5.3</v>
      </c>
      <c r="C46" s="944"/>
      <c r="D46" s="944"/>
      <c r="E46" s="1549"/>
      <c r="F46" s="1550"/>
      <c r="G46" s="1551"/>
      <c r="H46" s="1301"/>
      <c r="I46" s="1308"/>
      <c r="J46" s="940">
        <f t="shared" si="9"/>
        <v>0</v>
      </c>
      <c r="K46" s="883"/>
      <c r="L46" s="883"/>
      <c r="M46" s="595">
        <f t="shared" si="8"/>
        <v>0</v>
      </c>
      <c r="N46" s="1535"/>
      <c r="O46" s="1536"/>
      <c r="P46" s="1537"/>
      <c r="Q46" s="1181"/>
      <c r="R46" s="1182"/>
    </row>
    <row r="47" spans="2:18" ht="12.75" hidden="1" customHeight="1" outlineLevel="1" x14ac:dyDescent="0.2">
      <c r="B47" s="949">
        <v>5.4</v>
      </c>
      <c r="C47" s="944"/>
      <c r="D47" s="944"/>
      <c r="E47" s="1549"/>
      <c r="F47" s="1550"/>
      <c r="G47" s="1551"/>
      <c r="H47" s="1301"/>
      <c r="I47" s="1308"/>
      <c r="J47" s="940">
        <f t="shared" si="9"/>
        <v>0</v>
      </c>
      <c r="K47" s="883"/>
      <c r="L47" s="883"/>
      <c r="M47" s="595">
        <f t="shared" si="8"/>
        <v>0</v>
      </c>
      <c r="N47" s="1535"/>
      <c r="O47" s="1536"/>
      <c r="P47" s="1537"/>
      <c r="Q47" s="1181"/>
      <c r="R47" s="1182"/>
    </row>
    <row r="48" spans="2:18" ht="12.75" hidden="1" customHeight="1" outlineLevel="1" x14ac:dyDescent="0.2">
      <c r="B48" s="949">
        <v>5.5</v>
      </c>
      <c r="C48" s="944"/>
      <c r="D48" s="944"/>
      <c r="E48" s="1549"/>
      <c r="F48" s="1550"/>
      <c r="G48" s="1551"/>
      <c r="H48" s="1301"/>
      <c r="I48" s="1308"/>
      <c r="J48" s="940">
        <f t="shared" si="9"/>
        <v>0</v>
      </c>
      <c r="K48" s="883"/>
      <c r="L48" s="883"/>
      <c r="M48" s="595">
        <f t="shared" si="8"/>
        <v>0</v>
      </c>
      <c r="N48" s="1535"/>
      <c r="O48" s="1536"/>
      <c r="P48" s="1537"/>
      <c r="Q48" s="1181"/>
      <c r="R48" s="1182"/>
    </row>
    <row r="49" spans="2:19" ht="12.75" hidden="1" customHeight="1" outlineLevel="1" x14ac:dyDescent="0.2">
      <c r="B49" s="949">
        <v>5.6</v>
      </c>
      <c r="C49" s="944"/>
      <c r="D49" s="944"/>
      <c r="E49" s="1549"/>
      <c r="F49" s="1550"/>
      <c r="G49" s="1551"/>
      <c r="H49" s="1301"/>
      <c r="I49" s="1308"/>
      <c r="J49" s="940">
        <f t="shared" si="9"/>
        <v>0</v>
      </c>
      <c r="K49" s="883"/>
      <c r="L49" s="883"/>
      <c r="M49" s="595">
        <f t="shared" si="8"/>
        <v>0</v>
      </c>
      <c r="N49" s="1535"/>
      <c r="O49" s="1536"/>
      <c r="P49" s="1537"/>
      <c r="Q49" s="1181"/>
      <c r="R49" s="1182"/>
    </row>
    <row r="50" spans="2:19" ht="12.75" hidden="1" customHeight="1" outlineLevel="1" x14ac:dyDescent="0.2">
      <c r="B50" s="949">
        <v>5.7</v>
      </c>
      <c r="C50" s="944"/>
      <c r="D50" s="944"/>
      <c r="E50" s="1549"/>
      <c r="F50" s="1550"/>
      <c r="G50" s="1551"/>
      <c r="H50" s="1301"/>
      <c r="I50" s="1308"/>
      <c r="J50" s="940">
        <f t="shared" si="9"/>
        <v>0</v>
      </c>
      <c r="K50" s="883"/>
      <c r="L50" s="883"/>
      <c r="M50" s="595">
        <f t="shared" si="8"/>
        <v>0</v>
      </c>
      <c r="N50" s="1535"/>
      <c r="O50" s="1536"/>
      <c r="P50" s="1537"/>
      <c r="Q50" s="1181"/>
      <c r="R50" s="1182"/>
    </row>
    <row r="51" spans="2:19" ht="13.5" hidden="1" customHeight="1" outlineLevel="1" thickBot="1" x14ac:dyDescent="0.25">
      <c r="B51" s="949">
        <v>5.8</v>
      </c>
      <c r="C51" s="945"/>
      <c r="D51" s="945"/>
      <c r="E51" s="1552"/>
      <c r="F51" s="1553"/>
      <c r="G51" s="1554"/>
      <c r="H51" s="1302"/>
      <c r="I51" s="1308"/>
      <c r="J51" s="940">
        <f t="shared" si="9"/>
        <v>0</v>
      </c>
      <c r="K51" s="942"/>
      <c r="L51" s="942"/>
      <c r="M51" s="599">
        <f t="shared" si="8"/>
        <v>0</v>
      </c>
      <c r="N51" s="1538"/>
      <c r="O51" s="1539"/>
      <c r="P51" s="1540"/>
      <c r="Q51" s="1183"/>
      <c r="R51" s="1184"/>
    </row>
    <row r="52" spans="2:19" ht="13.5" hidden="1" customHeight="1" outlineLevel="1" thickBot="1" x14ac:dyDescent="0.25">
      <c r="B52" s="948">
        <v>6</v>
      </c>
      <c r="C52" s="1568" t="s">
        <v>551</v>
      </c>
      <c r="D52" s="1569"/>
      <c r="E52" s="1556"/>
      <c r="F52" s="1557"/>
      <c r="G52" s="1558"/>
      <c r="H52" s="1299">
        <f>SUM(H53:H60)</f>
        <v>0</v>
      </c>
      <c r="I52" s="1289"/>
      <c r="J52" s="946">
        <f>SUM(J53:J60)</f>
        <v>0</v>
      </c>
      <c r="K52" s="946">
        <f>SUM(K53:K60)</f>
        <v>0</v>
      </c>
      <c r="L52" s="946">
        <f>SUM(L53:L60)</f>
        <v>0</v>
      </c>
      <c r="M52" s="947">
        <f>SUM(M53:M60)</f>
        <v>0</v>
      </c>
      <c r="N52" s="1532"/>
      <c r="O52" s="1533"/>
      <c r="P52" s="1534"/>
      <c r="Q52" s="941"/>
      <c r="R52" s="881"/>
    </row>
    <row r="53" spans="2:19" ht="12.75" hidden="1" customHeight="1" outlineLevel="1" x14ac:dyDescent="0.2">
      <c r="B53" s="949">
        <v>6.1</v>
      </c>
      <c r="C53" s="944"/>
      <c r="D53" s="944"/>
      <c r="E53" s="1559"/>
      <c r="F53" s="1560"/>
      <c r="G53" s="1561"/>
      <c r="H53" s="1300"/>
      <c r="I53" s="1308"/>
      <c r="J53" s="940">
        <f>H53*I53</f>
        <v>0</v>
      </c>
      <c r="K53" s="939"/>
      <c r="L53" s="939"/>
      <c r="M53" s="940">
        <f t="shared" ref="M53:M60" si="10">SUM(J53:L53)</f>
        <v>0</v>
      </c>
      <c r="N53" s="1535"/>
      <c r="O53" s="1536"/>
      <c r="P53" s="1537"/>
      <c r="Q53" s="1179"/>
      <c r="R53" s="1180"/>
    </row>
    <row r="54" spans="2:19" ht="12.75" hidden="1" customHeight="1" outlineLevel="1" x14ac:dyDescent="0.2">
      <c r="B54" s="949">
        <v>6.2</v>
      </c>
      <c r="C54" s="944"/>
      <c r="D54" s="944"/>
      <c r="E54" s="1549"/>
      <c r="F54" s="1550"/>
      <c r="G54" s="1551"/>
      <c r="H54" s="1301"/>
      <c r="I54" s="1308"/>
      <c r="J54" s="940">
        <f t="shared" ref="J54:J60" si="11">H54*I54</f>
        <v>0</v>
      </c>
      <c r="K54" s="883"/>
      <c r="L54" s="883"/>
      <c r="M54" s="595">
        <f t="shared" si="10"/>
        <v>0</v>
      </c>
      <c r="N54" s="1535"/>
      <c r="O54" s="1536"/>
      <c r="P54" s="1537"/>
      <c r="Q54" s="1181"/>
      <c r="R54" s="1182"/>
    </row>
    <row r="55" spans="2:19" ht="12.75" hidden="1" customHeight="1" outlineLevel="1" x14ac:dyDescent="0.2">
      <c r="B55" s="949">
        <v>6.3</v>
      </c>
      <c r="C55" s="944"/>
      <c r="D55" s="944"/>
      <c r="E55" s="1549"/>
      <c r="F55" s="1550"/>
      <c r="G55" s="1551"/>
      <c r="H55" s="1301"/>
      <c r="I55" s="1308"/>
      <c r="J55" s="940">
        <f t="shared" si="11"/>
        <v>0</v>
      </c>
      <c r="K55" s="883"/>
      <c r="L55" s="883"/>
      <c r="M55" s="595">
        <f t="shared" si="10"/>
        <v>0</v>
      </c>
      <c r="N55" s="1535"/>
      <c r="O55" s="1536"/>
      <c r="P55" s="1537"/>
      <c r="Q55" s="1181"/>
      <c r="R55" s="1182"/>
    </row>
    <row r="56" spans="2:19" ht="12.75" hidden="1" customHeight="1" outlineLevel="1" x14ac:dyDescent="0.2">
      <c r="B56" s="949">
        <v>6.4</v>
      </c>
      <c r="C56" s="944"/>
      <c r="D56" s="944"/>
      <c r="E56" s="1549"/>
      <c r="F56" s="1550"/>
      <c r="G56" s="1551"/>
      <c r="H56" s="1301"/>
      <c r="I56" s="1308"/>
      <c r="J56" s="940">
        <f t="shared" si="11"/>
        <v>0</v>
      </c>
      <c r="K56" s="883"/>
      <c r="L56" s="883"/>
      <c r="M56" s="595">
        <f t="shared" si="10"/>
        <v>0</v>
      </c>
      <c r="N56" s="1535"/>
      <c r="O56" s="1536"/>
      <c r="P56" s="1537"/>
      <c r="Q56" s="1181"/>
      <c r="R56" s="1182"/>
    </row>
    <row r="57" spans="2:19" ht="12.75" hidden="1" customHeight="1" outlineLevel="1" x14ac:dyDescent="0.2">
      <c r="B57" s="949">
        <v>6.5</v>
      </c>
      <c r="C57" s="944"/>
      <c r="D57" s="944"/>
      <c r="E57" s="1549"/>
      <c r="F57" s="1550"/>
      <c r="G57" s="1551"/>
      <c r="H57" s="1301"/>
      <c r="I57" s="1308"/>
      <c r="J57" s="940">
        <f t="shared" si="11"/>
        <v>0</v>
      </c>
      <c r="K57" s="883"/>
      <c r="L57" s="883"/>
      <c r="M57" s="595">
        <f t="shared" si="10"/>
        <v>0</v>
      </c>
      <c r="N57" s="1535"/>
      <c r="O57" s="1536"/>
      <c r="P57" s="1537"/>
      <c r="Q57" s="1181"/>
      <c r="R57" s="1182"/>
    </row>
    <row r="58" spans="2:19" ht="12.75" hidden="1" customHeight="1" outlineLevel="1" x14ac:dyDescent="0.2">
      <c r="B58" s="949">
        <v>6.6</v>
      </c>
      <c r="C58" s="944"/>
      <c r="D58" s="944"/>
      <c r="E58" s="1549"/>
      <c r="F58" s="1550"/>
      <c r="G58" s="1551"/>
      <c r="H58" s="1301"/>
      <c r="I58" s="1308"/>
      <c r="J58" s="940">
        <f t="shared" si="11"/>
        <v>0</v>
      </c>
      <c r="K58" s="883"/>
      <c r="L58" s="883"/>
      <c r="M58" s="595">
        <f t="shared" si="10"/>
        <v>0</v>
      </c>
      <c r="N58" s="1535"/>
      <c r="O58" s="1536"/>
      <c r="P58" s="1537"/>
      <c r="Q58" s="1181"/>
      <c r="R58" s="1182"/>
    </row>
    <row r="59" spans="2:19" ht="12.75" hidden="1" customHeight="1" outlineLevel="1" x14ac:dyDescent="0.2">
      <c r="B59" s="949">
        <v>6.7</v>
      </c>
      <c r="C59" s="944"/>
      <c r="D59" s="944"/>
      <c r="E59" s="1549"/>
      <c r="F59" s="1550"/>
      <c r="G59" s="1551"/>
      <c r="H59" s="1301"/>
      <c r="I59" s="1308"/>
      <c r="J59" s="940">
        <f t="shared" si="11"/>
        <v>0</v>
      </c>
      <c r="K59" s="883"/>
      <c r="L59" s="883"/>
      <c r="M59" s="595">
        <f t="shared" si="10"/>
        <v>0</v>
      </c>
      <c r="N59" s="1535"/>
      <c r="O59" s="1536"/>
      <c r="P59" s="1537"/>
      <c r="Q59" s="1181"/>
      <c r="R59" s="1182"/>
    </row>
    <row r="60" spans="2:19" ht="13.5" hidden="1" customHeight="1" outlineLevel="1" thickBot="1" x14ac:dyDescent="0.25">
      <c r="B60" s="949">
        <v>6.8</v>
      </c>
      <c r="C60" s="945"/>
      <c r="D60" s="945"/>
      <c r="E60" s="1552"/>
      <c r="F60" s="1553"/>
      <c r="G60" s="1554"/>
      <c r="H60" s="1302"/>
      <c r="I60" s="1308"/>
      <c r="J60" s="940">
        <f t="shared" si="11"/>
        <v>0</v>
      </c>
      <c r="K60" s="942"/>
      <c r="L60" s="942"/>
      <c r="M60" s="599">
        <f t="shared" si="10"/>
        <v>0</v>
      </c>
      <c r="N60" s="1538"/>
      <c r="O60" s="1539"/>
      <c r="P60" s="1540"/>
      <c r="Q60" s="1183"/>
      <c r="R60" s="1184"/>
    </row>
    <row r="61" spans="2:19" ht="13.5" collapsed="1" thickBot="1" x14ac:dyDescent="0.25">
      <c r="B61" s="612" t="s">
        <v>718</v>
      </c>
      <c r="C61" s="613"/>
      <c r="D61" s="613"/>
      <c r="E61" s="613"/>
      <c r="F61" s="613"/>
      <c r="G61" s="613"/>
      <c r="H61" s="1303">
        <f>SUM(H7,H16,H25,H34,H43,H52)</f>
        <v>0</v>
      </c>
      <c r="M61" s="951">
        <f>SUM(M7,M16,M25,M34,M43,M52)</f>
        <v>0</v>
      </c>
      <c r="N61" s="1310" t="s">
        <v>553</v>
      </c>
      <c r="Q61" s="943"/>
      <c r="R61" s="943"/>
    </row>
    <row r="62" spans="2:19" x14ac:dyDescent="0.2">
      <c r="B62" s="613" t="s">
        <v>719</v>
      </c>
      <c r="C62" s="613"/>
      <c r="D62" s="613"/>
      <c r="E62" s="613"/>
      <c r="F62" s="613"/>
      <c r="G62" s="613"/>
    </row>
    <row r="63" spans="2:19" ht="15" x14ac:dyDescent="0.2">
      <c r="D63" s="497"/>
      <c r="E63" s="497"/>
      <c r="J63" s="134" t="s">
        <v>721</v>
      </c>
    </row>
    <row r="64" spans="2:19" ht="12.75" customHeight="1" x14ac:dyDescent="0.2">
      <c r="C64" s="589" t="s">
        <v>42</v>
      </c>
      <c r="D64" s="525" t="s">
        <v>724</v>
      </c>
      <c r="E64" s="834"/>
      <c r="F64" s="834"/>
      <c r="G64" s="834"/>
      <c r="Q64" s="834"/>
      <c r="R64" s="834"/>
      <c r="S64" s="834"/>
    </row>
    <row r="65" spans="3:19" ht="12.75" customHeight="1" x14ac:dyDescent="0.2">
      <c r="J65" s="611" t="s">
        <v>82</v>
      </c>
      <c r="K65" s="611" t="s">
        <v>82</v>
      </c>
      <c r="L65" s="611" t="s">
        <v>82</v>
      </c>
      <c r="M65" s="1525" t="s">
        <v>770</v>
      </c>
      <c r="N65" s="611"/>
      <c r="O65" s="1525" t="s">
        <v>720</v>
      </c>
      <c r="P65" s="611" t="s">
        <v>82</v>
      </c>
    </row>
    <row r="66" spans="3:19" ht="12.75" customHeight="1" x14ac:dyDescent="0.2">
      <c r="C66" s="589" t="s">
        <v>13</v>
      </c>
      <c r="D66" s="1441" t="s">
        <v>556</v>
      </c>
      <c r="E66" s="1441"/>
      <c r="F66" s="1441"/>
      <c r="G66" s="1441"/>
      <c r="H66" s="1544" t="s">
        <v>716</v>
      </c>
      <c r="I66" s="1545"/>
      <c r="J66" s="1541" t="s">
        <v>297</v>
      </c>
      <c r="K66" s="1527" t="s">
        <v>455</v>
      </c>
      <c r="L66" s="1529" t="s">
        <v>715</v>
      </c>
      <c r="M66" s="1531"/>
      <c r="N66" s="1529" t="s">
        <v>450</v>
      </c>
      <c r="O66" s="1531"/>
      <c r="P66" s="1527" t="s">
        <v>456</v>
      </c>
      <c r="Q66" s="837"/>
      <c r="R66" s="837"/>
      <c r="S66" s="837"/>
    </row>
    <row r="67" spans="3:19" ht="13.5" thickBot="1" x14ac:dyDescent="0.25">
      <c r="D67" s="1441"/>
      <c r="E67" s="1441"/>
      <c r="F67" s="1441"/>
      <c r="G67" s="1441"/>
      <c r="H67" s="1546"/>
      <c r="I67" s="1547"/>
      <c r="J67" s="1527"/>
      <c r="K67" s="1528"/>
      <c r="L67" s="1530"/>
      <c r="M67" s="1526"/>
      <c r="N67" s="1530"/>
      <c r="O67" s="1526"/>
      <c r="P67" s="1528"/>
    </row>
    <row r="68" spans="3:19" ht="13.5" thickBot="1" x14ac:dyDescent="0.25">
      <c r="D68" s="1441"/>
      <c r="E68" s="1441"/>
      <c r="F68" s="1441"/>
      <c r="G68" s="1441"/>
      <c r="H68" s="1548">
        <f>E7</f>
        <v>0</v>
      </c>
      <c r="I68" s="1543"/>
      <c r="J68" s="1293"/>
      <c r="K68" s="1295" t="s">
        <v>717</v>
      </c>
      <c r="L68" s="1296">
        <f>SUM(L69:L76)</f>
        <v>0</v>
      </c>
      <c r="M68" s="1293"/>
      <c r="N68" s="1294">
        <f>SUM(N69:N76)</f>
        <v>0</v>
      </c>
      <c r="O68" s="1296">
        <f>SUM(O69:O76)</f>
        <v>0</v>
      </c>
      <c r="P68" s="1307">
        <f>N68-O68</f>
        <v>0</v>
      </c>
    </row>
    <row r="69" spans="3:19" ht="14.25" customHeight="1" x14ac:dyDescent="0.2">
      <c r="D69" s="1441"/>
      <c r="E69" s="1441"/>
      <c r="F69" s="1441"/>
      <c r="G69" s="1441"/>
      <c r="H69" s="1309"/>
      <c r="I69" s="35" t="s">
        <v>722</v>
      </c>
      <c r="J69" s="581"/>
      <c r="K69" s="581"/>
      <c r="L69" s="1297">
        <f>SUMPRODUCT((C$8:C$15=J69)*(D$8:D$15=K69)*H$8:H$15)</f>
        <v>0</v>
      </c>
      <c r="M69" s="1292"/>
      <c r="N69" s="1291">
        <f>SUMPRODUCT((C$8:C$15=J69)*(D$8:D$15=K69)*M$8:M$15)</f>
        <v>0</v>
      </c>
      <c r="O69" s="1292"/>
      <c r="P69" s="1306">
        <f>N69-O69</f>
        <v>0</v>
      </c>
    </row>
    <row r="70" spans="3:19" x14ac:dyDescent="0.2">
      <c r="D70" s="952"/>
      <c r="E70" s="952"/>
      <c r="F70" s="952"/>
      <c r="G70" s="952"/>
      <c r="H70" s="1309"/>
      <c r="I70" s="35" t="s">
        <v>722</v>
      </c>
      <c r="J70" s="582"/>
      <c r="K70" s="582"/>
      <c r="L70" s="1298">
        <f t="shared" ref="L70:L76" si="12">SUMPRODUCT((C$8:C$15=J70)*(D$8:D$15=K70)*H$8:H$15)</f>
        <v>0</v>
      </c>
      <c r="M70" s="588"/>
      <c r="N70" s="1290">
        <f t="shared" ref="N70:N76" si="13">SUMPRODUCT((C$8:C$15=J70)*(D$8:D$15=K70)*M$8:M$15)</f>
        <v>0</v>
      </c>
      <c r="O70" s="588"/>
      <c r="P70" s="1306">
        <f t="shared" ref="P70:P76" si="14">N70-O70</f>
        <v>0</v>
      </c>
    </row>
    <row r="71" spans="3:19" ht="12.75" customHeight="1" x14ac:dyDescent="0.2">
      <c r="C71" s="589" t="s">
        <v>44</v>
      </c>
      <c r="D71" s="1441" t="s">
        <v>769</v>
      </c>
      <c r="E71" s="1441"/>
      <c r="F71" s="1441"/>
      <c r="G71" s="1441"/>
      <c r="H71" s="1309"/>
      <c r="I71" s="35" t="s">
        <v>722</v>
      </c>
      <c r="J71" s="582"/>
      <c r="K71" s="582"/>
      <c r="L71" s="1298">
        <f t="shared" si="12"/>
        <v>0</v>
      </c>
      <c r="M71" s="588"/>
      <c r="N71" s="1290">
        <f t="shared" si="13"/>
        <v>0</v>
      </c>
      <c r="O71" s="588"/>
      <c r="P71" s="1306">
        <f t="shared" si="14"/>
        <v>0</v>
      </c>
    </row>
    <row r="72" spans="3:19" x14ac:dyDescent="0.2">
      <c r="D72" s="1441"/>
      <c r="E72" s="1441"/>
      <c r="F72" s="1441"/>
      <c r="G72" s="1441"/>
      <c r="H72" s="1309"/>
      <c r="I72" s="35" t="s">
        <v>722</v>
      </c>
      <c r="J72" s="582"/>
      <c r="K72" s="582"/>
      <c r="L72" s="1298">
        <f t="shared" si="12"/>
        <v>0</v>
      </c>
      <c r="M72" s="588"/>
      <c r="N72" s="1290">
        <f t="shared" si="13"/>
        <v>0</v>
      </c>
      <c r="O72" s="588"/>
      <c r="P72" s="1306">
        <f t="shared" si="14"/>
        <v>0</v>
      </c>
    </row>
    <row r="73" spans="3:19" ht="12.75" customHeight="1" x14ac:dyDescent="0.2">
      <c r="C73" s="610"/>
      <c r="D73" s="1441"/>
      <c r="E73" s="1441"/>
      <c r="F73" s="1441"/>
      <c r="G73" s="1441"/>
      <c r="H73" s="1309"/>
      <c r="I73" s="35" t="s">
        <v>722</v>
      </c>
      <c r="J73" s="582"/>
      <c r="K73" s="582"/>
      <c r="L73" s="1298">
        <f t="shared" si="12"/>
        <v>0</v>
      </c>
      <c r="M73" s="588"/>
      <c r="N73" s="1290">
        <f t="shared" si="13"/>
        <v>0</v>
      </c>
      <c r="O73" s="588"/>
      <c r="P73" s="1306">
        <f t="shared" si="14"/>
        <v>0</v>
      </c>
    </row>
    <row r="74" spans="3:19" ht="12.75" customHeight="1" x14ac:dyDescent="0.2">
      <c r="C74" s="610"/>
      <c r="D74" s="1441"/>
      <c r="E74" s="1441"/>
      <c r="F74" s="1441"/>
      <c r="G74" s="1441"/>
      <c r="H74" s="1309"/>
      <c r="I74" s="35" t="s">
        <v>722</v>
      </c>
      <c r="J74" s="582"/>
      <c r="K74" s="582"/>
      <c r="L74" s="1298">
        <f t="shared" si="12"/>
        <v>0</v>
      </c>
      <c r="M74" s="588"/>
      <c r="N74" s="1290">
        <f t="shared" si="13"/>
        <v>0</v>
      </c>
      <c r="O74" s="588"/>
      <c r="P74" s="1306">
        <f t="shared" si="14"/>
        <v>0</v>
      </c>
    </row>
    <row r="75" spans="3:19" ht="12.75" customHeight="1" x14ac:dyDescent="0.2">
      <c r="C75" s="610"/>
      <c r="D75" s="1441"/>
      <c r="E75" s="1441"/>
      <c r="F75" s="1441"/>
      <c r="G75" s="1441"/>
      <c r="H75" s="1309"/>
      <c r="I75" s="35" t="s">
        <v>722</v>
      </c>
      <c r="J75" s="582"/>
      <c r="K75" s="582"/>
      <c r="L75" s="1298">
        <f t="shared" si="12"/>
        <v>0</v>
      </c>
      <c r="M75" s="588"/>
      <c r="N75" s="1290">
        <f t="shared" si="13"/>
        <v>0</v>
      </c>
      <c r="O75" s="588"/>
      <c r="P75" s="1306">
        <f t="shared" si="14"/>
        <v>0</v>
      </c>
    </row>
    <row r="76" spans="3:19" ht="12.75" customHeight="1" thickBot="1" x14ac:dyDescent="0.25">
      <c r="C76" s="610"/>
      <c r="D76" s="1441"/>
      <c r="E76" s="1441"/>
      <c r="F76" s="1441"/>
      <c r="G76" s="1441"/>
      <c r="H76" s="1309"/>
      <c r="I76" s="35" t="s">
        <v>722</v>
      </c>
      <c r="J76" s="582"/>
      <c r="K76" s="582"/>
      <c r="L76" s="1298">
        <f t="shared" si="12"/>
        <v>0</v>
      </c>
      <c r="M76" s="588"/>
      <c r="N76" s="1290">
        <f t="shared" si="13"/>
        <v>0</v>
      </c>
      <c r="O76" s="588"/>
      <c r="P76" s="1306">
        <f t="shared" si="14"/>
        <v>0</v>
      </c>
    </row>
    <row r="77" spans="3:19" ht="12.75" customHeight="1" thickBot="1" x14ac:dyDescent="0.25">
      <c r="C77" s="610"/>
      <c r="D77" s="1441"/>
      <c r="E77" s="1441"/>
      <c r="F77" s="1441"/>
      <c r="G77" s="1441"/>
      <c r="H77" s="1542">
        <f>E16</f>
        <v>0</v>
      </c>
      <c r="I77" s="1543"/>
      <c r="J77" s="1293"/>
      <c r="K77" s="1295" t="s">
        <v>717</v>
      </c>
      <c r="L77" s="1296">
        <f>SUM(L78:L85)</f>
        <v>0</v>
      </c>
      <c r="M77" s="1293"/>
      <c r="N77" s="1294">
        <f>SUM(N78:N85)</f>
        <v>0</v>
      </c>
      <c r="O77" s="1296">
        <f>SUM(O78:O85)</f>
        <v>0</v>
      </c>
      <c r="P77" s="1307">
        <f>N77-O77</f>
        <v>0</v>
      </c>
    </row>
    <row r="78" spans="3:19" ht="12.75" customHeight="1" x14ac:dyDescent="0.2">
      <c r="C78" s="610"/>
      <c r="D78" s="1441"/>
      <c r="E78" s="1441"/>
      <c r="F78" s="1441"/>
      <c r="G78" s="1441"/>
      <c r="H78" s="1309"/>
      <c r="I78" s="35" t="s">
        <v>722</v>
      </c>
      <c r="J78" s="582"/>
      <c r="K78" s="582"/>
      <c r="L78" s="1297">
        <f>SUMPRODUCT((C$17:C$24=J78)*(D$17:D$24=K78)*H$17:H$24)</f>
        <v>0</v>
      </c>
      <c r="M78" s="588"/>
      <c r="N78" s="1290">
        <f t="shared" ref="N78:N85" si="15">SUMPRODUCT((C$17:C$24=J78)*(D$17:D$24=K78)*M$17:M$24)</f>
        <v>0</v>
      </c>
      <c r="O78" s="588"/>
      <c r="P78" s="1306">
        <f>N78-O78</f>
        <v>0</v>
      </c>
    </row>
    <row r="79" spans="3:19" ht="12.75" customHeight="1" x14ac:dyDescent="0.2">
      <c r="C79" s="610"/>
      <c r="D79" s="1441"/>
      <c r="E79" s="1441"/>
      <c r="F79" s="1441"/>
      <c r="G79" s="1441"/>
      <c r="H79" s="1309"/>
      <c r="I79" s="35" t="s">
        <v>722</v>
      </c>
      <c r="J79" s="582"/>
      <c r="K79" s="582"/>
      <c r="L79" s="1298">
        <f t="shared" ref="L79:L85" si="16">SUMPRODUCT((C$17:C$24=J79)*(D$17:D$24=K79)*H$17:H$24)</f>
        <v>0</v>
      </c>
      <c r="M79" s="588"/>
      <c r="N79" s="1290">
        <f t="shared" si="15"/>
        <v>0</v>
      </c>
      <c r="O79" s="588"/>
      <c r="P79" s="1306">
        <f t="shared" ref="P79:P85" si="17">N79-O79</f>
        <v>0</v>
      </c>
    </row>
    <row r="80" spans="3:19" ht="12.75" customHeight="1" x14ac:dyDescent="0.2">
      <c r="C80" s="610"/>
      <c r="D80" s="1441"/>
      <c r="E80" s="1441"/>
      <c r="F80" s="1441"/>
      <c r="G80" s="1441"/>
      <c r="H80" s="1309"/>
      <c r="I80" s="35" t="s">
        <v>722</v>
      </c>
      <c r="J80" s="582"/>
      <c r="K80" s="582"/>
      <c r="L80" s="1298">
        <f t="shared" si="16"/>
        <v>0</v>
      </c>
      <c r="M80" s="588"/>
      <c r="N80" s="1290">
        <f>SUMPRODUCT((C$17:C$24=J80)*(D$17:D$24=K80)*M$17:M$24)</f>
        <v>0</v>
      </c>
      <c r="O80" s="588"/>
      <c r="P80" s="1306">
        <f t="shared" si="17"/>
        <v>0</v>
      </c>
    </row>
    <row r="81" spans="3:17" ht="12.75" customHeight="1" x14ac:dyDescent="0.2">
      <c r="C81" s="610"/>
      <c r="D81" s="1441"/>
      <c r="E81" s="1441"/>
      <c r="F81" s="1441"/>
      <c r="G81" s="1441"/>
      <c r="H81" s="1309"/>
      <c r="I81" s="35" t="s">
        <v>722</v>
      </c>
      <c r="J81" s="582"/>
      <c r="K81" s="582"/>
      <c r="L81" s="1298">
        <f t="shared" si="16"/>
        <v>0</v>
      </c>
      <c r="M81" s="588"/>
      <c r="N81" s="1290">
        <f t="shared" si="15"/>
        <v>0</v>
      </c>
      <c r="O81" s="588"/>
      <c r="P81" s="1306">
        <f t="shared" si="17"/>
        <v>0</v>
      </c>
    </row>
    <row r="82" spans="3:17" ht="12.75" customHeight="1" x14ac:dyDescent="0.2">
      <c r="C82" s="610"/>
      <c r="D82" s="1441"/>
      <c r="E82" s="1441"/>
      <c r="F82" s="1441"/>
      <c r="G82" s="1441"/>
      <c r="H82" s="1309"/>
      <c r="I82" s="35" t="s">
        <v>722</v>
      </c>
      <c r="J82" s="582"/>
      <c r="K82" s="582"/>
      <c r="L82" s="1298">
        <f t="shared" si="16"/>
        <v>0</v>
      </c>
      <c r="M82" s="588"/>
      <c r="N82" s="1290">
        <f t="shared" si="15"/>
        <v>0</v>
      </c>
      <c r="O82" s="588"/>
      <c r="P82" s="1306">
        <f t="shared" si="17"/>
        <v>0</v>
      </c>
    </row>
    <row r="83" spans="3:17" ht="12.75" customHeight="1" x14ac:dyDescent="0.2">
      <c r="C83" s="610"/>
      <c r="D83" s="1441"/>
      <c r="E83" s="1441"/>
      <c r="F83" s="1441"/>
      <c r="G83" s="1441"/>
      <c r="H83" s="1309"/>
      <c r="I83" s="35" t="s">
        <v>722</v>
      </c>
      <c r="J83" s="582"/>
      <c r="K83" s="582"/>
      <c r="L83" s="1298">
        <f t="shared" si="16"/>
        <v>0</v>
      </c>
      <c r="M83" s="588"/>
      <c r="N83" s="1290">
        <f t="shared" si="15"/>
        <v>0</v>
      </c>
      <c r="O83" s="588"/>
      <c r="P83" s="1306">
        <f t="shared" si="17"/>
        <v>0</v>
      </c>
    </row>
    <row r="84" spans="3:17" x14ac:dyDescent="0.2">
      <c r="D84" s="1441"/>
      <c r="E84" s="1441"/>
      <c r="F84" s="1441"/>
      <c r="G84" s="1441"/>
      <c r="H84" s="1309"/>
      <c r="I84" s="35" t="s">
        <v>722</v>
      </c>
      <c r="J84" s="582"/>
      <c r="K84" s="582"/>
      <c r="L84" s="1298">
        <f t="shared" si="16"/>
        <v>0</v>
      </c>
      <c r="M84" s="588"/>
      <c r="N84" s="1290">
        <f t="shared" si="15"/>
        <v>0</v>
      </c>
      <c r="O84" s="588"/>
      <c r="P84" s="1306">
        <f t="shared" si="17"/>
        <v>0</v>
      </c>
    </row>
    <row r="85" spans="3:17" x14ac:dyDescent="0.2">
      <c r="D85" s="1441"/>
      <c r="E85" s="1441"/>
      <c r="F85" s="1441"/>
      <c r="G85" s="1441"/>
      <c r="H85" s="1309"/>
      <c r="I85" s="35" t="s">
        <v>722</v>
      </c>
      <c r="J85" s="582"/>
      <c r="K85" s="582"/>
      <c r="L85" s="1298">
        <f t="shared" si="16"/>
        <v>0</v>
      </c>
      <c r="M85" s="588"/>
      <c r="N85" s="1290">
        <f t="shared" si="15"/>
        <v>0</v>
      </c>
      <c r="O85" s="588"/>
      <c r="P85" s="1306">
        <f t="shared" si="17"/>
        <v>0</v>
      </c>
    </row>
    <row r="86" spans="3:17" ht="12.75" customHeight="1" x14ac:dyDescent="0.2">
      <c r="D86" s="1441"/>
      <c r="E86" s="1441"/>
      <c r="F86" s="1441"/>
      <c r="G86" s="1441"/>
      <c r="H86" s="1544" t="s">
        <v>716</v>
      </c>
      <c r="I86" s="1545"/>
      <c r="J86" s="1541" t="s">
        <v>297</v>
      </c>
      <c r="K86" s="1527" t="s">
        <v>455</v>
      </c>
      <c r="L86" s="1529" t="s">
        <v>715</v>
      </c>
      <c r="M86" s="1525" t="s">
        <v>725</v>
      </c>
      <c r="N86" s="1529" t="s">
        <v>450</v>
      </c>
      <c r="O86" s="1525" t="s">
        <v>725</v>
      </c>
      <c r="P86" s="1527" t="s">
        <v>456</v>
      </c>
    </row>
    <row r="87" spans="3:17" ht="13.5" thickBot="1" x14ac:dyDescent="0.25">
      <c r="D87" s="1441"/>
      <c r="E87" s="1441"/>
      <c r="F87" s="1441"/>
      <c r="G87" s="1441"/>
      <c r="H87" s="1546"/>
      <c r="I87" s="1547"/>
      <c r="J87" s="1527"/>
      <c r="K87" s="1528"/>
      <c r="L87" s="1530"/>
      <c r="M87" s="1526"/>
      <c r="N87" s="1530"/>
      <c r="O87" s="1526"/>
      <c r="P87" s="1528"/>
    </row>
    <row r="88" spans="3:17" ht="12.75" customHeight="1" thickBot="1" x14ac:dyDescent="0.25">
      <c r="D88" s="1441"/>
      <c r="E88" s="1441"/>
      <c r="F88" s="1441"/>
      <c r="G88" s="1441"/>
      <c r="H88" s="1542">
        <f>E25</f>
        <v>0</v>
      </c>
      <c r="I88" s="1543"/>
      <c r="J88" s="1293"/>
      <c r="K88" s="1295" t="s">
        <v>717</v>
      </c>
      <c r="L88" s="1296">
        <f>SUM(L89:L96)</f>
        <v>0</v>
      </c>
      <c r="M88" s="1293"/>
      <c r="N88" s="1294">
        <f>SUM(N89:N96)</f>
        <v>0</v>
      </c>
      <c r="O88" s="1296">
        <f>SUM(O89:O96)</f>
        <v>0</v>
      </c>
      <c r="P88" s="1307">
        <f>N88-O88</f>
        <v>0</v>
      </c>
    </row>
    <row r="89" spans="3:17" x14ac:dyDescent="0.2">
      <c r="D89" s="1441"/>
      <c r="E89" s="1441"/>
      <c r="F89" s="1441"/>
      <c r="G89" s="1441"/>
      <c r="H89" s="1309"/>
      <c r="I89" s="35" t="s">
        <v>722</v>
      </c>
      <c r="J89" s="582"/>
      <c r="K89" s="582"/>
      <c r="L89" s="1297">
        <f>SUMPRODUCT((C$26:C$33=J89)*(D$26:D$33=K89)*H$26:H$33)</f>
        <v>0</v>
      </c>
      <c r="M89" s="588"/>
      <c r="N89" s="1290">
        <f t="shared" ref="N89:N90" si="18">SUMPRODUCT((C$26:C$33=J89)*(D$26:D$33=K89)*M$26:M$33)</f>
        <v>0</v>
      </c>
      <c r="O89" s="588"/>
      <c r="P89" s="1306">
        <f>N89-O89</f>
        <v>0</v>
      </c>
    </row>
    <row r="90" spans="3:17" x14ac:dyDescent="0.2">
      <c r="D90" s="1441"/>
      <c r="E90" s="1441"/>
      <c r="F90" s="1441"/>
      <c r="G90" s="1441"/>
      <c r="H90" s="1309"/>
      <c r="I90" s="35" t="s">
        <v>722</v>
      </c>
      <c r="J90" s="582"/>
      <c r="K90" s="582"/>
      <c r="L90" s="1298">
        <f t="shared" ref="L90:L96" si="19">SUMPRODUCT((C$26:C$33=J90)*(D$26:D$33=K90)*H$26:H$33)</f>
        <v>0</v>
      </c>
      <c r="M90" s="588"/>
      <c r="N90" s="1290">
        <f t="shared" si="18"/>
        <v>0</v>
      </c>
      <c r="O90" s="588"/>
      <c r="P90" s="1306">
        <f t="shared" ref="P90:P96" si="20">N90-O90</f>
        <v>0</v>
      </c>
    </row>
    <row r="91" spans="3:17" x14ac:dyDescent="0.2">
      <c r="D91" s="1441"/>
      <c r="E91" s="1441"/>
      <c r="F91" s="1441"/>
      <c r="G91" s="1441"/>
      <c r="H91" s="1309"/>
      <c r="I91" s="35" t="s">
        <v>722</v>
      </c>
      <c r="J91" s="582"/>
      <c r="K91" s="582"/>
      <c r="L91" s="1298">
        <f t="shared" si="19"/>
        <v>0</v>
      </c>
      <c r="M91" s="588"/>
      <c r="N91" s="1290">
        <f>SUMPRODUCT((C$26:C$33=J91)*(D$26:D$33=K91)*M$26:M$33)</f>
        <v>0</v>
      </c>
      <c r="O91" s="588"/>
      <c r="P91" s="1306">
        <f t="shared" si="20"/>
        <v>0</v>
      </c>
    </row>
    <row r="92" spans="3:17" x14ac:dyDescent="0.2">
      <c r="D92" s="1441"/>
      <c r="E92" s="1441"/>
      <c r="F92" s="1441"/>
      <c r="G92" s="1441"/>
      <c r="H92" s="1309"/>
      <c r="I92" s="35" t="s">
        <v>722</v>
      </c>
      <c r="J92" s="582"/>
      <c r="K92" s="582"/>
      <c r="L92" s="1298">
        <f t="shared" si="19"/>
        <v>0</v>
      </c>
      <c r="M92" s="588"/>
      <c r="N92" s="1290">
        <f t="shared" ref="N92:N96" si="21">SUMPRODUCT((C$26:C$33=J92)*(D$26:D$33=K92)*M$26:M$33)</f>
        <v>0</v>
      </c>
      <c r="O92" s="588"/>
      <c r="P92" s="1306">
        <f t="shared" si="20"/>
        <v>0</v>
      </c>
    </row>
    <row r="93" spans="3:17" x14ac:dyDescent="0.2">
      <c r="D93" s="1441"/>
      <c r="E93" s="1441"/>
      <c r="F93" s="1441"/>
      <c r="G93" s="1441"/>
      <c r="H93" s="1309"/>
      <c r="I93" s="35" t="s">
        <v>722</v>
      </c>
      <c r="J93" s="582"/>
      <c r="K93" s="582"/>
      <c r="L93" s="1298">
        <f t="shared" si="19"/>
        <v>0</v>
      </c>
      <c r="M93" s="588"/>
      <c r="N93" s="1290">
        <f t="shared" si="21"/>
        <v>0</v>
      </c>
      <c r="O93" s="588"/>
      <c r="P93" s="1306">
        <f t="shared" si="20"/>
        <v>0</v>
      </c>
    </row>
    <row r="94" spans="3:17" x14ac:dyDescent="0.2">
      <c r="D94" s="1441"/>
      <c r="E94" s="1441"/>
      <c r="F94" s="1441"/>
      <c r="G94" s="1441"/>
      <c r="H94" s="1309"/>
      <c r="I94" s="35" t="s">
        <v>722</v>
      </c>
      <c r="J94" s="582"/>
      <c r="K94" s="582"/>
      <c r="L94" s="1298">
        <f t="shared" si="19"/>
        <v>0</v>
      </c>
      <c r="M94" s="588"/>
      <c r="N94" s="1290">
        <f t="shared" si="21"/>
        <v>0</v>
      </c>
      <c r="O94" s="588"/>
      <c r="P94" s="1306">
        <f t="shared" si="20"/>
        <v>0</v>
      </c>
    </row>
    <row r="95" spans="3:17" x14ac:dyDescent="0.2">
      <c r="D95" s="1441"/>
      <c r="E95" s="1441"/>
      <c r="F95" s="1441"/>
      <c r="G95" s="1441"/>
      <c r="H95" s="1309"/>
      <c r="I95" s="35" t="s">
        <v>722</v>
      </c>
      <c r="J95" s="582"/>
      <c r="K95" s="582"/>
      <c r="L95" s="1298">
        <f t="shared" si="19"/>
        <v>0</v>
      </c>
      <c r="M95" s="588"/>
      <c r="N95" s="1290">
        <f t="shared" si="21"/>
        <v>0</v>
      </c>
      <c r="O95" s="588"/>
      <c r="P95" s="1306">
        <f t="shared" si="20"/>
        <v>0</v>
      </c>
    </row>
    <row r="96" spans="3:17" ht="13.5" thickBot="1" x14ac:dyDescent="0.25">
      <c r="D96" s="1441"/>
      <c r="E96" s="1441"/>
      <c r="F96" s="1441"/>
      <c r="G96" s="1441"/>
      <c r="H96" s="1309"/>
      <c r="I96" s="35" t="s">
        <v>722</v>
      </c>
      <c r="J96" s="582"/>
      <c r="K96" s="582"/>
      <c r="L96" s="1298">
        <f t="shared" si="19"/>
        <v>0</v>
      </c>
      <c r="M96" s="588"/>
      <c r="N96" s="1290">
        <f t="shared" si="21"/>
        <v>0</v>
      </c>
      <c r="O96" s="588"/>
      <c r="P96" s="1306">
        <f t="shared" si="20"/>
        <v>0</v>
      </c>
      <c r="Q96" s="40"/>
    </row>
    <row r="97" spans="2:16" ht="13.5" thickBot="1" x14ac:dyDescent="0.25">
      <c r="D97" s="1441"/>
      <c r="E97" s="1441"/>
      <c r="F97" s="1441"/>
      <c r="G97" s="1441"/>
      <c r="H97" s="1542">
        <f>E34</f>
        <v>0</v>
      </c>
      <c r="I97" s="1543"/>
      <c r="J97" s="1293"/>
      <c r="K97" s="1295" t="s">
        <v>717</v>
      </c>
      <c r="L97" s="1296">
        <f>SUM(L98:L105)</f>
        <v>0</v>
      </c>
      <c r="M97" s="1293"/>
      <c r="N97" s="1294">
        <f>SUM(N98:N105)</f>
        <v>0</v>
      </c>
      <c r="O97" s="1296">
        <f>SUM(O98:O105)</f>
        <v>0</v>
      </c>
      <c r="P97" s="1307">
        <f>N97-O97</f>
        <v>0</v>
      </c>
    </row>
    <row r="98" spans="2:16" x14ac:dyDescent="0.2">
      <c r="D98" s="1441"/>
      <c r="E98" s="1441"/>
      <c r="F98" s="1441"/>
      <c r="G98" s="1441"/>
      <c r="H98" s="1309"/>
      <c r="I98" s="35" t="s">
        <v>722</v>
      </c>
      <c r="J98" s="582"/>
      <c r="K98" s="582"/>
      <c r="L98" s="1297">
        <f>SUMPRODUCT((C$35:C$42=J98)*(D$35:D$42=K98)*H$35:H$42)</f>
        <v>0</v>
      </c>
      <c r="M98" s="588"/>
      <c r="N98" s="1290">
        <f>SUMPRODUCT((C$35:C$42=J98)*(D$35:D$42=K98)*M$35:M$42)</f>
        <v>0</v>
      </c>
      <c r="O98" s="588"/>
      <c r="P98" s="1306">
        <f>N98-O98</f>
        <v>0</v>
      </c>
    </row>
    <row r="99" spans="2:16" x14ac:dyDescent="0.2">
      <c r="D99" s="1441"/>
      <c r="E99" s="1441"/>
      <c r="F99" s="1441"/>
      <c r="G99" s="1441"/>
      <c r="H99" s="1309"/>
      <c r="I99" s="35" t="s">
        <v>722</v>
      </c>
      <c r="J99" s="582"/>
      <c r="K99" s="582"/>
      <c r="L99" s="1298">
        <f t="shared" ref="L99:L105" si="22">SUMPRODUCT((C$35:C$42=J99)*(D$35:D$42=K99)*H$35:H$42)</f>
        <v>0</v>
      </c>
      <c r="M99" s="588"/>
      <c r="N99" s="1290">
        <f t="shared" ref="N99:N105" si="23">SUMPRODUCT((C$35:C$42=J99)*(D$35:D$42=K99)*M$35:M$42)</f>
        <v>0</v>
      </c>
      <c r="O99" s="588"/>
      <c r="P99" s="1306">
        <f t="shared" ref="P99:P105" si="24">N99-O99</f>
        <v>0</v>
      </c>
    </row>
    <row r="100" spans="2:16" x14ac:dyDescent="0.2">
      <c r="H100" s="1309"/>
      <c r="I100" s="35" t="s">
        <v>722</v>
      </c>
      <c r="J100" s="582"/>
      <c r="K100" s="582"/>
      <c r="L100" s="1298">
        <f t="shared" si="22"/>
        <v>0</v>
      </c>
      <c r="M100" s="588"/>
      <c r="N100" s="1290">
        <f t="shared" si="23"/>
        <v>0</v>
      </c>
      <c r="O100" s="588"/>
      <c r="P100" s="1306">
        <f t="shared" si="24"/>
        <v>0</v>
      </c>
    </row>
    <row r="101" spans="2:16" x14ac:dyDescent="0.2">
      <c r="H101" s="1309"/>
      <c r="I101" s="35" t="s">
        <v>722</v>
      </c>
      <c r="J101" s="582"/>
      <c r="K101" s="582"/>
      <c r="L101" s="1298">
        <f t="shared" si="22"/>
        <v>0</v>
      </c>
      <c r="M101" s="588"/>
      <c r="N101" s="1290">
        <f t="shared" si="23"/>
        <v>0</v>
      </c>
      <c r="O101" s="588"/>
      <c r="P101" s="1306">
        <f t="shared" si="24"/>
        <v>0</v>
      </c>
    </row>
    <row r="102" spans="2:16" x14ac:dyDescent="0.2">
      <c r="E102" s="611" t="s">
        <v>82</v>
      </c>
      <c r="H102" s="1309"/>
      <c r="I102" s="35" t="s">
        <v>722</v>
      </c>
      <c r="J102" s="582"/>
      <c r="K102" s="582"/>
      <c r="L102" s="1298">
        <f t="shared" si="22"/>
        <v>0</v>
      </c>
      <c r="M102" s="588"/>
      <c r="N102" s="1290">
        <f t="shared" si="23"/>
        <v>0</v>
      </c>
      <c r="O102" s="588"/>
      <c r="P102" s="1306">
        <f t="shared" si="24"/>
        <v>0</v>
      </c>
    </row>
    <row r="103" spans="2:16" x14ac:dyDescent="0.2">
      <c r="E103" s="1239" t="s">
        <v>569</v>
      </c>
      <c r="F103" s="835"/>
      <c r="H103" s="1309"/>
      <c r="I103" s="35" t="s">
        <v>722</v>
      </c>
      <c r="J103" s="582"/>
      <c r="K103" s="582"/>
      <c r="L103" s="1298">
        <f t="shared" si="22"/>
        <v>0</v>
      </c>
      <c r="M103" s="588"/>
      <c r="N103" s="1290">
        <f t="shared" si="23"/>
        <v>0</v>
      </c>
      <c r="O103" s="588"/>
      <c r="P103" s="1306">
        <f t="shared" si="24"/>
        <v>0</v>
      </c>
    </row>
    <row r="104" spans="2:16" x14ac:dyDescent="0.2">
      <c r="E104" s="620" t="s">
        <v>454</v>
      </c>
      <c r="F104" s="620" t="s">
        <v>461</v>
      </c>
      <c r="H104" s="1309"/>
      <c r="I104" s="35" t="s">
        <v>722</v>
      </c>
      <c r="J104" s="582"/>
      <c r="K104" s="582"/>
      <c r="L104" s="1298">
        <f t="shared" si="22"/>
        <v>0</v>
      </c>
      <c r="M104" s="588"/>
      <c r="N104" s="1290">
        <f t="shared" si="23"/>
        <v>0</v>
      </c>
      <c r="O104" s="588"/>
      <c r="P104" s="1306">
        <f t="shared" si="24"/>
        <v>0</v>
      </c>
    </row>
    <row r="105" spans="2:16" x14ac:dyDescent="0.2">
      <c r="E105" s="1171" t="s">
        <v>570</v>
      </c>
      <c r="F105" s="586" t="str">
        <f>Period1_Label</f>
        <v>Proposer FY 1</v>
      </c>
      <c r="H105" s="1309"/>
      <c r="I105" s="35" t="s">
        <v>722</v>
      </c>
      <c r="J105" s="582"/>
      <c r="K105" s="582"/>
      <c r="L105" s="1298">
        <f t="shared" si="22"/>
        <v>0</v>
      </c>
      <c r="M105" s="588"/>
      <c r="N105" s="1290">
        <f t="shared" si="23"/>
        <v>0</v>
      </c>
      <c r="O105" s="588"/>
      <c r="P105" s="1306">
        <f t="shared" si="24"/>
        <v>0</v>
      </c>
    </row>
    <row r="106" spans="2:16" x14ac:dyDescent="0.2">
      <c r="E106" s="1171" t="s">
        <v>571</v>
      </c>
      <c r="F106" s="586" t="str">
        <f>Period2_Label</f>
        <v>Proposer FY 2</v>
      </c>
      <c r="H106" s="1544" t="s">
        <v>716</v>
      </c>
      <c r="I106" s="1545"/>
      <c r="J106" s="1541" t="s">
        <v>297</v>
      </c>
      <c r="K106" s="1527" t="s">
        <v>455</v>
      </c>
      <c r="L106" s="1529" t="s">
        <v>715</v>
      </c>
      <c r="M106" s="1525" t="s">
        <v>725</v>
      </c>
      <c r="N106" s="1529" t="s">
        <v>450</v>
      </c>
      <c r="O106" s="1525" t="s">
        <v>725</v>
      </c>
      <c r="P106" s="1527" t="s">
        <v>456</v>
      </c>
    </row>
    <row r="107" spans="2:16" ht="13.5" thickBot="1" x14ac:dyDescent="0.25">
      <c r="E107" s="1171" t="s">
        <v>572</v>
      </c>
      <c r="F107" s="586" t="str">
        <f>Period3_Label</f>
        <v>Proposer FY 3</v>
      </c>
      <c r="H107" s="1546"/>
      <c r="I107" s="1547"/>
      <c r="J107" s="1527"/>
      <c r="K107" s="1528"/>
      <c r="L107" s="1530"/>
      <c r="M107" s="1526"/>
      <c r="N107" s="1530"/>
      <c r="O107" s="1526"/>
      <c r="P107" s="1528"/>
    </row>
    <row r="108" spans="2:16" ht="13.5" thickBot="1" x14ac:dyDescent="0.25">
      <c r="E108" s="1171" t="s">
        <v>573</v>
      </c>
      <c r="F108" s="586" t="str">
        <f>Period4_Label</f>
        <v>Proposer FY 4</v>
      </c>
      <c r="H108" s="1542">
        <f>E43</f>
        <v>0</v>
      </c>
      <c r="I108" s="1543"/>
      <c r="J108" s="1293"/>
      <c r="K108" s="1295" t="s">
        <v>717</v>
      </c>
      <c r="L108" s="1296">
        <f>SUM(L109:L116)</f>
        <v>0</v>
      </c>
      <c r="M108" s="1293"/>
      <c r="N108" s="1294">
        <f>SUM(N109:N116)</f>
        <v>0</v>
      </c>
      <c r="O108" s="1296">
        <f>SUM(O109:O116)</f>
        <v>0</v>
      </c>
      <c r="P108" s="1307">
        <f>N108-O108</f>
        <v>0</v>
      </c>
    </row>
    <row r="109" spans="2:16" x14ac:dyDescent="0.2">
      <c r="E109" s="1171" t="s">
        <v>574</v>
      </c>
      <c r="F109" s="586" t="str">
        <f>Period5_Label</f>
        <v>Proposer FY 5</v>
      </c>
      <c r="H109" s="1309"/>
      <c r="I109" s="35" t="s">
        <v>722</v>
      </c>
      <c r="J109" s="582"/>
      <c r="K109" s="582"/>
      <c r="L109" s="1297">
        <f>SUMPRODUCT((C$44:C$51=J109)*(D$44:D$51=K109)*H$44:H$51)</f>
        <v>0</v>
      </c>
      <c r="M109" s="588"/>
      <c r="N109" s="1290">
        <f>SUMPRODUCT((C$44:C$51=J109)*(D$44:D$51=K109)*M$44:M$51)</f>
        <v>0</v>
      </c>
      <c r="O109" s="588"/>
      <c r="P109" s="1306">
        <f>N109-O109</f>
        <v>0</v>
      </c>
    </row>
    <row r="110" spans="2:16" x14ac:dyDescent="0.2">
      <c r="E110" s="1171" t="s">
        <v>575</v>
      </c>
      <c r="F110" s="586" t="str">
        <f>Period6_Label</f>
        <v>Proposer FY 6</v>
      </c>
      <c r="H110" s="1309"/>
      <c r="I110" s="35" t="s">
        <v>722</v>
      </c>
      <c r="J110" s="582"/>
      <c r="K110" s="582"/>
      <c r="L110" s="1298">
        <f t="shared" ref="L110:L116" si="25">SUMPRODUCT((C$44:C$51=J110)*(D$44:D$51=K110)*H$44:H$51)</f>
        <v>0</v>
      </c>
      <c r="M110" s="588"/>
      <c r="N110" s="1290">
        <f t="shared" ref="N110:N116" si="26">SUMPRODUCT((C$44:C$51=J110)*(D$44:D$51=K110)*M$44:M$51)</f>
        <v>0</v>
      </c>
      <c r="O110" s="588"/>
      <c r="P110" s="1306">
        <f t="shared" ref="P110:P116" si="27">N110-O110</f>
        <v>0</v>
      </c>
    </row>
    <row r="111" spans="2:16" ht="13.5" thickBot="1" x14ac:dyDescent="0.25">
      <c r="H111" s="1309"/>
      <c r="I111" s="35" t="s">
        <v>722</v>
      </c>
      <c r="J111" s="582"/>
      <c r="K111" s="582"/>
      <c r="L111" s="1298">
        <f t="shared" si="25"/>
        <v>0</v>
      </c>
      <c r="M111" s="588"/>
      <c r="N111" s="1290">
        <f t="shared" si="26"/>
        <v>0</v>
      </c>
      <c r="O111" s="588"/>
      <c r="P111" s="1306">
        <f t="shared" si="27"/>
        <v>0</v>
      </c>
    </row>
    <row r="112" spans="2:16" ht="16.5" thickBot="1" x14ac:dyDescent="0.3">
      <c r="B112"/>
      <c r="C112" s="1520" t="s">
        <v>511</v>
      </c>
      <c r="D112" s="1570"/>
      <c r="E112" s="1521"/>
      <c r="F112"/>
      <c r="H112" s="1309"/>
      <c r="I112" s="35" t="s">
        <v>722</v>
      </c>
      <c r="J112" s="582"/>
      <c r="K112" s="582"/>
      <c r="L112" s="1298">
        <f t="shared" si="25"/>
        <v>0</v>
      </c>
      <c r="M112" s="588"/>
      <c r="N112" s="1290">
        <f t="shared" si="26"/>
        <v>0</v>
      </c>
      <c r="O112" s="588"/>
      <c r="P112" s="1306">
        <f t="shared" si="27"/>
        <v>0</v>
      </c>
    </row>
    <row r="113" spans="2:16" ht="15.75" x14ac:dyDescent="0.2">
      <c r="B113" s="872" t="s">
        <v>512</v>
      </c>
      <c r="C113" s="1571" t="s">
        <v>530</v>
      </c>
      <c r="D113" s="1572"/>
      <c r="E113" s="1572"/>
      <c r="F113" s="1572"/>
      <c r="H113" s="1309"/>
      <c r="I113" s="35" t="s">
        <v>722</v>
      </c>
      <c r="J113" s="582"/>
      <c r="K113" s="582"/>
      <c r="L113" s="1298">
        <f t="shared" si="25"/>
        <v>0</v>
      </c>
      <c r="M113" s="588"/>
      <c r="N113" s="1290">
        <f t="shared" si="26"/>
        <v>0</v>
      </c>
      <c r="O113" s="588"/>
      <c r="P113" s="1306">
        <f t="shared" si="27"/>
        <v>0</v>
      </c>
    </row>
    <row r="114" spans="2:16" ht="15.75" x14ac:dyDescent="0.2">
      <c r="B114" s="873"/>
      <c r="C114" s="1494"/>
      <c r="D114" s="1565"/>
      <c r="E114" s="1565"/>
      <c r="F114" s="1495"/>
      <c r="H114" s="1309"/>
      <c r="I114" s="35" t="s">
        <v>722</v>
      </c>
      <c r="J114" s="582"/>
      <c r="K114" s="582"/>
      <c r="L114" s="1298">
        <f t="shared" si="25"/>
        <v>0</v>
      </c>
      <c r="M114" s="588"/>
      <c r="N114" s="1290">
        <f t="shared" si="26"/>
        <v>0</v>
      </c>
      <c r="O114" s="588"/>
      <c r="P114" s="1306">
        <f t="shared" si="27"/>
        <v>0</v>
      </c>
    </row>
    <row r="115" spans="2:16" ht="15.75" x14ac:dyDescent="0.2">
      <c r="B115" s="290"/>
      <c r="C115" s="1494"/>
      <c r="D115" s="1565"/>
      <c r="E115" s="1565"/>
      <c r="F115" s="1495"/>
      <c r="H115" s="1309"/>
      <c r="I115" s="35" t="s">
        <v>722</v>
      </c>
      <c r="J115" s="582"/>
      <c r="K115" s="582"/>
      <c r="L115" s="1298">
        <f t="shared" si="25"/>
        <v>0</v>
      </c>
      <c r="M115" s="588"/>
      <c r="N115" s="1290">
        <f t="shared" si="26"/>
        <v>0</v>
      </c>
      <c r="O115" s="588"/>
      <c r="P115" s="1306">
        <f t="shared" si="27"/>
        <v>0</v>
      </c>
    </row>
    <row r="116" spans="2:16" ht="16.5" thickBot="1" x14ac:dyDescent="0.25">
      <c r="B116" s="290"/>
      <c r="C116" s="1494"/>
      <c r="D116" s="1565"/>
      <c r="E116" s="1565"/>
      <c r="F116" s="1495"/>
      <c r="H116" s="1309"/>
      <c r="I116" s="35" t="s">
        <v>722</v>
      </c>
      <c r="J116" s="582"/>
      <c r="K116" s="582"/>
      <c r="L116" s="1298">
        <f t="shared" si="25"/>
        <v>0</v>
      </c>
      <c r="M116" s="588"/>
      <c r="N116" s="1290">
        <f t="shared" si="26"/>
        <v>0</v>
      </c>
      <c r="O116" s="588"/>
      <c r="P116" s="1306">
        <f t="shared" si="27"/>
        <v>0</v>
      </c>
    </row>
    <row r="117" spans="2:16" ht="16.5" thickBot="1" x14ac:dyDescent="0.25">
      <c r="B117" s="290"/>
      <c r="C117" s="1494"/>
      <c r="D117" s="1565"/>
      <c r="E117" s="1565"/>
      <c r="F117" s="1495"/>
      <c r="H117" s="1542">
        <f>E52</f>
        <v>0</v>
      </c>
      <c r="I117" s="1543"/>
      <c r="J117" s="1293"/>
      <c r="K117" s="1295" t="s">
        <v>717</v>
      </c>
      <c r="L117" s="1296">
        <f>SUM(L118:L125)</f>
        <v>0</v>
      </c>
      <c r="M117" s="1293"/>
      <c r="N117" s="1294">
        <f>SUM(N118:N125)</f>
        <v>0</v>
      </c>
      <c r="O117" s="1296">
        <f>SUM(O118:O125)</f>
        <v>0</v>
      </c>
      <c r="P117" s="1307">
        <f>N117-O117</f>
        <v>0</v>
      </c>
    </row>
    <row r="118" spans="2:16" ht="15.75" x14ac:dyDescent="0.2">
      <c r="B118" s="290"/>
      <c r="C118" s="1494"/>
      <c r="D118" s="1565"/>
      <c r="E118" s="1565"/>
      <c r="F118" s="1495"/>
      <c r="H118" s="1309"/>
      <c r="I118" s="35" t="s">
        <v>722</v>
      </c>
      <c r="J118" s="582"/>
      <c r="K118" s="582"/>
      <c r="L118" s="1297">
        <f>SUMPRODUCT((C$53:C$60=J118)*(D$53:D$60=K118)*H$53:H$60)</f>
        <v>0</v>
      </c>
      <c r="M118" s="588"/>
      <c r="N118" s="1290">
        <f>SUMPRODUCT((C$53:C$60=J118)*(D$53:D$60=K118)*M$53:M$60)</f>
        <v>0</v>
      </c>
      <c r="O118" s="588"/>
      <c r="P118" s="1306">
        <f>N118-O118</f>
        <v>0</v>
      </c>
    </row>
    <row r="119" spans="2:16" ht="15.75" x14ac:dyDescent="0.2">
      <c r="B119" s="290"/>
      <c r="C119" s="1494"/>
      <c r="D119" s="1565"/>
      <c r="E119" s="1565"/>
      <c r="F119" s="1495"/>
      <c r="H119" s="1309"/>
      <c r="I119" s="35" t="s">
        <v>722</v>
      </c>
      <c r="J119" s="582"/>
      <c r="K119" s="582"/>
      <c r="L119" s="1298">
        <f t="shared" ref="L119:L125" si="28">SUMPRODUCT((C$53:C$60=J119)*(D$53:D$60=K119)*H$53:H$60)</f>
        <v>0</v>
      </c>
      <c r="M119" s="588"/>
      <c r="N119" s="1290">
        <f t="shared" ref="N119:N125" si="29">SUMPRODUCT((C$53:C$60=J119)*(D$53:D$60=K119)*M$53:M$60)</f>
        <v>0</v>
      </c>
      <c r="O119" s="588"/>
      <c r="P119" s="1306">
        <f t="shared" ref="P119:P125" si="30">N119-O119</f>
        <v>0</v>
      </c>
    </row>
    <row r="120" spans="2:16" ht="15.75" x14ac:dyDescent="0.2">
      <c r="B120" s="290"/>
      <c r="C120" s="1494"/>
      <c r="D120" s="1565"/>
      <c r="E120" s="1565"/>
      <c r="F120" s="1495"/>
      <c r="H120" s="1309"/>
      <c r="I120" s="35" t="s">
        <v>722</v>
      </c>
      <c r="J120" s="582"/>
      <c r="K120" s="582"/>
      <c r="L120" s="1298">
        <f t="shared" si="28"/>
        <v>0</v>
      </c>
      <c r="M120" s="588"/>
      <c r="N120" s="1290">
        <f t="shared" si="29"/>
        <v>0</v>
      </c>
      <c r="O120" s="588"/>
      <c r="P120" s="1306">
        <f t="shared" si="30"/>
        <v>0</v>
      </c>
    </row>
    <row r="121" spans="2:16" ht="15.75" x14ac:dyDescent="0.2">
      <c r="B121" s="290"/>
      <c r="C121" s="1494"/>
      <c r="D121" s="1565"/>
      <c r="E121" s="1565"/>
      <c r="F121" s="1495"/>
      <c r="H121" s="1309"/>
      <c r="I121" s="35" t="s">
        <v>722</v>
      </c>
      <c r="J121" s="582"/>
      <c r="K121" s="582"/>
      <c r="L121" s="1298">
        <f t="shared" si="28"/>
        <v>0</v>
      </c>
      <c r="M121" s="588"/>
      <c r="N121" s="1290">
        <f t="shared" si="29"/>
        <v>0</v>
      </c>
      <c r="O121" s="588"/>
      <c r="P121" s="1306">
        <f t="shared" si="30"/>
        <v>0</v>
      </c>
    </row>
    <row r="122" spans="2:16" ht="15.75" x14ac:dyDescent="0.2">
      <c r="B122" s="290"/>
      <c r="C122" s="1494"/>
      <c r="D122" s="1565"/>
      <c r="E122" s="1565"/>
      <c r="F122" s="1495"/>
      <c r="H122" s="1309"/>
      <c r="I122" s="35" t="s">
        <v>722</v>
      </c>
      <c r="J122" s="582"/>
      <c r="K122" s="582"/>
      <c r="L122" s="1298">
        <f t="shared" si="28"/>
        <v>0</v>
      </c>
      <c r="M122" s="588"/>
      <c r="N122" s="1290">
        <f t="shared" si="29"/>
        <v>0</v>
      </c>
      <c r="O122" s="588"/>
      <c r="P122" s="1306">
        <f t="shared" si="30"/>
        <v>0</v>
      </c>
    </row>
    <row r="123" spans="2:16" ht="15.75" x14ac:dyDescent="0.2">
      <c r="B123" s="290"/>
      <c r="C123" s="1494"/>
      <c r="D123" s="1565"/>
      <c r="E123" s="1565"/>
      <c r="F123" s="1495"/>
      <c r="H123" s="1309"/>
      <c r="I123" s="35" t="s">
        <v>722</v>
      </c>
      <c r="J123" s="582"/>
      <c r="K123" s="582"/>
      <c r="L123" s="1298">
        <f t="shared" si="28"/>
        <v>0</v>
      </c>
      <c r="M123" s="588"/>
      <c r="N123" s="1290">
        <f t="shared" si="29"/>
        <v>0</v>
      </c>
      <c r="O123" s="588"/>
      <c r="P123" s="1306">
        <f t="shared" si="30"/>
        <v>0</v>
      </c>
    </row>
    <row r="124" spans="2:16" ht="15.75" x14ac:dyDescent="0.2">
      <c r="B124" s="290"/>
      <c r="C124" s="1494"/>
      <c r="D124" s="1565"/>
      <c r="E124" s="1565"/>
      <c r="F124" s="1495"/>
      <c r="H124" s="1309"/>
      <c r="I124" s="35" t="s">
        <v>722</v>
      </c>
      <c r="J124" s="582"/>
      <c r="K124" s="582"/>
      <c r="L124" s="1298">
        <f t="shared" si="28"/>
        <v>0</v>
      </c>
      <c r="M124" s="588"/>
      <c r="N124" s="1290">
        <f t="shared" si="29"/>
        <v>0</v>
      </c>
      <c r="O124" s="588"/>
      <c r="P124" s="1306">
        <f t="shared" si="30"/>
        <v>0</v>
      </c>
    </row>
    <row r="125" spans="2:16" ht="16.5" thickBot="1" x14ac:dyDescent="0.25">
      <c r="B125" s="290"/>
      <c r="C125" s="1494"/>
      <c r="D125" s="1565"/>
      <c r="E125" s="1565"/>
      <c r="F125" s="1495"/>
      <c r="H125" s="1309"/>
      <c r="I125" s="35" t="s">
        <v>722</v>
      </c>
      <c r="J125" s="582"/>
      <c r="K125" s="582"/>
      <c r="L125" s="1298">
        <f t="shared" si="28"/>
        <v>0</v>
      </c>
      <c r="M125" s="588"/>
      <c r="N125" s="1290">
        <f t="shared" si="29"/>
        <v>0</v>
      </c>
      <c r="O125" s="588"/>
      <c r="P125" s="1306">
        <f t="shared" si="30"/>
        <v>0</v>
      </c>
    </row>
    <row r="126" spans="2:16" ht="16.5" thickBot="1" x14ac:dyDescent="0.25">
      <c r="B126" s="290"/>
      <c r="C126" s="1494"/>
      <c r="D126" s="1565"/>
      <c r="E126" s="1565"/>
      <c r="F126" s="1495"/>
      <c r="K126" s="589" t="s">
        <v>469</v>
      </c>
      <c r="L126" s="1304">
        <f>SUM(L68,L77,L88,L97,L108,L117)</f>
        <v>0</v>
      </c>
      <c r="M126" s="623" t="s">
        <v>473</v>
      </c>
      <c r="N126" s="1305">
        <f>SUM(N68,N77,N88,N97,N108,N117)</f>
        <v>0</v>
      </c>
      <c r="P126" s="954" t="s">
        <v>450</v>
      </c>
    </row>
    <row r="127" spans="2:16" x14ac:dyDescent="0.2">
      <c r="B127"/>
      <c r="C127"/>
      <c r="D127"/>
      <c r="E127"/>
      <c r="F127"/>
    </row>
    <row r="128" spans="2:16" x14ac:dyDescent="0.2">
      <c r="L128" s="40"/>
      <c r="M128" s="40"/>
      <c r="N128" s="40"/>
      <c r="O128" s="40"/>
    </row>
    <row r="129" spans="2:15" x14ac:dyDescent="0.2">
      <c r="J129" s="904"/>
      <c r="K129" s="904"/>
      <c r="L129" s="904"/>
      <c r="M129" s="904"/>
      <c r="N129" s="904"/>
      <c r="O129" s="904"/>
    </row>
    <row r="130" spans="2:15" customFormat="1" x14ac:dyDescent="0.2">
      <c r="B130" s="35"/>
      <c r="C130" s="35"/>
      <c r="D130" s="35"/>
      <c r="E130" s="35"/>
      <c r="F130" s="35"/>
    </row>
    <row r="131" spans="2:15" customFormat="1" x14ac:dyDescent="0.2">
      <c r="B131" s="35"/>
      <c r="C131" s="35"/>
      <c r="D131" s="35"/>
      <c r="E131" s="35"/>
      <c r="F131" s="35"/>
    </row>
    <row r="132" spans="2:15" customFormat="1" x14ac:dyDescent="0.2">
      <c r="B132" s="35"/>
      <c r="C132" s="35"/>
      <c r="D132" s="35"/>
      <c r="E132" s="35"/>
      <c r="F132" s="35"/>
    </row>
    <row r="133" spans="2:15" customFormat="1" x14ac:dyDescent="0.2">
      <c r="B133" s="35"/>
      <c r="C133" s="35"/>
      <c r="D133" s="35"/>
      <c r="E133" s="35"/>
      <c r="F133" s="35"/>
    </row>
    <row r="134" spans="2:15" customFormat="1" x14ac:dyDescent="0.2">
      <c r="B134" s="35"/>
      <c r="C134" s="35"/>
      <c r="D134" s="35"/>
      <c r="E134" s="35"/>
      <c r="F134" s="35"/>
    </row>
    <row r="135" spans="2:15" customFormat="1" x14ac:dyDescent="0.2">
      <c r="B135" s="35"/>
      <c r="C135" s="35"/>
      <c r="D135" s="35"/>
      <c r="E135" s="35"/>
      <c r="F135" s="35"/>
    </row>
    <row r="136" spans="2:15" customFormat="1" x14ac:dyDescent="0.2">
      <c r="B136" s="35"/>
      <c r="C136" s="35"/>
      <c r="D136" s="35"/>
      <c r="E136" s="35"/>
      <c r="F136" s="35"/>
    </row>
    <row r="137" spans="2:15" customFormat="1" x14ac:dyDescent="0.2">
      <c r="B137" s="35"/>
      <c r="C137" s="35"/>
      <c r="D137" s="35"/>
      <c r="E137" s="35"/>
      <c r="F137" s="35"/>
    </row>
    <row r="138" spans="2:15" customFormat="1" ht="15.75" customHeight="1" x14ac:dyDescent="0.2">
      <c r="B138" s="35"/>
      <c r="C138" s="35"/>
      <c r="D138" s="35"/>
      <c r="E138" s="35"/>
      <c r="F138" s="35"/>
    </row>
    <row r="139" spans="2:15" customFormat="1" ht="15.75" customHeight="1" x14ac:dyDescent="0.2">
      <c r="B139" s="35"/>
      <c r="C139" s="35"/>
      <c r="D139" s="35"/>
      <c r="E139" s="35"/>
      <c r="F139" s="35"/>
    </row>
    <row r="140" spans="2:15" customFormat="1" x14ac:dyDescent="0.2">
      <c r="B140" s="35"/>
      <c r="C140" s="35"/>
      <c r="D140" s="35"/>
      <c r="E140" s="35"/>
      <c r="F140" s="35"/>
    </row>
    <row r="141" spans="2:15" customFormat="1" x14ac:dyDescent="0.2">
      <c r="B141" s="35"/>
      <c r="C141" s="35"/>
      <c r="D141" s="35"/>
      <c r="E141" s="35"/>
      <c r="F141" s="35"/>
    </row>
    <row r="142" spans="2:15" customFormat="1" x14ac:dyDescent="0.2">
      <c r="B142" s="35"/>
      <c r="C142" s="35"/>
      <c r="D142" s="35"/>
      <c r="E142" s="35"/>
      <c r="F142" s="35"/>
    </row>
    <row r="143" spans="2:15" customFormat="1" x14ac:dyDescent="0.2">
      <c r="B143" s="35"/>
      <c r="C143" s="35"/>
      <c r="D143" s="35"/>
      <c r="E143" s="35"/>
      <c r="F143" s="35"/>
    </row>
    <row r="144" spans="2:15" customFormat="1" x14ac:dyDescent="0.2">
      <c r="B144" s="35"/>
      <c r="C144" s="35"/>
      <c r="D144" s="35"/>
      <c r="E144" s="35"/>
      <c r="F144" s="35"/>
    </row>
    <row r="145" spans="2:6" customFormat="1" x14ac:dyDescent="0.2">
      <c r="B145" s="35"/>
      <c r="C145" s="35"/>
      <c r="D145" s="35"/>
      <c r="E145" s="35"/>
      <c r="F145" s="35"/>
    </row>
  </sheetData>
  <mergeCells count="117">
    <mergeCell ref="C122:F122"/>
    <mergeCell ref="C123:F123"/>
    <mergeCell ref="C124:F124"/>
    <mergeCell ref="C125:F125"/>
    <mergeCell ref="C126:F126"/>
    <mergeCell ref="C121:F121"/>
    <mergeCell ref="C112:E112"/>
    <mergeCell ref="C113:F113"/>
    <mergeCell ref="C114:F114"/>
    <mergeCell ref="C115:F115"/>
    <mergeCell ref="E43:G43"/>
    <mergeCell ref="C116:F116"/>
    <mergeCell ref="C117:F117"/>
    <mergeCell ref="C118:F118"/>
    <mergeCell ref="C119:F119"/>
    <mergeCell ref="C120:F120"/>
    <mergeCell ref="D66:G69"/>
    <mergeCell ref="C7:D7"/>
    <mergeCell ref="C16:D16"/>
    <mergeCell ref="C25:D25"/>
    <mergeCell ref="E25:G25"/>
    <mergeCell ref="E26:G26"/>
    <mergeCell ref="E27:G27"/>
    <mergeCell ref="E28:G28"/>
    <mergeCell ref="E29:G29"/>
    <mergeCell ref="E30:G30"/>
    <mergeCell ref="E31:G31"/>
    <mergeCell ref="E32:G32"/>
    <mergeCell ref="C34:D34"/>
    <mergeCell ref="C43:D43"/>
    <mergeCell ref="C52:D52"/>
    <mergeCell ref="E34:G34"/>
    <mergeCell ref="E35:G35"/>
    <mergeCell ref="E36:G36"/>
    <mergeCell ref="E37:G37"/>
    <mergeCell ref="E38:G38"/>
    <mergeCell ref="E39:G39"/>
    <mergeCell ref="E40:G40"/>
    <mergeCell ref="E41:G41"/>
    <mergeCell ref="E42:G42"/>
    <mergeCell ref="E33:G33"/>
    <mergeCell ref="E5:G5"/>
    <mergeCell ref="E6:G6"/>
    <mergeCell ref="E7:G7"/>
    <mergeCell ref="E8:G8"/>
    <mergeCell ref="E9:G9"/>
    <mergeCell ref="E10:G10"/>
    <mergeCell ref="E16:G16"/>
    <mergeCell ref="E17:G17"/>
    <mergeCell ref="E18:G18"/>
    <mergeCell ref="E19:G19"/>
    <mergeCell ref="E20:G20"/>
    <mergeCell ref="E11:G11"/>
    <mergeCell ref="E12:G12"/>
    <mergeCell ref="E13:G13"/>
    <mergeCell ref="E14:G14"/>
    <mergeCell ref="D71:G99"/>
    <mergeCell ref="E59:G59"/>
    <mergeCell ref="E60:G60"/>
    <mergeCell ref="B2:E2"/>
    <mergeCell ref="E54:G54"/>
    <mergeCell ref="E55:G55"/>
    <mergeCell ref="E56:G56"/>
    <mergeCell ref="E57:G57"/>
    <mergeCell ref="E58:G58"/>
    <mergeCell ref="E49:G49"/>
    <mergeCell ref="E50:G50"/>
    <mergeCell ref="E51:G51"/>
    <mergeCell ref="E52:G52"/>
    <mergeCell ref="E53:G53"/>
    <mergeCell ref="E44:G44"/>
    <mergeCell ref="E45:G45"/>
    <mergeCell ref="E46:G46"/>
    <mergeCell ref="E47:G47"/>
    <mergeCell ref="E48:G48"/>
    <mergeCell ref="E15:G15"/>
    <mergeCell ref="E21:G21"/>
    <mergeCell ref="E22:G22"/>
    <mergeCell ref="E23:G23"/>
    <mergeCell ref="E24:G24"/>
    <mergeCell ref="J106:J107"/>
    <mergeCell ref="N7:P15"/>
    <mergeCell ref="N16:P24"/>
    <mergeCell ref="H108:I108"/>
    <mergeCell ref="H117:I117"/>
    <mergeCell ref="H97:I97"/>
    <mergeCell ref="H106:I107"/>
    <mergeCell ref="H66:I67"/>
    <mergeCell ref="H68:I68"/>
    <mergeCell ref="J66:J67"/>
    <mergeCell ref="H77:I77"/>
    <mergeCell ref="H88:I88"/>
    <mergeCell ref="H86:I87"/>
    <mergeCell ref="J86:J87"/>
    <mergeCell ref="K106:K107"/>
    <mergeCell ref="L106:L107"/>
    <mergeCell ref="M106:M107"/>
    <mergeCell ref="N106:N107"/>
    <mergeCell ref="O106:O107"/>
    <mergeCell ref="P106:P107"/>
    <mergeCell ref="N6:P6"/>
    <mergeCell ref="M86:M87"/>
    <mergeCell ref="O86:O87"/>
    <mergeCell ref="K66:K67"/>
    <mergeCell ref="L66:L67"/>
    <mergeCell ref="M65:M67"/>
    <mergeCell ref="O65:O67"/>
    <mergeCell ref="N66:N67"/>
    <mergeCell ref="P66:P67"/>
    <mergeCell ref="K86:K87"/>
    <mergeCell ref="L86:L87"/>
    <mergeCell ref="N86:N87"/>
    <mergeCell ref="P86:P87"/>
    <mergeCell ref="N25:P33"/>
    <mergeCell ref="N34:P42"/>
    <mergeCell ref="N43:P51"/>
    <mergeCell ref="N52:P60"/>
  </mergeCells>
  <phoneticPr fontId="3" type="noConversion"/>
  <dataValidations count="3">
    <dataValidation type="list" allowBlank="1" showInputMessage="1" showErrorMessage="1" sqref="C73:C78 C50:D51 C41:D42 C59:D60">
      <formula1>#REF!</formula1>
    </dataValidation>
    <dataValidation type="list" allowBlank="1" showInputMessage="1" showErrorMessage="1" sqref="C17:C24 J118:J125 J109:J116 J89:J96 J69:J76 J78:J85 J98:J105 C53:C58 C44:C49 C35:C40 C26:C33 C8:C15">
      <formula1>$E$105:$E$110</formula1>
    </dataValidation>
    <dataValidation type="list" allowBlank="1" showInputMessage="1" showErrorMessage="1" sqref="D17:D24 K118:K125 K109:K116 K89:K96 K69:K76 K78:K85 K98:K105 D53:D58 D44:D49 D35:D40 D26:D33 D8:D15">
      <formula1>$F$105:$F$110</formula1>
    </dataValidation>
  </dataValidations>
  <pageMargins left="0.75" right="0.75" top="1" bottom="1" header="0.5" footer="0.5"/>
  <pageSetup scale="75"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 Values'!$D$6:$D$7</xm:f>
          </x14:formula1>
          <xm:sqref>Q7 Q16 Q25 Q34 Q43 Q52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85E8FF"/>
    <pageSetUpPr fitToPage="1"/>
  </sheetPr>
  <dimension ref="B1:R112"/>
  <sheetViews>
    <sheetView zoomScale="90" zoomScaleNormal="90" workbookViewId="0">
      <pane xSplit="9" ySplit="5" topLeftCell="J6" activePane="bottomRight" state="frozen"/>
      <selection activeCell="B3" sqref="B3:P3"/>
      <selection pane="topRight" activeCell="B3" sqref="B3:P3"/>
      <selection pane="bottomLeft" activeCell="B3" sqref="B3:P3"/>
      <selection pane="bottomRight" activeCell="C3" sqref="C3"/>
    </sheetView>
  </sheetViews>
  <sheetFormatPr defaultColWidth="8.7109375" defaultRowHeight="12.75" outlineLevelRow="1" x14ac:dyDescent="0.2"/>
  <cols>
    <col min="1" max="1" width="0.85546875" style="35" customWidth="1"/>
    <col min="2" max="2" width="6.7109375" style="35" customWidth="1"/>
    <col min="3" max="3" width="11" style="35" customWidth="1"/>
    <col min="4" max="4" width="13.28515625" style="35" customWidth="1"/>
    <col min="5" max="5" width="19.28515625" style="35" customWidth="1"/>
    <col min="6" max="6" width="29.5703125" style="35" customWidth="1"/>
    <col min="7" max="7" width="14.7109375" style="35" customWidth="1"/>
    <col min="8" max="8" width="9" style="35" customWidth="1"/>
    <col min="9" max="9" width="14.7109375" style="35" customWidth="1"/>
    <col min="10" max="10" width="15.140625" style="35" customWidth="1"/>
    <col min="11" max="11" width="29" style="35" customWidth="1"/>
    <col min="12" max="12" width="32" style="35" customWidth="1"/>
    <col min="13" max="13" width="34.140625" style="35" customWidth="1"/>
    <col min="14" max="14" width="7.7109375" style="35" customWidth="1"/>
    <col min="15" max="15" width="12.42578125" style="35" customWidth="1"/>
    <col min="16" max="16" width="13.140625" style="35" customWidth="1"/>
    <col min="17" max="17" width="2.140625" style="35" customWidth="1"/>
    <col min="18" max="18" width="14.5703125" style="35" customWidth="1"/>
    <col min="19" max="16384" width="8.7109375" style="35"/>
  </cols>
  <sheetData>
    <row r="1" spans="2:16" s="524" customFormat="1" ht="18.75" x14ac:dyDescent="0.3">
      <c r="B1" s="1059" t="s">
        <v>540</v>
      </c>
      <c r="C1" s="1060"/>
      <c r="D1" s="1060"/>
      <c r="E1" s="1061"/>
      <c r="F1" s="1062"/>
      <c r="G1" s="1060"/>
      <c r="H1" s="1060"/>
      <c r="I1" s="1060"/>
      <c r="J1" s="1060"/>
      <c r="K1" s="1060"/>
      <c r="L1" s="1061"/>
      <c r="M1" s="1060"/>
      <c r="N1" s="1061"/>
      <c r="O1" s="1061"/>
      <c r="P1" s="1061"/>
    </row>
    <row r="2" spans="2:16" s="143" customFormat="1" ht="15.75" x14ac:dyDescent="0.25">
      <c r="B2" s="1575" t="str">
        <f>INITIALIZATION!C5</f>
        <v>Proposer's Name (Prime or Sub)</v>
      </c>
      <c r="C2" s="1575"/>
      <c r="D2" s="1575"/>
      <c r="E2" s="1575"/>
      <c r="F2" s="1273" t="s">
        <v>541</v>
      </c>
      <c r="G2" s="526"/>
      <c r="H2" s="526"/>
      <c r="I2" s="526"/>
      <c r="J2" s="526"/>
      <c r="K2" s="526"/>
      <c r="M2" s="526"/>
    </row>
    <row r="3" spans="2:16" s="143" customFormat="1" ht="15.75" x14ac:dyDescent="0.25">
      <c r="B3" s="526"/>
      <c r="C3" s="526"/>
      <c r="D3" s="526"/>
      <c r="E3" s="526"/>
      <c r="F3" s="526"/>
      <c r="G3" s="526"/>
      <c r="H3" s="526"/>
      <c r="I3" s="526"/>
      <c r="J3" s="526"/>
      <c r="K3" s="526"/>
      <c r="M3" s="526"/>
    </row>
    <row r="4" spans="2:16" ht="15.75" customHeight="1" thickBot="1" x14ac:dyDescent="0.25">
      <c r="B4" s="611" t="s">
        <v>85</v>
      </c>
      <c r="C4" s="611" t="s">
        <v>85</v>
      </c>
      <c r="D4" s="611" t="s">
        <v>85</v>
      </c>
      <c r="N4" s="617" t="s">
        <v>671</v>
      </c>
    </row>
    <row r="5" spans="2:16" ht="26.25" customHeight="1" thickBot="1" x14ac:dyDescent="0.25">
      <c r="B5" s="577" t="s">
        <v>446</v>
      </c>
      <c r="C5" s="578" t="s">
        <v>448</v>
      </c>
      <c r="D5" s="578" t="s">
        <v>461</v>
      </c>
      <c r="E5" s="578" t="s">
        <v>458</v>
      </c>
      <c r="F5" s="579" t="s">
        <v>459</v>
      </c>
      <c r="G5" s="579" t="s">
        <v>468</v>
      </c>
      <c r="H5" s="579" t="s">
        <v>6</v>
      </c>
      <c r="I5" s="579" t="s">
        <v>467</v>
      </c>
      <c r="J5" s="580" t="s">
        <v>457</v>
      </c>
      <c r="K5" s="584" t="s">
        <v>447</v>
      </c>
      <c r="L5" s="609" t="s">
        <v>14</v>
      </c>
      <c r="M5" s="609" t="s">
        <v>460</v>
      </c>
      <c r="N5" s="607" t="s">
        <v>680</v>
      </c>
      <c r="O5" s="578" t="s">
        <v>462</v>
      </c>
    </row>
    <row r="6" spans="2:16" x14ac:dyDescent="0.2">
      <c r="B6" s="621">
        <v>1</v>
      </c>
      <c r="C6" s="581"/>
      <c r="D6" s="581"/>
      <c r="E6" s="601"/>
      <c r="F6" s="601"/>
      <c r="G6" s="615">
        <v>0</v>
      </c>
      <c r="H6" s="602"/>
      <c r="I6" s="595">
        <f>H6*G6</f>
        <v>0</v>
      </c>
      <c r="J6" s="603"/>
      <c r="K6" s="601"/>
      <c r="L6" s="604"/>
      <c r="M6" s="604"/>
      <c r="N6" s="608"/>
      <c r="O6" s="619" t="s">
        <v>463</v>
      </c>
    </row>
    <row r="7" spans="2:16" x14ac:dyDescent="0.2">
      <c r="B7" s="622">
        <v>2</v>
      </c>
      <c r="C7" s="581"/>
      <c r="D7" s="581"/>
      <c r="E7" s="592"/>
      <c r="F7" s="601"/>
      <c r="G7" s="615">
        <v>0</v>
      </c>
      <c r="H7" s="593"/>
      <c r="I7" s="595">
        <f>H7*G7</f>
        <v>0</v>
      </c>
      <c r="J7" s="596"/>
      <c r="K7" s="592"/>
      <c r="L7" s="606"/>
      <c r="M7" s="606"/>
      <c r="N7" s="608"/>
      <c r="O7" s="618"/>
    </row>
    <row r="8" spans="2:16" x14ac:dyDescent="0.2">
      <c r="B8" s="622">
        <v>3</v>
      </c>
      <c r="C8" s="581"/>
      <c r="D8" s="581"/>
      <c r="E8" s="592"/>
      <c r="F8" s="601"/>
      <c r="G8" s="615">
        <v>0</v>
      </c>
      <c r="H8" s="594"/>
      <c r="I8" s="595">
        <f>H8*G8</f>
        <v>0</v>
      </c>
      <c r="J8" s="596"/>
      <c r="K8" s="592"/>
      <c r="L8" s="606"/>
      <c r="M8" s="606"/>
      <c r="N8" s="608"/>
      <c r="O8" s="618"/>
    </row>
    <row r="9" spans="2:16" x14ac:dyDescent="0.2">
      <c r="B9" s="621">
        <v>4</v>
      </c>
      <c r="C9" s="581"/>
      <c r="D9" s="581"/>
      <c r="E9" s="592"/>
      <c r="F9" s="601"/>
      <c r="G9" s="615">
        <v>0</v>
      </c>
      <c r="H9" s="593"/>
      <c r="I9" s="595">
        <f>H9*G9</f>
        <v>0</v>
      </c>
      <c r="J9" s="596"/>
      <c r="K9" s="592"/>
      <c r="L9" s="605"/>
      <c r="M9" s="605"/>
      <c r="N9" s="608"/>
      <c r="O9" s="618"/>
    </row>
    <row r="10" spans="2:16" x14ac:dyDescent="0.2">
      <c r="B10" s="622">
        <v>5</v>
      </c>
      <c r="C10" s="581"/>
      <c r="D10" s="581"/>
      <c r="E10" s="592"/>
      <c r="F10" s="601"/>
      <c r="G10" s="615">
        <v>0</v>
      </c>
      <c r="H10" s="593"/>
      <c r="I10" s="595">
        <f>H10*G10</f>
        <v>0</v>
      </c>
      <c r="J10" s="596"/>
      <c r="K10" s="592"/>
      <c r="L10" s="605"/>
      <c r="M10" s="605"/>
      <c r="N10" s="608"/>
      <c r="O10" s="618"/>
    </row>
    <row r="11" spans="2:16" x14ac:dyDescent="0.2">
      <c r="B11" s="622">
        <v>6</v>
      </c>
      <c r="C11" s="581"/>
      <c r="D11" s="581"/>
      <c r="E11" s="592"/>
      <c r="F11" s="601"/>
      <c r="G11" s="615">
        <v>0</v>
      </c>
      <c r="H11" s="593"/>
      <c r="I11" s="595">
        <f t="shared" ref="I11:I65" si="0">H11*G11</f>
        <v>0</v>
      </c>
      <c r="J11" s="596"/>
      <c r="K11" s="592"/>
      <c r="L11" s="605"/>
      <c r="M11" s="605"/>
      <c r="N11" s="608"/>
      <c r="O11" s="618"/>
    </row>
    <row r="12" spans="2:16" x14ac:dyDescent="0.2">
      <c r="B12" s="621">
        <v>7</v>
      </c>
      <c r="C12" s="581"/>
      <c r="D12" s="581"/>
      <c r="E12" s="592"/>
      <c r="F12" s="601"/>
      <c r="G12" s="615">
        <v>0</v>
      </c>
      <c r="H12" s="593"/>
      <c r="I12" s="595">
        <f t="shared" si="0"/>
        <v>0</v>
      </c>
      <c r="J12" s="596"/>
      <c r="K12" s="592"/>
      <c r="L12" s="605"/>
      <c r="M12" s="605"/>
      <c r="N12" s="608"/>
      <c r="O12" s="618"/>
    </row>
    <row r="13" spans="2:16" x14ac:dyDescent="0.2">
      <c r="B13" s="622">
        <v>8</v>
      </c>
      <c r="C13" s="581"/>
      <c r="D13" s="581"/>
      <c r="E13" s="592"/>
      <c r="F13" s="601"/>
      <c r="G13" s="615">
        <v>0</v>
      </c>
      <c r="H13" s="593"/>
      <c r="I13" s="595">
        <f t="shared" si="0"/>
        <v>0</v>
      </c>
      <c r="J13" s="596"/>
      <c r="K13" s="592"/>
      <c r="L13" s="605"/>
      <c r="M13" s="605"/>
      <c r="N13" s="608"/>
      <c r="O13" s="618"/>
    </row>
    <row r="14" spans="2:16" x14ac:dyDescent="0.2">
      <c r="B14" s="622">
        <v>9</v>
      </c>
      <c r="C14" s="581"/>
      <c r="D14" s="581"/>
      <c r="E14" s="592"/>
      <c r="F14" s="601"/>
      <c r="G14" s="615">
        <v>0</v>
      </c>
      <c r="H14" s="593"/>
      <c r="I14" s="595">
        <f t="shared" si="0"/>
        <v>0</v>
      </c>
      <c r="J14" s="596"/>
      <c r="K14" s="592"/>
      <c r="L14" s="605"/>
      <c r="M14" s="605"/>
      <c r="N14" s="608"/>
      <c r="O14" s="618"/>
    </row>
    <row r="15" spans="2:16" x14ac:dyDescent="0.2">
      <c r="B15" s="622">
        <v>10</v>
      </c>
      <c r="C15" s="581"/>
      <c r="D15" s="581"/>
      <c r="E15" s="592"/>
      <c r="F15" s="601"/>
      <c r="G15" s="615">
        <v>0</v>
      </c>
      <c r="H15" s="593"/>
      <c r="I15" s="595">
        <f t="shared" si="0"/>
        <v>0</v>
      </c>
      <c r="J15" s="596"/>
      <c r="K15" s="592"/>
      <c r="L15" s="605"/>
      <c r="M15" s="605"/>
      <c r="N15" s="608"/>
      <c r="O15" s="618"/>
    </row>
    <row r="16" spans="2:16" x14ac:dyDescent="0.2">
      <c r="B16" s="622">
        <v>11</v>
      </c>
      <c r="C16" s="581"/>
      <c r="D16" s="581"/>
      <c r="E16" s="592"/>
      <c r="F16" s="601"/>
      <c r="G16" s="615">
        <v>0</v>
      </c>
      <c r="H16" s="593"/>
      <c r="I16" s="595">
        <f t="shared" si="0"/>
        <v>0</v>
      </c>
      <c r="J16" s="596"/>
      <c r="K16" s="592"/>
      <c r="L16" s="605"/>
      <c r="M16" s="605"/>
      <c r="N16" s="608"/>
      <c r="O16" s="618"/>
    </row>
    <row r="17" spans="2:15" x14ac:dyDescent="0.2">
      <c r="B17" s="622">
        <v>12</v>
      </c>
      <c r="C17" s="581"/>
      <c r="D17" s="581"/>
      <c r="E17" s="592"/>
      <c r="F17" s="601"/>
      <c r="G17" s="615">
        <v>0</v>
      </c>
      <c r="H17" s="593"/>
      <c r="I17" s="595">
        <f t="shared" si="0"/>
        <v>0</v>
      </c>
      <c r="J17" s="596"/>
      <c r="K17" s="592"/>
      <c r="L17" s="605"/>
      <c r="M17" s="605"/>
      <c r="N17" s="608"/>
      <c r="O17" s="618"/>
    </row>
    <row r="18" spans="2:15" x14ac:dyDescent="0.2">
      <c r="B18" s="622">
        <v>13</v>
      </c>
      <c r="C18" s="581"/>
      <c r="D18" s="581"/>
      <c r="E18" s="592"/>
      <c r="F18" s="601"/>
      <c r="G18" s="615">
        <v>0</v>
      </c>
      <c r="H18" s="593"/>
      <c r="I18" s="595">
        <f t="shared" si="0"/>
        <v>0</v>
      </c>
      <c r="J18" s="596"/>
      <c r="K18" s="592"/>
      <c r="L18" s="605"/>
      <c r="M18" s="605"/>
      <c r="N18" s="608"/>
      <c r="O18" s="618"/>
    </row>
    <row r="19" spans="2:15" x14ac:dyDescent="0.2">
      <c r="B19" s="622">
        <v>14</v>
      </c>
      <c r="C19" s="581"/>
      <c r="D19" s="581"/>
      <c r="E19" s="592"/>
      <c r="F19" s="601"/>
      <c r="G19" s="615">
        <v>0</v>
      </c>
      <c r="H19" s="593"/>
      <c r="I19" s="595">
        <f t="shared" si="0"/>
        <v>0</v>
      </c>
      <c r="J19" s="596"/>
      <c r="K19" s="592"/>
      <c r="L19" s="605"/>
      <c r="M19" s="605"/>
      <c r="N19" s="608"/>
      <c r="O19" s="618"/>
    </row>
    <row r="20" spans="2:15" x14ac:dyDescent="0.2">
      <c r="B20" s="622">
        <v>15</v>
      </c>
      <c r="C20" s="581"/>
      <c r="D20" s="581"/>
      <c r="E20" s="592"/>
      <c r="F20" s="601"/>
      <c r="G20" s="615">
        <v>0</v>
      </c>
      <c r="H20" s="593"/>
      <c r="I20" s="595">
        <f t="shared" si="0"/>
        <v>0</v>
      </c>
      <c r="J20" s="596"/>
      <c r="K20" s="592"/>
      <c r="L20" s="605"/>
      <c r="M20" s="605"/>
      <c r="N20" s="608"/>
      <c r="O20" s="618"/>
    </row>
    <row r="21" spans="2:15" x14ac:dyDescent="0.2">
      <c r="B21" s="622">
        <v>16</v>
      </c>
      <c r="C21" s="581"/>
      <c r="D21" s="581"/>
      <c r="E21" s="592"/>
      <c r="F21" s="601"/>
      <c r="G21" s="615">
        <v>0</v>
      </c>
      <c r="H21" s="593"/>
      <c r="I21" s="595">
        <f t="shared" si="0"/>
        <v>0</v>
      </c>
      <c r="J21" s="596"/>
      <c r="K21" s="592"/>
      <c r="L21" s="605"/>
      <c r="M21" s="605"/>
      <c r="N21" s="608"/>
      <c r="O21" s="618"/>
    </row>
    <row r="22" spans="2:15" x14ac:dyDescent="0.2">
      <c r="B22" s="622">
        <v>17</v>
      </c>
      <c r="C22" s="581"/>
      <c r="D22" s="581"/>
      <c r="E22" s="592"/>
      <c r="F22" s="601"/>
      <c r="G22" s="615">
        <v>0</v>
      </c>
      <c r="H22" s="593"/>
      <c r="I22" s="595">
        <f t="shared" si="0"/>
        <v>0</v>
      </c>
      <c r="J22" s="596"/>
      <c r="K22" s="592"/>
      <c r="L22" s="605"/>
      <c r="M22" s="605"/>
      <c r="N22" s="608"/>
      <c r="O22" s="618"/>
    </row>
    <row r="23" spans="2:15" x14ac:dyDescent="0.2">
      <c r="B23" s="622">
        <v>18</v>
      </c>
      <c r="C23" s="581"/>
      <c r="D23" s="581"/>
      <c r="E23" s="592"/>
      <c r="F23" s="601"/>
      <c r="G23" s="615">
        <v>0</v>
      </c>
      <c r="H23" s="593"/>
      <c r="I23" s="595">
        <f t="shared" si="0"/>
        <v>0</v>
      </c>
      <c r="J23" s="596"/>
      <c r="K23" s="592"/>
      <c r="L23" s="605"/>
      <c r="M23" s="605"/>
      <c r="N23" s="608"/>
      <c r="O23" s="618"/>
    </row>
    <row r="24" spans="2:15" x14ac:dyDescent="0.2">
      <c r="B24" s="622">
        <v>19</v>
      </c>
      <c r="C24" s="581"/>
      <c r="D24" s="581"/>
      <c r="E24" s="592"/>
      <c r="F24" s="592"/>
      <c r="G24" s="615">
        <v>0</v>
      </c>
      <c r="H24" s="593"/>
      <c r="I24" s="595">
        <f t="shared" si="0"/>
        <v>0</v>
      </c>
      <c r="J24" s="596"/>
      <c r="K24" s="592"/>
      <c r="L24" s="605"/>
      <c r="M24" s="605"/>
      <c r="N24" s="608"/>
      <c r="O24" s="618"/>
    </row>
    <row r="25" spans="2:15" x14ac:dyDescent="0.2">
      <c r="B25" s="622">
        <v>20</v>
      </c>
      <c r="C25" s="581"/>
      <c r="D25" s="581"/>
      <c r="E25" s="592"/>
      <c r="F25" s="592"/>
      <c r="G25" s="615">
        <v>0</v>
      </c>
      <c r="H25" s="593"/>
      <c r="I25" s="595">
        <f t="shared" si="0"/>
        <v>0</v>
      </c>
      <c r="J25" s="596"/>
      <c r="K25" s="592"/>
      <c r="L25" s="605"/>
      <c r="M25" s="605"/>
      <c r="N25" s="608"/>
      <c r="O25" s="618"/>
    </row>
    <row r="26" spans="2:15" ht="12.75" customHeight="1" x14ac:dyDescent="0.2">
      <c r="B26" s="622">
        <v>21</v>
      </c>
      <c r="C26" s="581"/>
      <c r="D26" s="581"/>
      <c r="E26" s="592"/>
      <c r="F26" s="592"/>
      <c r="G26" s="615">
        <v>0</v>
      </c>
      <c r="H26" s="593"/>
      <c r="I26" s="595">
        <f t="shared" si="0"/>
        <v>0</v>
      </c>
      <c r="J26" s="596"/>
      <c r="K26" s="592"/>
      <c r="L26" s="605"/>
      <c r="M26" s="605"/>
      <c r="N26" s="608"/>
      <c r="O26" s="618"/>
    </row>
    <row r="27" spans="2:15" ht="12.75" customHeight="1" x14ac:dyDescent="0.2">
      <c r="B27" s="622">
        <v>22</v>
      </c>
      <c r="C27" s="581"/>
      <c r="D27" s="581"/>
      <c r="E27" s="592"/>
      <c r="F27" s="592"/>
      <c r="G27" s="615">
        <v>0</v>
      </c>
      <c r="H27" s="593"/>
      <c r="I27" s="595">
        <f t="shared" si="0"/>
        <v>0</v>
      </c>
      <c r="J27" s="596"/>
      <c r="K27" s="592"/>
      <c r="L27" s="605"/>
      <c r="M27" s="605"/>
      <c r="N27" s="608"/>
      <c r="O27" s="618"/>
    </row>
    <row r="28" spans="2:15" ht="12.75" customHeight="1" x14ac:dyDescent="0.2">
      <c r="B28" s="622">
        <v>23</v>
      </c>
      <c r="C28" s="581"/>
      <c r="D28" s="581"/>
      <c r="E28" s="592"/>
      <c r="F28" s="592"/>
      <c r="G28" s="615">
        <v>0</v>
      </c>
      <c r="H28" s="593"/>
      <c r="I28" s="595">
        <f t="shared" si="0"/>
        <v>0</v>
      </c>
      <c r="J28" s="596"/>
      <c r="K28" s="592"/>
      <c r="L28" s="605"/>
      <c r="M28" s="605"/>
      <c r="N28" s="608"/>
      <c r="O28" s="618"/>
    </row>
    <row r="29" spans="2:15" ht="12.75" customHeight="1" x14ac:dyDescent="0.2">
      <c r="B29" s="622">
        <v>24</v>
      </c>
      <c r="C29" s="581"/>
      <c r="D29" s="581"/>
      <c r="E29" s="592"/>
      <c r="F29" s="592"/>
      <c r="G29" s="615">
        <v>0</v>
      </c>
      <c r="H29" s="593"/>
      <c r="I29" s="595">
        <f t="shared" si="0"/>
        <v>0</v>
      </c>
      <c r="J29" s="596"/>
      <c r="K29" s="592"/>
      <c r="L29" s="605"/>
      <c r="M29" s="605"/>
      <c r="N29" s="608"/>
      <c r="O29" s="618"/>
    </row>
    <row r="30" spans="2:15" ht="12.75" customHeight="1" x14ac:dyDescent="0.2">
      <c r="B30" s="622">
        <v>25</v>
      </c>
      <c r="C30" s="581"/>
      <c r="D30" s="581"/>
      <c r="E30" s="592"/>
      <c r="F30" s="592"/>
      <c r="G30" s="615">
        <v>0</v>
      </c>
      <c r="H30" s="593"/>
      <c r="I30" s="595">
        <f t="shared" si="0"/>
        <v>0</v>
      </c>
      <c r="J30" s="596"/>
      <c r="K30" s="592"/>
      <c r="L30" s="605"/>
      <c r="M30" s="605"/>
      <c r="N30" s="608"/>
      <c r="O30" s="618"/>
    </row>
    <row r="31" spans="2:15" ht="12.75" customHeight="1" x14ac:dyDescent="0.2">
      <c r="B31" s="622">
        <v>26</v>
      </c>
      <c r="C31" s="581"/>
      <c r="D31" s="581"/>
      <c r="E31" s="592"/>
      <c r="F31" s="592"/>
      <c r="G31" s="615">
        <v>0</v>
      </c>
      <c r="H31" s="593"/>
      <c r="I31" s="595">
        <f t="shared" si="0"/>
        <v>0</v>
      </c>
      <c r="J31" s="596"/>
      <c r="K31" s="592"/>
      <c r="L31" s="605"/>
      <c r="M31" s="605"/>
      <c r="N31" s="608"/>
      <c r="O31" s="618"/>
    </row>
    <row r="32" spans="2:15" ht="12.75" customHeight="1" x14ac:dyDescent="0.2">
      <c r="B32" s="622">
        <v>27</v>
      </c>
      <c r="C32" s="581"/>
      <c r="D32" s="581"/>
      <c r="E32" s="592"/>
      <c r="F32" s="592"/>
      <c r="G32" s="615">
        <v>0</v>
      </c>
      <c r="H32" s="593"/>
      <c r="I32" s="595">
        <f t="shared" si="0"/>
        <v>0</v>
      </c>
      <c r="J32" s="596"/>
      <c r="K32" s="592"/>
      <c r="L32" s="605"/>
      <c r="M32" s="605"/>
      <c r="N32" s="608"/>
      <c r="O32" s="618"/>
    </row>
    <row r="33" spans="2:15" ht="12.75" customHeight="1" x14ac:dyDescent="0.2">
      <c r="B33" s="622">
        <v>28</v>
      </c>
      <c r="C33" s="581"/>
      <c r="D33" s="581"/>
      <c r="E33" s="592"/>
      <c r="F33" s="592"/>
      <c r="G33" s="615">
        <v>0</v>
      </c>
      <c r="H33" s="593"/>
      <c r="I33" s="595">
        <f t="shared" si="0"/>
        <v>0</v>
      </c>
      <c r="J33" s="596"/>
      <c r="K33" s="592"/>
      <c r="L33" s="605"/>
      <c r="M33" s="605"/>
      <c r="N33" s="608"/>
      <c r="O33" s="618"/>
    </row>
    <row r="34" spans="2:15" ht="12.75" customHeight="1" x14ac:dyDescent="0.2">
      <c r="B34" s="622">
        <v>29</v>
      </c>
      <c r="C34" s="581"/>
      <c r="D34" s="581"/>
      <c r="E34" s="592"/>
      <c r="F34" s="592"/>
      <c r="G34" s="615">
        <v>0</v>
      </c>
      <c r="H34" s="593"/>
      <c r="I34" s="595">
        <f t="shared" si="0"/>
        <v>0</v>
      </c>
      <c r="J34" s="596"/>
      <c r="K34" s="592"/>
      <c r="L34" s="605"/>
      <c r="M34" s="605"/>
      <c r="N34" s="608"/>
      <c r="O34" s="618"/>
    </row>
    <row r="35" spans="2:15" ht="12.75" customHeight="1" thickBot="1" x14ac:dyDescent="0.25">
      <c r="B35" s="622">
        <v>30</v>
      </c>
      <c r="C35" s="581"/>
      <c r="D35" s="581"/>
      <c r="E35" s="592"/>
      <c r="F35" s="592"/>
      <c r="G35" s="615">
        <v>0</v>
      </c>
      <c r="H35" s="593"/>
      <c r="I35" s="595">
        <f t="shared" si="0"/>
        <v>0</v>
      </c>
      <c r="J35" s="596"/>
      <c r="K35" s="592"/>
      <c r="L35" s="605"/>
      <c r="M35" s="605"/>
      <c r="N35" s="608"/>
      <c r="O35" s="618"/>
    </row>
    <row r="36" spans="2:15" ht="12.75" hidden="1" customHeight="1" outlineLevel="1" x14ac:dyDescent="0.2">
      <c r="B36" s="622">
        <v>31</v>
      </c>
      <c r="C36" s="581"/>
      <c r="D36" s="581"/>
      <c r="E36" s="592"/>
      <c r="F36" s="592"/>
      <c r="G36" s="615">
        <v>0</v>
      </c>
      <c r="H36" s="593"/>
      <c r="I36" s="595">
        <f t="shared" si="0"/>
        <v>0</v>
      </c>
      <c r="J36" s="596"/>
      <c r="K36" s="592"/>
      <c r="L36" s="605"/>
      <c r="M36" s="605"/>
      <c r="N36" s="608"/>
      <c r="O36" s="618"/>
    </row>
    <row r="37" spans="2:15" ht="12.75" hidden="1" customHeight="1" outlineLevel="1" x14ac:dyDescent="0.2">
      <c r="B37" s="622">
        <v>32</v>
      </c>
      <c r="C37" s="581"/>
      <c r="D37" s="581"/>
      <c r="E37" s="592"/>
      <c r="F37" s="592"/>
      <c r="G37" s="615">
        <v>0</v>
      </c>
      <c r="H37" s="593"/>
      <c r="I37" s="595">
        <f t="shared" si="0"/>
        <v>0</v>
      </c>
      <c r="J37" s="596"/>
      <c r="K37" s="592"/>
      <c r="L37" s="605"/>
      <c r="M37" s="605"/>
      <c r="N37" s="608"/>
      <c r="O37" s="618"/>
    </row>
    <row r="38" spans="2:15" ht="12.75" hidden="1" customHeight="1" outlineLevel="1" x14ac:dyDescent="0.2">
      <c r="B38" s="622">
        <v>33</v>
      </c>
      <c r="C38" s="581"/>
      <c r="D38" s="581"/>
      <c r="E38" s="592"/>
      <c r="F38" s="592"/>
      <c r="G38" s="615">
        <v>0</v>
      </c>
      <c r="H38" s="593"/>
      <c r="I38" s="595">
        <f t="shared" si="0"/>
        <v>0</v>
      </c>
      <c r="J38" s="596"/>
      <c r="K38" s="592"/>
      <c r="L38" s="605"/>
      <c r="M38" s="605"/>
      <c r="N38" s="608"/>
      <c r="O38" s="618"/>
    </row>
    <row r="39" spans="2:15" ht="12.75" hidden="1" customHeight="1" outlineLevel="1" x14ac:dyDescent="0.2">
      <c r="B39" s="622">
        <v>34</v>
      </c>
      <c r="C39" s="581"/>
      <c r="D39" s="581"/>
      <c r="E39" s="592"/>
      <c r="F39" s="592"/>
      <c r="G39" s="615">
        <v>0</v>
      </c>
      <c r="H39" s="593"/>
      <c r="I39" s="595">
        <f t="shared" si="0"/>
        <v>0</v>
      </c>
      <c r="J39" s="596"/>
      <c r="K39" s="592"/>
      <c r="L39" s="605"/>
      <c r="M39" s="605"/>
      <c r="N39" s="608"/>
      <c r="O39" s="618"/>
    </row>
    <row r="40" spans="2:15" ht="12.75" hidden="1" customHeight="1" outlineLevel="1" x14ac:dyDescent="0.2">
      <c r="B40" s="622">
        <v>35</v>
      </c>
      <c r="C40" s="581"/>
      <c r="D40" s="581"/>
      <c r="E40" s="592"/>
      <c r="F40" s="592"/>
      <c r="G40" s="615">
        <v>0</v>
      </c>
      <c r="H40" s="593"/>
      <c r="I40" s="595">
        <f t="shared" si="0"/>
        <v>0</v>
      </c>
      <c r="J40" s="596"/>
      <c r="K40" s="592"/>
      <c r="L40" s="605"/>
      <c r="M40" s="605"/>
      <c r="N40" s="608"/>
      <c r="O40" s="618"/>
    </row>
    <row r="41" spans="2:15" ht="12.75" hidden="1" customHeight="1" outlineLevel="1" x14ac:dyDescent="0.2">
      <c r="B41" s="622">
        <v>36</v>
      </c>
      <c r="C41" s="581"/>
      <c r="D41" s="581"/>
      <c r="E41" s="592"/>
      <c r="F41" s="592"/>
      <c r="G41" s="615">
        <v>0</v>
      </c>
      <c r="H41" s="593"/>
      <c r="I41" s="595">
        <f t="shared" si="0"/>
        <v>0</v>
      </c>
      <c r="J41" s="596"/>
      <c r="K41" s="592"/>
      <c r="L41" s="605"/>
      <c r="M41" s="605"/>
      <c r="N41" s="608"/>
      <c r="O41" s="618"/>
    </row>
    <row r="42" spans="2:15" ht="12.75" hidden="1" customHeight="1" outlineLevel="1" x14ac:dyDescent="0.2">
      <c r="B42" s="622">
        <v>37</v>
      </c>
      <c r="C42" s="581"/>
      <c r="D42" s="581"/>
      <c r="E42" s="592"/>
      <c r="F42" s="592"/>
      <c r="G42" s="615">
        <v>0</v>
      </c>
      <c r="H42" s="593"/>
      <c r="I42" s="595">
        <f t="shared" si="0"/>
        <v>0</v>
      </c>
      <c r="J42" s="596"/>
      <c r="K42" s="592"/>
      <c r="L42" s="605"/>
      <c r="M42" s="605"/>
      <c r="N42" s="608"/>
      <c r="O42" s="618"/>
    </row>
    <row r="43" spans="2:15" ht="12.75" hidden="1" customHeight="1" outlineLevel="1" x14ac:dyDescent="0.2">
      <c r="B43" s="622">
        <v>38</v>
      </c>
      <c r="C43" s="581"/>
      <c r="D43" s="581"/>
      <c r="E43" s="592"/>
      <c r="F43" s="592"/>
      <c r="G43" s="615">
        <v>0</v>
      </c>
      <c r="H43" s="593"/>
      <c r="I43" s="595">
        <f t="shared" si="0"/>
        <v>0</v>
      </c>
      <c r="J43" s="596"/>
      <c r="K43" s="592"/>
      <c r="L43" s="605"/>
      <c r="M43" s="605"/>
      <c r="N43" s="608"/>
      <c r="O43" s="618"/>
    </row>
    <row r="44" spans="2:15" ht="12.75" hidden="1" customHeight="1" outlineLevel="1" x14ac:dyDescent="0.2">
      <c r="B44" s="622">
        <v>39</v>
      </c>
      <c r="C44" s="581"/>
      <c r="D44" s="581"/>
      <c r="E44" s="592"/>
      <c r="F44" s="592"/>
      <c r="G44" s="615">
        <v>0</v>
      </c>
      <c r="H44" s="593"/>
      <c r="I44" s="595">
        <f t="shared" si="0"/>
        <v>0</v>
      </c>
      <c r="J44" s="596"/>
      <c r="K44" s="592"/>
      <c r="L44" s="605"/>
      <c r="M44" s="605"/>
      <c r="N44" s="608"/>
      <c r="O44" s="618"/>
    </row>
    <row r="45" spans="2:15" ht="12.75" hidden="1" customHeight="1" outlineLevel="1" x14ac:dyDescent="0.2">
      <c r="B45" s="622">
        <v>40</v>
      </c>
      <c r="C45" s="581"/>
      <c r="D45" s="581"/>
      <c r="E45" s="592"/>
      <c r="F45" s="592"/>
      <c r="G45" s="615">
        <v>0</v>
      </c>
      <c r="H45" s="593"/>
      <c r="I45" s="595">
        <f t="shared" si="0"/>
        <v>0</v>
      </c>
      <c r="J45" s="596"/>
      <c r="K45" s="592"/>
      <c r="L45" s="605"/>
      <c r="M45" s="605"/>
      <c r="N45" s="608"/>
      <c r="O45" s="618"/>
    </row>
    <row r="46" spans="2:15" ht="12.75" hidden="1" customHeight="1" outlineLevel="1" x14ac:dyDescent="0.2">
      <c r="B46" s="622">
        <v>41</v>
      </c>
      <c r="C46" s="581"/>
      <c r="D46" s="581"/>
      <c r="E46" s="592"/>
      <c r="F46" s="592"/>
      <c r="G46" s="615">
        <v>0</v>
      </c>
      <c r="H46" s="593"/>
      <c r="I46" s="595">
        <f t="shared" si="0"/>
        <v>0</v>
      </c>
      <c r="J46" s="596"/>
      <c r="K46" s="592"/>
      <c r="L46" s="605"/>
      <c r="M46" s="605"/>
      <c r="N46" s="608"/>
      <c r="O46" s="618"/>
    </row>
    <row r="47" spans="2:15" ht="12.75" hidden="1" customHeight="1" outlineLevel="1" x14ac:dyDescent="0.2">
      <c r="B47" s="622">
        <v>42</v>
      </c>
      <c r="C47" s="581"/>
      <c r="D47" s="581"/>
      <c r="E47" s="592"/>
      <c r="F47" s="592"/>
      <c r="G47" s="615">
        <v>0</v>
      </c>
      <c r="H47" s="593"/>
      <c r="I47" s="595">
        <f t="shared" si="0"/>
        <v>0</v>
      </c>
      <c r="J47" s="596"/>
      <c r="K47" s="592"/>
      <c r="L47" s="605"/>
      <c r="M47" s="605"/>
      <c r="N47" s="608"/>
      <c r="O47" s="618"/>
    </row>
    <row r="48" spans="2:15" ht="12.75" hidden="1" customHeight="1" outlineLevel="1" x14ac:dyDescent="0.2">
      <c r="B48" s="622">
        <v>43</v>
      </c>
      <c r="C48" s="581"/>
      <c r="D48" s="581"/>
      <c r="E48" s="592"/>
      <c r="F48" s="592"/>
      <c r="G48" s="615">
        <v>0</v>
      </c>
      <c r="H48" s="593"/>
      <c r="I48" s="595">
        <f t="shared" si="0"/>
        <v>0</v>
      </c>
      <c r="J48" s="596"/>
      <c r="K48" s="592"/>
      <c r="L48" s="605"/>
      <c r="M48" s="605"/>
      <c r="N48" s="608"/>
      <c r="O48" s="618"/>
    </row>
    <row r="49" spans="2:15" ht="12.75" hidden="1" customHeight="1" outlineLevel="1" x14ac:dyDescent="0.2">
      <c r="B49" s="622">
        <v>44</v>
      </c>
      <c r="C49" s="581"/>
      <c r="D49" s="581"/>
      <c r="E49" s="592"/>
      <c r="F49" s="592"/>
      <c r="G49" s="615">
        <v>0</v>
      </c>
      <c r="H49" s="593"/>
      <c r="I49" s="595">
        <f t="shared" si="0"/>
        <v>0</v>
      </c>
      <c r="J49" s="596"/>
      <c r="K49" s="592"/>
      <c r="L49" s="605"/>
      <c r="M49" s="605"/>
      <c r="N49" s="608"/>
      <c r="O49" s="618"/>
    </row>
    <row r="50" spans="2:15" ht="12.75" hidden="1" customHeight="1" outlineLevel="1" x14ac:dyDescent="0.2">
      <c r="B50" s="622">
        <v>45</v>
      </c>
      <c r="C50" s="581"/>
      <c r="D50" s="581"/>
      <c r="E50" s="592"/>
      <c r="F50" s="592"/>
      <c r="G50" s="615">
        <v>0</v>
      </c>
      <c r="H50" s="593"/>
      <c r="I50" s="595">
        <f t="shared" si="0"/>
        <v>0</v>
      </c>
      <c r="J50" s="596"/>
      <c r="K50" s="592"/>
      <c r="L50" s="605"/>
      <c r="M50" s="605"/>
      <c r="N50" s="608"/>
      <c r="O50" s="618"/>
    </row>
    <row r="51" spans="2:15" ht="12.75" hidden="1" customHeight="1" outlineLevel="1" x14ac:dyDescent="0.2">
      <c r="B51" s="622">
        <v>46</v>
      </c>
      <c r="C51" s="581"/>
      <c r="D51" s="581"/>
      <c r="E51" s="592"/>
      <c r="F51" s="592"/>
      <c r="G51" s="615">
        <v>0</v>
      </c>
      <c r="H51" s="593"/>
      <c r="I51" s="595">
        <f t="shared" si="0"/>
        <v>0</v>
      </c>
      <c r="J51" s="596"/>
      <c r="K51" s="592"/>
      <c r="L51" s="605"/>
      <c r="M51" s="605"/>
      <c r="N51" s="608"/>
      <c r="O51" s="618"/>
    </row>
    <row r="52" spans="2:15" ht="12.75" hidden="1" customHeight="1" outlineLevel="1" x14ac:dyDescent="0.2">
      <c r="B52" s="622">
        <v>47</v>
      </c>
      <c r="C52" s="581"/>
      <c r="D52" s="581"/>
      <c r="E52" s="592"/>
      <c r="F52" s="592"/>
      <c r="G52" s="615">
        <v>0</v>
      </c>
      <c r="H52" s="593"/>
      <c r="I52" s="595">
        <f t="shared" si="0"/>
        <v>0</v>
      </c>
      <c r="J52" s="596"/>
      <c r="K52" s="592"/>
      <c r="L52" s="605"/>
      <c r="M52" s="605"/>
      <c r="N52" s="608"/>
      <c r="O52" s="618"/>
    </row>
    <row r="53" spans="2:15" ht="12.75" hidden="1" customHeight="1" outlineLevel="1" x14ac:dyDescent="0.2">
      <c r="B53" s="622">
        <v>48</v>
      </c>
      <c r="C53" s="581"/>
      <c r="D53" s="581"/>
      <c r="E53" s="592"/>
      <c r="F53" s="592"/>
      <c r="G53" s="615">
        <v>0</v>
      </c>
      <c r="H53" s="593"/>
      <c r="I53" s="595">
        <f t="shared" si="0"/>
        <v>0</v>
      </c>
      <c r="J53" s="596"/>
      <c r="K53" s="592"/>
      <c r="L53" s="605"/>
      <c r="M53" s="605"/>
      <c r="N53" s="608"/>
      <c r="O53" s="618"/>
    </row>
    <row r="54" spans="2:15" ht="12.75" hidden="1" customHeight="1" outlineLevel="1" x14ac:dyDescent="0.2">
      <c r="B54" s="622">
        <v>49</v>
      </c>
      <c r="C54" s="581"/>
      <c r="D54" s="581"/>
      <c r="E54" s="592"/>
      <c r="F54" s="592"/>
      <c r="G54" s="615">
        <v>0</v>
      </c>
      <c r="H54" s="593"/>
      <c r="I54" s="595">
        <f t="shared" si="0"/>
        <v>0</v>
      </c>
      <c r="J54" s="596"/>
      <c r="K54" s="592"/>
      <c r="L54" s="605"/>
      <c r="M54" s="605"/>
      <c r="N54" s="608"/>
      <c r="O54" s="618"/>
    </row>
    <row r="55" spans="2:15" ht="12.75" hidden="1" customHeight="1" outlineLevel="1" x14ac:dyDescent="0.2">
      <c r="B55" s="622">
        <v>50</v>
      </c>
      <c r="C55" s="581"/>
      <c r="D55" s="581"/>
      <c r="E55" s="592"/>
      <c r="F55" s="592"/>
      <c r="G55" s="615">
        <v>0</v>
      </c>
      <c r="H55" s="593"/>
      <c r="I55" s="595">
        <f t="shared" si="0"/>
        <v>0</v>
      </c>
      <c r="J55" s="596"/>
      <c r="K55" s="592"/>
      <c r="L55" s="605"/>
      <c r="M55" s="605"/>
      <c r="N55" s="608"/>
      <c r="O55" s="618"/>
    </row>
    <row r="56" spans="2:15" ht="12.75" hidden="1" customHeight="1" outlineLevel="1" x14ac:dyDescent="0.2">
      <c r="B56" s="622">
        <v>51</v>
      </c>
      <c r="C56" s="581"/>
      <c r="D56" s="581"/>
      <c r="E56" s="592"/>
      <c r="F56" s="592"/>
      <c r="G56" s="615">
        <v>0</v>
      </c>
      <c r="H56" s="593"/>
      <c r="I56" s="595">
        <f t="shared" si="0"/>
        <v>0</v>
      </c>
      <c r="J56" s="596"/>
      <c r="K56" s="592"/>
      <c r="L56" s="605"/>
      <c r="M56" s="605"/>
      <c r="N56" s="608"/>
      <c r="O56" s="618"/>
    </row>
    <row r="57" spans="2:15" ht="12.75" hidden="1" customHeight="1" outlineLevel="1" x14ac:dyDescent="0.2">
      <c r="B57" s="622">
        <v>52</v>
      </c>
      <c r="C57" s="581"/>
      <c r="D57" s="581"/>
      <c r="E57" s="592"/>
      <c r="F57" s="592"/>
      <c r="G57" s="615">
        <v>0</v>
      </c>
      <c r="H57" s="593"/>
      <c r="I57" s="595">
        <f t="shared" si="0"/>
        <v>0</v>
      </c>
      <c r="J57" s="596"/>
      <c r="K57" s="592"/>
      <c r="L57" s="605"/>
      <c r="M57" s="605"/>
      <c r="N57" s="608"/>
      <c r="O57" s="618"/>
    </row>
    <row r="58" spans="2:15" ht="12.75" hidden="1" customHeight="1" outlineLevel="1" x14ac:dyDescent="0.2">
      <c r="B58" s="622">
        <v>53</v>
      </c>
      <c r="C58" s="581"/>
      <c r="D58" s="581"/>
      <c r="E58" s="592"/>
      <c r="F58" s="592"/>
      <c r="G58" s="615">
        <v>0</v>
      </c>
      <c r="H58" s="593"/>
      <c r="I58" s="595">
        <f t="shared" si="0"/>
        <v>0</v>
      </c>
      <c r="J58" s="596"/>
      <c r="K58" s="592"/>
      <c r="L58" s="605"/>
      <c r="M58" s="605"/>
      <c r="N58" s="608"/>
      <c r="O58" s="618"/>
    </row>
    <row r="59" spans="2:15" ht="12.75" hidden="1" customHeight="1" outlineLevel="1" x14ac:dyDescent="0.2">
      <c r="B59" s="622">
        <v>54</v>
      </c>
      <c r="C59" s="581"/>
      <c r="D59" s="581"/>
      <c r="E59" s="592"/>
      <c r="F59" s="592"/>
      <c r="G59" s="615">
        <v>0</v>
      </c>
      <c r="H59" s="593"/>
      <c r="I59" s="595">
        <f t="shared" si="0"/>
        <v>0</v>
      </c>
      <c r="J59" s="596"/>
      <c r="K59" s="592"/>
      <c r="L59" s="605"/>
      <c r="M59" s="605"/>
      <c r="N59" s="608"/>
      <c r="O59" s="618"/>
    </row>
    <row r="60" spans="2:15" ht="12.75" hidden="1" customHeight="1" outlineLevel="1" x14ac:dyDescent="0.2">
      <c r="B60" s="622">
        <v>55</v>
      </c>
      <c r="C60" s="581"/>
      <c r="D60" s="581"/>
      <c r="E60" s="592"/>
      <c r="F60" s="592"/>
      <c r="G60" s="615">
        <v>0</v>
      </c>
      <c r="H60" s="593"/>
      <c r="I60" s="595">
        <f t="shared" si="0"/>
        <v>0</v>
      </c>
      <c r="J60" s="596"/>
      <c r="K60" s="592"/>
      <c r="L60" s="605"/>
      <c r="M60" s="605"/>
      <c r="N60" s="608"/>
      <c r="O60" s="618"/>
    </row>
    <row r="61" spans="2:15" ht="12.75" hidden="1" customHeight="1" outlineLevel="1" x14ac:dyDescent="0.2">
      <c r="B61" s="622">
        <v>56</v>
      </c>
      <c r="C61" s="581"/>
      <c r="D61" s="581"/>
      <c r="E61" s="592"/>
      <c r="F61" s="592"/>
      <c r="G61" s="615">
        <v>0</v>
      </c>
      <c r="H61" s="593"/>
      <c r="I61" s="595">
        <f t="shared" si="0"/>
        <v>0</v>
      </c>
      <c r="J61" s="596"/>
      <c r="K61" s="592"/>
      <c r="L61" s="605"/>
      <c r="M61" s="605"/>
      <c r="N61" s="608"/>
      <c r="O61" s="618"/>
    </row>
    <row r="62" spans="2:15" ht="12.75" hidden="1" customHeight="1" outlineLevel="1" x14ac:dyDescent="0.2">
      <c r="B62" s="622">
        <v>57</v>
      </c>
      <c r="C62" s="581"/>
      <c r="D62" s="581"/>
      <c r="E62" s="592"/>
      <c r="F62" s="592"/>
      <c r="G62" s="615">
        <v>0</v>
      </c>
      <c r="H62" s="593"/>
      <c r="I62" s="595">
        <f t="shared" si="0"/>
        <v>0</v>
      </c>
      <c r="J62" s="596"/>
      <c r="K62" s="592"/>
      <c r="L62" s="605"/>
      <c r="M62" s="605"/>
      <c r="N62" s="608"/>
      <c r="O62" s="618"/>
    </row>
    <row r="63" spans="2:15" ht="12.75" hidden="1" customHeight="1" outlineLevel="1" x14ac:dyDescent="0.2">
      <c r="B63" s="622">
        <v>58</v>
      </c>
      <c r="C63" s="581"/>
      <c r="D63" s="581"/>
      <c r="E63" s="592"/>
      <c r="F63" s="592"/>
      <c r="G63" s="615">
        <v>0</v>
      </c>
      <c r="H63" s="593"/>
      <c r="I63" s="595">
        <f t="shared" si="0"/>
        <v>0</v>
      </c>
      <c r="J63" s="596"/>
      <c r="K63" s="592"/>
      <c r="L63" s="605"/>
      <c r="M63" s="605"/>
      <c r="N63" s="608"/>
      <c r="O63" s="618"/>
    </row>
    <row r="64" spans="2:15" ht="12.75" hidden="1" customHeight="1" outlineLevel="1" x14ac:dyDescent="0.2">
      <c r="B64" s="622">
        <v>59</v>
      </c>
      <c r="C64" s="581"/>
      <c r="D64" s="581"/>
      <c r="E64" s="592"/>
      <c r="F64" s="592"/>
      <c r="G64" s="615">
        <v>0</v>
      </c>
      <c r="H64" s="593"/>
      <c r="I64" s="595">
        <f t="shared" si="0"/>
        <v>0</v>
      </c>
      <c r="J64" s="596"/>
      <c r="K64" s="592"/>
      <c r="L64" s="605"/>
      <c r="M64" s="605"/>
      <c r="N64" s="608"/>
      <c r="O64" s="618"/>
    </row>
    <row r="65" spans="2:18" ht="13.5" hidden="1" outlineLevel="1" thickBot="1" x14ac:dyDescent="0.25">
      <c r="B65" s="622">
        <v>60</v>
      </c>
      <c r="C65" s="591"/>
      <c r="D65" s="591"/>
      <c r="E65" s="597"/>
      <c r="F65" s="597"/>
      <c r="G65" s="616">
        <v>0</v>
      </c>
      <c r="H65" s="598"/>
      <c r="I65" s="599">
        <f t="shared" si="0"/>
        <v>0</v>
      </c>
      <c r="J65" s="600"/>
      <c r="K65" s="597"/>
      <c r="L65" s="614"/>
      <c r="M65" s="614"/>
      <c r="N65" s="597"/>
      <c r="O65" s="1213"/>
    </row>
    <row r="66" spans="2:18" ht="13.5" collapsed="1" thickBot="1" x14ac:dyDescent="0.25">
      <c r="B66" s="612" t="s">
        <v>783</v>
      </c>
      <c r="C66" s="613"/>
      <c r="D66" s="613"/>
      <c r="E66" s="613"/>
      <c r="F66" s="613"/>
      <c r="G66" s="613"/>
      <c r="H66" s="885" t="s">
        <v>539</v>
      </c>
      <c r="I66" s="884">
        <f>SUM(I6:I65)</f>
        <v>0</v>
      </c>
      <c r="J66" s="53"/>
      <c r="K66" s="53"/>
      <c r="L66" s="53"/>
      <c r="M66" s="53"/>
      <c r="N66" s="53"/>
      <c r="O66" s="53"/>
      <c r="P66" s="53"/>
    </row>
    <row r="67" spans="2:18" x14ac:dyDescent="0.2">
      <c r="B67" s="612" t="s">
        <v>538</v>
      </c>
      <c r="C67" s="613"/>
      <c r="D67" s="613"/>
      <c r="E67" s="613"/>
      <c r="F67" s="613"/>
      <c r="G67" s="613"/>
      <c r="H67" s="613"/>
    </row>
    <row r="68" spans="2:18" x14ac:dyDescent="0.2">
      <c r="C68" s="611" t="s">
        <v>85</v>
      </c>
      <c r="D68" s="611" t="s">
        <v>85</v>
      </c>
      <c r="F68" s="611" t="s">
        <v>85</v>
      </c>
    </row>
    <row r="69" spans="2:18" x14ac:dyDescent="0.2">
      <c r="C69" s="1541" t="s">
        <v>297</v>
      </c>
      <c r="D69" s="1541" t="s">
        <v>455</v>
      </c>
      <c r="E69" s="1576" t="s">
        <v>464</v>
      </c>
      <c r="F69" s="1573" t="s">
        <v>535</v>
      </c>
      <c r="G69" s="1541" t="s">
        <v>456</v>
      </c>
      <c r="J69" s="1574" t="s">
        <v>465</v>
      </c>
      <c r="K69" s="1574"/>
    </row>
    <row r="70" spans="2:18" x14ac:dyDescent="0.2">
      <c r="C70" s="1541"/>
      <c r="D70" s="1541"/>
      <c r="E70" s="1576"/>
      <c r="F70" s="1573"/>
      <c r="G70" s="1541"/>
      <c r="J70" s="620" t="s">
        <v>454</v>
      </c>
      <c r="K70" s="620" t="s">
        <v>461</v>
      </c>
    </row>
    <row r="71" spans="2:18" ht="12.75" customHeight="1" x14ac:dyDescent="0.2">
      <c r="C71" s="582"/>
      <c r="D71" s="582"/>
      <c r="E71" s="590">
        <f>SUMPRODUCT((C$6:C$65=C71)*(D$6:D$65=D71)*I$6:I$65)</f>
        <v>0</v>
      </c>
      <c r="F71" s="588"/>
      <c r="G71" s="590">
        <f>E71-F71</f>
        <v>0</v>
      </c>
      <c r="H71" s="610"/>
      <c r="J71" s="1171" t="s">
        <v>570</v>
      </c>
      <c r="K71" s="586" t="str">
        <f>Period1_Label</f>
        <v>Proposer FY 1</v>
      </c>
      <c r="M71" s="149"/>
      <c r="N71" s="149"/>
      <c r="O71" s="149"/>
      <c r="P71" s="149"/>
    </row>
    <row r="72" spans="2:18" x14ac:dyDescent="0.2">
      <c r="C72" s="582"/>
      <c r="D72" s="582"/>
      <c r="E72" s="590">
        <f t="shared" ref="E72:E86" si="1">SUMPRODUCT((C$6:C$65=C72)*(D$6:D$65=D72)*I$6:I$65)</f>
        <v>0</v>
      </c>
      <c r="F72" s="588"/>
      <c r="G72" s="590">
        <f t="shared" ref="G72:G86" si="2">E72-F72</f>
        <v>0</v>
      </c>
      <c r="H72" s="589"/>
      <c r="J72" s="1171" t="s">
        <v>571</v>
      </c>
      <c r="K72" s="586" t="str">
        <f>Period2_Label</f>
        <v>Proposer FY 2</v>
      </c>
      <c r="M72" s="149"/>
      <c r="N72" s="149"/>
      <c r="O72" s="149"/>
      <c r="P72" s="149"/>
    </row>
    <row r="73" spans="2:18" x14ac:dyDescent="0.2">
      <c r="C73" s="582"/>
      <c r="D73" s="582"/>
      <c r="E73" s="590">
        <f t="shared" si="1"/>
        <v>0</v>
      </c>
      <c r="F73" s="588"/>
      <c r="G73" s="590">
        <f t="shared" si="2"/>
        <v>0</v>
      </c>
      <c r="H73" s="587"/>
      <c r="J73" s="1171" t="s">
        <v>572</v>
      </c>
      <c r="K73" s="586" t="str">
        <f>Period3_Label</f>
        <v>Proposer FY 3</v>
      </c>
      <c r="M73" s="149"/>
      <c r="N73" s="149"/>
      <c r="O73" s="149"/>
      <c r="P73" s="149"/>
    </row>
    <row r="74" spans="2:18" x14ac:dyDescent="0.2">
      <c r="C74" s="582"/>
      <c r="D74" s="582"/>
      <c r="E74" s="590">
        <f t="shared" si="1"/>
        <v>0</v>
      </c>
      <c r="F74" s="588"/>
      <c r="G74" s="590">
        <f t="shared" si="2"/>
        <v>0</v>
      </c>
      <c r="H74" s="587"/>
      <c r="J74" s="1171" t="s">
        <v>573</v>
      </c>
      <c r="K74" s="586" t="str">
        <f>Period4_Label</f>
        <v>Proposer FY 4</v>
      </c>
      <c r="M74" s="149"/>
      <c r="N74" s="149"/>
      <c r="O74" s="149"/>
      <c r="P74" s="149"/>
    </row>
    <row r="75" spans="2:18" x14ac:dyDescent="0.2">
      <c r="C75" s="582"/>
      <c r="D75" s="582"/>
      <c r="E75" s="590">
        <f t="shared" si="1"/>
        <v>0</v>
      </c>
      <c r="F75" s="588"/>
      <c r="G75" s="590">
        <f t="shared" si="2"/>
        <v>0</v>
      </c>
      <c r="H75" s="587"/>
      <c r="J75" s="1171" t="s">
        <v>574</v>
      </c>
      <c r="K75" s="586" t="str">
        <f>Period5_Label</f>
        <v>Proposer FY 5</v>
      </c>
      <c r="M75" s="149"/>
      <c r="N75" s="149"/>
      <c r="O75" s="149"/>
      <c r="P75" s="149"/>
    </row>
    <row r="76" spans="2:18" x14ac:dyDescent="0.2">
      <c r="C76" s="582"/>
      <c r="D76" s="582"/>
      <c r="E76" s="590">
        <f t="shared" si="1"/>
        <v>0</v>
      </c>
      <c r="F76" s="588"/>
      <c r="G76" s="590">
        <f t="shared" si="2"/>
        <v>0</v>
      </c>
      <c r="H76" s="610"/>
      <c r="J76" s="1171" t="s">
        <v>575</v>
      </c>
      <c r="K76" s="586" t="str">
        <f>Period6_Label</f>
        <v>Proposer FY 6</v>
      </c>
      <c r="M76" s="148"/>
      <c r="N76" s="148"/>
      <c r="O76" s="148"/>
      <c r="P76" s="148"/>
    </row>
    <row r="77" spans="2:18" x14ac:dyDescent="0.2">
      <c r="C77" s="582"/>
      <c r="D77" s="582"/>
      <c r="E77" s="590">
        <f t="shared" si="1"/>
        <v>0</v>
      </c>
      <c r="F77" s="588"/>
      <c r="G77" s="590">
        <f t="shared" si="2"/>
        <v>0</v>
      </c>
      <c r="H77" s="589"/>
    </row>
    <row r="78" spans="2:18" x14ac:dyDescent="0.2">
      <c r="C78" s="582"/>
      <c r="D78" s="582"/>
      <c r="E78" s="590">
        <f t="shared" si="1"/>
        <v>0</v>
      </c>
      <c r="F78" s="588"/>
      <c r="G78" s="590">
        <f t="shared" si="2"/>
        <v>0</v>
      </c>
    </row>
    <row r="79" spans="2:18" x14ac:dyDescent="0.2">
      <c r="C79" s="582"/>
      <c r="D79" s="582"/>
      <c r="E79" s="590">
        <f t="shared" si="1"/>
        <v>0</v>
      </c>
      <c r="F79" s="588"/>
      <c r="G79" s="590">
        <f t="shared" si="2"/>
        <v>0</v>
      </c>
      <c r="H79" s="587"/>
      <c r="L79" s="40"/>
      <c r="M79" s="40"/>
      <c r="N79" s="40"/>
      <c r="O79" s="40"/>
      <c r="P79" s="40"/>
      <c r="Q79" s="40"/>
      <c r="R79" s="40"/>
    </row>
    <row r="80" spans="2:18" x14ac:dyDescent="0.2">
      <c r="C80" s="582"/>
      <c r="D80" s="582"/>
      <c r="E80" s="590">
        <f t="shared" si="1"/>
        <v>0</v>
      </c>
      <c r="F80" s="588"/>
      <c r="G80" s="590">
        <f t="shared" si="2"/>
        <v>0</v>
      </c>
      <c r="H80" s="587"/>
      <c r="J80" s="151"/>
      <c r="K80" s="151"/>
      <c r="L80" s="151"/>
      <c r="M80" s="151"/>
      <c r="N80" s="151"/>
      <c r="O80" s="151"/>
      <c r="P80" s="151"/>
    </row>
    <row r="81" spans="3:16" x14ac:dyDescent="0.2">
      <c r="C81" s="582"/>
      <c r="D81" s="582"/>
      <c r="E81" s="590">
        <f t="shared" si="1"/>
        <v>0</v>
      </c>
      <c r="F81" s="588"/>
      <c r="G81" s="590">
        <f t="shared" si="2"/>
        <v>0</v>
      </c>
      <c r="H81" s="610"/>
      <c r="J81" s="427"/>
      <c r="K81" s="427"/>
      <c r="L81" s="427"/>
      <c r="M81" s="427"/>
      <c r="N81" s="427"/>
      <c r="O81" s="427"/>
      <c r="P81" s="427"/>
    </row>
    <row r="82" spans="3:16" x14ac:dyDescent="0.2">
      <c r="C82" s="582"/>
      <c r="D82" s="582"/>
      <c r="E82" s="590">
        <f t="shared" si="1"/>
        <v>0</v>
      </c>
      <c r="F82" s="588"/>
      <c r="G82" s="590">
        <f t="shared" si="2"/>
        <v>0</v>
      </c>
      <c r="I82" s="610"/>
      <c r="K82" s="53"/>
    </row>
    <row r="83" spans="3:16" x14ac:dyDescent="0.2">
      <c r="C83" s="582"/>
      <c r="D83" s="582"/>
      <c r="E83" s="590">
        <f t="shared" si="1"/>
        <v>0</v>
      </c>
      <c r="F83" s="588"/>
      <c r="G83" s="590">
        <f t="shared" si="2"/>
        <v>0</v>
      </c>
    </row>
    <row r="84" spans="3:16" x14ac:dyDescent="0.2">
      <c r="C84" s="582"/>
      <c r="D84" s="582"/>
      <c r="E84" s="590">
        <f t="shared" si="1"/>
        <v>0</v>
      </c>
      <c r="F84" s="588"/>
      <c r="G84" s="590">
        <f t="shared" si="2"/>
        <v>0</v>
      </c>
    </row>
    <row r="85" spans="3:16" x14ac:dyDescent="0.2">
      <c r="C85" s="582"/>
      <c r="D85" s="582"/>
      <c r="E85" s="590">
        <f t="shared" si="1"/>
        <v>0</v>
      </c>
      <c r="F85" s="588"/>
      <c r="G85" s="590">
        <f t="shared" si="2"/>
        <v>0</v>
      </c>
    </row>
    <row r="86" spans="3:16" ht="13.5" thickBot="1" x14ac:dyDescent="0.25">
      <c r="C86" s="582"/>
      <c r="D86" s="582"/>
      <c r="E86" s="590">
        <f t="shared" si="1"/>
        <v>0</v>
      </c>
      <c r="F86" s="588"/>
      <c r="G86" s="590">
        <f t="shared" si="2"/>
        <v>0</v>
      </c>
      <c r="I86" s="587"/>
    </row>
    <row r="87" spans="3:16" ht="13.5" thickBot="1" x14ac:dyDescent="0.25">
      <c r="D87" s="589" t="s">
        <v>469</v>
      </c>
      <c r="E87" s="624">
        <f>SUM(E71:E86)</f>
        <v>0</v>
      </c>
      <c r="F87" s="623" t="s">
        <v>470</v>
      </c>
      <c r="I87" s="587"/>
    </row>
    <row r="89" spans="3:16" ht="71.25" customHeight="1" x14ac:dyDescent="0.2">
      <c r="C89" s="610" t="s">
        <v>81</v>
      </c>
      <c r="D89" s="1444" t="s">
        <v>705</v>
      </c>
      <c r="E89" s="1444"/>
      <c r="F89" s="1444"/>
      <c r="G89" s="1444"/>
      <c r="H89" s="1444"/>
      <c r="I89" s="1444"/>
      <c r="J89" s="610" t="s">
        <v>42</v>
      </c>
      <c r="K89" s="1441" t="s">
        <v>466</v>
      </c>
      <c r="L89" s="1441"/>
      <c r="M89" s="1441"/>
      <c r="N89" s="149"/>
      <c r="O89" s="149"/>
      <c r="P89" s="149"/>
    </row>
    <row r="90" spans="3:16" x14ac:dyDescent="0.2">
      <c r="D90" s="1444"/>
      <c r="E90" s="1444"/>
      <c r="F90" s="1444"/>
      <c r="G90" s="1444"/>
      <c r="H90" s="1444"/>
      <c r="I90" s="1444"/>
      <c r="J90" s="610"/>
    </row>
    <row r="91" spans="3:16" ht="191.25" customHeight="1" x14ac:dyDescent="0.2">
      <c r="C91" s="153"/>
      <c r="D91" s="1444"/>
      <c r="E91" s="1444"/>
      <c r="F91" s="1444"/>
      <c r="G91" s="1444"/>
      <c r="H91" s="1444"/>
      <c r="I91" s="1444"/>
      <c r="J91" s="610" t="s">
        <v>13</v>
      </c>
      <c r="K91" s="1441" t="s">
        <v>702</v>
      </c>
      <c r="L91" s="1441"/>
      <c r="M91" s="1441"/>
      <c r="N91" s="155"/>
      <c r="O91" s="155"/>
      <c r="P91" s="155"/>
    </row>
    <row r="92" spans="3:16" x14ac:dyDescent="0.2">
      <c r="D92" s="1444"/>
      <c r="E92" s="1444"/>
      <c r="F92" s="1444"/>
      <c r="G92" s="1444"/>
      <c r="H92" s="1444"/>
      <c r="I92" s="1444"/>
      <c r="J92" s="610"/>
    </row>
    <row r="93" spans="3:16" ht="52.5" customHeight="1" x14ac:dyDescent="0.2">
      <c r="D93" s="1444"/>
      <c r="E93" s="1444"/>
      <c r="F93" s="1444"/>
      <c r="G93" s="1444"/>
      <c r="H93" s="1444"/>
      <c r="I93" s="1444"/>
      <c r="J93" s="610" t="s">
        <v>44</v>
      </c>
      <c r="K93" s="1441" t="s">
        <v>259</v>
      </c>
      <c r="L93" s="1441"/>
      <c r="M93" s="1441"/>
      <c r="N93" s="149"/>
      <c r="O93" s="149"/>
      <c r="P93" s="149"/>
    </row>
    <row r="94" spans="3:16" x14ac:dyDescent="0.2">
      <c r="O94" s="426"/>
    </row>
    <row r="95" spans="3:16" ht="12.75" customHeight="1" x14ac:dyDescent="0.2">
      <c r="C95" s="610"/>
      <c r="E95" s="149"/>
      <c r="F95" s="149"/>
      <c r="G95" s="149"/>
      <c r="H95" s="149"/>
      <c r="I95" s="149"/>
      <c r="J95" s="149"/>
      <c r="K95" s="149"/>
    </row>
    <row r="96" spans="3:16" ht="13.5" thickBot="1" x14ac:dyDescent="0.25">
      <c r="C96" s="589"/>
      <c r="E96" s="149"/>
      <c r="F96" s="149"/>
      <c r="G96" s="149"/>
      <c r="H96" s="149"/>
      <c r="I96" s="149"/>
      <c r="J96" s="149"/>
      <c r="K96" s="149"/>
    </row>
    <row r="97" spans="2:6" customFormat="1" ht="16.5" thickBot="1" x14ac:dyDescent="0.3">
      <c r="C97" s="1520" t="s">
        <v>511</v>
      </c>
      <c r="D97" s="1570"/>
      <c r="E97" s="1521"/>
    </row>
    <row r="98" spans="2:6" customFormat="1" ht="15.75" x14ac:dyDescent="0.2">
      <c r="B98" s="872" t="s">
        <v>512</v>
      </c>
      <c r="C98" s="1571" t="s">
        <v>530</v>
      </c>
      <c r="D98" s="1572"/>
      <c r="E98" s="1572"/>
      <c r="F98" s="1572"/>
    </row>
    <row r="99" spans="2:6" customFormat="1" ht="15.75" x14ac:dyDescent="0.2">
      <c r="B99" s="873"/>
      <c r="C99" s="1494"/>
      <c r="D99" s="1565"/>
      <c r="E99" s="1565"/>
      <c r="F99" s="1495"/>
    </row>
    <row r="100" spans="2:6" customFormat="1" ht="15.75" x14ac:dyDescent="0.2">
      <c r="B100" s="290"/>
      <c r="C100" s="1494"/>
      <c r="D100" s="1565"/>
      <c r="E100" s="1565"/>
      <c r="F100" s="1495"/>
    </row>
    <row r="101" spans="2:6" customFormat="1" ht="15.75" x14ac:dyDescent="0.2">
      <c r="B101" s="290"/>
      <c r="C101" s="1494"/>
      <c r="D101" s="1565"/>
      <c r="E101" s="1565"/>
      <c r="F101" s="1495"/>
    </row>
    <row r="102" spans="2:6" customFormat="1" ht="15.75" x14ac:dyDescent="0.2">
      <c r="B102" s="290"/>
      <c r="C102" s="1494"/>
      <c r="D102" s="1565"/>
      <c r="E102" s="1565"/>
      <c r="F102" s="1495"/>
    </row>
    <row r="103" spans="2:6" customFormat="1" ht="15.75" x14ac:dyDescent="0.2">
      <c r="B103" s="290"/>
      <c r="C103" s="1494"/>
      <c r="D103" s="1565"/>
      <c r="E103" s="1565"/>
      <c r="F103" s="1495"/>
    </row>
    <row r="104" spans="2:6" customFormat="1" ht="15.75" x14ac:dyDescent="0.2">
      <c r="B104" s="290"/>
      <c r="C104" s="1494"/>
      <c r="D104" s="1565"/>
      <c r="E104" s="1565"/>
      <c r="F104" s="1495"/>
    </row>
    <row r="105" spans="2:6" customFormat="1" ht="15.75" customHeight="1" x14ac:dyDescent="0.2">
      <c r="B105" s="290"/>
      <c r="C105" s="1494"/>
      <c r="D105" s="1565"/>
      <c r="E105" s="1565"/>
      <c r="F105" s="1495"/>
    </row>
    <row r="106" spans="2:6" customFormat="1" ht="15.75" customHeight="1" x14ac:dyDescent="0.2">
      <c r="B106" s="290"/>
      <c r="C106" s="1494"/>
      <c r="D106" s="1565"/>
      <c r="E106" s="1565"/>
      <c r="F106" s="1495"/>
    </row>
    <row r="107" spans="2:6" customFormat="1" ht="15.75" x14ac:dyDescent="0.2">
      <c r="B107" s="290"/>
      <c r="C107" s="1494"/>
      <c r="D107" s="1565"/>
      <c r="E107" s="1565"/>
      <c r="F107" s="1495"/>
    </row>
    <row r="108" spans="2:6" customFormat="1" ht="15.75" x14ac:dyDescent="0.2">
      <c r="B108" s="290"/>
      <c r="C108" s="1494"/>
      <c r="D108" s="1565"/>
      <c r="E108" s="1565"/>
      <c r="F108" s="1495"/>
    </row>
    <row r="109" spans="2:6" customFormat="1" ht="15.75" x14ac:dyDescent="0.2">
      <c r="B109" s="290"/>
      <c r="C109" s="1494"/>
      <c r="D109" s="1565"/>
      <c r="E109" s="1565"/>
      <c r="F109" s="1495"/>
    </row>
    <row r="110" spans="2:6" customFormat="1" ht="15.75" x14ac:dyDescent="0.2">
      <c r="B110" s="290"/>
      <c r="C110" s="1494"/>
      <c r="D110" s="1565"/>
      <c r="E110" s="1565"/>
      <c r="F110" s="1495"/>
    </row>
    <row r="111" spans="2:6" customFormat="1" ht="15.75" x14ac:dyDescent="0.2">
      <c r="B111" s="290"/>
      <c r="C111" s="1494"/>
      <c r="D111" s="1565"/>
      <c r="E111" s="1565"/>
      <c r="F111" s="1495"/>
    </row>
    <row r="112" spans="2:6" customFormat="1" x14ac:dyDescent="0.2"/>
  </sheetData>
  <mergeCells count="26">
    <mergeCell ref="C109:F109"/>
    <mergeCell ref="C110:F110"/>
    <mergeCell ref="C111:F111"/>
    <mergeCell ref="C97:E97"/>
    <mergeCell ref="C98:F98"/>
    <mergeCell ref="C99:F99"/>
    <mergeCell ref="C100:F100"/>
    <mergeCell ref="C101:F101"/>
    <mergeCell ref="C102:F102"/>
    <mergeCell ref="C103:F103"/>
    <mergeCell ref="C104:F104"/>
    <mergeCell ref="C105:F105"/>
    <mergeCell ref="C106:F106"/>
    <mergeCell ref="C107:F107"/>
    <mergeCell ref="C108:F108"/>
    <mergeCell ref="D89:I93"/>
    <mergeCell ref="F69:F70"/>
    <mergeCell ref="J69:K69"/>
    <mergeCell ref="B2:E2"/>
    <mergeCell ref="C69:C70"/>
    <mergeCell ref="D69:D70"/>
    <mergeCell ref="E69:E70"/>
    <mergeCell ref="G69:G70"/>
    <mergeCell ref="K89:M89"/>
    <mergeCell ref="K91:M91"/>
    <mergeCell ref="K93:M93"/>
  </mergeCells>
  <phoneticPr fontId="3" type="noConversion"/>
  <dataValidations count="3">
    <dataValidation type="list" allowBlank="1" showInputMessage="1" showErrorMessage="1" sqref="C6:C65 C71:C86">
      <formula1>$J$71:$J$76</formula1>
    </dataValidation>
    <dataValidation type="list" allowBlank="1" showInputMessage="1" showErrorMessage="1" sqref="D6:D65">
      <formula1>$K$71:$K$76</formula1>
    </dataValidation>
    <dataValidation type="list" allowBlank="1" showInputMessage="1" showErrorMessage="1" sqref="D71:D86">
      <formula1>$K$71:$K$77</formula1>
    </dataValidation>
  </dataValidations>
  <pageMargins left="0.75" right="0.75" top="1" bottom="1" header="0.5" footer="0.5"/>
  <pageSetup scale="80" orientation="landscape"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 Values'!$D$6:$D$7</xm:f>
          </x14:formula1>
          <xm:sqref>N6:N65</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5E8FF"/>
    <pageSetUpPr fitToPage="1"/>
  </sheetPr>
  <dimension ref="B1:U61"/>
  <sheetViews>
    <sheetView zoomScale="90" zoomScaleNormal="90" workbookViewId="0">
      <pane xSplit="9" ySplit="5" topLeftCell="J6" activePane="bottomRight" state="frozen"/>
      <selection activeCell="B3" sqref="B3:P3"/>
      <selection pane="topRight" activeCell="B3" sqref="B3:P3"/>
      <selection pane="bottomLeft" activeCell="B3" sqref="B3:P3"/>
      <selection pane="bottomRight" activeCell="H32" sqref="H32"/>
    </sheetView>
  </sheetViews>
  <sheetFormatPr defaultColWidth="8.7109375" defaultRowHeight="12.75" x14ac:dyDescent="0.2"/>
  <cols>
    <col min="1" max="1" width="0.85546875" style="35" customWidth="1"/>
    <col min="2" max="2" width="6.7109375" style="35" customWidth="1"/>
    <col min="3" max="3" width="11" style="35" customWidth="1"/>
    <col min="4" max="4" width="13.28515625" style="35" customWidth="1"/>
    <col min="5" max="5" width="19.28515625" style="35" customWidth="1"/>
    <col min="6" max="6" width="29.5703125" style="35" customWidth="1"/>
    <col min="7" max="7" width="14.7109375" style="35" customWidth="1"/>
    <col min="8" max="8" width="9" style="35" customWidth="1"/>
    <col min="9" max="9" width="14.7109375" style="35" customWidth="1"/>
    <col min="10" max="10" width="29.85546875" style="35" customWidth="1"/>
    <col min="11" max="11" width="29" style="35" customWidth="1"/>
    <col min="12" max="12" width="6.28515625" style="35" customWidth="1"/>
    <col min="13" max="13" width="31.7109375" style="35" customWidth="1"/>
    <col min="14" max="14" width="32" style="35" customWidth="1"/>
    <col min="15" max="15" width="8.42578125" style="35" customWidth="1"/>
    <col min="16" max="16" width="12.42578125" style="35" customWidth="1"/>
    <col min="17" max="17" width="11.42578125" style="35" customWidth="1"/>
    <col min="18" max="18" width="11" style="35" customWidth="1"/>
    <col min="19" max="19" width="13.140625" style="35" customWidth="1"/>
    <col min="20" max="20" width="2.140625" style="35" customWidth="1"/>
    <col min="21" max="21" width="14.5703125" style="35" customWidth="1"/>
    <col min="22" max="16384" width="8.7109375" style="35"/>
  </cols>
  <sheetData>
    <row r="1" spans="2:19" s="524" customFormat="1" ht="18.75" x14ac:dyDescent="0.3">
      <c r="B1" s="1059" t="s">
        <v>669</v>
      </c>
      <c r="C1" s="1060"/>
      <c r="D1" s="1060"/>
      <c r="E1" s="1061"/>
      <c r="F1" s="1062"/>
      <c r="G1" s="1060"/>
      <c r="H1" s="1060"/>
      <c r="I1" s="1060"/>
      <c r="J1" s="1060"/>
      <c r="K1" s="1060"/>
      <c r="L1" s="1060"/>
      <c r="M1" s="1060"/>
      <c r="N1" s="1061"/>
      <c r="O1" s="1060"/>
      <c r="P1" s="1061"/>
      <c r="Q1" s="1061"/>
      <c r="R1" s="1061"/>
      <c r="S1" s="1061"/>
    </row>
    <row r="2" spans="2:19" s="143" customFormat="1" ht="15.75" x14ac:dyDescent="0.25">
      <c r="B2" s="1575" t="str">
        <f>INITIALIZATION!C5</f>
        <v>Proposer's Name (Prime or Sub)</v>
      </c>
      <c r="C2" s="1575"/>
      <c r="D2" s="1575"/>
      <c r="E2" s="1575"/>
      <c r="F2" s="611" t="s">
        <v>541</v>
      </c>
      <c r="G2" s="526"/>
      <c r="H2" s="526"/>
      <c r="I2" s="526"/>
      <c r="J2" s="526"/>
      <c r="K2" s="526"/>
      <c r="L2" s="526"/>
      <c r="M2" s="526"/>
      <c r="O2" s="526"/>
    </row>
    <row r="3" spans="2:19" s="143" customFormat="1" ht="15.75" x14ac:dyDescent="0.25">
      <c r="B3" s="526"/>
      <c r="C3" s="526"/>
      <c r="D3" s="526"/>
      <c r="E3" s="526"/>
      <c r="F3" s="526"/>
      <c r="G3" s="526"/>
      <c r="H3" s="526"/>
      <c r="I3" s="526"/>
      <c r="J3" s="526"/>
      <c r="K3" s="526"/>
      <c r="L3" s="526"/>
      <c r="N3" s="526"/>
    </row>
    <row r="4" spans="2:19" ht="13.5" thickBot="1" x14ac:dyDescent="0.25">
      <c r="B4" s="611" t="s">
        <v>85</v>
      </c>
      <c r="C4" s="611" t="s">
        <v>85</v>
      </c>
      <c r="E4" s="611" t="s">
        <v>85</v>
      </c>
      <c r="F4" s="611"/>
      <c r="L4" s="953" t="s">
        <v>679</v>
      </c>
      <c r="O4" s="617" t="s">
        <v>672</v>
      </c>
    </row>
    <row r="5" spans="2:19" ht="26.25" customHeight="1" thickBot="1" x14ac:dyDescent="0.25">
      <c r="B5" s="577" t="s">
        <v>446</v>
      </c>
      <c r="C5" s="578" t="s">
        <v>448</v>
      </c>
      <c r="D5" s="578" t="s">
        <v>461</v>
      </c>
      <c r="E5" s="578" t="s">
        <v>458</v>
      </c>
      <c r="F5" s="909" t="s">
        <v>670</v>
      </c>
      <c r="G5" s="909" t="s">
        <v>468</v>
      </c>
      <c r="H5" s="909" t="s">
        <v>6</v>
      </c>
      <c r="I5" s="909" t="s">
        <v>467</v>
      </c>
      <c r="J5" s="908" t="s">
        <v>673</v>
      </c>
      <c r="K5" s="908" t="s">
        <v>686</v>
      </c>
      <c r="L5" s="908" t="s">
        <v>589</v>
      </c>
      <c r="M5" s="609" t="s">
        <v>14</v>
      </c>
      <c r="N5" s="609" t="s">
        <v>681</v>
      </c>
      <c r="O5" s="607" t="s">
        <v>680</v>
      </c>
      <c r="P5" s="578" t="s">
        <v>462</v>
      </c>
    </row>
    <row r="6" spans="2:19" x14ac:dyDescent="0.2">
      <c r="B6" s="621">
        <v>1</v>
      </c>
      <c r="C6" s="581"/>
      <c r="D6" s="581"/>
      <c r="E6" s="601"/>
      <c r="F6" s="601"/>
      <c r="G6" s="615">
        <v>0</v>
      </c>
      <c r="H6" s="602"/>
      <c r="I6" s="595">
        <f>H6*G6</f>
        <v>0</v>
      </c>
      <c r="J6" s="601"/>
      <c r="K6" s="601"/>
      <c r="L6" s="608"/>
      <c r="M6" s="604"/>
      <c r="N6" s="604"/>
      <c r="O6" s="608"/>
      <c r="P6" s="619" t="s">
        <v>684</v>
      </c>
    </row>
    <row r="7" spans="2:19" x14ac:dyDescent="0.2">
      <c r="B7" s="622">
        <v>2</v>
      </c>
      <c r="C7" s="581"/>
      <c r="D7" s="581"/>
      <c r="E7" s="592"/>
      <c r="F7" s="592"/>
      <c r="G7" s="615">
        <v>0</v>
      </c>
      <c r="H7" s="593"/>
      <c r="I7" s="595">
        <f>H7*G7</f>
        <v>0</v>
      </c>
      <c r="J7" s="592"/>
      <c r="K7" s="601"/>
      <c r="L7" s="592"/>
      <c r="M7" s="606"/>
      <c r="N7" s="606"/>
      <c r="O7" s="608"/>
      <c r="P7" s="618"/>
    </row>
    <row r="8" spans="2:19" x14ac:dyDescent="0.2">
      <c r="B8" s="622">
        <v>3</v>
      </c>
      <c r="C8" s="581"/>
      <c r="D8" s="581"/>
      <c r="E8" s="592"/>
      <c r="F8" s="592"/>
      <c r="G8" s="615">
        <v>0</v>
      </c>
      <c r="H8" s="594"/>
      <c r="I8" s="595">
        <f>H8*G8</f>
        <v>0</v>
      </c>
      <c r="J8" s="592"/>
      <c r="K8" s="601"/>
      <c r="L8" s="592"/>
      <c r="M8" s="606"/>
      <c r="N8" s="606"/>
      <c r="O8" s="608"/>
      <c r="P8" s="618"/>
    </row>
    <row r="9" spans="2:19" x14ac:dyDescent="0.2">
      <c r="B9" s="621">
        <v>4</v>
      </c>
      <c r="C9" s="581"/>
      <c r="D9" s="581"/>
      <c r="E9" s="592"/>
      <c r="F9" s="592"/>
      <c r="G9" s="615">
        <v>0</v>
      </c>
      <c r="H9" s="593"/>
      <c r="I9" s="595">
        <f>H9*G9</f>
        <v>0</v>
      </c>
      <c r="J9" s="592"/>
      <c r="K9" s="601"/>
      <c r="L9" s="592"/>
      <c r="M9" s="605"/>
      <c r="N9" s="605"/>
      <c r="O9" s="608"/>
      <c r="P9" s="618"/>
    </row>
    <row r="10" spans="2:19" x14ac:dyDescent="0.2">
      <c r="B10" s="622">
        <v>5</v>
      </c>
      <c r="C10" s="581"/>
      <c r="D10" s="581"/>
      <c r="E10" s="592"/>
      <c r="F10" s="592"/>
      <c r="G10" s="615">
        <v>0</v>
      </c>
      <c r="H10" s="593"/>
      <c r="I10" s="595">
        <f>H10*G10</f>
        <v>0</v>
      </c>
      <c r="J10" s="592"/>
      <c r="K10" s="601"/>
      <c r="L10" s="592"/>
      <c r="M10" s="605"/>
      <c r="N10" s="605"/>
      <c r="O10" s="608"/>
      <c r="P10" s="618"/>
    </row>
    <row r="11" spans="2:19" x14ac:dyDescent="0.2">
      <c r="B11" s="622">
        <v>6</v>
      </c>
      <c r="C11" s="581"/>
      <c r="D11" s="581"/>
      <c r="E11" s="592"/>
      <c r="F11" s="592"/>
      <c r="G11" s="615">
        <v>0</v>
      </c>
      <c r="H11" s="593"/>
      <c r="I11" s="595">
        <f t="shared" ref="I11:I17" si="0">H11*G11</f>
        <v>0</v>
      </c>
      <c r="J11" s="592"/>
      <c r="K11" s="601"/>
      <c r="L11" s="592"/>
      <c r="M11" s="605"/>
      <c r="N11" s="605"/>
      <c r="O11" s="608"/>
      <c r="P11" s="618"/>
    </row>
    <row r="12" spans="2:19" x14ac:dyDescent="0.2">
      <c r="B12" s="621">
        <v>7</v>
      </c>
      <c r="C12" s="581"/>
      <c r="D12" s="581"/>
      <c r="E12" s="592"/>
      <c r="F12" s="592"/>
      <c r="G12" s="615">
        <v>0</v>
      </c>
      <c r="H12" s="593"/>
      <c r="I12" s="595">
        <f t="shared" si="0"/>
        <v>0</v>
      </c>
      <c r="J12" s="592"/>
      <c r="K12" s="601"/>
      <c r="L12" s="592"/>
      <c r="M12" s="605"/>
      <c r="N12" s="605"/>
      <c r="O12" s="608"/>
      <c r="P12" s="618"/>
    </row>
    <row r="13" spans="2:19" x14ac:dyDescent="0.2">
      <c r="B13" s="622">
        <v>8</v>
      </c>
      <c r="C13" s="581"/>
      <c r="D13" s="581"/>
      <c r="E13" s="592"/>
      <c r="F13" s="592"/>
      <c r="G13" s="615">
        <v>0</v>
      </c>
      <c r="H13" s="593"/>
      <c r="I13" s="595">
        <f t="shared" si="0"/>
        <v>0</v>
      </c>
      <c r="J13" s="592"/>
      <c r="K13" s="601"/>
      <c r="L13" s="592"/>
      <c r="M13" s="605"/>
      <c r="N13" s="605"/>
      <c r="O13" s="608"/>
      <c r="P13" s="618"/>
    </row>
    <row r="14" spans="2:19" x14ac:dyDescent="0.2">
      <c r="B14" s="622">
        <v>9</v>
      </c>
      <c r="C14" s="581"/>
      <c r="D14" s="581"/>
      <c r="E14" s="592"/>
      <c r="F14" s="592"/>
      <c r="G14" s="615">
        <v>0</v>
      </c>
      <c r="H14" s="593"/>
      <c r="I14" s="595">
        <f t="shared" si="0"/>
        <v>0</v>
      </c>
      <c r="J14" s="592"/>
      <c r="K14" s="601"/>
      <c r="L14" s="592"/>
      <c r="M14" s="605"/>
      <c r="N14" s="605"/>
      <c r="O14" s="608"/>
      <c r="P14" s="618"/>
    </row>
    <row r="15" spans="2:19" x14ac:dyDescent="0.2">
      <c r="B15" s="622">
        <v>10</v>
      </c>
      <c r="C15" s="581"/>
      <c r="D15" s="581"/>
      <c r="E15" s="592"/>
      <c r="F15" s="592"/>
      <c r="G15" s="615">
        <v>0</v>
      </c>
      <c r="H15" s="593"/>
      <c r="I15" s="595">
        <f t="shared" si="0"/>
        <v>0</v>
      </c>
      <c r="J15" s="592"/>
      <c r="K15" s="601"/>
      <c r="L15" s="592"/>
      <c r="M15" s="605"/>
      <c r="N15" s="605"/>
      <c r="O15" s="608"/>
      <c r="P15" s="618"/>
    </row>
    <row r="16" spans="2:19" x14ac:dyDescent="0.2">
      <c r="B16" s="622">
        <v>11</v>
      </c>
      <c r="C16" s="581"/>
      <c r="D16" s="581"/>
      <c r="E16" s="592"/>
      <c r="F16" s="592"/>
      <c r="G16" s="615">
        <v>0</v>
      </c>
      <c r="H16" s="593"/>
      <c r="I16" s="595">
        <f t="shared" si="0"/>
        <v>0</v>
      </c>
      <c r="J16" s="592"/>
      <c r="K16" s="601"/>
      <c r="L16" s="592"/>
      <c r="M16" s="605"/>
      <c r="N16" s="605"/>
      <c r="O16" s="608"/>
      <c r="P16" s="618"/>
    </row>
    <row r="17" spans="2:21" ht="13.5" thickBot="1" x14ac:dyDescent="0.25">
      <c r="B17" s="622">
        <v>12</v>
      </c>
      <c r="C17" s="591"/>
      <c r="D17" s="591"/>
      <c r="E17" s="597"/>
      <c r="F17" s="597"/>
      <c r="G17" s="616">
        <v>0</v>
      </c>
      <c r="H17" s="598"/>
      <c r="I17" s="599">
        <f t="shared" si="0"/>
        <v>0</v>
      </c>
      <c r="J17" s="597"/>
      <c r="K17" s="597"/>
      <c r="L17" s="597"/>
      <c r="M17" s="614"/>
      <c r="N17" s="614"/>
      <c r="O17" s="597"/>
      <c r="P17" s="1213"/>
    </row>
    <row r="18" spans="2:21" ht="13.5" thickBot="1" x14ac:dyDescent="0.25">
      <c r="B18" s="612" t="s">
        <v>682</v>
      </c>
      <c r="C18" s="613"/>
      <c r="D18" s="613"/>
      <c r="E18" s="613"/>
      <c r="F18" s="613"/>
      <c r="H18" s="885" t="s">
        <v>539</v>
      </c>
      <c r="I18" s="884">
        <f>SUM(I6:I17)</f>
        <v>0</v>
      </c>
      <c r="J18" s="53"/>
      <c r="K18" s="53"/>
      <c r="L18" s="53"/>
      <c r="M18" s="53"/>
      <c r="N18" s="53"/>
      <c r="O18" s="53"/>
      <c r="P18" s="53"/>
      <c r="Q18" s="53"/>
      <c r="R18" s="53"/>
    </row>
    <row r="19" spans="2:21" x14ac:dyDescent="0.2">
      <c r="B19" s="612" t="s">
        <v>683</v>
      </c>
      <c r="C19" s="613"/>
      <c r="D19" s="613"/>
      <c r="E19" s="613"/>
      <c r="F19" s="613"/>
    </row>
    <row r="20" spans="2:21" x14ac:dyDescent="0.2">
      <c r="C20" s="611" t="s">
        <v>85</v>
      </c>
      <c r="D20" s="611" t="s">
        <v>85</v>
      </c>
      <c r="F20" s="611" t="s">
        <v>85</v>
      </c>
    </row>
    <row r="21" spans="2:21" x14ac:dyDescent="0.2">
      <c r="C21" s="1541" t="s">
        <v>297</v>
      </c>
      <c r="D21" s="1541" t="s">
        <v>455</v>
      </c>
      <c r="E21" s="1576" t="s">
        <v>464</v>
      </c>
      <c r="F21" s="1573" t="s">
        <v>535</v>
      </c>
      <c r="G21" s="1541" t="s">
        <v>456</v>
      </c>
      <c r="J21" s="1574" t="s">
        <v>465</v>
      </c>
      <c r="K21" s="1574"/>
    </row>
    <row r="22" spans="2:21" x14ac:dyDescent="0.2">
      <c r="C22" s="1541"/>
      <c r="D22" s="1541"/>
      <c r="E22" s="1576"/>
      <c r="F22" s="1573"/>
      <c r="G22" s="1541"/>
      <c r="J22" s="620" t="s">
        <v>454</v>
      </c>
      <c r="K22" s="620" t="s">
        <v>461</v>
      </c>
      <c r="N22" s="905"/>
    </row>
    <row r="23" spans="2:21" ht="12.75" customHeight="1" x14ac:dyDescent="0.2">
      <c r="C23" s="582"/>
      <c r="D23" s="582"/>
      <c r="E23" s="590">
        <f>SUMPRODUCT((C$6:C$17=C23)*(D$6:D$17=D23)*I$6:I$17)</f>
        <v>0</v>
      </c>
      <c r="F23" s="588"/>
      <c r="G23" s="590">
        <f>E23-F23</f>
        <v>0</v>
      </c>
      <c r="H23" s="610"/>
      <c r="J23" s="1171" t="s">
        <v>570</v>
      </c>
      <c r="K23" s="586" t="str">
        <f>Period1_Label</f>
        <v>Proposer FY 1</v>
      </c>
      <c r="O23" s="905"/>
      <c r="P23" s="905"/>
      <c r="Q23" s="905"/>
      <c r="R23" s="905"/>
      <c r="S23" s="905"/>
    </row>
    <row r="24" spans="2:21" x14ac:dyDescent="0.2">
      <c r="C24" s="582"/>
      <c r="D24" s="582"/>
      <c r="E24" s="590">
        <f t="shared" ref="E24:E34" si="1">SUMPRODUCT((C$6:C$17=C24)*(D$6:D$17=D24)*I$6:I$17)</f>
        <v>0</v>
      </c>
      <c r="F24" s="588"/>
      <c r="G24" s="590">
        <f t="shared" ref="G24:G34" si="2">E24-F24</f>
        <v>0</v>
      </c>
      <c r="H24" s="589"/>
      <c r="J24" s="1171" t="s">
        <v>571</v>
      </c>
      <c r="K24" s="586" t="str">
        <f>Period2_Label</f>
        <v>Proposer FY 2</v>
      </c>
      <c r="O24" s="905"/>
      <c r="P24" s="905"/>
      <c r="Q24" s="905"/>
      <c r="R24" s="905"/>
      <c r="S24" s="905"/>
    </row>
    <row r="25" spans="2:21" x14ac:dyDescent="0.2">
      <c r="C25" s="582"/>
      <c r="D25" s="582"/>
      <c r="E25" s="590">
        <f t="shared" si="1"/>
        <v>0</v>
      </c>
      <c r="F25" s="588"/>
      <c r="G25" s="590">
        <f t="shared" si="2"/>
        <v>0</v>
      </c>
      <c r="H25" s="587"/>
      <c r="J25" s="1171" t="s">
        <v>572</v>
      </c>
      <c r="K25" s="586" t="str">
        <f>Period3_Label</f>
        <v>Proposer FY 3</v>
      </c>
      <c r="O25" s="905"/>
      <c r="P25" s="905"/>
      <c r="Q25" s="905"/>
      <c r="R25" s="905"/>
      <c r="S25" s="905"/>
    </row>
    <row r="26" spans="2:21" x14ac:dyDescent="0.2">
      <c r="C26" s="582"/>
      <c r="D26" s="582"/>
      <c r="E26" s="590">
        <f t="shared" si="1"/>
        <v>0</v>
      </c>
      <c r="F26" s="588"/>
      <c r="G26" s="590">
        <f t="shared" si="2"/>
        <v>0</v>
      </c>
      <c r="H26" s="587"/>
      <c r="J26" s="1171" t="s">
        <v>573</v>
      </c>
      <c r="K26" s="586" t="str">
        <f>Period4_Label</f>
        <v>Proposer FY 4</v>
      </c>
      <c r="O26" s="905"/>
      <c r="P26" s="905"/>
      <c r="Q26" s="905"/>
      <c r="R26" s="905"/>
      <c r="S26" s="905"/>
    </row>
    <row r="27" spans="2:21" x14ac:dyDescent="0.2">
      <c r="C27" s="582"/>
      <c r="D27" s="582"/>
      <c r="E27" s="590">
        <f t="shared" si="1"/>
        <v>0</v>
      </c>
      <c r="F27" s="588"/>
      <c r="G27" s="590">
        <f t="shared" si="2"/>
        <v>0</v>
      </c>
      <c r="H27" s="587"/>
      <c r="J27" s="1171" t="s">
        <v>574</v>
      </c>
      <c r="K27" s="586" t="str">
        <f>Period5_Label</f>
        <v>Proposer FY 5</v>
      </c>
      <c r="O27" s="905"/>
      <c r="P27" s="905"/>
      <c r="Q27" s="905"/>
      <c r="R27" s="905"/>
      <c r="S27" s="905"/>
    </row>
    <row r="28" spans="2:21" x14ac:dyDescent="0.2">
      <c r="C28" s="582"/>
      <c r="D28" s="582"/>
      <c r="E28" s="590">
        <f t="shared" si="1"/>
        <v>0</v>
      </c>
      <c r="F28" s="588"/>
      <c r="G28" s="590">
        <f t="shared" si="2"/>
        <v>0</v>
      </c>
      <c r="H28" s="610"/>
      <c r="J28" s="1171" t="s">
        <v>575</v>
      </c>
      <c r="K28" s="586" t="str">
        <f>Period6_Label</f>
        <v>Proposer FY 6</v>
      </c>
      <c r="O28" s="148"/>
      <c r="P28" s="148"/>
      <c r="Q28" s="148"/>
      <c r="R28" s="148"/>
      <c r="S28" s="148"/>
    </row>
    <row r="29" spans="2:21" x14ac:dyDescent="0.2">
      <c r="C29" s="582"/>
      <c r="D29" s="582"/>
      <c r="E29" s="590">
        <f t="shared" si="1"/>
        <v>0</v>
      </c>
      <c r="F29" s="588"/>
      <c r="G29" s="590">
        <f t="shared" si="2"/>
        <v>0</v>
      </c>
      <c r="H29" s="589"/>
    </row>
    <row r="30" spans="2:21" x14ac:dyDescent="0.2">
      <c r="C30" s="582"/>
      <c r="D30" s="582"/>
      <c r="E30" s="590">
        <f t="shared" si="1"/>
        <v>0</v>
      </c>
      <c r="F30" s="588"/>
      <c r="G30" s="590">
        <f t="shared" si="2"/>
        <v>0</v>
      </c>
    </row>
    <row r="31" spans="2:21" x14ac:dyDescent="0.2">
      <c r="C31" s="582"/>
      <c r="D31" s="582"/>
      <c r="E31" s="590">
        <f t="shared" si="1"/>
        <v>0</v>
      </c>
      <c r="F31" s="588"/>
      <c r="G31" s="590">
        <f t="shared" si="2"/>
        <v>0</v>
      </c>
      <c r="H31" s="587"/>
      <c r="N31" s="40"/>
      <c r="O31" s="40"/>
      <c r="P31" s="40"/>
      <c r="Q31" s="40"/>
      <c r="R31" s="40"/>
      <c r="S31" s="40"/>
      <c r="T31" s="40"/>
      <c r="U31" s="40"/>
    </row>
    <row r="32" spans="2:21" x14ac:dyDescent="0.2">
      <c r="C32" s="582"/>
      <c r="D32" s="582"/>
      <c r="E32" s="590">
        <f t="shared" si="1"/>
        <v>0</v>
      </c>
      <c r="F32" s="588"/>
      <c r="G32" s="590">
        <f t="shared" si="2"/>
        <v>0</v>
      </c>
      <c r="H32" s="587"/>
      <c r="J32" s="904"/>
      <c r="K32" s="904"/>
      <c r="L32" s="904"/>
      <c r="M32" s="904"/>
      <c r="N32" s="904"/>
      <c r="O32" s="904"/>
      <c r="P32" s="904"/>
      <c r="Q32" s="904"/>
      <c r="R32" s="904"/>
      <c r="S32" s="904"/>
    </row>
    <row r="33" spans="2:19" x14ac:dyDescent="0.2">
      <c r="C33" s="582"/>
      <c r="D33" s="582"/>
      <c r="E33" s="590">
        <f t="shared" si="1"/>
        <v>0</v>
      </c>
      <c r="F33" s="588"/>
      <c r="G33" s="590">
        <f t="shared" si="2"/>
        <v>0</v>
      </c>
      <c r="H33" s="610"/>
      <c r="J33" s="631"/>
      <c r="K33" s="631"/>
      <c r="L33" s="631"/>
      <c r="M33" s="631"/>
      <c r="N33" s="631"/>
      <c r="O33" s="631"/>
      <c r="P33" s="631"/>
      <c r="Q33" s="631"/>
      <c r="R33" s="631"/>
      <c r="S33" s="631"/>
    </row>
    <row r="34" spans="2:19" ht="13.5" thickBot="1" x14ac:dyDescent="0.25">
      <c r="C34" s="582"/>
      <c r="D34" s="582"/>
      <c r="E34" s="590">
        <f t="shared" si="1"/>
        <v>0</v>
      </c>
      <c r="F34" s="588"/>
      <c r="G34" s="590">
        <f t="shared" si="2"/>
        <v>0</v>
      </c>
      <c r="I34" s="587"/>
    </row>
    <row r="35" spans="2:19" ht="13.5" thickBot="1" x14ac:dyDescent="0.25">
      <c r="D35" s="589" t="s">
        <v>469</v>
      </c>
      <c r="E35" s="624">
        <f>SUM(E23:E34)</f>
        <v>0</v>
      </c>
      <c r="F35" s="623" t="s">
        <v>470</v>
      </c>
      <c r="I35" s="587"/>
    </row>
    <row r="37" spans="2:19" ht="81.75" customHeight="1" x14ac:dyDescent="0.2">
      <c r="C37" s="610" t="s">
        <v>81</v>
      </c>
      <c r="D37" s="1444" t="s">
        <v>706</v>
      </c>
      <c r="E37" s="1444"/>
      <c r="F37" s="1444"/>
      <c r="G37" s="1444"/>
      <c r="H37" s="1444"/>
      <c r="I37" s="1444"/>
      <c r="J37" s="610" t="s">
        <v>42</v>
      </c>
      <c r="K37" s="1441" t="s">
        <v>84</v>
      </c>
      <c r="L37" s="1441"/>
      <c r="M37" s="1441"/>
      <c r="N37" s="1441"/>
      <c r="O37" s="1441"/>
      <c r="P37" s="905"/>
      <c r="Q37" s="905"/>
      <c r="R37" s="905"/>
      <c r="S37" s="905"/>
    </row>
    <row r="38" spans="2:19" x14ac:dyDescent="0.2">
      <c r="D38" s="1444"/>
      <c r="E38" s="1444"/>
      <c r="F38" s="1444"/>
      <c r="G38" s="1444"/>
      <c r="H38" s="1444"/>
      <c r="I38" s="1444"/>
      <c r="J38" s="610"/>
    </row>
    <row r="39" spans="2:19" ht="168.75" customHeight="1" x14ac:dyDescent="0.2">
      <c r="C39" s="911"/>
      <c r="D39" s="1444"/>
      <c r="E39" s="1444"/>
      <c r="F39" s="1444"/>
      <c r="G39" s="1444"/>
      <c r="H39" s="1444"/>
      <c r="I39" s="1444"/>
      <c r="J39" s="610" t="s">
        <v>13</v>
      </c>
      <c r="K39" s="1441" t="s">
        <v>775</v>
      </c>
      <c r="L39" s="1441"/>
      <c r="M39" s="1441"/>
      <c r="N39" s="1441"/>
      <c r="O39" s="1441"/>
      <c r="P39" s="838"/>
      <c r="Q39" s="838"/>
      <c r="R39" s="838"/>
      <c r="S39" s="838"/>
    </row>
    <row r="40" spans="2:19" x14ac:dyDescent="0.2">
      <c r="D40" s="1444"/>
      <c r="E40" s="1444"/>
      <c r="F40" s="1444"/>
      <c r="G40" s="1444"/>
      <c r="H40" s="1444"/>
      <c r="I40" s="1444"/>
      <c r="J40" s="610"/>
    </row>
    <row r="41" spans="2:19" ht="56.25" customHeight="1" x14ac:dyDescent="0.2">
      <c r="D41" s="1444"/>
      <c r="E41" s="1444"/>
      <c r="F41" s="1444"/>
      <c r="G41" s="1444"/>
      <c r="H41" s="1444"/>
      <c r="I41" s="1444"/>
      <c r="J41" s="610" t="s">
        <v>44</v>
      </c>
      <c r="K41" s="1441" t="s">
        <v>685</v>
      </c>
      <c r="L41" s="1441"/>
      <c r="M41" s="1441"/>
      <c r="N41" s="1441"/>
      <c r="O41" s="1441"/>
      <c r="P41" s="905"/>
      <c r="Q41" s="905"/>
      <c r="R41" s="905"/>
      <c r="S41" s="905"/>
    </row>
    <row r="42" spans="2:19" ht="127.5" customHeight="1" x14ac:dyDescent="0.2">
      <c r="K42" s="1441"/>
      <c r="L42" s="1441"/>
      <c r="M42" s="1441"/>
      <c r="N42" s="1441"/>
      <c r="O42" s="1441"/>
      <c r="R42" s="426"/>
    </row>
    <row r="43" spans="2:19" ht="12.75" customHeight="1" x14ac:dyDescent="0.2">
      <c r="C43" s="610"/>
      <c r="E43" s="905"/>
      <c r="F43" s="905"/>
      <c r="G43" s="905"/>
      <c r="H43" s="905"/>
      <c r="I43" s="905"/>
      <c r="J43" s="905"/>
      <c r="K43" s="905"/>
      <c r="L43" s="905"/>
      <c r="M43" s="905"/>
    </row>
    <row r="44" spans="2:19" ht="30" customHeight="1" x14ac:dyDescent="0.2">
      <c r="C44" s="589"/>
      <c r="E44" s="905"/>
      <c r="F44" s="905"/>
      <c r="G44" s="905"/>
      <c r="H44" s="905"/>
      <c r="I44" s="905"/>
      <c r="J44" s="610" t="s">
        <v>45</v>
      </c>
      <c r="K44" s="1441" t="s">
        <v>259</v>
      </c>
      <c r="L44" s="1441"/>
      <c r="M44" s="1441"/>
      <c r="N44" s="1441"/>
      <c r="O44" s="1441"/>
    </row>
    <row r="45" spans="2:19" ht="13.5" thickBot="1" x14ac:dyDescent="0.25">
      <c r="C45" s="587"/>
      <c r="E45" s="905"/>
      <c r="F45" s="905"/>
      <c r="G45" s="905"/>
      <c r="H45" s="905"/>
      <c r="I45" s="905"/>
      <c r="J45" s="905"/>
      <c r="K45" s="905"/>
      <c r="L45" s="905"/>
      <c r="M45" s="905"/>
    </row>
    <row r="46" spans="2:19" customFormat="1" ht="16.5" thickBot="1" x14ac:dyDescent="0.3">
      <c r="C46" s="1520" t="s">
        <v>511</v>
      </c>
      <c r="D46" s="1570"/>
      <c r="E46" s="1521"/>
    </row>
    <row r="47" spans="2:19" customFormat="1" ht="15.75" x14ac:dyDescent="0.2">
      <c r="B47" s="872" t="s">
        <v>512</v>
      </c>
      <c r="C47" s="1571" t="s">
        <v>530</v>
      </c>
      <c r="D47" s="1572"/>
      <c r="E47" s="1572"/>
      <c r="F47" s="1572"/>
    </row>
    <row r="48" spans="2:19" customFormat="1" ht="15.75" x14ac:dyDescent="0.2">
      <c r="B48" s="873"/>
      <c r="C48" s="1494"/>
      <c r="D48" s="1565"/>
      <c r="E48" s="1565"/>
      <c r="F48" s="1495"/>
    </row>
    <row r="49" spans="2:6" customFormat="1" ht="15.75" x14ac:dyDescent="0.2">
      <c r="B49" s="290"/>
      <c r="C49" s="1494"/>
      <c r="D49" s="1565"/>
      <c r="E49" s="1565"/>
      <c r="F49" s="1495"/>
    </row>
    <row r="50" spans="2:6" customFormat="1" ht="15.75" x14ac:dyDescent="0.2">
      <c r="B50" s="290"/>
      <c r="C50" s="1494"/>
      <c r="D50" s="1565"/>
      <c r="E50" s="1565"/>
      <c r="F50" s="1495"/>
    </row>
    <row r="51" spans="2:6" customFormat="1" ht="15.75" x14ac:dyDescent="0.2">
      <c r="B51" s="290"/>
      <c r="C51" s="1494"/>
      <c r="D51" s="1565"/>
      <c r="E51" s="1565"/>
      <c r="F51" s="1495"/>
    </row>
    <row r="52" spans="2:6" customFormat="1" ht="15.75" x14ac:dyDescent="0.2">
      <c r="B52" s="290"/>
      <c r="C52" s="1494"/>
      <c r="D52" s="1565"/>
      <c r="E52" s="1565"/>
      <c r="F52" s="1495"/>
    </row>
    <row r="53" spans="2:6" customFormat="1" ht="15.75" x14ac:dyDescent="0.2">
      <c r="B53" s="290"/>
      <c r="C53" s="1494"/>
      <c r="D53" s="1565"/>
      <c r="E53" s="1565"/>
      <c r="F53" s="1495"/>
    </row>
    <row r="54" spans="2:6" customFormat="1" ht="15.75" customHeight="1" x14ac:dyDescent="0.2">
      <c r="B54" s="290"/>
      <c r="C54" s="1494"/>
      <c r="D54" s="1565"/>
      <c r="E54" s="1565"/>
      <c r="F54" s="1495"/>
    </row>
    <row r="55" spans="2:6" customFormat="1" ht="15.75" customHeight="1" x14ac:dyDescent="0.2">
      <c r="B55" s="290"/>
      <c r="C55" s="1494"/>
      <c r="D55" s="1565"/>
      <c r="E55" s="1565"/>
      <c r="F55" s="1495"/>
    </row>
    <row r="56" spans="2:6" customFormat="1" ht="15.75" x14ac:dyDescent="0.2">
      <c r="B56" s="290"/>
      <c r="C56" s="1494"/>
      <c r="D56" s="1565"/>
      <c r="E56" s="1565"/>
      <c r="F56" s="1495"/>
    </row>
    <row r="57" spans="2:6" customFormat="1" ht="15.75" x14ac:dyDescent="0.2">
      <c r="B57" s="290"/>
      <c r="C57" s="1494"/>
      <c r="D57" s="1565"/>
      <c r="E57" s="1565"/>
      <c r="F57" s="1495"/>
    </row>
    <row r="58" spans="2:6" customFormat="1" ht="15.75" x14ac:dyDescent="0.2">
      <c r="B58" s="290"/>
      <c r="C58" s="1494"/>
      <c r="D58" s="1565"/>
      <c r="E58" s="1565"/>
      <c r="F58" s="1495"/>
    </row>
    <row r="59" spans="2:6" customFormat="1" ht="15.75" x14ac:dyDescent="0.2">
      <c r="B59" s="290"/>
      <c r="C59" s="1494"/>
      <c r="D59" s="1565"/>
      <c r="E59" s="1565"/>
      <c r="F59" s="1495"/>
    </row>
    <row r="60" spans="2:6" customFormat="1" ht="15.75" x14ac:dyDescent="0.2">
      <c r="B60" s="290"/>
      <c r="C60" s="1494"/>
      <c r="D60" s="1565"/>
      <c r="E60" s="1565"/>
      <c r="F60" s="1495"/>
    </row>
    <row r="61" spans="2:6" customFormat="1" x14ac:dyDescent="0.2"/>
  </sheetData>
  <mergeCells count="27">
    <mergeCell ref="C58:F58"/>
    <mergeCell ref="C59:F59"/>
    <mergeCell ref="C60:F60"/>
    <mergeCell ref="C46:E46"/>
    <mergeCell ref="C47:F47"/>
    <mergeCell ref="C48:F48"/>
    <mergeCell ref="C49:F49"/>
    <mergeCell ref="C50:F50"/>
    <mergeCell ref="C51:F51"/>
    <mergeCell ref="C52:F52"/>
    <mergeCell ref="C53:F53"/>
    <mergeCell ref="C54:F54"/>
    <mergeCell ref="C55:F55"/>
    <mergeCell ref="C56:F56"/>
    <mergeCell ref="C57:F57"/>
    <mergeCell ref="B2:E2"/>
    <mergeCell ref="C21:C22"/>
    <mergeCell ref="D21:D22"/>
    <mergeCell ref="E21:E22"/>
    <mergeCell ref="F21:F22"/>
    <mergeCell ref="K44:O44"/>
    <mergeCell ref="J21:K21"/>
    <mergeCell ref="D37:I41"/>
    <mergeCell ref="K37:O37"/>
    <mergeCell ref="K39:O39"/>
    <mergeCell ref="K41:O42"/>
    <mergeCell ref="G21:G22"/>
  </mergeCells>
  <dataValidations count="3">
    <dataValidation type="list" allowBlank="1" showInputMessage="1" showErrorMessage="1" sqref="C6:C17 C23:C34">
      <formula1>$J$23:$J$28</formula1>
    </dataValidation>
    <dataValidation type="list" allowBlank="1" showInputMessage="1" showErrorMessage="1" sqref="D6:D17">
      <formula1>$K$23:$K$28</formula1>
    </dataValidation>
    <dataValidation type="list" allowBlank="1" showInputMessage="1" showErrorMessage="1" sqref="D23:D34">
      <formula1>$K$23:$K$29</formula1>
    </dataValidation>
  </dataValidations>
  <pageMargins left="0.75" right="0.75" top="1" bottom="1" header="0.5" footer="0.5"/>
  <pageSetup scale="80" orientation="landscape" horizontalDpi="1200" verticalDpi="1200"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14:formula1>
            <xm:f>'Drop-Down Values'!$D$6:$D$7</xm:f>
          </x14:formula1>
          <xm:sqref>L6 O6:O17</xm:sqref>
        </x14:dataValidation>
        <x14:dataValidation type="list" allowBlank="1" showInputMessage="1" showErrorMessage="1">
          <x14:formula1>
            <xm:f>'Drop-Down Values'!$E$6:$E$9</xm:f>
          </x14:formula1>
          <xm:sqref>K6:K17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85E8FF"/>
    <pageSetUpPr fitToPage="1"/>
  </sheetPr>
  <dimension ref="A1:AU115"/>
  <sheetViews>
    <sheetView zoomScaleNormal="100" workbookViewId="0">
      <pane xSplit="14" ySplit="6" topLeftCell="O7" activePane="bottomRight" state="frozen"/>
      <selection pane="topRight" activeCell="M1" sqref="M1"/>
      <selection pane="bottomLeft" activeCell="A8" sqref="A8"/>
      <selection pane="bottomRight" activeCell="C3" sqref="C3"/>
    </sheetView>
  </sheetViews>
  <sheetFormatPr defaultColWidth="8.85546875" defaultRowHeight="12.75" x14ac:dyDescent="0.2"/>
  <cols>
    <col min="1" max="1" width="0.85546875" style="35" customWidth="1"/>
    <col min="2" max="2" width="5.5703125" style="35" customWidth="1"/>
    <col min="3" max="3" width="10.5703125" style="35" customWidth="1"/>
    <col min="4" max="4" width="13.28515625" style="35" customWidth="1"/>
    <col min="5" max="5" width="10" style="35" customWidth="1"/>
    <col min="6" max="6" width="12.42578125" style="35" customWidth="1"/>
    <col min="7" max="7" width="11.7109375" style="35" customWidth="1"/>
    <col min="8" max="8" width="17.85546875" style="35" customWidth="1"/>
    <col min="9" max="9" width="18.5703125" style="35" customWidth="1"/>
    <col min="10" max="10" width="10.28515625" style="839" customWidth="1"/>
    <col min="11" max="11" width="10.42578125" style="839" customWidth="1"/>
    <col min="12" max="12" width="6.42578125" style="35" customWidth="1"/>
    <col min="13" max="13" width="5.7109375" style="35" customWidth="1"/>
    <col min="14" max="14" width="6" style="35" customWidth="1"/>
    <col min="15" max="15" width="8.42578125" style="35" customWidth="1"/>
    <col min="16" max="16" width="7.85546875" style="35" customWidth="1"/>
    <col min="17" max="17" width="7.42578125" style="35" customWidth="1"/>
    <col min="18" max="18" width="10.7109375" style="35" customWidth="1"/>
    <col min="19" max="19" width="11.7109375" style="35" customWidth="1"/>
    <col min="20" max="20" width="10.7109375" style="35" customWidth="1"/>
    <col min="21" max="21" width="11.7109375" style="839" customWidth="1"/>
    <col min="22" max="22" width="10.7109375" style="35" customWidth="1"/>
    <col min="23" max="25" width="10.7109375" style="839" customWidth="1"/>
    <col min="26" max="27" width="10.7109375" style="35" customWidth="1"/>
    <col min="28" max="28" width="10.7109375" style="839" customWidth="1"/>
    <col min="29" max="30" width="10.7109375" style="35" customWidth="1"/>
    <col min="31" max="31" width="6.42578125" style="35" customWidth="1"/>
    <col min="32" max="32" width="10.7109375" style="839" customWidth="1"/>
    <col min="33" max="34" width="9.42578125" style="35" customWidth="1"/>
    <col min="35" max="16384" width="8.85546875" style="35"/>
  </cols>
  <sheetData>
    <row r="1" spans="1:47" s="53" customFormat="1" ht="15" x14ac:dyDescent="0.2">
      <c r="A1" s="1052"/>
      <c r="B1" s="1053" t="s">
        <v>8</v>
      </c>
      <c r="C1" s="1054"/>
      <c r="D1" s="1055"/>
      <c r="E1" s="1055"/>
      <c r="F1" s="1055"/>
      <c r="G1" s="1056"/>
      <c r="H1" s="1056"/>
      <c r="I1" s="1057"/>
      <c r="J1" s="1057"/>
      <c r="K1" s="1057"/>
      <c r="L1" s="1054"/>
      <c r="M1" s="1056"/>
      <c r="N1" s="1056"/>
      <c r="O1" s="1056"/>
      <c r="P1" s="1056"/>
      <c r="Q1" s="1056"/>
      <c r="R1" s="1056"/>
      <c r="S1" s="1056"/>
      <c r="T1" s="1056"/>
      <c r="U1" s="1058"/>
      <c r="V1" s="1056"/>
      <c r="W1" s="1058"/>
      <c r="X1" s="1058"/>
      <c r="Y1" s="1057"/>
      <c r="Z1" s="1054"/>
      <c r="AA1" s="1054"/>
      <c r="AB1" s="1057"/>
      <c r="AC1" s="1054"/>
      <c r="AD1" s="1054"/>
      <c r="AE1" s="1054"/>
      <c r="AF1" s="1057"/>
      <c r="AG1" s="1054"/>
      <c r="AH1" s="1054"/>
    </row>
    <row r="2" spans="1:47" s="1039" customFormat="1" ht="15.75" x14ac:dyDescent="0.25">
      <c r="B2" s="1580" t="str">
        <f>INITIALIZATION!C5</f>
        <v>Proposer's Name (Prime or Sub)</v>
      </c>
      <c r="C2" s="1581"/>
      <c r="D2" s="1581"/>
      <c r="E2" s="1582"/>
      <c r="F2" s="1041"/>
      <c r="G2" s="1243" t="s">
        <v>703</v>
      </c>
      <c r="H2" s="1250"/>
      <c r="I2" s="1040"/>
      <c r="J2" s="1251"/>
      <c r="K2" s="1251"/>
      <c r="L2" s="1040"/>
      <c r="M2" s="1040"/>
      <c r="N2" s="1040"/>
      <c r="O2" s="1040"/>
      <c r="P2" s="143"/>
      <c r="Q2" s="1040"/>
      <c r="R2" s="1040"/>
      <c r="S2" s="1040"/>
      <c r="T2" s="1040"/>
      <c r="U2" s="1251"/>
      <c r="V2" s="1040"/>
      <c r="W2" s="1251"/>
      <c r="X2" s="1251"/>
      <c r="Y2" s="1251"/>
      <c r="Z2" s="1040"/>
      <c r="AA2" s="1040"/>
      <c r="AB2" s="1251"/>
      <c r="AF2" s="1049"/>
    </row>
    <row r="3" spans="1:47" s="1039" customFormat="1" ht="18.75" thickBot="1" x14ac:dyDescent="0.3">
      <c r="B3" s="1041"/>
      <c r="C3" s="1041"/>
      <c r="D3" s="1041"/>
      <c r="E3" s="1041"/>
      <c r="F3" s="1041"/>
      <c r="G3" s="1041"/>
      <c r="H3" s="1040"/>
      <c r="I3" s="1040"/>
      <c r="J3" s="1049"/>
      <c r="K3" s="1049"/>
      <c r="L3" s="1040"/>
      <c r="M3" s="1040"/>
      <c r="N3" s="1040"/>
      <c r="O3" s="1040"/>
      <c r="P3" s="660"/>
      <c r="Q3" s="1040"/>
      <c r="U3" s="1049"/>
      <c r="W3" s="1049"/>
      <c r="X3" s="1049"/>
      <c r="Y3" s="1049"/>
      <c r="AB3" s="1049"/>
      <c r="AF3" s="1049"/>
      <c r="AU3" s="1039" t="s">
        <v>522</v>
      </c>
    </row>
    <row r="4" spans="1:47" ht="13.5" customHeight="1" thickBot="1" x14ac:dyDescent="0.25">
      <c r="B4" s="611"/>
      <c r="C4" s="611" t="s">
        <v>82</v>
      </c>
      <c r="D4" s="611" t="s">
        <v>82</v>
      </c>
      <c r="E4" s="611"/>
      <c r="F4" s="611"/>
      <c r="H4" s="882"/>
      <c r="P4" s="1522" t="s">
        <v>688</v>
      </c>
      <c r="Q4" s="1524"/>
      <c r="W4" s="1522" t="s">
        <v>689</v>
      </c>
      <c r="X4" s="1523"/>
      <c r="Y4" s="1524"/>
      <c r="AH4" s="1256" t="s">
        <v>699</v>
      </c>
    </row>
    <row r="5" spans="1:47" s="1038" customFormat="1" ht="53.25" customHeight="1" thickBot="1" x14ac:dyDescent="0.25">
      <c r="B5" s="577" t="s">
        <v>576</v>
      </c>
      <c r="C5" s="577" t="s">
        <v>448</v>
      </c>
      <c r="D5" s="577" t="s">
        <v>461</v>
      </c>
      <c r="E5" s="1522" t="s">
        <v>331</v>
      </c>
      <c r="F5" s="1523"/>
      <c r="G5" s="1524"/>
      <c r="H5" s="577" t="s">
        <v>332</v>
      </c>
      <c r="I5" s="577" t="s">
        <v>333</v>
      </c>
      <c r="J5" s="1271" t="s">
        <v>582</v>
      </c>
      <c r="K5" s="1272" t="s">
        <v>701</v>
      </c>
      <c r="L5" s="577" t="s">
        <v>691</v>
      </c>
      <c r="M5" s="577" t="s">
        <v>334</v>
      </c>
      <c r="N5" s="577" t="s">
        <v>335</v>
      </c>
      <c r="O5" s="577" t="s">
        <v>690</v>
      </c>
      <c r="P5" s="577" t="s">
        <v>579</v>
      </c>
      <c r="Q5" s="577" t="s">
        <v>577</v>
      </c>
      <c r="R5" s="577" t="s">
        <v>580</v>
      </c>
      <c r="S5" s="577" t="s">
        <v>581</v>
      </c>
      <c r="T5" s="577" t="s">
        <v>578</v>
      </c>
      <c r="U5" s="577" t="s">
        <v>336</v>
      </c>
      <c r="V5" s="577" t="s">
        <v>687</v>
      </c>
      <c r="W5" s="577" t="s">
        <v>337</v>
      </c>
      <c r="X5" s="577" t="s">
        <v>338</v>
      </c>
      <c r="Y5" s="577" t="s">
        <v>339</v>
      </c>
      <c r="Z5" s="577" t="s">
        <v>692</v>
      </c>
      <c r="AA5" s="577" t="s">
        <v>693</v>
      </c>
      <c r="AB5" s="577" t="s">
        <v>340</v>
      </c>
      <c r="AC5" s="577" t="s">
        <v>694</v>
      </c>
      <c r="AD5" s="577" t="s">
        <v>695</v>
      </c>
      <c r="AE5" s="577" t="s">
        <v>696</v>
      </c>
      <c r="AF5" s="577" t="s">
        <v>700</v>
      </c>
      <c r="AG5" s="577" t="s">
        <v>697</v>
      </c>
      <c r="AH5" s="577" t="s">
        <v>698</v>
      </c>
    </row>
    <row r="6" spans="1:47" ht="13.5" customHeight="1" thickBot="1" x14ac:dyDescent="0.25">
      <c r="B6" s="1043">
        <v>1</v>
      </c>
      <c r="C6" s="1037" t="s">
        <v>570</v>
      </c>
      <c r="D6" s="1236"/>
      <c r="E6" s="1591"/>
      <c r="F6" s="1592"/>
      <c r="G6" s="1593"/>
      <c r="H6" s="1240"/>
      <c r="I6" s="1240"/>
      <c r="J6" s="1051">
        <f t="shared" ref="J6:K6" si="0">SUM(J7:J14)</f>
        <v>0</v>
      </c>
      <c r="K6" s="1051">
        <f t="shared" si="0"/>
        <v>0</v>
      </c>
      <c r="L6" s="1228">
        <f>SUM(L7:L14)</f>
        <v>0</v>
      </c>
      <c r="M6" s="1228">
        <f>SUM(M7:M14)</f>
        <v>0</v>
      </c>
      <c r="N6" s="1228">
        <f>SUM(N7:N14)</f>
        <v>0</v>
      </c>
      <c r="O6" s="1228">
        <f>SUM(O7:O14)</f>
        <v>0</v>
      </c>
      <c r="P6" s="1228">
        <f t="shared" ref="P6:Y6" si="1">SUM(P7:P14)</f>
        <v>0</v>
      </c>
      <c r="Q6" s="1228">
        <f t="shared" si="1"/>
        <v>0</v>
      </c>
      <c r="R6" s="1230">
        <f>SUM(R7:R14)</f>
        <v>0</v>
      </c>
      <c r="S6" s="1234">
        <f t="shared" si="1"/>
        <v>0</v>
      </c>
      <c r="T6" s="1230">
        <f>SUM(T7:T14)</f>
        <v>0</v>
      </c>
      <c r="U6" s="1227">
        <f t="shared" si="1"/>
        <v>0</v>
      </c>
      <c r="V6" s="1230">
        <f>SUM(V7:V14)</f>
        <v>0</v>
      </c>
      <c r="W6" s="1231">
        <f t="shared" si="1"/>
        <v>0</v>
      </c>
      <c r="X6" s="1231">
        <f t="shared" si="1"/>
        <v>0</v>
      </c>
      <c r="Y6" s="1229">
        <f t="shared" si="1"/>
        <v>0</v>
      </c>
      <c r="Z6" s="1261">
        <f>SUM(Z7:Z14)</f>
        <v>0</v>
      </c>
      <c r="AA6" s="1228">
        <f>SUM(AA7:AA14)</f>
        <v>0</v>
      </c>
      <c r="AB6" s="1229">
        <f>SUM(AB7:AB14)</f>
        <v>0</v>
      </c>
      <c r="AC6" s="1262"/>
      <c r="AD6" s="1257">
        <f>SUM(AD7:AD14)</f>
        <v>0</v>
      </c>
      <c r="AE6" s="1228">
        <f>SUM(AE7:AE14)</f>
        <v>0</v>
      </c>
      <c r="AF6" s="1229">
        <f>SUM(AF7:AF14)</f>
        <v>0</v>
      </c>
      <c r="AG6" s="1231">
        <f>SUM(AG7:AG14)</f>
        <v>0</v>
      </c>
      <c r="AH6" s="1231">
        <f>SUM(AH7:AH14)</f>
        <v>0</v>
      </c>
    </row>
    <row r="7" spans="1:47" ht="13.5" customHeight="1" x14ac:dyDescent="0.2">
      <c r="B7" s="1042">
        <v>1.1000000000000001</v>
      </c>
      <c r="C7" s="944"/>
      <c r="D7" s="944"/>
      <c r="E7" s="1594"/>
      <c r="F7" s="1595"/>
      <c r="G7" s="1596"/>
      <c r="H7" s="1241"/>
      <c r="I7" s="1241"/>
      <c r="J7" s="1247">
        <f>+AF7+AB7+Y7+U7+S7+AG7+AH7</f>
        <v>0</v>
      </c>
      <c r="K7" s="1248">
        <f>+J7*N7</f>
        <v>0</v>
      </c>
      <c r="L7" s="1222"/>
      <c r="M7" s="1220"/>
      <c r="N7" s="1220"/>
      <c r="O7" s="1221">
        <f>IF((M7&gt;0),M7-1,0)</f>
        <v>0</v>
      </c>
      <c r="P7" s="1044">
        <f t="shared" ref="P7" si="2">IF(M7&gt;2,M7-2,0)</f>
        <v>0</v>
      </c>
      <c r="Q7" s="1223">
        <f t="shared" ref="Q7" si="3">IF(M7&lt;=2,M7,M7-P7)</f>
        <v>0</v>
      </c>
      <c r="R7" s="1258"/>
      <c r="S7" s="1245">
        <f t="shared" ref="S7:S14" si="4">+R7*L7</f>
        <v>0</v>
      </c>
      <c r="T7" s="1267"/>
      <c r="U7" s="1246">
        <f>L7*O7*T7</f>
        <v>0</v>
      </c>
      <c r="V7" s="1267"/>
      <c r="W7" s="1050">
        <f>L7*P7*V7</f>
        <v>0</v>
      </c>
      <c r="X7" s="1050">
        <f>(L7*Q7*V7)*0.75</f>
        <v>0</v>
      </c>
      <c r="Y7" s="1224">
        <f>SUM(W7:X7)</f>
        <v>0</v>
      </c>
      <c r="Z7" s="1258"/>
      <c r="AA7" s="1045"/>
      <c r="AB7" s="1252">
        <f>Z7*AA7*M7</f>
        <v>0</v>
      </c>
      <c r="AC7" s="1263"/>
      <c r="AD7" s="1046"/>
      <c r="AE7" s="1045"/>
      <c r="AF7" s="1224">
        <f>AC7*AD7*AE7</f>
        <v>0</v>
      </c>
      <c r="AG7" s="1267"/>
      <c r="AH7" s="1268"/>
    </row>
    <row r="8" spans="1:47" ht="13.5" customHeight="1" x14ac:dyDescent="0.2">
      <c r="B8" s="949">
        <v>1.2</v>
      </c>
      <c r="C8" s="944"/>
      <c r="D8" s="944"/>
      <c r="E8" s="1585"/>
      <c r="F8" s="1586"/>
      <c r="G8" s="1587"/>
      <c r="H8" s="1241"/>
      <c r="I8" s="1241"/>
      <c r="J8" s="1247">
        <f t="shared" ref="J8:J14" si="5">+AF8+AB8+Y8+U8+S8+AG8+AH8</f>
        <v>0</v>
      </c>
      <c r="K8" s="1247">
        <f t="shared" ref="K8:K14" si="6">+J8*N8</f>
        <v>0</v>
      </c>
      <c r="L8" s="1232"/>
      <c r="M8" s="1232"/>
      <c r="N8" s="1232"/>
      <c r="O8" s="1044">
        <f>IF((M8&gt;0),M8-1,0)</f>
        <v>0</v>
      </c>
      <c r="P8" s="1044">
        <f t="shared" ref="P8:P14" si="7">IF(M8&gt;2,M8-2,0)</f>
        <v>0</v>
      </c>
      <c r="Q8" s="1044">
        <f t="shared" ref="Q8:Q14" si="8">IF(M8&lt;=2,M8,M8-P8)</f>
        <v>0</v>
      </c>
      <c r="R8" s="1259"/>
      <c r="S8" s="1245">
        <f t="shared" si="4"/>
        <v>0</v>
      </c>
      <c r="T8" s="1259"/>
      <c r="U8" s="1246">
        <f t="shared" ref="U8:U14" si="9">L8*O8*T8</f>
        <v>0</v>
      </c>
      <c r="V8" s="1259"/>
      <c r="W8" s="1050">
        <f t="shared" ref="W8:W14" si="10">L8*P8*V8</f>
        <v>0</v>
      </c>
      <c r="X8" s="1050">
        <f t="shared" ref="X8:X14" si="11">(L8*Q8*V8)*0.75</f>
        <v>0</v>
      </c>
      <c r="Y8" s="1225">
        <f>SUM(W8:X8)</f>
        <v>0</v>
      </c>
      <c r="Z8" s="1259"/>
      <c r="AA8" s="1045"/>
      <c r="AB8" s="1225">
        <f>Z8*AA8*M8</f>
        <v>0</v>
      </c>
      <c r="AC8" s="1264"/>
      <c r="AD8" s="1046"/>
      <c r="AE8" s="1045"/>
      <c r="AF8" s="1225">
        <f t="shared" ref="AF8:AF14" si="12">AC8*AD8*AE8</f>
        <v>0</v>
      </c>
      <c r="AG8" s="1259"/>
      <c r="AH8" s="1268"/>
    </row>
    <row r="9" spans="1:47" ht="13.5" customHeight="1" x14ac:dyDescent="0.2">
      <c r="B9" s="949">
        <v>1.3</v>
      </c>
      <c r="C9" s="944"/>
      <c r="D9" s="944"/>
      <c r="E9" s="1585"/>
      <c r="F9" s="1586"/>
      <c r="G9" s="1587"/>
      <c r="H9" s="1241"/>
      <c r="I9" s="1241"/>
      <c r="J9" s="1247">
        <f t="shared" si="5"/>
        <v>0</v>
      </c>
      <c r="K9" s="1247">
        <f t="shared" si="6"/>
        <v>0</v>
      </c>
      <c r="L9" s="1232"/>
      <c r="M9" s="1232"/>
      <c r="N9" s="1232"/>
      <c r="O9" s="1044">
        <f t="shared" ref="O9:O14" si="13">IF((M9&gt;0),M9-1,0)</f>
        <v>0</v>
      </c>
      <c r="P9" s="1044">
        <f t="shared" si="7"/>
        <v>0</v>
      </c>
      <c r="Q9" s="1044">
        <f t="shared" si="8"/>
        <v>0</v>
      </c>
      <c r="R9" s="1259"/>
      <c r="S9" s="1245">
        <f t="shared" si="4"/>
        <v>0</v>
      </c>
      <c r="T9" s="1259"/>
      <c r="U9" s="1246">
        <f t="shared" si="9"/>
        <v>0</v>
      </c>
      <c r="V9" s="1259"/>
      <c r="W9" s="1050">
        <f t="shared" si="10"/>
        <v>0</v>
      </c>
      <c r="X9" s="1050">
        <f t="shared" si="11"/>
        <v>0</v>
      </c>
      <c r="Y9" s="1225">
        <f t="shared" ref="Y9:Y14" si="14">SUM(W9:X9)</f>
        <v>0</v>
      </c>
      <c r="Z9" s="1259"/>
      <c r="AA9" s="1045"/>
      <c r="AB9" s="1225">
        <f t="shared" ref="AB9:AB14" si="15">Z9*AA9*M9</f>
        <v>0</v>
      </c>
      <c r="AC9" s="1264"/>
      <c r="AD9" s="1046"/>
      <c r="AE9" s="1045"/>
      <c r="AF9" s="1225">
        <f t="shared" si="12"/>
        <v>0</v>
      </c>
      <c r="AG9" s="1259"/>
      <c r="AH9" s="1268"/>
    </row>
    <row r="10" spans="1:47" ht="13.5" customHeight="1" x14ac:dyDescent="0.2">
      <c r="B10" s="949">
        <v>1.4</v>
      </c>
      <c r="C10" s="944"/>
      <c r="D10" s="944"/>
      <c r="E10" s="1585"/>
      <c r="F10" s="1586"/>
      <c r="G10" s="1587"/>
      <c r="H10" s="1241"/>
      <c r="I10" s="1241"/>
      <c r="J10" s="1247">
        <f t="shared" si="5"/>
        <v>0</v>
      </c>
      <c r="K10" s="1247">
        <f t="shared" si="6"/>
        <v>0</v>
      </c>
      <c r="L10" s="1232"/>
      <c r="M10" s="1232"/>
      <c r="N10" s="1232"/>
      <c r="O10" s="1044">
        <f t="shared" si="13"/>
        <v>0</v>
      </c>
      <c r="P10" s="1044">
        <f t="shared" si="7"/>
        <v>0</v>
      </c>
      <c r="Q10" s="1044">
        <f t="shared" si="8"/>
        <v>0</v>
      </c>
      <c r="R10" s="1259"/>
      <c r="S10" s="1245">
        <f t="shared" si="4"/>
        <v>0</v>
      </c>
      <c r="T10" s="1259"/>
      <c r="U10" s="1246">
        <f t="shared" si="9"/>
        <v>0</v>
      </c>
      <c r="V10" s="1259"/>
      <c r="W10" s="1050">
        <f t="shared" si="10"/>
        <v>0</v>
      </c>
      <c r="X10" s="1050">
        <f t="shared" si="11"/>
        <v>0</v>
      </c>
      <c r="Y10" s="1225">
        <f t="shared" si="14"/>
        <v>0</v>
      </c>
      <c r="Z10" s="1259"/>
      <c r="AA10" s="1045"/>
      <c r="AB10" s="1225">
        <f t="shared" si="15"/>
        <v>0</v>
      </c>
      <c r="AC10" s="1264"/>
      <c r="AD10" s="1046"/>
      <c r="AE10" s="1045"/>
      <c r="AF10" s="1225">
        <f t="shared" si="12"/>
        <v>0</v>
      </c>
      <c r="AG10" s="1259"/>
      <c r="AH10" s="1268"/>
    </row>
    <row r="11" spans="1:47" ht="13.5" customHeight="1" x14ac:dyDescent="0.2">
      <c r="B11" s="949">
        <v>1.5</v>
      </c>
      <c r="C11" s="944"/>
      <c r="D11" s="944"/>
      <c r="E11" s="1585"/>
      <c r="F11" s="1586"/>
      <c r="G11" s="1587"/>
      <c r="H11" s="1241"/>
      <c r="I11" s="1241"/>
      <c r="J11" s="1247">
        <f t="shared" si="5"/>
        <v>0</v>
      </c>
      <c r="K11" s="1247">
        <f t="shared" si="6"/>
        <v>0</v>
      </c>
      <c r="L11" s="1232"/>
      <c r="M11" s="1232"/>
      <c r="N11" s="1232"/>
      <c r="O11" s="1044">
        <f t="shared" si="13"/>
        <v>0</v>
      </c>
      <c r="P11" s="1044">
        <f t="shared" si="7"/>
        <v>0</v>
      </c>
      <c r="Q11" s="1044">
        <f t="shared" si="8"/>
        <v>0</v>
      </c>
      <c r="R11" s="1259"/>
      <c r="S11" s="1245">
        <f t="shared" si="4"/>
        <v>0</v>
      </c>
      <c r="T11" s="1259"/>
      <c r="U11" s="1246">
        <f t="shared" si="9"/>
        <v>0</v>
      </c>
      <c r="V11" s="1259"/>
      <c r="W11" s="1050">
        <f t="shared" si="10"/>
        <v>0</v>
      </c>
      <c r="X11" s="1050">
        <f t="shared" si="11"/>
        <v>0</v>
      </c>
      <c r="Y11" s="1225">
        <f t="shared" si="14"/>
        <v>0</v>
      </c>
      <c r="Z11" s="1259"/>
      <c r="AA11" s="1045"/>
      <c r="AB11" s="1225">
        <f t="shared" si="15"/>
        <v>0</v>
      </c>
      <c r="AC11" s="1264"/>
      <c r="AD11" s="1046"/>
      <c r="AE11" s="1045"/>
      <c r="AF11" s="1225">
        <f t="shared" si="12"/>
        <v>0</v>
      </c>
      <c r="AG11" s="1259"/>
      <c r="AH11" s="1268"/>
    </row>
    <row r="12" spans="1:47" ht="13.5" customHeight="1" x14ac:dyDescent="0.2">
      <c r="B12" s="949">
        <v>1.6</v>
      </c>
      <c r="C12" s="944"/>
      <c r="D12" s="944"/>
      <c r="E12" s="1585"/>
      <c r="F12" s="1586"/>
      <c r="G12" s="1587"/>
      <c r="H12" s="1241"/>
      <c r="I12" s="1241"/>
      <c r="J12" s="1247">
        <f t="shared" si="5"/>
        <v>0</v>
      </c>
      <c r="K12" s="1247">
        <f t="shared" si="6"/>
        <v>0</v>
      </c>
      <c r="L12" s="1232"/>
      <c r="M12" s="1232"/>
      <c r="N12" s="1232"/>
      <c r="O12" s="1044">
        <f t="shared" si="13"/>
        <v>0</v>
      </c>
      <c r="P12" s="1044">
        <f t="shared" si="7"/>
        <v>0</v>
      </c>
      <c r="Q12" s="1044">
        <f t="shared" si="8"/>
        <v>0</v>
      </c>
      <c r="R12" s="1259"/>
      <c r="S12" s="1245">
        <f t="shared" si="4"/>
        <v>0</v>
      </c>
      <c r="T12" s="1259"/>
      <c r="U12" s="1246">
        <f t="shared" si="9"/>
        <v>0</v>
      </c>
      <c r="V12" s="1259"/>
      <c r="W12" s="1050">
        <f t="shared" si="10"/>
        <v>0</v>
      </c>
      <c r="X12" s="1050">
        <f t="shared" si="11"/>
        <v>0</v>
      </c>
      <c r="Y12" s="1225">
        <f t="shared" si="14"/>
        <v>0</v>
      </c>
      <c r="Z12" s="1259"/>
      <c r="AA12" s="1045"/>
      <c r="AB12" s="1225">
        <f t="shared" si="15"/>
        <v>0</v>
      </c>
      <c r="AC12" s="1264"/>
      <c r="AD12" s="1046"/>
      <c r="AE12" s="1045"/>
      <c r="AF12" s="1225">
        <f t="shared" si="12"/>
        <v>0</v>
      </c>
      <c r="AG12" s="1259"/>
      <c r="AH12" s="1268"/>
    </row>
    <row r="13" spans="1:47" ht="13.5" customHeight="1" x14ac:dyDescent="0.2">
      <c r="B13" s="949">
        <v>1.7</v>
      </c>
      <c r="C13" s="944"/>
      <c r="D13" s="944"/>
      <c r="E13" s="1585"/>
      <c r="F13" s="1586"/>
      <c r="G13" s="1587"/>
      <c r="H13" s="1241"/>
      <c r="I13" s="1241"/>
      <c r="J13" s="1247">
        <f t="shared" si="5"/>
        <v>0</v>
      </c>
      <c r="K13" s="1247">
        <f t="shared" si="6"/>
        <v>0</v>
      </c>
      <c r="L13" s="1232"/>
      <c r="M13" s="1232"/>
      <c r="N13" s="1232"/>
      <c r="O13" s="1044">
        <f t="shared" si="13"/>
        <v>0</v>
      </c>
      <c r="P13" s="1044">
        <f t="shared" si="7"/>
        <v>0</v>
      </c>
      <c r="Q13" s="1044">
        <f t="shared" si="8"/>
        <v>0</v>
      </c>
      <c r="R13" s="1259"/>
      <c r="S13" s="1245">
        <f t="shared" si="4"/>
        <v>0</v>
      </c>
      <c r="T13" s="1259"/>
      <c r="U13" s="1246">
        <f t="shared" si="9"/>
        <v>0</v>
      </c>
      <c r="V13" s="1259"/>
      <c r="W13" s="1050">
        <f t="shared" si="10"/>
        <v>0</v>
      </c>
      <c r="X13" s="1050">
        <f t="shared" si="11"/>
        <v>0</v>
      </c>
      <c r="Y13" s="1225">
        <f t="shared" si="14"/>
        <v>0</v>
      </c>
      <c r="Z13" s="1259"/>
      <c r="AA13" s="1045"/>
      <c r="AB13" s="1225">
        <f t="shared" si="15"/>
        <v>0</v>
      </c>
      <c r="AC13" s="1264"/>
      <c r="AD13" s="1046"/>
      <c r="AE13" s="1045"/>
      <c r="AF13" s="1225">
        <f t="shared" si="12"/>
        <v>0</v>
      </c>
      <c r="AG13" s="1259"/>
      <c r="AH13" s="1268"/>
    </row>
    <row r="14" spans="1:47" ht="13.5" customHeight="1" thickBot="1" x14ac:dyDescent="0.25">
      <c r="B14" s="950">
        <v>1.8</v>
      </c>
      <c r="C14" s="1235"/>
      <c r="D14" s="945"/>
      <c r="E14" s="1588"/>
      <c r="F14" s="1589"/>
      <c r="G14" s="1590"/>
      <c r="H14" s="1242"/>
      <c r="I14" s="1242"/>
      <c r="J14" s="1249">
        <f t="shared" si="5"/>
        <v>0</v>
      </c>
      <c r="K14" s="1249">
        <f t="shared" si="6"/>
        <v>0</v>
      </c>
      <c r="L14" s="1233"/>
      <c r="M14" s="1233"/>
      <c r="N14" s="1233"/>
      <c r="O14" s="1217">
        <f t="shared" si="13"/>
        <v>0</v>
      </c>
      <c r="P14" s="1217">
        <f t="shared" si="7"/>
        <v>0</v>
      </c>
      <c r="Q14" s="1217">
        <f t="shared" si="8"/>
        <v>0</v>
      </c>
      <c r="R14" s="1260"/>
      <c r="S14" s="1245">
        <f t="shared" si="4"/>
        <v>0</v>
      </c>
      <c r="T14" s="1269"/>
      <c r="U14" s="1255">
        <f t="shared" si="9"/>
        <v>0</v>
      </c>
      <c r="V14" s="1269"/>
      <c r="W14" s="1253">
        <f t="shared" si="10"/>
        <v>0</v>
      </c>
      <c r="X14" s="1253">
        <f t="shared" si="11"/>
        <v>0</v>
      </c>
      <c r="Y14" s="1254">
        <f t="shared" si="14"/>
        <v>0</v>
      </c>
      <c r="Z14" s="1260"/>
      <c r="AA14" s="1218"/>
      <c r="AB14" s="1226">
        <f t="shared" si="15"/>
        <v>0</v>
      </c>
      <c r="AC14" s="1265"/>
      <c r="AD14" s="1219"/>
      <c r="AE14" s="1218"/>
      <c r="AF14" s="1226">
        <f t="shared" si="12"/>
        <v>0</v>
      </c>
      <c r="AG14" s="1269"/>
      <c r="AH14" s="1270"/>
    </row>
    <row r="15" spans="1:47" ht="6" customHeight="1" thickBot="1" x14ac:dyDescent="0.25">
      <c r="B15" s="1141"/>
      <c r="C15" s="1141"/>
      <c r="D15" s="1141"/>
      <c r="E15" s="1141"/>
      <c r="F15" s="1141"/>
      <c r="G15" s="1141"/>
      <c r="H15" s="1141"/>
      <c r="I15" s="1141"/>
      <c r="J15" s="1142"/>
      <c r="K15" s="1142"/>
      <c r="L15" s="1141"/>
      <c r="M15" s="1141"/>
      <c r="N15" s="1141"/>
      <c r="O15" s="1141"/>
      <c r="P15" s="1141"/>
      <c r="Q15" s="1141"/>
      <c r="R15" s="1142"/>
      <c r="S15" s="1142"/>
      <c r="T15" s="1141"/>
      <c r="U15" s="1141"/>
      <c r="V15" s="1141"/>
      <c r="W15" s="1141"/>
      <c r="X15" s="1141"/>
      <c r="Y15" s="1141"/>
      <c r="Z15" s="1142"/>
      <c r="AA15" s="1142"/>
      <c r="AB15" s="1141"/>
      <c r="AC15" s="1141"/>
      <c r="AD15" s="1141"/>
      <c r="AE15" s="1141"/>
      <c r="AF15" s="1141"/>
      <c r="AG15" s="1141"/>
      <c r="AH15" s="1142"/>
    </row>
    <row r="16" spans="1:47" ht="12.75" customHeight="1" thickBot="1" x14ac:dyDescent="0.25">
      <c r="B16" s="1043">
        <v>2</v>
      </c>
      <c r="C16" s="1037" t="s">
        <v>571</v>
      </c>
      <c r="D16" s="1236"/>
      <c r="E16" s="1591"/>
      <c r="F16" s="1592"/>
      <c r="G16" s="1593"/>
      <c r="H16" s="1240"/>
      <c r="I16" s="1240"/>
      <c r="J16" s="1051">
        <f t="shared" ref="J16:K16" si="16">SUM(J17:J24)</f>
        <v>0</v>
      </c>
      <c r="K16" s="1051">
        <f t="shared" si="16"/>
        <v>0</v>
      </c>
      <c r="L16" s="1228">
        <f>SUM(L17:L24)</f>
        <v>0</v>
      </c>
      <c r="M16" s="1228">
        <f>SUM(M17:M24)</f>
        <v>0</v>
      </c>
      <c r="N16" s="1228">
        <f>SUM(N17:N24)</f>
        <v>0</v>
      </c>
      <c r="O16" s="1228">
        <f>SUM(O17:O24)</f>
        <v>0</v>
      </c>
      <c r="P16" s="1228">
        <f t="shared" ref="P16:Q16" si="17">SUM(P17:P24)</f>
        <v>0</v>
      </c>
      <c r="Q16" s="1228">
        <f t="shared" si="17"/>
        <v>0</v>
      </c>
      <c r="R16" s="1230">
        <f>SUM(R17:R24)</f>
        <v>0</v>
      </c>
      <c r="S16" s="1234">
        <f t="shared" ref="S16" si="18">SUM(S17:S24)</f>
        <v>0</v>
      </c>
      <c r="T16" s="1230">
        <f>SUM(T17:T24)</f>
        <v>0</v>
      </c>
      <c r="U16" s="1227">
        <f t="shared" ref="U16" si="19">SUM(U17:U24)</f>
        <v>0</v>
      </c>
      <c r="V16" s="1230">
        <f>SUM(V17:V24)</f>
        <v>0</v>
      </c>
      <c r="W16" s="1231">
        <f t="shared" ref="W16:Y16" si="20">SUM(W17:W24)</f>
        <v>0</v>
      </c>
      <c r="X16" s="1231">
        <f t="shared" si="20"/>
        <v>0</v>
      </c>
      <c r="Y16" s="1229">
        <f t="shared" si="20"/>
        <v>0</v>
      </c>
      <c r="Z16" s="1261">
        <f>SUM(Z17:Z24)</f>
        <v>0</v>
      </c>
      <c r="AA16" s="1228">
        <f>SUM(AA17:AA24)</f>
        <v>0</v>
      </c>
      <c r="AB16" s="1229">
        <f>SUM(AB17:AB24)</f>
        <v>0</v>
      </c>
      <c r="AC16" s="1262"/>
      <c r="AD16" s="1266">
        <f>SUM(AD17:AD24)</f>
        <v>0</v>
      </c>
      <c r="AE16" s="1228">
        <f>SUM(AE17:AE24)</f>
        <v>0</v>
      </c>
      <c r="AF16" s="1229">
        <f>SUM(AF17:AF24)</f>
        <v>0</v>
      </c>
      <c r="AG16" s="1231">
        <f>SUM(AG17:AG24)</f>
        <v>0</v>
      </c>
      <c r="AH16" s="1231">
        <f>SUM(AH17:AH24)</f>
        <v>0</v>
      </c>
    </row>
    <row r="17" spans="2:34" x14ac:dyDescent="0.2">
      <c r="B17" s="1042">
        <v>2.1</v>
      </c>
      <c r="C17" s="944"/>
      <c r="D17" s="944"/>
      <c r="E17" s="1594"/>
      <c r="F17" s="1595"/>
      <c r="G17" s="1596"/>
      <c r="H17" s="1241"/>
      <c r="I17" s="1241"/>
      <c r="J17" s="1247">
        <f>+AF17+AB17+Y17+U17+S17+AG17+AH17</f>
        <v>0</v>
      </c>
      <c r="K17" s="1248">
        <f>+J17*N17</f>
        <v>0</v>
      </c>
      <c r="L17" s="1222"/>
      <c r="M17" s="1220"/>
      <c r="N17" s="1220"/>
      <c r="O17" s="1221">
        <f>IF((M17&gt;0),M17-1,0)</f>
        <v>0</v>
      </c>
      <c r="P17" s="1044">
        <f t="shared" ref="P17:P24" si="21">IF(M17&gt;2,M17-2,0)</f>
        <v>0</v>
      </c>
      <c r="Q17" s="1223">
        <f t="shared" ref="Q17:Q24" si="22">IF(M17&lt;=2,M17,M17-P17)</f>
        <v>0</v>
      </c>
      <c r="R17" s="1258"/>
      <c r="S17" s="1245">
        <f t="shared" ref="S17:S24" si="23">+R17*L17</f>
        <v>0</v>
      </c>
      <c r="T17" s="1267"/>
      <c r="U17" s="1246">
        <f>L17*O17*T17</f>
        <v>0</v>
      </c>
      <c r="V17" s="1267"/>
      <c r="W17" s="1050">
        <f>L17*P17*V17</f>
        <v>0</v>
      </c>
      <c r="X17" s="1050">
        <f>(L17*Q17*V17)*0.75</f>
        <v>0</v>
      </c>
      <c r="Y17" s="1224">
        <f>SUM(W17:X17)</f>
        <v>0</v>
      </c>
      <c r="Z17" s="1258"/>
      <c r="AA17" s="1045"/>
      <c r="AB17" s="1252">
        <f>Z17*AA17*M17</f>
        <v>0</v>
      </c>
      <c r="AC17" s="1263"/>
      <c r="AD17" s="1046"/>
      <c r="AE17" s="1045"/>
      <c r="AF17" s="1224">
        <f>AC17*AD17*AE17</f>
        <v>0</v>
      </c>
      <c r="AG17" s="1267"/>
      <c r="AH17" s="1268"/>
    </row>
    <row r="18" spans="2:34" x14ac:dyDescent="0.2">
      <c r="B18" s="949">
        <v>2.2000000000000002</v>
      </c>
      <c r="C18" s="944"/>
      <c r="D18" s="944"/>
      <c r="E18" s="1585"/>
      <c r="F18" s="1586"/>
      <c r="G18" s="1587"/>
      <c r="H18" s="1241"/>
      <c r="I18" s="1241"/>
      <c r="J18" s="1247">
        <f t="shared" ref="J18:J24" si="24">+AF18+AB18+Y18+U18+S18+AG18+AH18</f>
        <v>0</v>
      </c>
      <c r="K18" s="1247">
        <f t="shared" ref="K18:K24" si="25">+J18*N18</f>
        <v>0</v>
      </c>
      <c r="L18" s="1232"/>
      <c r="M18" s="1232"/>
      <c r="N18" s="1232"/>
      <c r="O18" s="1044">
        <f>IF((M18&gt;0),M18-1,0)</f>
        <v>0</v>
      </c>
      <c r="P18" s="1044">
        <f t="shared" si="21"/>
        <v>0</v>
      </c>
      <c r="Q18" s="1044">
        <f t="shared" si="22"/>
        <v>0</v>
      </c>
      <c r="R18" s="1259"/>
      <c r="S18" s="1245">
        <f t="shared" si="23"/>
        <v>0</v>
      </c>
      <c r="T18" s="1259"/>
      <c r="U18" s="1246">
        <f t="shared" ref="U18:U24" si="26">L18*O18*T18</f>
        <v>0</v>
      </c>
      <c r="V18" s="1259"/>
      <c r="W18" s="1050">
        <f t="shared" ref="W18:W24" si="27">L18*P18*V18</f>
        <v>0</v>
      </c>
      <c r="X18" s="1050">
        <f t="shared" ref="X18:X24" si="28">(L18*Q18*V18)*0.75</f>
        <v>0</v>
      </c>
      <c r="Y18" s="1225">
        <f>SUM(W18:X18)</f>
        <v>0</v>
      </c>
      <c r="Z18" s="1259"/>
      <c r="AA18" s="1045"/>
      <c r="AB18" s="1225">
        <f>Z18*AA18*M18</f>
        <v>0</v>
      </c>
      <c r="AC18" s="1264"/>
      <c r="AD18" s="1046"/>
      <c r="AE18" s="1045"/>
      <c r="AF18" s="1225">
        <f t="shared" ref="AF18:AF24" si="29">AC18*AD18*AE18</f>
        <v>0</v>
      </c>
      <c r="AG18" s="1259"/>
      <c r="AH18" s="1268"/>
    </row>
    <row r="19" spans="2:34" x14ac:dyDescent="0.2">
      <c r="B19" s="949">
        <v>2.2999999999999998</v>
      </c>
      <c r="C19" s="944"/>
      <c r="D19" s="944"/>
      <c r="E19" s="1585"/>
      <c r="F19" s="1586"/>
      <c r="G19" s="1587"/>
      <c r="H19" s="1241"/>
      <c r="I19" s="1241"/>
      <c r="J19" s="1247">
        <f t="shared" si="24"/>
        <v>0</v>
      </c>
      <c r="K19" s="1247">
        <f t="shared" si="25"/>
        <v>0</v>
      </c>
      <c r="L19" s="1232"/>
      <c r="M19" s="1232"/>
      <c r="N19" s="1232"/>
      <c r="O19" s="1044">
        <f t="shared" ref="O19:O24" si="30">IF((M19&gt;0),M19-1,0)</f>
        <v>0</v>
      </c>
      <c r="P19" s="1044">
        <f t="shared" si="21"/>
        <v>0</v>
      </c>
      <c r="Q19" s="1044">
        <f t="shared" si="22"/>
        <v>0</v>
      </c>
      <c r="R19" s="1259"/>
      <c r="S19" s="1245">
        <f t="shared" si="23"/>
        <v>0</v>
      </c>
      <c r="T19" s="1259"/>
      <c r="U19" s="1246">
        <f t="shared" si="26"/>
        <v>0</v>
      </c>
      <c r="V19" s="1259"/>
      <c r="W19" s="1050">
        <f t="shared" si="27"/>
        <v>0</v>
      </c>
      <c r="X19" s="1050">
        <f t="shared" si="28"/>
        <v>0</v>
      </c>
      <c r="Y19" s="1225">
        <f t="shared" ref="Y19:Y24" si="31">SUM(W19:X19)</f>
        <v>0</v>
      </c>
      <c r="Z19" s="1259"/>
      <c r="AA19" s="1045"/>
      <c r="AB19" s="1225">
        <f t="shared" ref="AB19:AB24" si="32">Z19*AA19*M19</f>
        <v>0</v>
      </c>
      <c r="AC19" s="1264"/>
      <c r="AD19" s="1046"/>
      <c r="AE19" s="1045"/>
      <c r="AF19" s="1225">
        <f t="shared" si="29"/>
        <v>0</v>
      </c>
      <c r="AG19" s="1259"/>
      <c r="AH19" s="1268"/>
    </row>
    <row r="20" spans="2:34" x14ac:dyDescent="0.2">
      <c r="B20" s="949">
        <v>2.4</v>
      </c>
      <c r="C20" s="944"/>
      <c r="D20" s="944"/>
      <c r="E20" s="1585"/>
      <c r="F20" s="1586"/>
      <c r="G20" s="1587"/>
      <c r="H20" s="1241"/>
      <c r="I20" s="1241"/>
      <c r="J20" s="1247">
        <f t="shared" si="24"/>
        <v>0</v>
      </c>
      <c r="K20" s="1247">
        <f t="shared" si="25"/>
        <v>0</v>
      </c>
      <c r="L20" s="1232"/>
      <c r="M20" s="1232"/>
      <c r="N20" s="1232"/>
      <c r="O20" s="1044">
        <f t="shared" si="30"/>
        <v>0</v>
      </c>
      <c r="P20" s="1044">
        <f t="shared" si="21"/>
        <v>0</v>
      </c>
      <c r="Q20" s="1044">
        <f t="shared" si="22"/>
        <v>0</v>
      </c>
      <c r="R20" s="1259"/>
      <c r="S20" s="1245">
        <f t="shared" si="23"/>
        <v>0</v>
      </c>
      <c r="T20" s="1259"/>
      <c r="U20" s="1246">
        <f t="shared" si="26"/>
        <v>0</v>
      </c>
      <c r="V20" s="1259"/>
      <c r="W20" s="1050">
        <f t="shared" si="27"/>
        <v>0</v>
      </c>
      <c r="X20" s="1050">
        <f t="shared" si="28"/>
        <v>0</v>
      </c>
      <c r="Y20" s="1225">
        <f t="shared" si="31"/>
        <v>0</v>
      </c>
      <c r="Z20" s="1259"/>
      <c r="AA20" s="1045"/>
      <c r="AB20" s="1225">
        <f t="shared" si="32"/>
        <v>0</v>
      </c>
      <c r="AC20" s="1264"/>
      <c r="AD20" s="1046"/>
      <c r="AE20" s="1045"/>
      <c r="AF20" s="1225">
        <f t="shared" si="29"/>
        <v>0</v>
      </c>
      <c r="AG20" s="1259"/>
      <c r="AH20" s="1268"/>
    </row>
    <row r="21" spans="2:34" x14ac:dyDescent="0.2">
      <c r="B21" s="949">
        <v>2.5</v>
      </c>
      <c r="C21" s="944"/>
      <c r="D21" s="944"/>
      <c r="E21" s="1585"/>
      <c r="F21" s="1586"/>
      <c r="G21" s="1587"/>
      <c r="H21" s="1241"/>
      <c r="I21" s="1241"/>
      <c r="J21" s="1247">
        <f t="shared" si="24"/>
        <v>0</v>
      </c>
      <c r="K21" s="1247">
        <f t="shared" si="25"/>
        <v>0</v>
      </c>
      <c r="L21" s="1232"/>
      <c r="M21" s="1232"/>
      <c r="N21" s="1232"/>
      <c r="O21" s="1044">
        <f t="shared" si="30"/>
        <v>0</v>
      </c>
      <c r="P21" s="1044">
        <f t="shared" si="21"/>
        <v>0</v>
      </c>
      <c r="Q21" s="1044">
        <f t="shared" si="22"/>
        <v>0</v>
      </c>
      <c r="R21" s="1259"/>
      <c r="S21" s="1245">
        <f t="shared" si="23"/>
        <v>0</v>
      </c>
      <c r="T21" s="1259"/>
      <c r="U21" s="1246">
        <f t="shared" si="26"/>
        <v>0</v>
      </c>
      <c r="V21" s="1259"/>
      <c r="W21" s="1050">
        <f t="shared" si="27"/>
        <v>0</v>
      </c>
      <c r="X21" s="1050">
        <f t="shared" si="28"/>
        <v>0</v>
      </c>
      <c r="Y21" s="1225">
        <f t="shared" si="31"/>
        <v>0</v>
      </c>
      <c r="Z21" s="1259"/>
      <c r="AA21" s="1045"/>
      <c r="AB21" s="1225">
        <f t="shared" si="32"/>
        <v>0</v>
      </c>
      <c r="AC21" s="1264"/>
      <c r="AD21" s="1046"/>
      <c r="AE21" s="1045"/>
      <c r="AF21" s="1225">
        <f t="shared" si="29"/>
        <v>0</v>
      </c>
      <c r="AG21" s="1259"/>
      <c r="AH21" s="1268"/>
    </row>
    <row r="22" spans="2:34" x14ac:dyDescent="0.2">
      <c r="B22" s="949">
        <v>2.6</v>
      </c>
      <c r="C22" s="944"/>
      <c r="D22" s="944"/>
      <c r="E22" s="1585"/>
      <c r="F22" s="1586"/>
      <c r="G22" s="1587"/>
      <c r="H22" s="1241"/>
      <c r="I22" s="1241"/>
      <c r="J22" s="1247">
        <f t="shared" si="24"/>
        <v>0</v>
      </c>
      <c r="K22" s="1247">
        <f t="shared" si="25"/>
        <v>0</v>
      </c>
      <c r="L22" s="1232"/>
      <c r="M22" s="1232"/>
      <c r="N22" s="1232"/>
      <c r="O22" s="1044">
        <f t="shared" si="30"/>
        <v>0</v>
      </c>
      <c r="P22" s="1044">
        <f t="shared" si="21"/>
        <v>0</v>
      </c>
      <c r="Q22" s="1044">
        <f t="shared" si="22"/>
        <v>0</v>
      </c>
      <c r="R22" s="1259"/>
      <c r="S22" s="1245">
        <f t="shared" si="23"/>
        <v>0</v>
      </c>
      <c r="T22" s="1259"/>
      <c r="U22" s="1246">
        <f t="shared" si="26"/>
        <v>0</v>
      </c>
      <c r="V22" s="1259"/>
      <c r="W22" s="1050">
        <f t="shared" si="27"/>
        <v>0</v>
      </c>
      <c r="X22" s="1050">
        <f t="shared" si="28"/>
        <v>0</v>
      </c>
      <c r="Y22" s="1225">
        <f t="shared" si="31"/>
        <v>0</v>
      </c>
      <c r="Z22" s="1259"/>
      <c r="AA22" s="1045"/>
      <c r="AB22" s="1225">
        <f t="shared" si="32"/>
        <v>0</v>
      </c>
      <c r="AC22" s="1264"/>
      <c r="AD22" s="1046"/>
      <c r="AE22" s="1045"/>
      <c r="AF22" s="1225">
        <f t="shared" si="29"/>
        <v>0</v>
      </c>
      <c r="AG22" s="1259"/>
      <c r="AH22" s="1268"/>
    </row>
    <row r="23" spans="2:34" x14ac:dyDescent="0.2">
      <c r="B23" s="949">
        <v>2.7</v>
      </c>
      <c r="C23" s="944"/>
      <c r="D23" s="944"/>
      <c r="E23" s="1585"/>
      <c r="F23" s="1586"/>
      <c r="G23" s="1587"/>
      <c r="H23" s="1241"/>
      <c r="I23" s="1241"/>
      <c r="J23" s="1247">
        <f t="shared" si="24"/>
        <v>0</v>
      </c>
      <c r="K23" s="1247">
        <f t="shared" si="25"/>
        <v>0</v>
      </c>
      <c r="L23" s="1232"/>
      <c r="M23" s="1232"/>
      <c r="N23" s="1232"/>
      <c r="O23" s="1044">
        <f t="shared" si="30"/>
        <v>0</v>
      </c>
      <c r="P23" s="1044">
        <f t="shared" si="21"/>
        <v>0</v>
      </c>
      <c r="Q23" s="1044">
        <f t="shared" si="22"/>
        <v>0</v>
      </c>
      <c r="R23" s="1259"/>
      <c r="S23" s="1245">
        <f t="shared" si="23"/>
        <v>0</v>
      </c>
      <c r="T23" s="1259"/>
      <c r="U23" s="1246">
        <f t="shared" si="26"/>
        <v>0</v>
      </c>
      <c r="V23" s="1259"/>
      <c r="W23" s="1050">
        <f t="shared" si="27"/>
        <v>0</v>
      </c>
      <c r="X23" s="1050">
        <f t="shared" si="28"/>
        <v>0</v>
      </c>
      <c r="Y23" s="1225">
        <f t="shared" si="31"/>
        <v>0</v>
      </c>
      <c r="Z23" s="1259"/>
      <c r="AA23" s="1045"/>
      <c r="AB23" s="1225">
        <f t="shared" si="32"/>
        <v>0</v>
      </c>
      <c r="AC23" s="1264"/>
      <c r="AD23" s="1046"/>
      <c r="AE23" s="1045"/>
      <c r="AF23" s="1225">
        <f t="shared" si="29"/>
        <v>0</v>
      </c>
      <c r="AG23" s="1259"/>
      <c r="AH23" s="1268"/>
    </row>
    <row r="24" spans="2:34" ht="13.5" customHeight="1" thickBot="1" x14ac:dyDescent="0.25">
      <c r="B24" s="950">
        <v>2.8</v>
      </c>
      <c r="C24" s="1235"/>
      <c r="D24" s="945"/>
      <c r="E24" s="1588"/>
      <c r="F24" s="1589"/>
      <c r="G24" s="1590"/>
      <c r="H24" s="1242"/>
      <c r="I24" s="1242"/>
      <c r="J24" s="1249">
        <f t="shared" si="24"/>
        <v>0</v>
      </c>
      <c r="K24" s="1249">
        <f t="shared" si="25"/>
        <v>0</v>
      </c>
      <c r="L24" s="1233"/>
      <c r="M24" s="1233"/>
      <c r="N24" s="1233"/>
      <c r="O24" s="1217">
        <f t="shared" si="30"/>
        <v>0</v>
      </c>
      <c r="P24" s="1217">
        <f t="shared" si="21"/>
        <v>0</v>
      </c>
      <c r="Q24" s="1217">
        <f t="shared" si="22"/>
        <v>0</v>
      </c>
      <c r="R24" s="1260"/>
      <c r="S24" s="1245">
        <f t="shared" si="23"/>
        <v>0</v>
      </c>
      <c r="T24" s="1269"/>
      <c r="U24" s="1255">
        <f t="shared" si="26"/>
        <v>0</v>
      </c>
      <c r="V24" s="1269"/>
      <c r="W24" s="1253">
        <f t="shared" si="27"/>
        <v>0</v>
      </c>
      <c r="X24" s="1253">
        <f t="shared" si="28"/>
        <v>0</v>
      </c>
      <c r="Y24" s="1254">
        <f t="shared" si="31"/>
        <v>0</v>
      </c>
      <c r="Z24" s="1260"/>
      <c r="AA24" s="1218"/>
      <c r="AB24" s="1226">
        <f t="shared" si="32"/>
        <v>0</v>
      </c>
      <c r="AC24" s="1265"/>
      <c r="AD24" s="1219"/>
      <c r="AE24" s="1218"/>
      <c r="AF24" s="1226">
        <f t="shared" si="29"/>
        <v>0</v>
      </c>
      <c r="AG24" s="1269"/>
      <c r="AH24" s="1270"/>
    </row>
    <row r="25" spans="2:34" ht="6" customHeight="1" thickBot="1" x14ac:dyDescent="0.25">
      <c r="B25" s="1141"/>
      <c r="C25" s="1141"/>
      <c r="D25" s="1141"/>
      <c r="E25" s="1141"/>
      <c r="F25" s="1141"/>
      <c r="G25" s="1141"/>
      <c r="H25" s="1141"/>
      <c r="I25" s="1141"/>
      <c r="J25" s="1142"/>
      <c r="K25" s="1142"/>
      <c r="L25" s="1141"/>
      <c r="M25" s="1141"/>
      <c r="N25" s="1141"/>
      <c r="O25" s="1141"/>
      <c r="P25" s="1141"/>
      <c r="Q25" s="1141"/>
      <c r="R25" s="1142"/>
      <c r="S25" s="1142"/>
      <c r="T25" s="1141"/>
      <c r="U25" s="1141"/>
      <c r="V25" s="1141"/>
      <c r="W25" s="1141"/>
      <c r="X25" s="1141"/>
      <c r="Y25" s="1141"/>
      <c r="Z25" s="1142"/>
      <c r="AA25" s="1142"/>
      <c r="AB25" s="1141"/>
      <c r="AC25" s="1141"/>
      <c r="AD25" s="1141"/>
      <c r="AE25" s="1141"/>
      <c r="AF25" s="1141"/>
      <c r="AG25" s="1141"/>
      <c r="AH25" s="1142"/>
    </row>
    <row r="26" spans="2:34" ht="13.5" thickBot="1" x14ac:dyDescent="0.25">
      <c r="B26" s="1043">
        <v>3</v>
      </c>
      <c r="C26" s="1037" t="s">
        <v>572</v>
      </c>
      <c r="D26" s="1236"/>
      <c r="E26" s="1591"/>
      <c r="F26" s="1592"/>
      <c r="G26" s="1593"/>
      <c r="H26" s="1240"/>
      <c r="I26" s="1240"/>
      <c r="J26" s="1051">
        <f t="shared" ref="J26:K26" si="33">SUM(J27:J34)</f>
        <v>0</v>
      </c>
      <c r="K26" s="1051">
        <f t="shared" si="33"/>
        <v>0</v>
      </c>
      <c r="L26" s="1228">
        <f>SUM(L27:L34)</f>
        <v>0</v>
      </c>
      <c r="M26" s="1228">
        <f>SUM(M27:M34)</f>
        <v>0</v>
      </c>
      <c r="N26" s="1228">
        <f>SUM(N27:N34)</f>
        <v>0</v>
      </c>
      <c r="O26" s="1228">
        <f>SUM(O27:O34)</f>
        <v>0</v>
      </c>
      <c r="P26" s="1228">
        <f t="shared" ref="P26:Q26" si="34">SUM(P27:P34)</f>
        <v>0</v>
      </c>
      <c r="Q26" s="1228">
        <f t="shared" si="34"/>
        <v>0</v>
      </c>
      <c r="R26" s="1230">
        <f>SUM(R27:R34)</f>
        <v>0</v>
      </c>
      <c r="S26" s="1234">
        <f t="shared" ref="S26" si="35">SUM(S27:S34)</f>
        <v>0</v>
      </c>
      <c r="T26" s="1230">
        <f>SUM(T27:T34)</f>
        <v>0</v>
      </c>
      <c r="U26" s="1227">
        <f t="shared" ref="U26" si="36">SUM(U27:U34)</f>
        <v>0</v>
      </c>
      <c r="V26" s="1230">
        <f>SUM(V27:V34)</f>
        <v>0</v>
      </c>
      <c r="W26" s="1231">
        <f t="shared" ref="W26:Y26" si="37">SUM(W27:W34)</f>
        <v>0</v>
      </c>
      <c r="X26" s="1231">
        <f t="shared" si="37"/>
        <v>0</v>
      </c>
      <c r="Y26" s="1229">
        <f t="shared" si="37"/>
        <v>0</v>
      </c>
      <c r="Z26" s="1261">
        <f>SUM(Z27:Z34)</f>
        <v>0</v>
      </c>
      <c r="AA26" s="1228">
        <f>SUM(AA27:AA34)</f>
        <v>0</v>
      </c>
      <c r="AB26" s="1229">
        <f>SUM(AB27:AB34)</f>
        <v>0</v>
      </c>
      <c r="AC26" s="1262"/>
      <c r="AD26" s="1266">
        <f>SUM(AD27:AD34)</f>
        <v>0</v>
      </c>
      <c r="AE26" s="1228">
        <f>SUM(AE27:AE34)</f>
        <v>0</v>
      </c>
      <c r="AF26" s="1229">
        <f>SUM(AF27:AF34)</f>
        <v>0</v>
      </c>
      <c r="AG26" s="1231">
        <f>SUM(AG27:AG34)</f>
        <v>0</v>
      </c>
      <c r="AH26" s="1231">
        <f>SUM(AH27:AH34)</f>
        <v>0</v>
      </c>
    </row>
    <row r="27" spans="2:34" x14ac:dyDescent="0.2">
      <c r="B27" s="1042">
        <v>3.1</v>
      </c>
      <c r="C27" s="944"/>
      <c r="D27" s="944"/>
      <c r="E27" s="1594"/>
      <c r="F27" s="1595"/>
      <c r="G27" s="1596"/>
      <c r="H27" s="1241"/>
      <c r="I27" s="1241"/>
      <c r="J27" s="1247">
        <f>+AF27+AB27+Y27+U27+S27+AG27+AH27</f>
        <v>0</v>
      </c>
      <c r="K27" s="1248">
        <f>+J27*N27</f>
        <v>0</v>
      </c>
      <c r="L27" s="1222"/>
      <c r="M27" s="1220"/>
      <c r="N27" s="1220"/>
      <c r="O27" s="1221">
        <f>IF((M27&gt;0),M27-1,0)</f>
        <v>0</v>
      </c>
      <c r="P27" s="1044">
        <f t="shared" ref="P27:P34" si="38">IF(M27&gt;2,M27-2,0)</f>
        <v>0</v>
      </c>
      <c r="Q27" s="1223">
        <f t="shared" ref="Q27:Q34" si="39">IF(M27&lt;=2,M27,M27-P27)</f>
        <v>0</v>
      </c>
      <c r="R27" s="1258"/>
      <c r="S27" s="1245">
        <f t="shared" ref="S27:S34" si="40">+R27*L27</f>
        <v>0</v>
      </c>
      <c r="T27" s="1267"/>
      <c r="U27" s="1246">
        <f>L27*O27*T27</f>
        <v>0</v>
      </c>
      <c r="V27" s="1267"/>
      <c r="W27" s="1050">
        <f>L27*P27*V27</f>
        <v>0</v>
      </c>
      <c r="X27" s="1050">
        <f>(L27*Q27*V27)*0.75</f>
        <v>0</v>
      </c>
      <c r="Y27" s="1224">
        <f>SUM(W27:X27)</f>
        <v>0</v>
      </c>
      <c r="Z27" s="1258"/>
      <c r="AA27" s="1045"/>
      <c r="AB27" s="1252">
        <f>Z27*AA27*M27</f>
        <v>0</v>
      </c>
      <c r="AC27" s="1263"/>
      <c r="AD27" s="1046"/>
      <c r="AE27" s="1045"/>
      <c r="AF27" s="1224">
        <f>AC27*AD27*AE27</f>
        <v>0</v>
      </c>
      <c r="AG27" s="1267"/>
      <c r="AH27" s="1268"/>
    </row>
    <row r="28" spans="2:34" x14ac:dyDescent="0.2">
      <c r="B28" s="949">
        <v>3.2</v>
      </c>
      <c r="C28" s="944"/>
      <c r="D28" s="944"/>
      <c r="E28" s="1585"/>
      <c r="F28" s="1586"/>
      <c r="G28" s="1587"/>
      <c r="H28" s="1241"/>
      <c r="I28" s="1241"/>
      <c r="J28" s="1247">
        <f t="shared" ref="J28:J34" si="41">+AF28+AB28+Y28+U28+S28+AG28+AH28</f>
        <v>0</v>
      </c>
      <c r="K28" s="1247">
        <f t="shared" ref="K28:K34" si="42">+J28*N28</f>
        <v>0</v>
      </c>
      <c r="L28" s="1232"/>
      <c r="M28" s="1232"/>
      <c r="N28" s="1232"/>
      <c r="O28" s="1044">
        <f>IF((M28&gt;0),M28-1,0)</f>
        <v>0</v>
      </c>
      <c r="P28" s="1044">
        <f t="shared" si="38"/>
        <v>0</v>
      </c>
      <c r="Q28" s="1044">
        <f t="shared" si="39"/>
        <v>0</v>
      </c>
      <c r="R28" s="1259"/>
      <c r="S28" s="1245">
        <f t="shared" si="40"/>
        <v>0</v>
      </c>
      <c r="T28" s="1259"/>
      <c r="U28" s="1246">
        <f t="shared" ref="U28:U34" si="43">L28*O28*T28</f>
        <v>0</v>
      </c>
      <c r="V28" s="1259"/>
      <c r="W28" s="1050">
        <f t="shared" ref="W28:W34" si="44">L28*P28*V28</f>
        <v>0</v>
      </c>
      <c r="X28" s="1050">
        <f t="shared" ref="X28:X34" si="45">(L28*Q28*V28)*0.75</f>
        <v>0</v>
      </c>
      <c r="Y28" s="1225">
        <f>SUM(W28:X28)</f>
        <v>0</v>
      </c>
      <c r="Z28" s="1259"/>
      <c r="AA28" s="1045"/>
      <c r="AB28" s="1225">
        <f>Z28*AA28*M28</f>
        <v>0</v>
      </c>
      <c r="AC28" s="1264"/>
      <c r="AD28" s="1046"/>
      <c r="AE28" s="1045"/>
      <c r="AF28" s="1225">
        <f t="shared" ref="AF28:AF34" si="46">AC28*AD28*AE28</f>
        <v>0</v>
      </c>
      <c r="AG28" s="1259"/>
      <c r="AH28" s="1268"/>
    </row>
    <row r="29" spans="2:34" x14ac:dyDescent="0.2">
      <c r="B29" s="949">
        <v>3.3</v>
      </c>
      <c r="C29" s="944"/>
      <c r="D29" s="944"/>
      <c r="E29" s="1585"/>
      <c r="F29" s="1586"/>
      <c r="G29" s="1587"/>
      <c r="H29" s="1241"/>
      <c r="I29" s="1241"/>
      <c r="J29" s="1247">
        <f t="shared" si="41"/>
        <v>0</v>
      </c>
      <c r="K29" s="1247">
        <f t="shared" si="42"/>
        <v>0</v>
      </c>
      <c r="L29" s="1232"/>
      <c r="M29" s="1232"/>
      <c r="N29" s="1232"/>
      <c r="O29" s="1044">
        <f t="shared" ref="O29:O34" si="47">IF((M29&gt;0),M29-1,0)</f>
        <v>0</v>
      </c>
      <c r="P29" s="1044">
        <f t="shared" si="38"/>
        <v>0</v>
      </c>
      <c r="Q29" s="1044">
        <f t="shared" si="39"/>
        <v>0</v>
      </c>
      <c r="R29" s="1259"/>
      <c r="S29" s="1245">
        <f t="shared" si="40"/>
        <v>0</v>
      </c>
      <c r="T29" s="1259"/>
      <c r="U29" s="1246">
        <f t="shared" si="43"/>
        <v>0</v>
      </c>
      <c r="V29" s="1259"/>
      <c r="W29" s="1050">
        <f t="shared" si="44"/>
        <v>0</v>
      </c>
      <c r="X29" s="1050">
        <f t="shared" si="45"/>
        <v>0</v>
      </c>
      <c r="Y29" s="1225">
        <f t="shared" ref="Y29:Y34" si="48">SUM(W29:X29)</f>
        <v>0</v>
      </c>
      <c r="Z29" s="1259"/>
      <c r="AA29" s="1045"/>
      <c r="AB29" s="1225">
        <f t="shared" ref="AB29:AB34" si="49">Z29*AA29*M29</f>
        <v>0</v>
      </c>
      <c r="AC29" s="1264"/>
      <c r="AD29" s="1046"/>
      <c r="AE29" s="1045"/>
      <c r="AF29" s="1225">
        <f t="shared" si="46"/>
        <v>0</v>
      </c>
      <c r="AG29" s="1259"/>
      <c r="AH29" s="1268"/>
    </row>
    <row r="30" spans="2:34" x14ac:dyDescent="0.2">
      <c r="B30" s="949">
        <v>3.4</v>
      </c>
      <c r="C30" s="944"/>
      <c r="D30" s="944"/>
      <c r="E30" s="1585"/>
      <c r="F30" s="1586"/>
      <c r="G30" s="1587"/>
      <c r="H30" s="1241"/>
      <c r="I30" s="1241"/>
      <c r="J30" s="1247">
        <f t="shared" si="41"/>
        <v>0</v>
      </c>
      <c r="K30" s="1247">
        <f t="shared" si="42"/>
        <v>0</v>
      </c>
      <c r="L30" s="1232"/>
      <c r="M30" s="1232"/>
      <c r="N30" s="1232"/>
      <c r="O30" s="1044">
        <f t="shared" si="47"/>
        <v>0</v>
      </c>
      <c r="P30" s="1044">
        <f t="shared" si="38"/>
        <v>0</v>
      </c>
      <c r="Q30" s="1044">
        <f t="shared" si="39"/>
        <v>0</v>
      </c>
      <c r="R30" s="1259"/>
      <c r="S30" s="1245">
        <f t="shared" si="40"/>
        <v>0</v>
      </c>
      <c r="T30" s="1259"/>
      <c r="U30" s="1246">
        <f t="shared" si="43"/>
        <v>0</v>
      </c>
      <c r="V30" s="1259"/>
      <c r="W30" s="1050">
        <f t="shared" si="44"/>
        <v>0</v>
      </c>
      <c r="X30" s="1050">
        <f t="shared" si="45"/>
        <v>0</v>
      </c>
      <c r="Y30" s="1225">
        <f t="shared" si="48"/>
        <v>0</v>
      </c>
      <c r="Z30" s="1259"/>
      <c r="AA30" s="1045"/>
      <c r="AB30" s="1225">
        <f t="shared" si="49"/>
        <v>0</v>
      </c>
      <c r="AC30" s="1264"/>
      <c r="AD30" s="1046"/>
      <c r="AE30" s="1045"/>
      <c r="AF30" s="1225">
        <f t="shared" si="46"/>
        <v>0</v>
      </c>
      <c r="AG30" s="1259"/>
      <c r="AH30" s="1268"/>
    </row>
    <row r="31" spans="2:34" x14ac:dyDescent="0.2">
      <c r="B31" s="949">
        <v>3.5</v>
      </c>
      <c r="C31" s="944"/>
      <c r="D31" s="944"/>
      <c r="E31" s="1585"/>
      <c r="F31" s="1586"/>
      <c r="G31" s="1587"/>
      <c r="H31" s="1241"/>
      <c r="I31" s="1241"/>
      <c r="J31" s="1247">
        <f t="shared" si="41"/>
        <v>0</v>
      </c>
      <c r="K31" s="1247">
        <f t="shared" si="42"/>
        <v>0</v>
      </c>
      <c r="L31" s="1232"/>
      <c r="M31" s="1232"/>
      <c r="N31" s="1232"/>
      <c r="O31" s="1044">
        <f t="shared" si="47"/>
        <v>0</v>
      </c>
      <c r="P31" s="1044">
        <f t="shared" si="38"/>
        <v>0</v>
      </c>
      <c r="Q31" s="1044">
        <f t="shared" si="39"/>
        <v>0</v>
      </c>
      <c r="R31" s="1259"/>
      <c r="S31" s="1245">
        <f t="shared" si="40"/>
        <v>0</v>
      </c>
      <c r="T31" s="1259"/>
      <c r="U31" s="1246">
        <f t="shared" si="43"/>
        <v>0</v>
      </c>
      <c r="V31" s="1259"/>
      <c r="W31" s="1050">
        <f t="shared" si="44"/>
        <v>0</v>
      </c>
      <c r="X31" s="1050">
        <f t="shared" si="45"/>
        <v>0</v>
      </c>
      <c r="Y31" s="1225">
        <f t="shared" si="48"/>
        <v>0</v>
      </c>
      <c r="Z31" s="1259"/>
      <c r="AA31" s="1045"/>
      <c r="AB31" s="1225">
        <f t="shared" si="49"/>
        <v>0</v>
      </c>
      <c r="AC31" s="1264"/>
      <c r="AD31" s="1046"/>
      <c r="AE31" s="1045"/>
      <c r="AF31" s="1225">
        <f t="shared" si="46"/>
        <v>0</v>
      </c>
      <c r="AG31" s="1259"/>
      <c r="AH31" s="1268"/>
    </row>
    <row r="32" spans="2:34" x14ac:dyDescent="0.2">
      <c r="B32" s="949">
        <v>3.6</v>
      </c>
      <c r="C32" s="944"/>
      <c r="D32" s="944"/>
      <c r="E32" s="1585"/>
      <c r="F32" s="1586"/>
      <c r="G32" s="1587"/>
      <c r="H32" s="1241"/>
      <c r="I32" s="1241"/>
      <c r="J32" s="1247">
        <f t="shared" si="41"/>
        <v>0</v>
      </c>
      <c r="K32" s="1247">
        <f t="shared" si="42"/>
        <v>0</v>
      </c>
      <c r="L32" s="1232"/>
      <c r="M32" s="1232"/>
      <c r="N32" s="1232"/>
      <c r="O32" s="1044">
        <f t="shared" si="47"/>
        <v>0</v>
      </c>
      <c r="P32" s="1044">
        <f t="shared" si="38"/>
        <v>0</v>
      </c>
      <c r="Q32" s="1044">
        <f t="shared" si="39"/>
        <v>0</v>
      </c>
      <c r="R32" s="1259"/>
      <c r="S32" s="1245">
        <f t="shared" si="40"/>
        <v>0</v>
      </c>
      <c r="T32" s="1259"/>
      <c r="U32" s="1246">
        <f t="shared" si="43"/>
        <v>0</v>
      </c>
      <c r="V32" s="1259"/>
      <c r="W32" s="1050">
        <f t="shared" si="44"/>
        <v>0</v>
      </c>
      <c r="X32" s="1050">
        <f t="shared" si="45"/>
        <v>0</v>
      </c>
      <c r="Y32" s="1225">
        <f t="shared" si="48"/>
        <v>0</v>
      </c>
      <c r="Z32" s="1259"/>
      <c r="AA32" s="1045"/>
      <c r="AB32" s="1225">
        <f t="shared" si="49"/>
        <v>0</v>
      </c>
      <c r="AC32" s="1264"/>
      <c r="AD32" s="1046"/>
      <c r="AE32" s="1045"/>
      <c r="AF32" s="1225">
        <f t="shared" si="46"/>
        <v>0</v>
      </c>
      <c r="AG32" s="1259"/>
      <c r="AH32" s="1268"/>
    </row>
    <row r="33" spans="2:34" x14ac:dyDescent="0.2">
      <c r="B33" s="949">
        <v>3.7</v>
      </c>
      <c r="C33" s="944"/>
      <c r="D33" s="944"/>
      <c r="E33" s="1585"/>
      <c r="F33" s="1586"/>
      <c r="G33" s="1587"/>
      <c r="H33" s="1241"/>
      <c r="I33" s="1241"/>
      <c r="J33" s="1247">
        <f t="shared" si="41"/>
        <v>0</v>
      </c>
      <c r="K33" s="1247">
        <f t="shared" si="42"/>
        <v>0</v>
      </c>
      <c r="L33" s="1232"/>
      <c r="M33" s="1232"/>
      <c r="N33" s="1232"/>
      <c r="O33" s="1044">
        <f t="shared" si="47"/>
        <v>0</v>
      </c>
      <c r="P33" s="1044">
        <f t="shared" si="38"/>
        <v>0</v>
      </c>
      <c r="Q33" s="1044">
        <f t="shared" si="39"/>
        <v>0</v>
      </c>
      <c r="R33" s="1259"/>
      <c r="S33" s="1245">
        <f t="shared" si="40"/>
        <v>0</v>
      </c>
      <c r="T33" s="1259"/>
      <c r="U33" s="1246">
        <f t="shared" si="43"/>
        <v>0</v>
      </c>
      <c r="V33" s="1259"/>
      <c r="W33" s="1050">
        <f t="shared" si="44"/>
        <v>0</v>
      </c>
      <c r="X33" s="1050">
        <f t="shared" si="45"/>
        <v>0</v>
      </c>
      <c r="Y33" s="1225">
        <f t="shared" si="48"/>
        <v>0</v>
      </c>
      <c r="Z33" s="1259"/>
      <c r="AA33" s="1045"/>
      <c r="AB33" s="1225">
        <f t="shared" si="49"/>
        <v>0</v>
      </c>
      <c r="AC33" s="1264"/>
      <c r="AD33" s="1046"/>
      <c r="AE33" s="1045"/>
      <c r="AF33" s="1225">
        <f t="shared" si="46"/>
        <v>0</v>
      </c>
      <c r="AG33" s="1259"/>
      <c r="AH33" s="1268"/>
    </row>
    <row r="34" spans="2:34" ht="13.5" customHeight="1" thickBot="1" x14ac:dyDescent="0.25">
      <c r="B34" s="950">
        <v>3.8</v>
      </c>
      <c r="C34" s="1235"/>
      <c r="D34" s="945"/>
      <c r="E34" s="1588"/>
      <c r="F34" s="1589"/>
      <c r="G34" s="1590"/>
      <c r="H34" s="1242"/>
      <c r="I34" s="1242"/>
      <c r="J34" s="1249">
        <f t="shared" si="41"/>
        <v>0</v>
      </c>
      <c r="K34" s="1249">
        <f t="shared" si="42"/>
        <v>0</v>
      </c>
      <c r="L34" s="1233"/>
      <c r="M34" s="1233"/>
      <c r="N34" s="1233"/>
      <c r="O34" s="1217">
        <f t="shared" si="47"/>
        <v>0</v>
      </c>
      <c r="P34" s="1217">
        <f t="shared" si="38"/>
        <v>0</v>
      </c>
      <c r="Q34" s="1217">
        <f t="shared" si="39"/>
        <v>0</v>
      </c>
      <c r="R34" s="1260"/>
      <c r="S34" s="1245">
        <f t="shared" si="40"/>
        <v>0</v>
      </c>
      <c r="T34" s="1269"/>
      <c r="U34" s="1255">
        <f t="shared" si="43"/>
        <v>0</v>
      </c>
      <c r="V34" s="1269"/>
      <c r="W34" s="1253">
        <f t="shared" si="44"/>
        <v>0</v>
      </c>
      <c r="X34" s="1253">
        <f t="shared" si="45"/>
        <v>0</v>
      </c>
      <c r="Y34" s="1254">
        <f t="shared" si="48"/>
        <v>0</v>
      </c>
      <c r="Z34" s="1260"/>
      <c r="AA34" s="1218"/>
      <c r="AB34" s="1226">
        <f t="shared" si="49"/>
        <v>0</v>
      </c>
      <c r="AC34" s="1265"/>
      <c r="AD34" s="1219"/>
      <c r="AE34" s="1218"/>
      <c r="AF34" s="1226">
        <f t="shared" si="46"/>
        <v>0</v>
      </c>
      <c r="AG34" s="1269"/>
      <c r="AH34" s="1270"/>
    </row>
    <row r="35" spans="2:34" ht="6" customHeight="1" thickBot="1" x14ac:dyDescent="0.25">
      <c r="B35" s="1141"/>
      <c r="C35" s="1141"/>
      <c r="D35" s="1141"/>
      <c r="E35" s="1141"/>
      <c r="F35" s="1141"/>
      <c r="G35" s="1141"/>
      <c r="H35" s="1141"/>
      <c r="I35" s="1141"/>
      <c r="J35" s="1142"/>
      <c r="K35" s="1142"/>
      <c r="L35" s="1141"/>
      <c r="M35" s="1141"/>
      <c r="N35" s="1141"/>
      <c r="O35" s="1141"/>
      <c r="P35" s="1141"/>
      <c r="Q35" s="1141"/>
      <c r="R35" s="1142"/>
      <c r="S35" s="1142"/>
      <c r="T35" s="1141"/>
      <c r="U35" s="1141"/>
      <c r="V35" s="1141"/>
      <c r="W35" s="1141"/>
      <c r="X35" s="1141"/>
      <c r="Y35" s="1141"/>
      <c r="Z35" s="1142"/>
      <c r="AA35" s="1142"/>
      <c r="AB35" s="1141"/>
      <c r="AC35" s="1141"/>
      <c r="AD35" s="1141"/>
      <c r="AE35" s="1141"/>
      <c r="AF35" s="1141"/>
      <c r="AG35" s="1141"/>
      <c r="AH35" s="1142"/>
    </row>
    <row r="36" spans="2:34" ht="13.5" thickBot="1" x14ac:dyDescent="0.25">
      <c r="B36" s="1043">
        <v>4</v>
      </c>
      <c r="C36" s="1037" t="s">
        <v>573</v>
      </c>
      <c r="D36" s="1236"/>
      <c r="E36" s="1591"/>
      <c r="F36" s="1592"/>
      <c r="G36" s="1593"/>
      <c r="H36" s="1240"/>
      <c r="I36" s="1240"/>
      <c r="J36" s="1051">
        <f t="shared" ref="J36:K36" si="50">SUM(J37:J44)</f>
        <v>0</v>
      </c>
      <c r="K36" s="1051">
        <f t="shared" si="50"/>
        <v>0</v>
      </c>
      <c r="L36" s="1228">
        <f>SUM(L37:L44)</f>
        <v>0</v>
      </c>
      <c r="M36" s="1228">
        <f>SUM(M37:M44)</f>
        <v>0</v>
      </c>
      <c r="N36" s="1228">
        <f>SUM(N37:N44)</f>
        <v>0</v>
      </c>
      <c r="O36" s="1228">
        <f>SUM(O37:O44)</f>
        <v>0</v>
      </c>
      <c r="P36" s="1228">
        <f t="shared" ref="P36:Q36" si="51">SUM(P37:P44)</f>
        <v>0</v>
      </c>
      <c r="Q36" s="1228">
        <f t="shared" si="51"/>
        <v>0</v>
      </c>
      <c r="R36" s="1230">
        <f>SUM(R37:R44)</f>
        <v>0</v>
      </c>
      <c r="S36" s="1234">
        <f t="shared" ref="S36" si="52">SUM(S37:S44)</f>
        <v>0</v>
      </c>
      <c r="T36" s="1230">
        <f>SUM(T37:T44)</f>
        <v>0</v>
      </c>
      <c r="U36" s="1227">
        <f t="shared" ref="U36" si="53">SUM(U37:U44)</f>
        <v>0</v>
      </c>
      <c r="V36" s="1230">
        <f>SUM(V37:V44)</f>
        <v>0</v>
      </c>
      <c r="W36" s="1231">
        <f t="shared" ref="W36:Y36" si="54">SUM(W37:W44)</f>
        <v>0</v>
      </c>
      <c r="X36" s="1231">
        <f t="shared" si="54"/>
        <v>0</v>
      </c>
      <c r="Y36" s="1229">
        <f t="shared" si="54"/>
        <v>0</v>
      </c>
      <c r="Z36" s="1261">
        <f>SUM(Z37:Z44)</f>
        <v>0</v>
      </c>
      <c r="AA36" s="1228">
        <f>SUM(AA37:AA44)</f>
        <v>0</v>
      </c>
      <c r="AB36" s="1229">
        <f>SUM(AB37:AB44)</f>
        <v>0</v>
      </c>
      <c r="AC36" s="1262"/>
      <c r="AD36" s="1266">
        <f>SUM(AD37:AD44)</f>
        <v>0</v>
      </c>
      <c r="AE36" s="1228">
        <f>SUM(AE37:AE44)</f>
        <v>0</v>
      </c>
      <c r="AF36" s="1229">
        <f>SUM(AF37:AF44)</f>
        <v>0</v>
      </c>
      <c r="AG36" s="1231">
        <f>SUM(AG37:AG44)</f>
        <v>0</v>
      </c>
      <c r="AH36" s="1231">
        <f>SUM(AH37:AH44)</f>
        <v>0</v>
      </c>
    </row>
    <row r="37" spans="2:34" x14ac:dyDescent="0.2">
      <c r="B37" s="1042">
        <v>4.0999999999999996</v>
      </c>
      <c r="C37" s="944"/>
      <c r="D37" s="944"/>
      <c r="E37" s="1594"/>
      <c r="F37" s="1595"/>
      <c r="G37" s="1596"/>
      <c r="H37" s="1241"/>
      <c r="I37" s="1241"/>
      <c r="J37" s="1247">
        <f>+AF37+AB37+Y37+U37+S37+AG37+AH37</f>
        <v>0</v>
      </c>
      <c r="K37" s="1248">
        <f>+J37*N37</f>
        <v>0</v>
      </c>
      <c r="L37" s="1222"/>
      <c r="M37" s="1220"/>
      <c r="N37" s="1220"/>
      <c r="O37" s="1221">
        <f>IF((M37&gt;0),M37-1,0)</f>
        <v>0</v>
      </c>
      <c r="P37" s="1044">
        <f t="shared" ref="P37:P44" si="55">IF(M37&gt;2,M37-2,0)</f>
        <v>0</v>
      </c>
      <c r="Q37" s="1223">
        <f t="shared" ref="Q37:Q44" si="56">IF(M37&lt;=2,M37,M37-P37)</f>
        <v>0</v>
      </c>
      <c r="R37" s="1258"/>
      <c r="S37" s="1245">
        <f t="shared" ref="S37:S44" si="57">+R37*L37</f>
        <v>0</v>
      </c>
      <c r="T37" s="1267"/>
      <c r="U37" s="1246">
        <f>L37*O37*T37</f>
        <v>0</v>
      </c>
      <c r="V37" s="1267"/>
      <c r="W37" s="1050">
        <f>L37*P37*V37</f>
        <v>0</v>
      </c>
      <c r="X37" s="1050">
        <f>(L37*Q37*V37)*0.75</f>
        <v>0</v>
      </c>
      <c r="Y37" s="1224">
        <f>SUM(W37:X37)</f>
        <v>0</v>
      </c>
      <c r="Z37" s="1258"/>
      <c r="AA37" s="1045"/>
      <c r="AB37" s="1252">
        <f>Z37*AA37*M37</f>
        <v>0</v>
      </c>
      <c r="AC37" s="1263"/>
      <c r="AD37" s="1046"/>
      <c r="AE37" s="1045"/>
      <c r="AF37" s="1224">
        <f>AC37*AD37*AE37</f>
        <v>0</v>
      </c>
      <c r="AG37" s="1267"/>
      <c r="AH37" s="1268"/>
    </row>
    <row r="38" spans="2:34" x14ac:dyDescent="0.2">
      <c r="B38" s="949">
        <v>4.2</v>
      </c>
      <c r="C38" s="944"/>
      <c r="D38" s="944"/>
      <c r="E38" s="1585"/>
      <c r="F38" s="1586"/>
      <c r="G38" s="1587"/>
      <c r="H38" s="1241"/>
      <c r="I38" s="1241"/>
      <c r="J38" s="1247">
        <f t="shared" ref="J38:J44" si="58">+AF38+AB38+Y38+U38+S38+AG38+AH38</f>
        <v>0</v>
      </c>
      <c r="K38" s="1247">
        <f t="shared" ref="K38:K44" si="59">+J38*N38</f>
        <v>0</v>
      </c>
      <c r="L38" s="1232"/>
      <c r="M38" s="1232"/>
      <c r="N38" s="1232"/>
      <c r="O38" s="1044">
        <f>IF((M38&gt;0),M38-1,0)</f>
        <v>0</v>
      </c>
      <c r="P38" s="1044">
        <f t="shared" si="55"/>
        <v>0</v>
      </c>
      <c r="Q38" s="1044">
        <f t="shared" si="56"/>
        <v>0</v>
      </c>
      <c r="R38" s="1259"/>
      <c r="S38" s="1245">
        <f t="shared" si="57"/>
        <v>0</v>
      </c>
      <c r="T38" s="1259"/>
      <c r="U38" s="1246">
        <f t="shared" ref="U38:U44" si="60">L38*O38*T38</f>
        <v>0</v>
      </c>
      <c r="V38" s="1259"/>
      <c r="W38" s="1050">
        <f t="shared" ref="W38:W44" si="61">L38*P38*V38</f>
        <v>0</v>
      </c>
      <c r="X38" s="1050">
        <f t="shared" ref="X38:X44" si="62">(L38*Q38*V38)*0.75</f>
        <v>0</v>
      </c>
      <c r="Y38" s="1225">
        <f>SUM(W38:X38)</f>
        <v>0</v>
      </c>
      <c r="Z38" s="1259"/>
      <c r="AA38" s="1045"/>
      <c r="AB38" s="1225">
        <f>Z38*AA38*M38</f>
        <v>0</v>
      </c>
      <c r="AC38" s="1264"/>
      <c r="AD38" s="1046"/>
      <c r="AE38" s="1045"/>
      <c r="AF38" s="1225">
        <f t="shared" ref="AF38:AF44" si="63">AC38*AD38*AE38</f>
        <v>0</v>
      </c>
      <c r="AG38" s="1259"/>
      <c r="AH38" s="1268"/>
    </row>
    <row r="39" spans="2:34" x14ac:dyDescent="0.2">
      <c r="B39" s="949">
        <v>4.3</v>
      </c>
      <c r="C39" s="944"/>
      <c r="D39" s="944"/>
      <c r="E39" s="1585"/>
      <c r="F39" s="1586"/>
      <c r="G39" s="1587"/>
      <c r="H39" s="1241"/>
      <c r="I39" s="1241"/>
      <c r="J39" s="1247">
        <f t="shared" si="58"/>
        <v>0</v>
      </c>
      <c r="K39" s="1247">
        <f t="shared" si="59"/>
        <v>0</v>
      </c>
      <c r="L39" s="1232"/>
      <c r="M39" s="1232"/>
      <c r="N39" s="1232"/>
      <c r="O39" s="1044">
        <f t="shared" ref="O39:O44" si="64">IF((M39&gt;0),M39-1,0)</f>
        <v>0</v>
      </c>
      <c r="P39" s="1044">
        <f t="shared" si="55"/>
        <v>0</v>
      </c>
      <c r="Q39" s="1044">
        <f t="shared" si="56"/>
        <v>0</v>
      </c>
      <c r="R39" s="1259"/>
      <c r="S39" s="1245">
        <f t="shared" si="57"/>
        <v>0</v>
      </c>
      <c r="T39" s="1259"/>
      <c r="U39" s="1246">
        <f t="shared" si="60"/>
        <v>0</v>
      </c>
      <c r="V39" s="1259"/>
      <c r="W39" s="1050">
        <f t="shared" si="61"/>
        <v>0</v>
      </c>
      <c r="X39" s="1050">
        <f t="shared" si="62"/>
        <v>0</v>
      </c>
      <c r="Y39" s="1225">
        <f t="shared" ref="Y39:Y44" si="65">SUM(W39:X39)</f>
        <v>0</v>
      </c>
      <c r="Z39" s="1259"/>
      <c r="AA39" s="1045"/>
      <c r="AB39" s="1225">
        <f t="shared" ref="AB39:AB44" si="66">Z39*AA39*M39</f>
        <v>0</v>
      </c>
      <c r="AC39" s="1264"/>
      <c r="AD39" s="1046"/>
      <c r="AE39" s="1045"/>
      <c r="AF39" s="1225">
        <f t="shared" si="63"/>
        <v>0</v>
      </c>
      <c r="AG39" s="1259"/>
      <c r="AH39" s="1268"/>
    </row>
    <row r="40" spans="2:34" x14ac:dyDescent="0.2">
      <c r="B40" s="949">
        <v>4.4000000000000004</v>
      </c>
      <c r="C40" s="944"/>
      <c r="D40" s="944"/>
      <c r="E40" s="1585"/>
      <c r="F40" s="1586"/>
      <c r="G40" s="1587"/>
      <c r="H40" s="1241"/>
      <c r="I40" s="1241"/>
      <c r="J40" s="1247">
        <f t="shared" si="58"/>
        <v>0</v>
      </c>
      <c r="K40" s="1247">
        <f t="shared" si="59"/>
        <v>0</v>
      </c>
      <c r="L40" s="1232"/>
      <c r="M40" s="1232"/>
      <c r="N40" s="1232"/>
      <c r="O40" s="1044">
        <f t="shared" si="64"/>
        <v>0</v>
      </c>
      <c r="P40" s="1044">
        <f t="shared" si="55"/>
        <v>0</v>
      </c>
      <c r="Q40" s="1044">
        <f t="shared" si="56"/>
        <v>0</v>
      </c>
      <c r="R40" s="1259"/>
      <c r="S40" s="1245">
        <f t="shared" si="57"/>
        <v>0</v>
      </c>
      <c r="T40" s="1259"/>
      <c r="U40" s="1246">
        <f t="shared" si="60"/>
        <v>0</v>
      </c>
      <c r="V40" s="1259"/>
      <c r="W40" s="1050">
        <f t="shared" si="61"/>
        <v>0</v>
      </c>
      <c r="X40" s="1050">
        <f t="shared" si="62"/>
        <v>0</v>
      </c>
      <c r="Y40" s="1225">
        <f t="shared" si="65"/>
        <v>0</v>
      </c>
      <c r="Z40" s="1259"/>
      <c r="AA40" s="1045"/>
      <c r="AB40" s="1225">
        <f t="shared" si="66"/>
        <v>0</v>
      </c>
      <c r="AC40" s="1264"/>
      <c r="AD40" s="1046"/>
      <c r="AE40" s="1045"/>
      <c r="AF40" s="1225">
        <f t="shared" si="63"/>
        <v>0</v>
      </c>
      <c r="AG40" s="1259"/>
      <c r="AH40" s="1268"/>
    </row>
    <row r="41" spans="2:34" x14ac:dyDescent="0.2">
      <c r="B41" s="949">
        <v>4.5</v>
      </c>
      <c r="C41" s="944"/>
      <c r="D41" s="944"/>
      <c r="E41" s="1585"/>
      <c r="F41" s="1586"/>
      <c r="G41" s="1587"/>
      <c r="H41" s="1241"/>
      <c r="I41" s="1241"/>
      <c r="J41" s="1247">
        <f t="shared" si="58"/>
        <v>0</v>
      </c>
      <c r="K41" s="1247">
        <f t="shared" si="59"/>
        <v>0</v>
      </c>
      <c r="L41" s="1232"/>
      <c r="M41" s="1232"/>
      <c r="N41" s="1232"/>
      <c r="O41" s="1044">
        <f t="shared" si="64"/>
        <v>0</v>
      </c>
      <c r="P41" s="1044">
        <f t="shared" si="55"/>
        <v>0</v>
      </c>
      <c r="Q41" s="1044">
        <f t="shared" si="56"/>
        <v>0</v>
      </c>
      <c r="R41" s="1259"/>
      <c r="S41" s="1245">
        <f t="shared" si="57"/>
        <v>0</v>
      </c>
      <c r="T41" s="1259"/>
      <c r="U41" s="1246">
        <f t="shared" si="60"/>
        <v>0</v>
      </c>
      <c r="V41" s="1259"/>
      <c r="W41" s="1050">
        <f t="shared" si="61"/>
        <v>0</v>
      </c>
      <c r="X41" s="1050">
        <f t="shared" si="62"/>
        <v>0</v>
      </c>
      <c r="Y41" s="1225">
        <f t="shared" si="65"/>
        <v>0</v>
      </c>
      <c r="Z41" s="1259"/>
      <c r="AA41" s="1045"/>
      <c r="AB41" s="1225">
        <f t="shared" si="66"/>
        <v>0</v>
      </c>
      <c r="AC41" s="1264"/>
      <c r="AD41" s="1046"/>
      <c r="AE41" s="1045"/>
      <c r="AF41" s="1225">
        <f t="shared" si="63"/>
        <v>0</v>
      </c>
      <c r="AG41" s="1259"/>
      <c r="AH41" s="1268"/>
    </row>
    <row r="42" spans="2:34" x14ac:dyDescent="0.2">
      <c r="B42" s="949">
        <v>4.5999999999999996</v>
      </c>
      <c r="C42" s="944"/>
      <c r="D42" s="944"/>
      <c r="E42" s="1585"/>
      <c r="F42" s="1586"/>
      <c r="G42" s="1587"/>
      <c r="H42" s="1241"/>
      <c r="I42" s="1241"/>
      <c r="J42" s="1247">
        <f t="shared" si="58"/>
        <v>0</v>
      </c>
      <c r="K42" s="1247">
        <f t="shared" si="59"/>
        <v>0</v>
      </c>
      <c r="L42" s="1232"/>
      <c r="M42" s="1232"/>
      <c r="N42" s="1232"/>
      <c r="O42" s="1044">
        <f t="shared" si="64"/>
        <v>0</v>
      </c>
      <c r="P42" s="1044">
        <f t="shared" si="55"/>
        <v>0</v>
      </c>
      <c r="Q42" s="1044">
        <f t="shared" si="56"/>
        <v>0</v>
      </c>
      <c r="R42" s="1259"/>
      <c r="S42" s="1245">
        <f t="shared" si="57"/>
        <v>0</v>
      </c>
      <c r="T42" s="1259"/>
      <c r="U42" s="1246">
        <f t="shared" si="60"/>
        <v>0</v>
      </c>
      <c r="V42" s="1259"/>
      <c r="W42" s="1050">
        <f t="shared" si="61"/>
        <v>0</v>
      </c>
      <c r="X42" s="1050">
        <f t="shared" si="62"/>
        <v>0</v>
      </c>
      <c r="Y42" s="1225">
        <f t="shared" si="65"/>
        <v>0</v>
      </c>
      <c r="Z42" s="1259"/>
      <c r="AA42" s="1045"/>
      <c r="AB42" s="1225">
        <f t="shared" si="66"/>
        <v>0</v>
      </c>
      <c r="AC42" s="1264"/>
      <c r="AD42" s="1046"/>
      <c r="AE42" s="1045"/>
      <c r="AF42" s="1225">
        <f t="shared" si="63"/>
        <v>0</v>
      </c>
      <c r="AG42" s="1259"/>
      <c r="AH42" s="1268"/>
    </row>
    <row r="43" spans="2:34" x14ac:dyDescent="0.2">
      <c r="B43" s="949">
        <v>4.7</v>
      </c>
      <c r="C43" s="944"/>
      <c r="D43" s="944"/>
      <c r="E43" s="1585"/>
      <c r="F43" s="1586"/>
      <c r="G43" s="1587"/>
      <c r="H43" s="1241"/>
      <c r="I43" s="1241"/>
      <c r="J43" s="1247">
        <f t="shared" si="58"/>
        <v>0</v>
      </c>
      <c r="K43" s="1247">
        <f t="shared" si="59"/>
        <v>0</v>
      </c>
      <c r="L43" s="1232"/>
      <c r="M43" s="1232"/>
      <c r="N43" s="1232"/>
      <c r="O43" s="1044">
        <f t="shared" si="64"/>
        <v>0</v>
      </c>
      <c r="P43" s="1044">
        <f t="shared" si="55"/>
        <v>0</v>
      </c>
      <c r="Q43" s="1044">
        <f t="shared" si="56"/>
        <v>0</v>
      </c>
      <c r="R43" s="1259"/>
      <c r="S43" s="1245">
        <f t="shared" si="57"/>
        <v>0</v>
      </c>
      <c r="T43" s="1259"/>
      <c r="U43" s="1246">
        <f t="shared" si="60"/>
        <v>0</v>
      </c>
      <c r="V43" s="1259"/>
      <c r="W43" s="1050">
        <f t="shared" si="61"/>
        <v>0</v>
      </c>
      <c r="X43" s="1050">
        <f t="shared" si="62"/>
        <v>0</v>
      </c>
      <c r="Y43" s="1225">
        <f t="shared" si="65"/>
        <v>0</v>
      </c>
      <c r="Z43" s="1259"/>
      <c r="AA43" s="1045"/>
      <c r="AB43" s="1225">
        <f t="shared" si="66"/>
        <v>0</v>
      </c>
      <c r="AC43" s="1264"/>
      <c r="AD43" s="1046"/>
      <c r="AE43" s="1045"/>
      <c r="AF43" s="1225">
        <f t="shared" si="63"/>
        <v>0</v>
      </c>
      <c r="AG43" s="1259"/>
      <c r="AH43" s="1268"/>
    </row>
    <row r="44" spans="2:34" ht="13.5" customHeight="1" thickBot="1" x14ac:dyDescent="0.25">
      <c r="B44" s="950">
        <v>4.8</v>
      </c>
      <c r="C44" s="1235"/>
      <c r="D44" s="945"/>
      <c r="E44" s="1588"/>
      <c r="F44" s="1589"/>
      <c r="G44" s="1590"/>
      <c r="H44" s="1242"/>
      <c r="I44" s="1242"/>
      <c r="J44" s="1249">
        <f t="shared" si="58"/>
        <v>0</v>
      </c>
      <c r="K44" s="1249">
        <f t="shared" si="59"/>
        <v>0</v>
      </c>
      <c r="L44" s="1233"/>
      <c r="M44" s="1233"/>
      <c r="N44" s="1233"/>
      <c r="O44" s="1217">
        <f t="shared" si="64"/>
        <v>0</v>
      </c>
      <c r="P44" s="1217">
        <f t="shared" si="55"/>
        <v>0</v>
      </c>
      <c r="Q44" s="1217">
        <f t="shared" si="56"/>
        <v>0</v>
      </c>
      <c r="R44" s="1260"/>
      <c r="S44" s="1245">
        <f t="shared" si="57"/>
        <v>0</v>
      </c>
      <c r="T44" s="1269"/>
      <c r="U44" s="1255">
        <f t="shared" si="60"/>
        <v>0</v>
      </c>
      <c r="V44" s="1269"/>
      <c r="W44" s="1253">
        <f t="shared" si="61"/>
        <v>0</v>
      </c>
      <c r="X44" s="1253">
        <f t="shared" si="62"/>
        <v>0</v>
      </c>
      <c r="Y44" s="1254">
        <f t="shared" si="65"/>
        <v>0</v>
      </c>
      <c r="Z44" s="1260"/>
      <c r="AA44" s="1218"/>
      <c r="AB44" s="1226">
        <f t="shared" si="66"/>
        <v>0</v>
      </c>
      <c r="AC44" s="1265"/>
      <c r="AD44" s="1219"/>
      <c r="AE44" s="1218"/>
      <c r="AF44" s="1226">
        <f t="shared" si="63"/>
        <v>0</v>
      </c>
      <c r="AG44" s="1269"/>
      <c r="AH44" s="1270"/>
    </row>
    <row r="45" spans="2:34" ht="6" customHeight="1" thickBot="1" x14ac:dyDescent="0.25">
      <c r="B45" s="1141"/>
      <c r="C45" s="1141"/>
      <c r="D45" s="1141"/>
      <c r="E45" s="1141"/>
      <c r="F45" s="1141"/>
      <c r="G45" s="1141"/>
      <c r="H45" s="1141"/>
      <c r="I45" s="1141"/>
      <c r="J45" s="1142"/>
      <c r="K45" s="1142"/>
      <c r="L45" s="1141"/>
      <c r="M45" s="1141"/>
      <c r="N45" s="1141"/>
      <c r="O45" s="1141"/>
      <c r="P45" s="1141"/>
      <c r="Q45" s="1141"/>
      <c r="R45" s="1142"/>
      <c r="S45" s="1142"/>
      <c r="T45" s="1141"/>
      <c r="U45" s="1141"/>
      <c r="V45" s="1141"/>
      <c r="W45" s="1141"/>
      <c r="X45" s="1141"/>
      <c r="Y45" s="1141"/>
      <c r="Z45" s="1142"/>
      <c r="AA45" s="1142"/>
      <c r="AB45" s="1141"/>
      <c r="AC45" s="1141"/>
      <c r="AD45" s="1141"/>
      <c r="AE45" s="1141"/>
      <c r="AF45" s="1141"/>
      <c r="AG45" s="1141"/>
      <c r="AH45" s="1142"/>
    </row>
    <row r="46" spans="2:34" ht="12.75" customHeight="1" thickBot="1" x14ac:dyDescent="0.25">
      <c r="B46" s="1043">
        <v>5</v>
      </c>
      <c r="C46" s="1037" t="s">
        <v>574</v>
      </c>
      <c r="D46" s="1236"/>
      <c r="E46" s="1591"/>
      <c r="F46" s="1592"/>
      <c r="G46" s="1593"/>
      <c r="H46" s="1240"/>
      <c r="I46" s="1240"/>
      <c r="J46" s="1051">
        <f t="shared" ref="J46:K46" si="67">SUM(J47:J55)</f>
        <v>0</v>
      </c>
      <c r="K46" s="1051">
        <f t="shared" si="67"/>
        <v>0</v>
      </c>
      <c r="L46" s="1228">
        <f>SUM(L47:L55)</f>
        <v>0</v>
      </c>
      <c r="M46" s="1228">
        <f>SUM(M47:M55)</f>
        <v>0</v>
      </c>
      <c r="N46" s="1228">
        <f>SUM(N47:N55)</f>
        <v>0</v>
      </c>
      <c r="O46" s="1228">
        <f>SUM(O47:O55)</f>
        <v>0</v>
      </c>
      <c r="P46" s="1228">
        <f t="shared" ref="P46:Q46" si="68">SUM(P47:P55)</f>
        <v>0</v>
      </c>
      <c r="Q46" s="1228">
        <f t="shared" si="68"/>
        <v>0</v>
      </c>
      <c r="R46" s="1230">
        <f>SUM(R47:R55)</f>
        <v>0</v>
      </c>
      <c r="S46" s="1234">
        <f t="shared" ref="S46" si="69">SUM(S47:S55)</f>
        <v>0</v>
      </c>
      <c r="T46" s="1230">
        <f>SUM(T47:T55)</f>
        <v>0</v>
      </c>
      <c r="U46" s="1227">
        <f t="shared" ref="U46" si="70">SUM(U47:U55)</f>
        <v>0</v>
      </c>
      <c r="V46" s="1230">
        <f>SUM(V47:V55)</f>
        <v>0</v>
      </c>
      <c r="W46" s="1231">
        <f t="shared" ref="W46:Y46" si="71">SUM(W47:W55)</f>
        <v>0</v>
      </c>
      <c r="X46" s="1231">
        <f t="shared" si="71"/>
        <v>0</v>
      </c>
      <c r="Y46" s="1229">
        <f t="shared" si="71"/>
        <v>0</v>
      </c>
      <c r="Z46" s="1261">
        <f>SUM(Z47:Z55)</f>
        <v>0</v>
      </c>
      <c r="AA46" s="1228">
        <f>SUM(AA47:AA55)</f>
        <v>0</v>
      </c>
      <c r="AB46" s="1229">
        <f>SUM(AB47:AB55)</f>
        <v>0</v>
      </c>
      <c r="AC46" s="1262"/>
      <c r="AD46" s="1266">
        <f>SUM(AD47:AD55)</f>
        <v>0</v>
      </c>
      <c r="AE46" s="1228">
        <f>SUM(AE47:AE55)</f>
        <v>0</v>
      </c>
      <c r="AF46" s="1229">
        <f>SUM(AF47:AF55)</f>
        <v>0</v>
      </c>
      <c r="AG46" s="1231">
        <f>SUM(AG47:AG55)</f>
        <v>0</v>
      </c>
      <c r="AH46" s="1231">
        <f>SUM(AH47:AH55)</f>
        <v>0</v>
      </c>
    </row>
    <row r="47" spans="2:34" ht="12.75" customHeight="1" x14ac:dyDescent="0.2">
      <c r="B47" s="1042">
        <v>5.0999999999999996</v>
      </c>
      <c r="C47" s="944"/>
      <c r="D47" s="944"/>
      <c r="E47" s="1594"/>
      <c r="F47" s="1595"/>
      <c r="G47" s="1596"/>
      <c r="H47" s="1241"/>
      <c r="I47" s="1241"/>
      <c r="J47" s="1247">
        <f>+AF47+AB47+Y47+U47+S47+AG47+AH47</f>
        <v>0</v>
      </c>
      <c r="K47" s="1248">
        <f>+J47*N47</f>
        <v>0</v>
      </c>
      <c r="L47" s="1222"/>
      <c r="M47" s="1220"/>
      <c r="N47" s="1220"/>
      <c r="O47" s="1221">
        <f>IF((M47&gt;0),M47-1,0)</f>
        <v>0</v>
      </c>
      <c r="P47" s="1044">
        <f t="shared" ref="P47:P53" si="72">IF(M47&gt;2,M47-2,0)</f>
        <v>0</v>
      </c>
      <c r="Q47" s="1223">
        <f t="shared" ref="Q47:Q53" si="73">IF(M47&lt;=2,M47,M47-P47)</f>
        <v>0</v>
      </c>
      <c r="R47" s="1258"/>
      <c r="S47" s="1245">
        <f t="shared" ref="S47:S53" si="74">+R47*L47</f>
        <v>0</v>
      </c>
      <c r="T47" s="1267"/>
      <c r="U47" s="1246">
        <f>L47*O47*T47</f>
        <v>0</v>
      </c>
      <c r="V47" s="1267"/>
      <c r="W47" s="1050">
        <f>L47*P47*V47</f>
        <v>0</v>
      </c>
      <c r="X47" s="1050">
        <f>(L47*Q47*V47)*0.75</f>
        <v>0</v>
      </c>
      <c r="Y47" s="1224">
        <f>SUM(W47:X47)</f>
        <v>0</v>
      </c>
      <c r="Z47" s="1258"/>
      <c r="AA47" s="1045"/>
      <c r="AB47" s="1252">
        <f>Z47*AA47*M47</f>
        <v>0</v>
      </c>
      <c r="AC47" s="1263"/>
      <c r="AD47" s="1046"/>
      <c r="AE47" s="1045"/>
      <c r="AF47" s="1224">
        <f>AC47*AD47*AE47</f>
        <v>0</v>
      </c>
      <c r="AG47" s="1267"/>
      <c r="AH47" s="1268"/>
    </row>
    <row r="48" spans="2:34" ht="12.75" customHeight="1" x14ac:dyDescent="0.2">
      <c r="B48" s="949">
        <v>5.2</v>
      </c>
      <c r="C48" s="944"/>
      <c r="D48" s="944"/>
      <c r="E48" s="1585"/>
      <c r="F48" s="1586"/>
      <c r="G48" s="1587"/>
      <c r="H48" s="1241"/>
      <c r="I48" s="1241"/>
      <c r="J48" s="1247">
        <f t="shared" ref="J48:J53" si="75">+AF48+AB48+Y48+U48+S48+AG48+AH48</f>
        <v>0</v>
      </c>
      <c r="K48" s="1247">
        <f t="shared" ref="K48:K53" si="76">+J48*N48</f>
        <v>0</v>
      </c>
      <c r="L48" s="1232"/>
      <c r="M48" s="1232"/>
      <c r="N48" s="1232"/>
      <c r="O48" s="1044">
        <f>IF((M48&gt;0),M48-1,0)</f>
        <v>0</v>
      </c>
      <c r="P48" s="1044">
        <f t="shared" si="72"/>
        <v>0</v>
      </c>
      <c r="Q48" s="1044">
        <f t="shared" si="73"/>
        <v>0</v>
      </c>
      <c r="R48" s="1259"/>
      <c r="S48" s="1245">
        <f t="shared" si="74"/>
        <v>0</v>
      </c>
      <c r="T48" s="1259"/>
      <c r="U48" s="1246">
        <f t="shared" ref="U48:U53" si="77">L48*O48*T48</f>
        <v>0</v>
      </c>
      <c r="V48" s="1259"/>
      <c r="W48" s="1050">
        <f t="shared" ref="W48:W53" si="78">L48*P48*V48</f>
        <v>0</v>
      </c>
      <c r="X48" s="1050">
        <f t="shared" ref="X48:X53" si="79">(L48*Q48*V48)*0.75</f>
        <v>0</v>
      </c>
      <c r="Y48" s="1225">
        <f>SUM(W48:X48)</f>
        <v>0</v>
      </c>
      <c r="Z48" s="1259"/>
      <c r="AA48" s="1045"/>
      <c r="AB48" s="1225">
        <f>Z48*AA48*M48</f>
        <v>0</v>
      </c>
      <c r="AC48" s="1264"/>
      <c r="AD48" s="1046"/>
      <c r="AE48" s="1045"/>
      <c r="AF48" s="1225">
        <f t="shared" ref="AF48:AF53" si="80">AC48*AD48*AE48</f>
        <v>0</v>
      </c>
      <c r="AG48" s="1259"/>
      <c r="AH48" s="1268"/>
    </row>
    <row r="49" spans="2:34" ht="12.75" customHeight="1" x14ac:dyDescent="0.2">
      <c r="B49" s="949">
        <v>5.3</v>
      </c>
      <c r="C49" s="944"/>
      <c r="D49" s="944"/>
      <c r="E49" s="1585"/>
      <c r="F49" s="1586"/>
      <c r="G49" s="1587"/>
      <c r="H49" s="1241"/>
      <c r="I49" s="1241"/>
      <c r="J49" s="1247">
        <f t="shared" si="75"/>
        <v>0</v>
      </c>
      <c r="K49" s="1247">
        <f t="shared" si="76"/>
        <v>0</v>
      </c>
      <c r="L49" s="1232"/>
      <c r="M49" s="1232"/>
      <c r="N49" s="1232"/>
      <c r="O49" s="1044">
        <f t="shared" ref="O49:O53" si="81">IF((M49&gt;0),M49-1,0)</f>
        <v>0</v>
      </c>
      <c r="P49" s="1044">
        <f t="shared" si="72"/>
        <v>0</v>
      </c>
      <c r="Q49" s="1044">
        <f t="shared" si="73"/>
        <v>0</v>
      </c>
      <c r="R49" s="1259"/>
      <c r="S49" s="1245">
        <f t="shared" si="74"/>
        <v>0</v>
      </c>
      <c r="T49" s="1259"/>
      <c r="U49" s="1246">
        <f t="shared" si="77"/>
        <v>0</v>
      </c>
      <c r="V49" s="1259"/>
      <c r="W49" s="1050">
        <f t="shared" si="78"/>
        <v>0</v>
      </c>
      <c r="X49" s="1050">
        <f t="shared" si="79"/>
        <v>0</v>
      </c>
      <c r="Y49" s="1225">
        <f t="shared" ref="Y49:Y53" si="82">SUM(W49:X49)</f>
        <v>0</v>
      </c>
      <c r="Z49" s="1259"/>
      <c r="AA49" s="1045"/>
      <c r="AB49" s="1225">
        <f t="shared" ref="AB49:AB53" si="83">Z49*AA49*M49</f>
        <v>0</v>
      </c>
      <c r="AC49" s="1264"/>
      <c r="AD49" s="1046"/>
      <c r="AE49" s="1045"/>
      <c r="AF49" s="1225">
        <f t="shared" si="80"/>
        <v>0</v>
      </c>
      <c r="AG49" s="1259"/>
      <c r="AH49" s="1268"/>
    </row>
    <row r="50" spans="2:34" ht="12.75" customHeight="1" x14ac:dyDescent="0.2">
      <c r="B50" s="949">
        <v>5.4</v>
      </c>
      <c r="C50" s="944"/>
      <c r="D50" s="944"/>
      <c r="E50" s="1585"/>
      <c r="F50" s="1586"/>
      <c r="G50" s="1587"/>
      <c r="H50" s="1241"/>
      <c r="I50" s="1241"/>
      <c r="J50" s="1247">
        <f t="shared" si="75"/>
        <v>0</v>
      </c>
      <c r="K50" s="1247">
        <f t="shared" si="76"/>
        <v>0</v>
      </c>
      <c r="L50" s="1232"/>
      <c r="M50" s="1232"/>
      <c r="N50" s="1232"/>
      <c r="O50" s="1044">
        <f t="shared" si="81"/>
        <v>0</v>
      </c>
      <c r="P50" s="1044">
        <f t="shared" si="72"/>
        <v>0</v>
      </c>
      <c r="Q50" s="1044">
        <f t="shared" si="73"/>
        <v>0</v>
      </c>
      <c r="R50" s="1259"/>
      <c r="S50" s="1245">
        <f t="shared" si="74"/>
        <v>0</v>
      </c>
      <c r="T50" s="1259"/>
      <c r="U50" s="1246">
        <f t="shared" si="77"/>
        <v>0</v>
      </c>
      <c r="V50" s="1259"/>
      <c r="W50" s="1050">
        <f t="shared" si="78"/>
        <v>0</v>
      </c>
      <c r="X50" s="1050">
        <f t="shared" si="79"/>
        <v>0</v>
      </c>
      <c r="Y50" s="1225">
        <f t="shared" si="82"/>
        <v>0</v>
      </c>
      <c r="Z50" s="1259"/>
      <c r="AA50" s="1045"/>
      <c r="AB50" s="1225">
        <f t="shared" si="83"/>
        <v>0</v>
      </c>
      <c r="AC50" s="1264"/>
      <c r="AD50" s="1046"/>
      <c r="AE50" s="1045"/>
      <c r="AF50" s="1225">
        <f t="shared" si="80"/>
        <v>0</v>
      </c>
      <c r="AG50" s="1259"/>
      <c r="AH50" s="1268"/>
    </row>
    <row r="51" spans="2:34" ht="12.75" customHeight="1" x14ac:dyDescent="0.2">
      <c r="B51" s="949">
        <v>5.5</v>
      </c>
      <c r="C51" s="944"/>
      <c r="D51" s="944"/>
      <c r="E51" s="1585"/>
      <c r="F51" s="1586"/>
      <c r="G51" s="1587"/>
      <c r="H51" s="1241"/>
      <c r="I51" s="1241"/>
      <c r="J51" s="1247">
        <f t="shared" si="75"/>
        <v>0</v>
      </c>
      <c r="K51" s="1247">
        <f t="shared" si="76"/>
        <v>0</v>
      </c>
      <c r="L51" s="1232"/>
      <c r="M51" s="1232"/>
      <c r="N51" s="1232"/>
      <c r="O51" s="1044">
        <f t="shared" si="81"/>
        <v>0</v>
      </c>
      <c r="P51" s="1044">
        <f t="shared" si="72"/>
        <v>0</v>
      </c>
      <c r="Q51" s="1044">
        <f t="shared" si="73"/>
        <v>0</v>
      </c>
      <c r="R51" s="1259"/>
      <c r="S51" s="1245">
        <f t="shared" si="74"/>
        <v>0</v>
      </c>
      <c r="T51" s="1259"/>
      <c r="U51" s="1246">
        <f t="shared" si="77"/>
        <v>0</v>
      </c>
      <c r="V51" s="1259"/>
      <c r="W51" s="1050">
        <f t="shared" si="78"/>
        <v>0</v>
      </c>
      <c r="X51" s="1050">
        <f t="shared" si="79"/>
        <v>0</v>
      </c>
      <c r="Y51" s="1225">
        <f t="shared" si="82"/>
        <v>0</v>
      </c>
      <c r="Z51" s="1259"/>
      <c r="AA51" s="1045"/>
      <c r="AB51" s="1225">
        <f t="shared" si="83"/>
        <v>0</v>
      </c>
      <c r="AC51" s="1264"/>
      <c r="AD51" s="1046"/>
      <c r="AE51" s="1045"/>
      <c r="AF51" s="1225">
        <f t="shared" si="80"/>
        <v>0</v>
      </c>
      <c r="AG51" s="1259"/>
      <c r="AH51" s="1268"/>
    </row>
    <row r="52" spans="2:34" ht="12.75" customHeight="1" x14ac:dyDescent="0.2">
      <c r="B52" s="949">
        <v>5.6</v>
      </c>
      <c r="C52" s="944"/>
      <c r="D52" s="944"/>
      <c r="E52" s="1585"/>
      <c r="F52" s="1586"/>
      <c r="G52" s="1587"/>
      <c r="H52" s="1241"/>
      <c r="I52" s="1241"/>
      <c r="J52" s="1247">
        <f t="shared" si="75"/>
        <v>0</v>
      </c>
      <c r="K52" s="1247">
        <f t="shared" si="76"/>
        <v>0</v>
      </c>
      <c r="L52" s="1232"/>
      <c r="M52" s="1232"/>
      <c r="N52" s="1232"/>
      <c r="O52" s="1044">
        <f t="shared" si="81"/>
        <v>0</v>
      </c>
      <c r="P52" s="1044">
        <f t="shared" si="72"/>
        <v>0</v>
      </c>
      <c r="Q52" s="1044">
        <f t="shared" si="73"/>
        <v>0</v>
      </c>
      <c r="R52" s="1259"/>
      <c r="S52" s="1245">
        <f t="shared" si="74"/>
        <v>0</v>
      </c>
      <c r="T52" s="1259"/>
      <c r="U52" s="1246">
        <f t="shared" si="77"/>
        <v>0</v>
      </c>
      <c r="V52" s="1259"/>
      <c r="W52" s="1050">
        <f t="shared" si="78"/>
        <v>0</v>
      </c>
      <c r="X52" s="1050">
        <f t="shared" si="79"/>
        <v>0</v>
      </c>
      <c r="Y52" s="1225">
        <f t="shared" si="82"/>
        <v>0</v>
      </c>
      <c r="Z52" s="1259"/>
      <c r="AA52" s="1045"/>
      <c r="AB52" s="1225">
        <f t="shared" si="83"/>
        <v>0</v>
      </c>
      <c r="AC52" s="1264"/>
      <c r="AD52" s="1046"/>
      <c r="AE52" s="1045"/>
      <c r="AF52" s="1225">
        <f t="shared" si="80"/>
        <v>0</v>
      </c>
      <c r="AG52" s="1259"/>
      <c r="AH52" s="1268"/>
    </row>
    <row r="53" spans="2:34" ht="13.5" thickBot="1" x14ac:dyDescent="0.25">
      <c r="B53" s="949">
        <v>5.7</v>
      </c>
      <c r="C53" s="1235"/>
      <c r="D53" s="944"/>
      <c r="E53" s="1585"/>
      <c r="F53" s="1586"/>
      <c r="G53" s="1587"/>
      <c r="H53" s="1241"/>
      <c r="I53" s="1241"/>
      <c r="J53" s="1247">
        <f t="shared" si="75"/>
        <v>0</v>
      </c>
      <c r="K53" s="1247">
        <f t="shared" si="76"/>
        <v>0</v>
      </c>
      <c r="L53" s="1232"/>
      <c r="M53" s="1232"/>
      <c r="N53" s="1232"/>
      <c r="O53" s="1044">
        <f t="shared" si="81"/>
        <v>0</v>
      </c>
      <c r="P53" s="1044">
        <f t="shared" si="72"/>
        <v>0</v>
      </c>
      <c r="Q53" s="1044">
        <f t="shared" si="73"/>
        <v>0</v>
      </c>
      <c r="R53" s="1259"/>
      <c r="S53" s="1245">
        <f t="shared" si="74"/>
        <v>0</v>
      </c>
      <c r="T53" s="1259"/>
      <c r="U53" s="1246">
        <f t="shared" si="77"/>
        <v>0</v>
      </c>
      <c r="V53" s="1259"/>
      <c r="W53" s="1050">
        <f t="shared" si="78"/>
        <v>0</v>
      </c>
      <c r="X53" s="1050">
        <f t="shared" si="79"/>
        <v>0</v>
      </c>
      <c r="Y53" s="1225">
        <f t="shared" si="82"/>
        <v>0</v>
      </c>
      <c r="Z53" s="1259"/>
      <c r="AA53" s="1045"/>
      <c r="AB53" s="1225">
        <f t="shared" si="83"/>
        <v>0</v>
      </c>
      <c r="AC53" s="1264"/>
      <c r="AD53" s="1046"/>
      <c r="AE53" s="1045"/>
      <c r="AF53" s="1225">
        <f t="shared" si="80"/>
        <v>0</v>
      </c>
      <c r="AG53" s="1259"/>
      <c r="AH53" s="1268"/>
    </row>
    <row r="54" spans="2:34" ht="13.5" thickBot="1" x14ac:dyDescent="0.25">
      <c r="B54" s="949">
        <v>5.8</v>
      </c>
      <c r="C54" s="1235"/>
      <c r="D54" s="944"/>
      <c r="E54" s="1585"/>
      <c r="F54" s="1586"/>
      <c r="G54" s="1587"/>
      <c r="H54" s="1241"/>
      <c r="I54" s="1241"/>
      <c r="J54" s="1247">
        <f t="shared" ref="J54" si="84">+AF54+AB54+Y54+U54+S54+AG54+AH54</f>
        <v>0</v>
      </c>
      <c r="K54" s="1247">
        <f t="shared" ref="K54" si="85">+J54*N54</f>
        <v>0</v>
      </c>
      <c r="L54" s="1232"/>
      <c r="M54" s="1232"/>
      <c r="N54" s="1232"/>
      <c r="O54" s="1044">
        <f t="shared" ref="O54" si="86">IF((M54&gt;0),M54-1,0)</f>
        <v>0</v>
      </c>
      <c r="P54" s="1044">
        <f t="shared" ref="P54" si="87">IF(M54&gt;2,M54-2,0)</f>
        <v>0</v>
      </c>
      <c r="Q54" s="1044">
        <f t="shared" ref="Q54" si="88">IF(M54&lt;=2,M54,M54-P54)</f>
        <v>0</v>
      </c>
      <c r="R54" s="1259"/>
      <c r="S54" s="1245">
        <f t="shared" ref="S54" si="89">+R54*L54</f>
        <v>0</v>
      </c>
      <c r="T54" s="1259"/>
      <c r="U54" s="1246">
        <f t="shared" ref="U54" si="90">L54*O54*T54</f>
        <v>0</v>
      </c>
      <c r="V54" s="1259"/>
      <c r="W54" s="1050">
        <f t="shared" ref="W54" si="91">L54*P54*V54</f>
        <v>0</v>
      </c>
      <c r="X54" s="1050">
        <f t="shared" ref="X54" si="92">(L54*Q54*V54)*0.75</f>
        <v>0</v>
      </c>
      <c r="Y54" s="1225">
        <f t="shared" ref="Y54" si="93">SUM(W54:X54)</f>
        <v>0</v>
      </c>
      <c r="Z54" s="1259"/>
      <c r="AA54" s="1045"/>
      <c r="AB54" s="1225">
        <f t="shared" ref="AB54" si="94">Z54*AA54*M54</f>
        <v>0</v>
      </c>
      <c r="AC54" s="1264"/>
      <c r="AD54" s="1046"/>
      <c r="AE54" s="1045"/>
      <c r="AF54" s="1225">
        <f t="shared" ref="AF54" si="95">AC54*AD54*AE54</f>
        <v>0</v>
      </c>
      <c r="AG54" s="1259"/>
      <c r="AH54" s="1268"/>
    </row>
    <row r="55" spans="2:34" ht="6" customHeight="1" thickBot="1" x14ac:dyDescent="0.25">
      <c r="B55" s="1141"/>
      <c r="C55" s="1141"/>
      <c r="D55" s="1141"/>
      <c r="E55" s="1141"/>
      <c r="F55" s="1141"/>
      <c r="G55" s="1141"/>
      <c r="H55" s="1141"/>
      <c r="I55" s="1141"/>
      <c r="J55" s="1142"/>
      <c r="K55" s="1142"/>
      <c r="L55" s="1141"/>
      <c r="M55" s="1141"/>
      <c r="N55" s="1141"/>
      <c r="O55" s="1141"/>
      <c r="P55" s="1141"/>
      <c r="Q55" s="1141"/>
      <c r="R55" s="1142"/>
      <c r="S55" s="1142"/>
      <c r="T55" s="1141"/>
      <c r="U55" s="1141"/>
      <c r="V55" s="1141"/>
      <c r="W55" s="1141"/>
      <c r="X55" s="1141"/>
      <c r="Y55" s="1141"/>
      <c r="Z55" s="1142"/>
      <c r="AA55" s="1142"/>
      <c r="AB55" s="1141"/>
      <c r="AC55" s="1141"/>
      <c r="AD55" s="1141"/>
      <c r="AE55" s="1141"/>
      <c r="AF55" s="1141"/>
      <c r="AG55" s="1141"/>
      <c r="AH55" s="1142"/>
    </row>
    <row r="56" spans="2:34" ht="13.5" thickBot="1" x14ac:dyDescent="0.25">
      <c r="B56" s="1043">
        <v>6</v>
      </c>
      <c r="C56" s="1037" t="s">
        <v>575</v>
      </c>
      <c r="D56" s="1236"/>
      <c r="E56" s="1591"/>
      <c r="F56" s="1592"/>
      <c r="G56" s="1593"/>
      <c r="H56" s="1240"/>
      <c r="I56" s="1240"/>
      <c r="J56" s="1051">
        <f t="shared" ref="J56:K56" si="96">SUM(J57:J64)</f>
        <v>0</v>
      </c>
      <c r="K56" s="1051">
        <f t="shared" si="96"/>
        <v>0</v>
      </c>
      <c r="L56" s="1228">
        <f>SUM(L57:L64)</f>
        <v>0</v>
      </c>
      <c r="M56" s="1228">
        <f>SUM(M57:M64)</f>
        <v>0</v>
      </c>
      <c r="N56" s="1228">
        <f>SUM(N57:N64)</f>
        <v>0</v>
      </c>
      <c r="O56" s="1228">
        <f>SUM(O57:O64)</f>
        <v>0</v>
      </c>
      <c r="P56" s="1228">
        <f t="shared" ref="P56:Q56" si="97">SUM(P57:P64)</f>
        <v>0</v>
      </c>
      <c r="Q56" s="1228">
        <f t="shared" si="97"/>
        <v>0</v>
      </c>
      <c r="R56" s="1230">
        <f>SUM(R57:R64)</f>
        <v>0</v>
      </c>
      <c r="S56" s="1234">
        <f t="shared" ref="S56" si="98">SUM(S57:S64)</f>
        <v>0</v>
      </c>
      <c r="T56" s="1230">
        <f>SUM(T57:T64)</f>
        <v>0</v>
      </c>
      <c r="U56" s="1227">
        <f t="shared" ref="U56" si="99">SUM(U57:U64)</f>
        <v>0</v>
      </c>
      <c r="V56" s="1230">
        <f>SUM(V57:V64)</f>
        <v>0</v>
      </c>
      <c r="W56" s="1231">
        <f t="shared" ref="W56:Y56" si="100">SUM(W57:W64)</f>
        <v>0</v>
      </c>
      <c r="X56" s="1231">
        <f t="shared" si="100"/>
        <v>0</v>
      </c>
      <c r="Y56" s="1229">
        <f t="shared" si="100"/>
        <v>0</v>
      </c>
      <c r="Z56" s="1261">
        <f>SUM(Z57:Z64)</f>
        <v>81.150000000000006</v>
      </c>
      <c r="AA56" s="1228">
        <f>SUM(AA57:AA64)</f>
        <v>2</v>
      </c>
      <c r="AB56" s="1229">
        <f>SUM(AB57:AB64)</f>
        <v>0</v>
      </c>
      <c r="AC56" s="1262"/>
      <c r="AD56" s="1266">
        <f>SUM(AD57:AD64)</f>
        <v>0</v>
      </c>
      <c r="AE56" s="1228">
        <f>SUM(AE57:AE64)</f>
        <v>0</v>
      </c>
      <c r="AF56" s="1229">
        <f>SUM(AF57:AF64)</f>
        <v>0</v>
      </c>
      <c r="AG56" s="1231">
        <f>SUM(AG57:AG64)</f>
        <v>0</v>
      </c>
      <c r="AH56" s="1231">
        <f>SUM(AH57:AH64)</f>
        <v>0</v>
      </c>
    </row>
    <row r="57" spans="2:34" ht="12.75" customHeight="1" x14ac:dyDescent="0.2">
      <c r="B57" s="1042">
        <v>6.1</v>
      </c>
      <c r="C57" s="944"/>
      <c r="D57" s="944"/>
      <c r="E57" s="1594"/>
      <c r="F57" s="1595"/>
      <c r="G57" s="1596"/>
      <c r="H57" s="1241"/>
      <c r="I57" s="1241"/>
      <c r="J57" s="1247">
        <f>+AF57+AB57+Y57+U57+S57+AG57+AH57</f>
        <v>0</v>
      </c>
      <c r="K57" s="1248">
        <f>+J57*N57</f>
        <v>0</v>
      </c>
      <c r="L57" s="1222"/>
      <c r="M57" s="1220"/>
      <c r="N57" s="1220"/>
      <c r="O57" s="1221">
        <f>IF((M57&gt;0),M57-1,0)</f>
        <v>0</v>
      </c>
      <c r="P57" s="1044">
        <f t="shared" ref="P57:P64" si="101">IF(M57&gt;2,M57-2,0)</f>
        <v>0</v>
      </c>
      <c r="Q57" s="1223">
        <f t="shared" ref="Q57:Q64" si="102">IF(M57&lt;=2,M57,M57-P57)</f>
        <v>0</v>
      </c>
      <c r="R57" s="1258"/>
      <c r="S57" s="1245">
        <f t="shared" ref="S57:S64" si="103">+R57*L57</f>
        <v>0</v>
      </c>
      <c r="T57" s="1267"/>
      <c r="U57" s="1246">
        <f>L57*O57*T57</f>
        <v>0</v>
      </c>
      <c r="V57" s="1267"/>
      <c r="W57" s="1050">
        <f>L57*P57*V57</f>
        <v>0</v>
      </c>
      <c r="X57" s="1050">
        <f>(L57*Q57*V57)*0.75</f>
        <v>0</v>
      </c>
      <c r="Y57" s="1224">
        <f>SUM(W57:X57)</f>
        <v>0</v>
      </c>
      <c r="Z57" s="1258">
        <v>48.65</v>
      </c>
      <c r="AA57" s="1045">
        <v>1</v>
      </c>
      <c r="AB57" s="1252">
        <f>Z57*AA57*M57</f>
        <v>0</v>
      </c>
      <c r="AC57" s="1263"/>
      <c r="AD57" s="1046"/>
      <c r="AE57" s="1045"/>
      <c r="AF57" s="1224">
        <f>AC57*AD57*AE57</f>
        <v>0</v>
      </c>
      <c r="AG57" s="1267"/>
      <c r="AH57" s="1268"/>
    </row>
    <row r="58" spans="2:34" ht="12.75" customHeight="1" x14ac:dyDescent="0.2">
      <c r="B58" s="949">
        <v>6.2</v>
      </c>
      <c r="C58" s="944"/>
      <c r="D58" s="944"/>
      <c r="E58" s="1585"/>
      <c r="F58" s="1586"/>
      <c r="G58" s="1587"/>
      <c r="H58" s="1241"/>
      <c r="I58" s="1241"/>
      <c r="J58" s="1247">
        <f t="shared" ref="J58:J64" si="104">+AF58+AB58+Y58+U58+S58+AG58+AH58</f>
        <v>0</v>
      </c>
      <c r="K58" s="1247">
        <f t="shared" ref="K58:K64" si="105">+J58*N58</f>
        <v>0</v>
      </c>
      <c r="L58" s="1232"/>
      <c r="M58" s="1232"/>
      <c r="N58" s="1232"/>
      <c r="O58" s="1044">
        <f>IF((M58&gt;0),M58-1,0)</f>
        <v>0</v>
      </c>
      <c r="P58" s="1044">
        <f t="shared" si="101"/>
        <v>0</v>
      </c>
      <c r="Q58" s="1044">
        <f t="shared" si="102"/>
        <v>0</v>
      </c>
      <c r="R58" s="1259"/>
      <c r="S58" s="1245">
        <f t="shared" si="103"/>
        <v>0</v>
      </c>
      <c r="T58" s="1259"/>
      <c r="U58" s="1246">
        <f t="shared" ref="U58:U64" si="106">L58*O58*T58</f>
        <v>0</v>
      </c>
      <c r="V58" s="1259"/>
      <c r="W58" s="1050">
        <f t="shared" ref="W58:W64" si="107">L58*P58*V58</f>
        <v>0</v>
      </c>
      <c r="X58" s="1050">
        <f t="shared" ref="X58:X64" si="108">(L58*Q58*V58)*0.75</f>
        <v>0</v>
      </c>
      <c r="Y58" s="1225">
        <f>SUM(W58:X58)</f>
        <v>0</v>
      </c>
      <c r="Z58" s="1259">
        <v>32.5</v>
      </c>
      <c r="AA58" s="1045">
        <v>1</v>
      </c>
      <c r="AB58" s="1225">
        <f>Z58*AA58*M58</f>
        <v>0</v>
      </c>
      <c r="AC58" s="1264"/>
      <c r="AD58" s="1046"/>
      <c r="AE58" s="1045"/>
      <c r="AF58" s="1225">
        <f t="shared" ref="AF58:AF64" si="109">AC58*AD58*AE58</f>
        <v>0</v>
      </c>
      <c r="AG58" s="1259"/>
      <c r="AH58" s="1268"/>
    </row>
    <row r="59" spans="2:34" ht="12.75" customHeight="1" x14ac:dyDescent="0.2">
      <c r="B59" s="949">
        <v>6.3</v>
      </c>
      <c r="C59" s="944"/>
      <c r="D59" s="944"/>
      <c r="E59" s="1585"/>
      <c r="F59" s="1586"/>
      <c r="G59" s="1587"/>
      <c r="H59" s="1241"/>
      <c r="I59" s="1241"/>
      <c r="J59" s="1247">
        <f t="shared" si="104"/>
        <v>0</v>
      </c>
      <c r="K59" s="1247">
        <f t="shared" si="105"/>
        <v>0</v>
      </c>
      <c r="L59" s="1232"/>
      <c r="M59" s="1232"/>
      <c r="N59" s="1232"/>
      <c r="O59" s="1044">
        <f t="shared" ref="O59:O64" si="110">IF((M59&gt;0),M59-1,0)</f>
        <v>0</v>
      </c>
      <c r="P59" s="1044">
        <f t="shared" si="101"/>
        <v>0</v>
      </c>
      <c r="Q59" s="1044">
        <f t="shared" si="102"/>
        <v>0</v>
      </c>
      <c r="R59" s="1259"/>
      <c r="S59" s="1245">
        <f t="shared" si="103"/>
        <v>0</v>
      </c>
      <c r="T59" s="1259"/>
      <c r="U59" s="1246">
        <f t="shared" si="106"/>
        <v>0</v>
      </c>
      <c r="V59" s="1259"/>
      <c r="W59" s="1050">
        <f t="shared" si="107"/>
        <v>0</v>
      </c>
      <c r="X59" s="1050">
        <f t="shared" si="108"/>
        <v>0</v>
      </c>
      <c r="Y59" s="1225">
        <f t="shared" ref="Y59:Y64" si="111">SUM(W59:X59)</f>
        <v>0</v>
      </c>
      <c r="Z59" s="1259"/>
      <c r="AA59" s="1045"/>
      <c r="AB59" s="1225">
        <f t="shared" ref="AB59:AB64" si="112">Z59*AA59*M59</f>
        <v>0</v>
      </c>
      <c r="AC59" s="1264"/>
      <c r="AD59" s="1046"/>
      <c r="AE59" s="1045"/>
      <c r="AF59" s="1225">
        <f t="shared" si="109"/>
        <v>0</v>
      </c>
      <c r="AG59" s="1259"/>
      <c r="AH59" s="1268"/>
    </row>
    <row r="60" spans="2:34" ht="12.75" customHeight="1" x14ac:dyDescent="0.2">
      <c r="B60" s="949">
        <v>6.4</v>
      </c>
      <c r="C60" s="944"/>
      <c r="D60" s="944"/>
      <c r="E60" s="1585"/>
      <c r="F60" s="1586"/>
      <c r="G60" s="1587"/>
      <c r="H60" s="1241"/>
      <c r="I60" s="1241"/>
      <c r="J60" s="1247">
        <f t="shared" si="104"/>
        <v>0</v>
      </c>
      <c r="K60" s="1247">
        <f t="shared" si="105"/>
        <v>0</v>
      </c>
      <c r="L60" s="1232"/>
      <c r="M60" s="1232"/>
      <c r="N60" s="1232"/>
      <c r="O60" s="1044">
        <f t="shared" si="110"/>
        <v>0</v>
      </c>
      <c r="P60" s="1044">
        <f t="shared" si="101"/>
        <v>0</v>
      </c>
      <c r="Q60" s="1044">
        <f t="shared" si="102"/>
        <v>0</v>
      </c>
      <c r="R60" s="1259"/>
      <c r="S60" s="1245">
        <f t="shared" si="103"/>
        <v>0</v>
      </c>
      <c r="T60" s="1259"/>
      <c r="U60" s="1246">
        <f t="shared" si="106"/>
        <v>0</v>
      </c>
      <c r="V60" s="1259"/>
      <c r="W60" s="1050">
        <f t="shared" si="107"/>
        <v>0</v>
      </c>
      <c r="X60" s="1050">
        <f t="shared" si="108"/>
        <v>0</v>
      </c>
      <c r="Y60" s="1225">
        <f t="shared" si="111"/>
        <v>0</v>
      </c>
      <c r="Z60" s="1259"/>
      <c r="AA60" s="1045"/>
      <c r="AB60" s="1225">
        <f t="shared" si="112"/>
        <v>0</v>
      </c>
      <c r="AC60" s="1264"/>
      <c r="AD60" s="1046"/>
      <c r="AE60" s="1045"/>
      <c r="AF60" s="1225">
        <f t="shared" si="109"/>
        <v>0</v>
      </c>
      <c r="AG60" s="1259"/>
      <c r="AH60" s="1268"/>
    </row>
    <row r="61" spans="2:34" ht="12.75" customHeight="1" x14ac:dyDescent="0.2">
      <c r="B61" s="949">
        <v>6.5</v>
      </c>
      <c r="C61" s="944"/>
      <c r="D61" s="944"/>
      <c r="E61" s="1585"/>
      <c r="F61" s="1586"/>
      <c r="G61" s="1587"/>
      <c r="H61" s="1241"/>
      <c r="I61" s="1241"/>
      <c r="J61" s="1247">
        <f t="shared" si="104"/>
        <v>0</v>
      </c>
      <c r="K61" s="1247">
        <f t="shared" si="105"/>
        <v>0</v>
      </c>
      <c r="L61" s="1232"/>
      <c r="M61" s="1232"/>
      <c r="N61" s="1232"/>
      <c r="O61" s="1044">
        <f t="shared" si="110"/>
        <v>0</v>
      </c>
      <c r="P61" s="1044">
        <f t="shared" si="101"/>
        <v>0</v>
      </c>
      <c r="Q61" s="1044">
        <f t="shared" si="102"/>
        <v>0</v>
      </c>
      <c r="R61" s="1259"/>
      <c r="S61" s="1245">
        <f t="shared" si="103"/>
        <v>0</v>
      </c>
      <c r="T61" s="1259"/>
      <c r="U61" s="1246">
        <f t="shared" si="106"/>
        <v>0</v>
      </c>
      <c r="V61" s="1259"/>
      <c r="W61" s="1050">
        <f t="shared" si="107"/>
        <v>0</v>
      </c>
      <c r="X61" s="1050">
        <f t="shared" si="108"/>
        <v>0</v>
      </c>
      <c r="Y61" s="1225">
        <f t="shared" si="111"/>
        <v>0</v>
      </c>
      <c r="Z61" s="1259"/>
      <c r="AA61" s="1045"/>
      <c r="AB61" s="1225">
        <f t="shared" si="112"/>
        <v>0</v>
      </c>
      <c r="AC61" s="1264"/>
      <c r="AD61" s="1046"/>
      <c r="AE61" s="1045"/>
      <c r="AF61" s="1225">
        <f t="shared" si="109"/>
        <v>0</v>
      </c>
      <c r="AG61" s="1259"/>
      <c r="AH61" s="1268"/>
    </row>
    <row r="62" spans="2:34" ht="12.75" customHeight="1" x14ac:dyDescent="0.2">
      <c r="B62" s="949">
        <v>6.6</v>
      </c>
      <c r="C62" s="944"/>
      <c r="D62" s="944"/>
      <c r="E62" s="1585"/>
      <c r="F62" s="1586"/>
      <c r="G62" s="1587"/>
      <c r="H62" s="1241"/>
      <c r="I62" s="1241"/>
      <c r="J62" s="1247">
        <f t="shared" si="104"/>
        <v>0</v>
      </c>
      <c r="K62" s="1247">
        <f t="shared" si="105"/>
        <v>0</v>
      </c>
      <c r="L62" s="1232"/>
      <c r="M62" s="1232"/>
      <c r="N62" s="1232"/>
      <c r="O62" s="1044">
        <f t="shared" si="110"/>
        <v>0</v>
      </c>
      <c r="P62" s="1044">
        <f t="shared" si="101"/>
        <v>0</v>
      </c>
      <c r="Q62" s="1044">
        <f t="shared" si="102"/>
        <v>0</v>
      </c>
      <c r="R62" s="1259"/>
      <c r="S62" s="1245">
        <f t="shared" si="103"/>
        <v>0</v>
      </c>
      <c r="T62" s="1259"/>
      <c r="U62" s="1246">
        <f t="shared" si="106"/>
        <v>0</v>
      </c>
      <c r="V62" s="1259"/>
      <c r="W62" s="1050">
        <f t="shared" si="107"/>
        <v>0</v>
      </c>
      <c r="X62" s="1050">
        <f t="shared" si="108"/>
        <v>0</v>
      </c>
      <c r="Y62" s="1225">
        <f t="shared" si="111"/>
        <v>0</v>
      </c>
      <c r="Z62" s="1259"/>
      <c r="AA62" s="1045"/>
      <c r="AB62" s="1225">
        <f t="shared" si="112"/>
        <v>0</v>
      </c>
      <c r="AC62" s="1264"/>
      <c r="AD62" s="1046"/>
      <c r="AE62" s="1045"/>
      <c r="AF62" s="1225">
        <f t="shared" si="109"/>
        <v>0</v>
      </c>
      <c r="AG62" s="1259"/>
      <c r="AH62" s="1268"/>
    </row>
    <row r="63" spans="2:34" ht="12.75" customHeight="1" x14ac:dyDescent="0.2">
      <c r="B63" s="949">
        <v>6.7</v>
      </c>
      <c r="C63" s="944"/>
      <c r="D63" s="944"/>
      <c r="E63" s="1585"/>
      <c r="F63" s="1586"/>
      <c r="G63" s="1587"/>
      <c r="H63" s="1241"/>
      <c r="I63" s="1241"/>
      <c r="J63" s="1247">
        <f t="shared" si="104"/>
        <v>0</v>
      </c>
      <c r="K63" s="1247">
        <f t="shared" si="105"/>
        <v>0</v>
      </c>
      <c r="L63" s="1232"/>
      <c r="M63" s="1232"/>
      <c r="N63" s="1232"/>
      <c r="O63" s="1044">
        <f t="shared" si="110"/>
        <v>0</v>
      </c>
      <c r="P63" s="1044">
        <f t="shared" si="101"/>
        <v>0</v>
      </c>
      <c r="Q63" s="1044">
        <f t="shared" si="102"/>
        <v>0</v>
      </c>
      <c r="R63" s="1259"/>
      <c r="S63" s="1245">
        <f t="shared" si="103"/>
        <v>0</v>
      </c>
      <c r="T63" s="1259"/>
      <c r="U63" s="1246">
        <f t="shared" si="106"/>
        <v>0</v>
      </c>
      <c r="V63" s="1259"/>
      <c r="W63" s="1050">
        <f t="shared" si="107"/>
        <v>0</v>
      </c>
      <c r="X63" s="1050">
        <f t="shared" si="108"/>
        <v>0</v>
      </c>
      <c r="Y63" s="1225">
        <f t="shared" si="111"/>
        <v>0</v>
      </c>
      <c r="Z63" s="1259"/>
      <c r="AA63" s="1045"/>
      <c r="AB63" s="1225">
        <f t="shared" si="112"/>
        <v>0</v>
      </c>
      <c r="AC63" s="1264"/>
      <c r="AD63" s="1046"/>
      <c r="AE63" s="1045"/>
      <c r="AF63" s="1225">
        <f t="shared" si="109"/>
        <v>0</v>
      </c>
      <c r="AG63" s="1259"/>
      <c r="AH63" s="1268"/>
    </row>
    <row r="64" spans="2:34" ht="13.5" customHeight="1" thickBot="1" x14ac:dyDescent="0.25">
      <c r="B64" s="950">
        <v>6.8</v>
      </c>
      <c r="C64" s="1235"/>
      <c r="D64" s="945"/>
      <c r="E64" s="1588"/>
      <c r="F64" s="1589"/>
      <c r="G64" s="1590"/>
      <c r="H64" s="1242"/>
      <c r="I64" s="1242"/>
      <c r="J64" s="1249">
        <f t="shared" si="104"/>
        <v>0</v>
      </c>
      <c r="K64" s="1249">
        <f t="shared" si="105"/>
        <v>0</v>
      </c>
      <c r="L64" s="1233"/>
      <c r="M64" s="1233"/>
      <c r="N64" s="1233"/>
      <c r="O64" s="1217">
        <f t="shared" si="110"/>
        <v>0</v>
      </c>
      <c r="P64" s="1217">
        <f t="shared" si="101"/>
        <v>0</v>
      </c>
      <c r="Q64" s="1217">
        <f t="shared" si="102"/>
        <v>0</v>
      </c>
      <c r="R64" s="1260"/>
      <c r="S64" s="1245">
        <f t="shared" si="103"/>
        <v>0</v>
      </c>
      <c r="T64" s="1269"/>
      <c r="U64" s="1255">
        <f t="shared" si="106"/>
        <v>0</v>
      </c>
      <c r="V64" s="1269"/>
      <c r="W64" s="1253">
        <f t="shared" si="107"/>
        <v>0</v>
      </c>
      <c r="X64" s="1253">
        <f t="shared" si="108"/>
        <v>0</v>
      </c>
      <c r="Y64" s="1254">
        <f t="shared" si="111"/>
        <v>0</v>
      </c>
      <c r="Z64" s="1260"/>
      <c r="AA64" s="1218"/>
      <c r="AB64" s="1226">
        <f t="shared" si="112"/>
        <v>0</v>
      </c>
      <c r="AC64" s="1265"/>
      <c r="AD64" s="1219"/>
      <c r="AE64" s="1218"/>
      <c r="AF64" s="1226">
        <f t="shared" si="109"/>
        <v>0</v>
      </c>
      <c r="AG64" s="1269"/>
      <c r="AH64" s="1270"/>
    </row>
    <row r="65" spans="2:34" ht="15.75" thickBot="1" x14ac:dyDescent="0.25">
      <c r="B65" s="612" t="s">
        <v>784</v>
      </c>
      <c r="C65" s="613"/>
      <c r="D65" s="613"/>
      <c r="E65" s="613"/>
      <c r="F65" s="613"/>
      <c r="G65" s="1047"/>
      <c r="H65" s="1048"/>
      <c r="I65" s="1048"/>
      <c r="J65" s="544" t="s">
        <v>539</v>
      </c>
      <c r="K65" s="1051">
        <f>SUM(K6,K16,K26,K36,K46,K56)</f>
        <v>0</v>
      </c>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row>
    <row r="66" spans="2:34" ht="15" x14ac:dyDescent="0.2">
      <c r="B66" s="613" t="s">
        <v>785</v>
      </c>
      <c r="C66" s="901"/>
      <c r="D66" s="901"/>
      <c r="E66" s="901"/>
      <c r="F66" s="901"/>
      <c r="G66" s="613"/>
      <c r="H66" s="613"/>
      <c r="I66" s="613"/>
      <c r="U66" s="35"/>
      <c r="W66" s="35"/>
      <c r="X66" s="35"/>
      <c r="Y66" s="35"/>
      <c r="AB66" s="35"/>
      <c r="AF66" s="35"/>
    </row>
    <row r="67" spans="2:34" ht="15" x14ac:dyDescent="0.2">
      <c r="C67" s="143"/>
      <c r="D67" s="143"/>
      <c r="E67" s="143"/>
      <c r="F67" s="143"/>
    </row>
    <row r="68" spans="2:34" ht="15" x14ac:dyDescent="0.2">
      <c r="C68" s="143"/>
      <c r="D68" s="143"/>
      <c r="E68" s="143"/>
      <c r="F68" s="1583" t="s">
        <v>535</v>
      </c>
    </row>
    <row r="69" spans="2:34" x14ac:dyDescent="0.2">
      <c r="C69" s="611" t="s">
        <v>82</v>
      </c>
      <c r="D69" s="611" t="s">
        <v>82</v>
      </c>
      <c r="E69" s="611"/>
      <c r="F69" s="1583"/>
      <c r="H69" s="611" t="s">
        <v>82</v>
      </c>
      <c r="J69" s="35"/>
      <c r="K69" s="35"/>
    </row>
    <row r="70" spans="2:34" ht="12.75" customHeight="1" x14ac:dyDescent="0.2">
      <c r="C70" s="1527" t="s">
        <v>297</v>
      </c>
      <c r="D70" s="1527" t="s">
        <v>455</v>
      </c>
      <c r="E70" s="1529" t="s">
        <v>464</v>
      </c>
      <c r="F70" s="1583"/>
      <c r="G70" s="1541" t="s">
        <v>456</v>
      </c>
      <c r="H70" s="1239" t="s">
        <v>465</v>
      </c>
      <c r="I70" s="835"/>
      <c r="J70" s="35"/>
      <c r="K70" s="35"/>
    </row>
    <row r="71" spans="2:34" s="496" customFormat="1" ht="22.5" customHeight="1" x14ac:dyDescent="0.2">
      <c r="C71" s="1597"/>
      <c r="D71" s="1597"/>
      <c r="E71" s="1598"/>
      <c r="F71" s="1584"/>
      <c r="G71" s="1541"/>
      <c r="H71" s="620" t="s">
        <v>454</v>
      </c>
      <c r="I71" s="620" t="s">
        <v>461</v>
      </c>
      <c r="M71" s="35"/>
      <c r="N71" s="35"/>
      <c r="O71" s="35"/>
      <c r="P71" s="35"/>
      <c r="Q71" s="35"/>
      <c r="R71" s="35"/>
      <c r="S71" s="35"/>
      <c r="T71" s="35"/>
      <c r="U71" s="839"/>
      <c r="V71" s="35"/>
      <c r="W71" s="839"/>
      <c r="X71" s="839"/>
      <c r="Y71" s="839"/>
      <c r="Z71" s="35"/>
      <c r="AA71" s="35"/>
      <c r="AB71" s="839"/>
      <c r="AC71" s="35"/>
      <c r="AD71" s="35"/>
      <c r="AE71" s="35"/>
      <c r="AF71" s="839"/>
      <c r="AG71" s="35"/>
      <c r="AH71" s="35"/>
    </row>
    <row r="72" spans="2:34" ht="25.5" customHeight="1" x14ac:dyDescent="0.2">
      <c r="C72" s="582"/>
      <c r="D72" s="582"/>
      <c r="E72" s="1237">
        <f t="shared" ref="E72:E87" si="113">SUMPRODUCT((C$6:C$64=C72)*(D$6:D$64=D72)*K$6:K$64)</f>
        <v>0</v>
      </c>
      <c r="F72" s="588"/>
      <c r="G72" s="590">
        <f>E72-F72</f>
        <v>0</v>
      </c>
      <c r="H72" s="1171" t="s">
        <v>570</v>
      </c>
      <c r="I72" s="586" t="str">
        <f>[0]!Period1_Label</f>
        <v>Proposer FY 1</v>
      </c>
      <c r="J72" s="35"/>
      <c r="K72" s="35"/>
    </row>
    <row r="73" spans="2:34" ht="18" customHeight="1" x14ac:dyDescent="0.2">
      <c r="C73" s="582"/>
      <c r="D73" s="582"/>
      <c r="E73" s="1237">
        <f t="shared" si="113"/>
        <v>0</v>
      </c>
      <c r="F73" s="588"/>
      <c r="G73" s="590">
        <f t="shared" ref="G73:G87" si="114">E73-F73</f>
        <v>0</v>
      </c>
      <c r="H73" s="1171" t="s">
        <v>571</v>
      </c>
      <c r="I73" s="586" t="str">
        <f>[0]!Period2_Label</f>
        <v>Proposer FY 2</v>
      </c>
      <c r="J73" s="35"/>
      <c r="K73" s="35"/>
    </row>
    <row r="74" spans="2:34" ht="15" x14ac:dyDescent="0.2">
      <c r="B74" s="425"/>
      <c r="C74" s="582"/>
      <c r="D74" s="582"/>
      <c r="E74" s="1237">
        <f t="shared" si="113"/>
        <v>0</v>
      </c>
      <c r="F74" s="588"/>
      <c r="G74" s="590">
        <f t="shared" si="114"/>
        <v>0</v>
      </c>
      <c r="H74" s="1171" t="s">
        <v>572</v>
      </c>
      <c r="I74" s="586" t="str">
        <f>[0]!Period3_Label</f>
        <v>Proposer FY 3</v>
      </c>
      <c r="J74" s="35"/>
      <c r="K74" s="35"/>
    </row>
    <row r="75" spans="2:34" ht="15" x14ac:dyDescent="0.2">
      <c r="B75" s="425"/>
      <c r="C75" s="582"/>
      <c r="D75" s="582"/>
      <c r="E75" s="1237">
        <f t="shared" si="113"/>
        <v>0</v>
      </c>
      <c r="F75" s="588"/>
      <c r="G75" s="590">
        <f t="shared" si="114"/>
        <v>0</v>
      </c>
      <c r="H75" s="1171" t="s">
        <v>573</v>
      </c>
      <c r="I75" s="586" t="str">
        <f>[0]!Period4_Label</f>
        <v>Proposer FY 4</v>
      </c>
      <c r="J75" s="35"/>
      <c r="K75" s="35"/>
    </row>
    <row r="76" spans="2:34" ht="15" x14ac:dyDescent="0.2">
      <c r="B76" s="425"/>
      <c r="C76" s="582"/>
      <c r="D76" s="582"/>
      <c r="E76" s="1237">
        <f t="shared" si="113"/>
        <v>0</v>
      </c>
      <c r="F76" s="588"/>
      <c r="G76" s="590">
        <f t="shared" si="114"/>
        <v>0</v>
      </c>
      <c r="H76" s="1171" t="s">
        <v>574</v>
      </c>
      <c r="I76" s="586" t="str">
        <f>[0]!Period5_Label</f>
        <v>Proposer FY 5</v>
      </c>
      <c r="J76" s="35"/>
      <c r="K76" s="35"/>
    </row>
    <row r="77" spans="2:34" ht="15" x14ac:dyDescent="0.2">
      <c r="B77" s="425"/>
      <c r="C77" s="582"/>
      <c r="D77" s="582"/>
      <c r="E77" s="1237">
        <f t="shared" si="113"/>
        <v>0</v>
      </c>
      <c r="F77" s="588"/>
      <c r="G77" s="590">
        <f t="shared" si="114"/>
        <v>0</v>
      </c>
      <c r="H77" s="1171" t="s">
        <v>575</v>
      </c>
      <c r="I77" s="586" t="str">
        <f>[0]!Period6_Label</f>
        <v>Proposer FY 6</v>
      </c>
      <c r="J77" s="35"/>
      <c r="K77" s="35"/>
    </row>
    <row r="78" spans="2:34" ht="15" x14ac:dyDescent="0.2">
      <c r="B78" s="425"/>
      <c r="C78" s="582"/>
      <c r="D78" s="582"/>
      <c r="E78" s="1237">
        <f t="shared" si="113"/>
        <v>0</v>
      </c>
      <c r="F78" s="588"/>
      <c r="G78" s="590">
        <f t="shared" si="114"/>
        <v>0</v>
      </c>
    </row>
    <row r="79" spans="2:34" ht="12.75" customHeight="1" x14ac:dyDescent="0.2">
      <c r="C79" s="582"/>
      <c r="D79" s="582"/>
      <c r="E79" s="1237">
        <f t="shared" si="113"/>
        <v>0</v>
      </c>
      <c r="F79" s="588"/>
      <c r="G79" s="590">
        <f t="shared" si="114"/>
        <v>0</v>
      </c>
      <c r="Q79" s="1274"/>
      <c r="R79" s="911"/>
      <c r="S79" s="912"/>
      <c r="T79" s="912"/>
      <c r="U79" s="912"/>
      <c r="V79" s="912"/>
      <c r="W79" s="912"/>
      <c r="X79" s="912"/>
      <c r="Y79" s="912"/>
      <c r="Z79" s="912"/>
      <c r="AA79" s="912"/>
      <c r="AB79" s="912"/>
      <c r="AC79" s="912"/>
      <c r="AD79" s="912"/>
      <c r="AE79" s="912"/>
      <c r="AF79" s="912"/>
      <c r="AG79" s="912"/>
    </row>
    <row r="80" spans="2:34" x14ac:dyDescent="0.2">
      <c r="C80" s="582"/>
      <c r="D80" s="582"/>
      <c r="E80" s="1237">
        <f t="shared" si="113"/>
        <v>0</v>
      </c>
      <c r="F80" s="588"/>
      <c r="G80" s="590">
        <f t="shared" si="114"/>
        <v>0</v>
      </c>
      <c r="Q80" s="134"/>
      <c r="R80" s="912"/>
      <c r="S80" s="912"/>
      <c r="T80" s="912"/>
      <c r="U80" s="912"/>
      <c r="V80" s="912"/>
      <c r="W80" s="912"/>
      <c r="X80" s="912"/>
      <c r="Y80" s="912"/>
      <c r="Z80" s="912"/>
      <c r="AA80" s="912"/>
      <c r="AB80" s="912"/>
      <c r="AC80" s="912"/>
      <c r="AD80" s="912"/>
      <c r="AE80" s="912"/>
      <c r="AF80" s="912"/>
      <c r="AG80" s="912"/>
    </row>
    <row r="81" spans="3:33" x14ac:dyDescent="0.2">
      <c r="C81" s="582"/>
      <c r="D81" s="582"/>
      <c r="E81" s="1237">
        <f t="shared" si="113"/>
        <v>0</v>
      </c>
      <c r="F81" s="588"/>
      <c r="G81" s="590">
        <f t="shared" si="114"/>
        <v>0</v>
      </c>
      <c r="Q81" s="134"/>
      <c r="R81" s="1577"/>
      <c r="S81" s="1577"/>
      <c r="T81" s="1577"/>
      <c r="U81" s="1577"/>
      <c r="V81" s="1577"/>
      <c r="W81" s="1577"/>
      <c r="X81" s="1577"/>
      <c r="Y81" s="1577"/>
      <c r="Z81" s="1577"/>
      <c r="AA81" s="1577"/>
      <c r="AB81" s="1577"/>
      <c r="AC81" s="1577"/>
      <c r="AD81" s="1577"/>
      <c r="AE81" s="1577"/>
      <c r="AF81" s="1577"/>
      <c r="AG81" s="1577"/>
    </row>
    <row r="82" spans="3:33" x14ac:dyDescent="0.2">
      <c r="C82" s="582"/>
      <c r="D82" s="582"/>
      <c r="E82" s="1237">
        <f t="shared" si="113"/>
        <v>0</v>
      </c>
      <c r="F82" s="588"/>
      <c r="G82" s="590">
        <f t="shared" si="114"/>
        <v>0</v>
      </c>
    </row>
    <row r="83" spans="3:33" x14ac:dyDescent="0.2">
      <c r="C83" s="582"/>
      <c r="D83" s="582"/>
      <c r="E83" s="1237">
        <f t="shared" si="113"/>
        <v>0</v>
      </c>
      <c r="F83" s="588"/>
      <c r="G83" s="590">
        <f t="shared" si="114"/>
        <v>0</v>
      </c>
      <c r="Q83" s="633"/>
      <c r="R83" s="1578"/>
      <c r="S83" s="1578"/>
      <c r="T83" s="1578"/>
      <c r="U83" s="1578"/>
      <c r="V83" s="1578"/>
      <c r="W83" s="1578"/>
      <c r="X83" s="1578"/>
      <c r="Y83" s="1578"/>
      <c r="Z83" s="1578"/>
      <c r="AA83" s="1578"/>
      <c r="AB83" s="1578"/>
      <c r="AC83" s="1578"/>
      <c r="AD83" s="1578"/>
      <c r="AE83" s="1578"/>
      <c r="AF83" s="1578"/>
      <c r="AG83" s="1578"/>
    </row>
    <row r="84" spans="3:33" x14ac:dyDescent="0.2">
      <c r="C84" s="582"/>
      <c r="D84" s="582"/>
      <c r="E84" s="1237">
        <f t="shared" si="113"/>
        <v>0</v>
      </c>
      <c r="F84" s="588"/>
      <c r="G84" s="590">
        <f t="shared" si="114"/>
        <v>0</v>
      </c>
      <c r="U84" s="35"/>
      <c r="W84" s="35"/>
      <c r="X84" s="35"/>
      <c r="Y84" s="35"/>
      <c r="AB84" s="35"/>
      <c r="AF84" s="35"/>
    </row>
    <row r="85" spans="3:33" x14ac:dyDescent="0.2">
      <c r="C85" s="582"/>
      <c r="D85" s="582"/>
      <c r="E85" s="1237">
        <f t="shared" si="113"/>
        <v>0</v>
      </c>
      <c r="F85" s="588"/>
      <c r="G85" s="590">
        <f t="shared" si="114"/>
        <v>0</v>
      </c>
      <c r="U85" s="35"/>
      <c r="W85" s="35"/>
      <c r="X85" s="35"/>
      <c r="Y85" s="35"/>
      <c r="AB85" s="35"/>
      <c r="AF85" s="35"/>
    </row>
    <row r="86" spans="3:33" x14ac:dyDescent="0.2">
      <c r="C86" s="582"/>
      <c r="D86" s="582"/>
      <c r="E86" s="1237">
        <f t="shared" si="113"/>
        <v>0</v>
      </c>
      <c r="F86" s="588"/>
      <c r="G86" s="590">
        <f t="shared" si="114"/>
        <v>0</v>
      </c>
      <c r="U86" s="35"/>
      <c r="W86" s="35"/>
      <c r="X86" s="35"/>
      <c r="Y86" s="35"/>
      <c r="AB86" s="35"/>
      <c r="AF86" s="35"/>
    </row>
    <row r="87" spans="3:33" ht="13.5" thickBot="1" x14ac:dyDescent="0.25">
      <c r="C87" s="582"/>
      <c r="D87" s="582"/>
      <c r="E87" s="1237">
        <f t="shared" si="113"/>
        <v>0</v>
      </c>
      <c r="F87" s="588"/>
      <c r="G87" s="590">
        <f t="shared" si="114"/>
        <v>0</v>
      </c>
      <c r="U87" s="35"/>
      <c r="W87" s="35"/>
      <c r="X87" s="35"/>
      <c r="Y87" s="35"/>
      <c r="AB87" s="35"/>
      <c r="AF87" s="35"/>
    </row>
    <row r="88" spans="3:33" ht="13.5" thickBot="1" x14ac:dyDescent="0.25">
      <c r="D88" s="589" t="s">
        <v>469</v>
      </c>
      <c r="E88" s="1238">
        <f>SUM(E72:E87)</f>
        <v>0</v>
      </c>
      <c r="F88" s="623" t="s">
        <v>470</v>
      </c>
      <c r="U88" s="35"/>
      <c r="W88" s="35"/>
      <c r="X88" s="35"/>
      <c r="Y88" s="35"/>
      <c r="AB88" s="35"/>
      <c r="AF88" s="35"/>
    </row>
    <row r="91" spans="3:33" x14ac:dyDescent="0.2">
      <c r="J91" s="35"/>
      <c r="K91" s="35"/>
      <c r="U91" s="35"/>
      <c r="W91" s="35"/>
      <c r="X91" s="35"/>
      <c r="Y91" s="35"/>
      <c r="AB91" s="35"/>
      <c r="AF91" s="35"/>
    </row>
    <row r="92" spans="3:33" ht="181.5" customHeight="1" x14ac:dyDescent="0.2">
      <c r="C92" s="610" t="s">
        <v>81</v>
      </c>
      <c r="D92" s="1444" t="s">
        <v>707</v>
      </c>
      <c r="E92" s="1444"/>
      <c r="F92" s="1444"/>
      <c r="G92" s="1444"/>
      <c r="H92" s="1444"/>
      <c r="I92" s="1444"/>
      <c r="J92" s="1444"/>
      <c r="K92" s="1444"/>
      <c r="N92" s="905"/>
      <c r="O92" s="905"/>
      <c r="P92" s="905"/>
      <c r="S92" s="637"/>
      <c r="U92" s="35"/>
      <c r="W92" s="35"/>
      <c r="X92" s="35"/>
      <c r="Y92" s="35"/>
      <c r="AB92" s="35"/>
      <c r="AF92" s="35"/>
    </row>
    <row r="93" spans="3:33" x14ac:dyDescent="0.2">
      <c r="D93" s="905"/>
      <c r="E93" s="905"/>
      <c r="F93" s="905"/>
      <c r="G93" s="905"/>
      <c r="H93" s="905"/>
      <c r="I93" s="905"/>
      <c r="J93" s="610"/>
      <c r="K93" s="35"/>
      <c r="U93" s="35"/>
      <c r="W93" s="35"/>
      <c r="X93" s="35"/>
      <c r="Y93" s="35"/>
      <c r="AB93" s="35"/>
      <c r="AF93" s="35"/>
    </row>
    <row r="94" spans="3:33" x14ac:dyDescent="0.2">
      <c r="C94" s="610" t="s">
        <v>10</v>
      </c>
      <c r="D94" s="911" t="s">
        <v>47</v>
      </c>
      <c r="E94" s="912"/>
      <c r="F94" s="912"/>
      <c r="G94" s="912"/>
      <c r="H94" s="912"/>
      <c r="I94" s="912"/>
      <c r="J94" s="912"/>
      <c r="K94" s="912"/>
      <c r="L94" s="912"/>
      <c r="M94" s="912"/>
      <c r="N94" s="912"/>
      <c r="O94" s="912"/>
      <c r="P94" s="912"/>
      <c r="Q94" s="912"/>
      <c r="R94" s="912"/>
      <c r="S94" s="912"/>
    </row>
    <row r="95" spans="3:33" x14ac:dyDescent="0.2">
      <c r="C95" s="134"/>
      <c r="D95" s="912"/>
      <c r="E95" s="912"/>
      <c r="F95" s="912"/>
      <c r="G95" s="912"/>
      <c r="H95" s="912"/>
      <c r="I95" s="912"/>
      <c r="J95" s="912"/>
      <c r="K95" s="912"/>
      <c r="L95" s="912"/>
      <c r="M95" s="912"/>
      <c r="N95" s="912"/>
      <c r="O95" s="912"/>
      <c r="P95" s="912"/>
      <c r="Q95" s="912"/>
      <c r="R95" s="912"/>
      <c r="S95" s="912"/>
    </row>
    <row r="96" spans="3:33" x14ac:dyDescent="0.2">
      <c r="C96" s="610" t="s">
        <v>13</v>
      </c>
      <c r="D96" s="1578" t="s">
        <v>55</v>
      </c>
      <c r="E96" s="1578"/>
      <c r="F96" s="1578"/>
      <c r="G96" s="1578"/>
      <c r="H96" s="1578"/>
      <c r="I96" s="1578"/>
      <c r="J96" s="1578"/>
      <c r="K96" s="1578"/>
      <c r="L96" s="1578"/>
      <c r="M96" s="1578"/>
      <c r="N96" s="1578"/>
      <c r="O96" s="1578"/>
      <c r="P96" s="1578"/>
      <c r="Q96" s="1578"/>
      <c r="R96" s="1578"/>
      <c r="S96" s="1578"/>
    </row>
    <row r="97" spans="2:18" x14ac:dyDescent="0.2">
      <c r="C97" s="610"/>
      <c r="G97" s="839"/>
      <c r="I97" s="839"/>
      <c r="N97" s="839"/>
      <c r="R97" s="839"/>
    </row>
    <row r="98" spans="2:18" ht="174" customHeight="1" x14ac:dyDescent="0.2">
      <c r="C98" s="610" t="s">
        <v>44</v>
      </c>
      <c r="D98" s="1579" t="s">
        <v>772</v>
      </c>
      <c r="E98" s="1579"/>
      <c r="F98" s="1579"/>
      <c r="G98" s="1579"/>
      <c r="H98" s="1579"/>
      <c r="I98" s="1579"/>
      <c r="J98" s="1579"/>
      <c r="K98" s="1579"/>
    </row>
    <row r="99" spans="2:18" ht="13.5" thickBot="1" x14ac:dyDescent="0.25"/>
    <row r="100" spans="2:18" customFormat="1" ht="16.5" thickBot="1" x14ac:dyDescent="0.3">
      <c r="C100" s="1520" t="s">
        <v>511</v>
      </c>
      <c r="D100" s="1570"/>
      <c r="E100" s="1521"/>
    </row>
    <row r="101" spans="2:18" customFormat="1" ht="15.75" x14ac:dyDescent="0.2">
      <c r="B101" s="872" t="s">
        <v>512</v>
      </c>
      <c r="C101" s="1571" t="s">
        <v>530</v>
      </c>
      <c r="D101" s="1572"/>
      <c r="E101" s="1572"/>
      <c r="F101" s="1572"/>
    </row>
    <row r="102" spans="2:18" customFormat="1" ht="15.75" x14ac:dyDescent="0.2">
      <c r="B102" s="873"/>
      <c r="C102" s="1494"/>
      <c r="D102" s="1565"/>
      <c r="E102" s="1565"/>
      <c r="F102" s="1495"/>
    </row>
    <row r="103" spans="2:18" customFormat="1" ht="15.75" x14ac:dyDescent="0.2">
      <c r="B103" s="290"/>
      <c r="C103" s="1494"/>
      <c r="D103" s="1565"/>
      <c r="E103" s="1565"/>
      <c r="F103" s="1495"/>
    </row>
    <row r="104" spans="2:18" customFormat="1" ht="15.75" x14ac:dyDescent="0.2">
      <c r="B104" s="290"/>
      <c r="C104" s="1494"/>
      <c r="D104" s="1565"/>
      <c r="E104" s="1565"/>
      <c r="F104" s="1495"/>
    </row>
    <row r="105" spans="2:18" customFormat="1" ht="15.75" x14ac:dyDescent="0.2">
      <c r="B105" s="290"/>
      <c r="C105" s="1494"/>
      <c r="D105" s="1565"/>
      <c r="E105" s="1565"/>
      <c r="F105" s="1495"/>
    </row>
    <row r="106" spans="2:18" customFormat="1" ht="15.75" x14ac:dyDescent="0.2">
      <c r="B106" s="290"/>
      <c r="C106" s="1494"/>
      <c r="D106" s="1565"/>
      <c r="E106" s="1565"/>
      <c r="F106" s="1495"/>
    </row>
    <row r="107" spans="2:18" customFormat="1" ht="15.75" x14ac:dyDescent="0.2">
      <c r="B107" s="290"/>
      <c r="C107" s="1494"/>
      <c r="D107" s="1565"/>
      <c r="E107" s="1565"/>
      <c r="F107" s="1495"/>
    </row>
    <row r="108" spans="2:18" customFormat="1" ht="15.75" customHeight="1" x14ac:dyDescent="0.2">
      <c r="B108" s="290"/>
      <c r="C108" s="1494"/>
      <c r="D108" s="1565"/>
      <c r="E108" s="1565"/>
      <c r="F108" s="1495"/>
    </row>
    <row r="109" spans="2:18" customFormat="1" ht="15.75" customHeight="1" x14ac:dyDescent="0.2">
      <c r="B109" s="290"/>
      <c r="C109" s="1494"/>
      <c r="D109" s="1565"/>
      <c r="E109" s="1565"/>
      <c r="F109" s="1495"/>
    </row>
    <row r="110" spans="2:18" customFormat="1" ht="15.75" x14ac:dyDescent="0.2">
      <c r="B110" s="290"/>
      <c r="C110" s="1494"/>
      <c r="D110" s="1565"/>
      <c r="E110" s="1565"/>
      <c r="F110" s="1495"/>
    </row>
    <row r="111" spans="2:18" customFormat="1" ht="15.75" x14ac:dyDescent="0.2">
      <c r="B111" s="290"/>
      <c r="C111" s="1494"/>
      <c r="D111" s="1565"/>
      <c r="E111" s="1565"/>
      <c r="F111" s="1495"/>
    </row>
    <row r="112" spans="2:18" customFormat="1" ht="15.75" x14ac:dyDescent="0.2">
      <c r="B112" s="290"/>
      <c r="C112" s="1494"/>
      <c r="D112" s="1565"/>
      <c r="E112" s="1565"/>
      <c r="F112" s="1495"/>
    </row>
    <row r="113" spans="2:6" customFormat="1" ht="15.75" x14ac:dyDescent="0.2">
      <c r="B113" s="290"/>
      <c r="C113" s="1494"/>
      <c r="D113" s="1565"/>
      <c r="E113" s="1565"/>
      <c r="F113" s="1495"/>
    </row>
    <row r="114" spans="2:6" customFormat="1" ht="15.75" x14ac:dyDescent="0.2">
      <c r="B114" s="290"/>
      <c r="C114" s="1494"/>
      <c r="D114" s="1565"/>
      <c r="E114" s="1565"/>
      <c r="F114" s="1495"/>
    </row>
    <row r="115" spans="2:6" customFormat="1" x14ac:dyDescent="0.2"/>
  </sheetData>
  <mergeCells count="83">
    <mergeCell ref="C112:F112"/>
    <mergeCell ref="C113:F113"/>
    <mergeCell ref="C114:F114"/>
    <mergeCell ref="C100:E100"/>
    <mergeCell ref="C101:F101"/>
    <mergeCell ref="C102:F102"/>
    <mergeCell ref="C103:F103"/>
    <mergeCell ref="C104:F104"/>
    <mergeCell ref="C105:F105"/>
    <mergeCell ref="C106:F106"/>
    <mergeCell ref="C107:F107"/>
    <mergeCell ref="C108:F108"/>
    <mergeCell ref="C109:F109"/>
    <mergeCell ref="C110:F110"/>
    <mergeCell ref="C111:F111"/>
    <mergeCell ref="P4:Q4"/>
    <mergeCell ref="W4:Y4"/>
    <mergeCell ref="C70:C71"/>
    <mergeCell ref="D70:D71"/>
    <mergeCell ref="G70:G71"/>
    <mergeCell ref="E70:E71"/>
    <mergeCell ref="E5:G5"/>
    <mergeCell ref="E6:G6"/>
    <mergeCell ref="E7:G7"/>
    <mergeCell ref="E8:G8"/>
    <mergeCell ref="E9:G9"/>
    <mergeCell ref="E10:G10"/>
    <mergeCell ref="E11:G11"/>
    <mergeCell ref="E12:G12"/>
    <mergeCell ref="E13:G13"/>
    <mergeCell ref="E14:G14"/>
    <mergeCell ref="E16:G16"/>
    <mergeCell ref="E17:G17"/>
    <mergeCell ref="E18:G18"/>
    <mergeCell ref="E19:G19"/>
    <mergeCell ref="E20:G20"/>
    <mergeCell ref="E21:G21"/>
    <mergeCell ref="E22:G22"/>
    <mergeCell ref="E23:G23"/>
    <mergeCell ref="E24:G24"/>
    <mergeCell ref="E26:G26"/>
    <mergeCell ref="E27:G27"/>
    <mergeCell ref="E28:G28"/>
    <mergeCell ref="E29:G29"/>
    <mergeCell ref="E30:G30"/>
    <mergeCell ref="E31:G31"/>
    <mergeCell ref="E32:G32"/>
    <mergeCell ref="E33:G33"/>
    <mergeCell ref="E34:G34"/>
    <mergeCell ref="E36:G36"/>
    <mergeCell ref="E37:G37"/>
    <mergeCell ref="E38:G38"/>
    <mergeCell ref="E39:G39"/>
    <mergeCell ref="E40:G40"/>
    <mergeCell ref="E41:G41"/>
    <mergeCell ref="E42:G42"/>
    <mergeCell ref="E53:G53"/>
    <mergeCell ref="E43:G43"/>
    <mergeCell ref="E44:G44"/>
    <mergeCell ref="E46:G46"/>
    <mergeCell ref="E47:G47"/>
    <mergeCell ref="E48:G48"/>
    <mergeCell ref="B2:E2"/>
    <mergeCell ref="F68:F71"/>
    <mergeCell ref="E54:G54"/>
    <mergeCell ref="E60:G60"/>
    <mergeCell ref="E61:G61"/>
    <mergeCell ref="E62:G62"/>
    <mergeCell ref="E63:G63"/>
    <mergeCell ref="E64:G64"/>
    <mergeCell ref="E56:G56"/>
    <mergeCell ref="E57:G57"/>
    <mergeCell ref="E58:G58"/>
    <mergeCell ref="E59:G59"/>
    <mergeCell ref="E49:G49"/>
    <mergeCell ref="E50:G50"/>
    <mergeCell ref="E51:G51"/>
    <mergeCell ref="E52:G52"/>
    <mergeCell ref="R81:AG81"/>
    <mergeCell ref="R83:AG83"/>
    <mergeCell ref="D96:S96"/>
    <mergeCell ref="D92:K92"/>
    <mergeCell ref="D98:K98"/>
  </mergeCells>
  <dataValidations count="2">
    <dataValidation type="list" allowBlank="1" showInputMessage="1" showErrorMessage="1" sqref="C72:C87 C6:C64">
      <formula1>$H$72:$H$77</formula1>
    </dataValidation>
    <dataValidation type="list" allowBlank="1" showInputMessage="1" showErrorMessage="1" sqref="E35:F35 D72:D87 D57:D64 D7:D15 D17:D25 D27:D35 D37:D45 E45:F45 E25:F25 D47:D55 E55:F55">
      <formula1>$I$72:$I$77</formula1>
    </dataValidation>
  </dataValidations>
  <pageMargins left="0.75" right="0.75" top="1" bottom="1" header="0.5" footer="0.5"/>
  <pageSetup scale="72" orientation="landscape" horizontalDpi="1200" vertic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5E8FF"/>
    <pageSetUpPr fitToPage="1"/>
  </sheetPr>
  <dimension ref="A1:AF112"/>
  <sheetViews>
    <sheetView zoomScale="90" zoomScaleNormal="90" workbookViewId="0">
      <pane xSplit="10" ySplit="5" topLeftCell="K6" activePane="bottomRight" state="frozen"/>
      <selection activeCell="B3" sqref="B3:P3"/>
      <selection pane="topRight" activeCell="B3" sqref="B3:P3"/>
      <selection pane="bottomLeft" activeCell="B3" sqref="B3:P3"/>
      <selection pane="bottomRight" activeCell="C3" sqref="C3"/>
    </sheetView>
  </sheetViews>
  <sheetFormatPr defaultColWidth="8.7109375" defaultRowHeight="12.75" outlineLevelRow="1" x14ac:dyDescent="0.2"/>
  <cols>
    <col min="1" max="1" width="0.85546875" style="35" customWidth="1"/>
    <col min="2" max="2" width="6.7109375" style="35" customWidth="1"/>
    <col min="3" max="3" width="11" style="35" customWidth="1"/>
    <col min="4" max="4" width="13.28515625" style="35" customWidth="1"/>
    <col min="5" max="5" width="18.28515625" style="35" customWidth="1"/>
    <col min="6" max="6" width="18.7109375" style="35" customWidth="1"/>
    <col min="7" max="7" width="13.5703125" style="35" customWidth="1"/>
    <col min="8" max="8" width="13.42578125" style="35" customWidth="1"/>
    <col min="9" max="9" width="8.85546875" style="35" customWidth="1"/>
    <col min="10" max="10" width="14.7109375" style="35" customWidth="1"/>
    <col min="11" max="11" width="11" style="35" customWidth="1"/>
    <col min="12" max="12" width="39.28515625" style="35" customWidth="1"/>
    <col min="13" max="13" width="7.85546875" style="35" customWidth="1"/>
    <col min="14" max="14" width="11.5703125" style="938" customWidth="1"/>
    <col min="15" max="15" width="2.5703125" style="35" customWidth="1"/>
    <col min="16" max="16" width="7.7109375" style="35" customWidth="1"/>
    <col min="17" max="17" width="12.42578125" style="35" customWidth="1"/>
    <col min="18" max="18" width="13.140625" style="35" customWidth="1"/>
    <col min="19" max="19" width="14.5703125" style="35" customWidth="1"/>
    <col min="20" max="16384" width="8.7109375" style="35"/>
  </cols>
  <sheetData>
    <row r="1" spans="2:32" s="524" customFormat="1" ht="18.75" x14ac:dyDescent="0.3">
      <c r="B1" s="1059" t="s">
        <v>704</v>
      </c>
      <c r="C1" s="1060"/>
      <c r="D1" s="1060"/>
      <c r="E1" s="1061"/>
      <c r="F1" s="1062"/>
      <c r="G1" s="1060"/>
      <c r="H1" s="1060"/>
      <c r="I1" s="1060"/>
      <c r="J1" s="1060"/>
      <c r="K1" s="1060"/>
      <c r="L1" s="1060"/>
      <c r="M1" s="1060"/>
      <c r="N1" s="1281"/>
      <c r="O1" s="526"/>
      <c r="P1" s="526"/>
      <c r="Q1" s="526"/>
      <c r="R1" s="526"/>
    </row>
    <row r="2" spans="2:32" s="143" customFormat="1" ht="15.75" x14ac:dyDescent="0.25">
      <c r="B2" s="1575" t="str">
        <f>INITIALIZATION!C5</f>
        <v>Proposer's Name (Prime or Sub)</v>
      </c>
      <c r="C2" s="1575"/>
      <c r="D2" s="1575"/>
      <c r="E2" s="1575"/>
      <c r="F2" s="1273" t="s">
        <v>541</v>
      </c>
      <c r="G2" s="526"/>
      <c r="H2" s="526"/>
      <c r="I2" s="526"/>
      <c r="J2" s="526"/>
      <c r="K2" s="526"/>
      <c r="L2" s="526"/>
      <c r="M2" s="526"/>
      <c r="N2" s="1244"/>
      <c r="O2" s="526"/>
    </row>
    <row r="3" spans="2:32" s="143" customFormat="1" ht="15.75" x14ac:dyDescent="0.25">
      <c r="B3" s="526"/>
      <c r="C3" s="526"/>
      <c r="D3" s="526"/>
      <c r="E3" s="526"/>
      <c r="F3" s="526"/>
      <c r="G3" s="526"/>
      <c r="H3" s="526"/>
      <c r="I3" s="526"/>
      <c r="J3" s="526"/>
      <c r="K3" s="526"/>
      <c r="L3" s="526"/>
      <c r="M3" s="526"/>
      <c r="N3" s="1244"/>
      <c r="O3" s="526"/>
      <c r="AF3" s="143" t="s">
        <v>522</v>
      </c>
    </row>
    <row r="4" spans="2:32" ht="15.75" customHeight="1" thickBot="1" x14ac:dyDescent="0.25">
      <c r="B4" s="611" t="s">
        <v>82</v>
      </c>
      <c r="C4" s="611" t="s">
        <v>82</v>
      </c>
      <c r="D4" s="611" t="s">
        <v>82</v>
      </c>
      <c r="M4" s="617" t="s">
        <v>712</v>
      </c>
    </row>
    <row r="5" spans="2:32" ht="26.25" customHeight="1" thickBot="1" x14ac:dyDescent="0.25">
      <c r="B5" s="577" t="s">
        <v>446</v>
      </c>
      <c r="C5" s="578" t="s">
        <v>448</v>
      </c>
      <c r="D5" s="578" t="s">
        <v>461</v>
      </c>
      <c r="E5" s="1522" t="s">
        <v>459</v>
      </c>
      <c r="F5" s="1524"/>
      <c r="G5" s="909" t="s">
        <v>9</v>
      </c>
      <c r="H5" s="909" t="s">
        <v>468</v>
      </c>
      <c r="I5" s="909" t="s">
        <v>6</v>
      </c>
      <c r="J5" s="909" t="s">
        <v>467</v>
      </c>
      <c r="K5" s="1609" t="s">
        <v>713</v>
      </c>
      <c r="L5" s="1610"/>
      <c r="M5" s="607" t="s">
        <v>680</v>
      </c>
      <c r="N5" s="578" t="s">
        <v>462</v>
      </c>
    </row>
    <row r="6" spans="2:32" x14ac:dyDescent="0.2">
      <c r="B6" s="621"/>
      <c r="C6" s="581"/>
      <c r="D6" s="581"/>
      <c r="E6" s="1613"/>
      <c r="F6" s="1614"/>
      <c r="G6" s="615"/>
      <c r="H6" s="1279">
        <v>0</v>
      </c>
      <c r="I6" s="1275"/>
      <c r="J6" s="595">
        <f>I6*H6</f>
        <v>0</v>
      </c>
      <c r="K6" s="1599"/>
      <c r="L6" s="1600"/>
      <c r="M6" s="608"/>
      <c r="N6" s="881" t="s">
        <v>708</v>
      </c>
    </row>
    <row r="7" spans="2:32" x14ac:dyDescent="0.2">
      <c r="B7" s="622"/>
      <c r="C7" s="581"/>
      <c r="D7" s="581"/>
      <c r="E7" s="1611"/>
      <c r="F7" s="1612"/>
      <c r="G7" s="615"/>
      <c r="H7" s="1279">
        <v>0</v>
      </c>
      <c r="I7" s="1276"/>
      <c r="J7" s="595">
        <f t="shared" ref="J7:J65" si="0">I7*H7</f>
        <v>0</v>
      </c>
      <c r="K7" s="1599"/>
      <c r="L7" s="1600"/>
      <c r="M7" s="608"/>
      <c r="N7" s="1282"/>
    </row>
    <row r="8" spans="2:32" x14ac:dyDescent="0.2">
      <c r="B8" s="622"/>
      <c r="C8" s="581"/>
      <c r="D8" s="581"/>
      <c r="E8" s="1611"/>
      <c r="F8" s="1612"/>
      <c r="G8" s="615"/>
      <c r="H8" s="1279">
        <v>0</v>
      </c>
      <c r="I8" s="1277"/>
      <c r="J8" s="595">
        <f t="shared" si="0"/>
        <v>0</v>
      </c>
      <c r="K8" s="1599"/>
      <c r="L8" s="1600"/>
      <c r="M8" s="608"/>
      <c r="N8" s="1282"/>
    </row>
    <row r="9" spans="2:32" x14ac:dyDescent="0.2">
      <c r="B9" s="621"/>
      <c r="C9" s="581"/>
      <c r="D9" s="581"/>
      <c r="E9" s="1611"/>
      <c r="F9" s="1612"/>
      <c r="G9" s="615"/>
      <c r="H9" s="1279">
        <v>0</v>
      </c>
      <c r="I9" s="1276"/>
      <c r="J9" s="595">
        <f t="shared" si="0"/>
        <v>0</v>
      </c>
      <c r="K9" s="1599"/>
      <c r="L9" s="1600"/>
      <c r="M9" s="608"/>
      <c r="N9" s="1282"/>
    </row>
    <row r="10" spans="2:32" x14ac:dyDescent="0.2">
      <c r="B10" s="622"/>
      <c r="C10" s="581"/>
      <c r="D10" s="581"/>
      <c r="E10" s="1611"/>
      <c r="F10" s="1612"/>
      <c r="G10" s="615"/>
      <c r="H10" s="1279">
        <v>0</v>
      </c>
      <c r="I10" s="1276"/>
      <c r="J10" s="595">
        <f t="shared" si="0"/>
        <v>0</v>
      </c>
      <c r="K10" s="1599"/>
      <c r="L10" s="1600"/>
      <c r="M10" s="608"/>
      <c r="N10" s="1282"/>
    </row>
    <row r="11" spans="2:32" x14ac:dyDescent="0.2">
      <c r="B11" s="622"/>
      <c r="C11" s="581"/>
      <c r="D11" s="581"/>
      <c r="E11" s="1611"/>
      <c r="F11" s="1612"/>
      <c r="G11" s="615"/>
      <c r="H11" s="1279">
        <v>0</v>
      </c>
      <c r="I11" s="1276"/>
      <c r="J11" s="595">
        <f t="shared" si="0"/>
        <v>0</v>
      </c>
      <c r="K11" s="1599"/>
      <c r="L11" s="1600"/>
      <c r="M11" s="608"/>
      <c r="N11" s="1282"/>
    </row>
    <row r="12" spans="2:32" x14ac:dyDescent="0.2">
      <c r="B12" s="621"/>
      <c r="C12" s="581"/>
      <c r="D12" s="581"/>
      <c r="E12" s="1603"/>
      <c r="F12" s="1604"/>
      <c r="G12" s="615"/>
      <c r="H12" s="1279">
        <v>0</v>
      </c>
      <c r="I12" s="1276"/>
      <c r="J12" s="595">
        <f t="shared" si="0"/>
        <v>0</v>
      </c>
      <c r="K12" s="1599"/>
      <c r="L12" s="1600"/>
      <c r="M12" s="608"/>
      <c r="N12" s="1282"/>
    </row>
    <row r="13" spans="2:32" x14ac:dyDescent="0.2">
      <c r="B13" s="622"/>
      <c r="C13" s="581"/>
      <c r="D13" s="581"/>
      <c r="E13" s="1603"/>
      <c r="F13" s="1604"/>
      <c r="G13" s="615"/>
      <c r="H13" s="1279">
        <v>0</v>
      </c>
      <c r="I13" s="1276"/>
      <c r="J13" s="595">
        <f t="shared" si="0"/>
        <v>0</v>
      </c>
      <c r="K13" s="1599"/>
      <c r="L13" s="1600"/>
      <c r="M13" s="608"/>
      <c r="N13" s="1282"/>
    </row>
    <row r="14" spans="2:32" x14ac:dyDescent="0.2">
      <c r="B14" s="622"/>
      <c r="C14" s="581"/>
      <c r="D14" s="581"/>
      <c r="E14" s="1603"/>
      <c r="F14" s="1604"/>
      <c r="G14" s="615"/>
      <c r="H14" s="1279">
        <v>0</v>
      </c>
      <c r="I14" s="1276"/>
      <c r="J14" s="595">
        <f t="shared" si="0"/>
        <v>0</v>
      </c>
      <c r="K14" s="1599"/>
      <c r="L14" s="1600"/>
      <c r="M14" s="608"/>
      <c r="N14" s="1282"/>
    </row>
    <row r="15" spans="2:32" x14ac:dyDescent="0.2">
      <c r="B15" s="622"/>
      <c r="C15" s="581"/>
      <c r="D15" s="581"/>
      <c r="E15" s="1603"/>
      <c r="F15" s="1604"/>
      <c r="G15" s="615"/>
      <c r="H15" s="1279">
        <v>0</v>
      </c>
      <c r="I15" s="1276"/>
      <c r="J15" s="595">
        <f t="shared" si="0"/>
        <v>0</v>
      </c>
      <c r="K15" s="1599"/>
      <c r="L15" s="1600"/>
      <c r="M15" s="608"/>
      <c r="N15" s="1282"/>
    </row>
    <row r="16" spans="2:32" x14ac:dyDescent="0.2">
      <c r="B16" s="622"/>
      <c r="C16" s="581"/>
      <c r="D16" s="581"/>
      <c r="E16" s="1603"/>
      <c r="F16" s="1604"/>
      <c r="G16" s="615"/>
      <c r="H16" s="1279">
        <v>0</v>
      </c>
      <c r="I16" s="1276"/>
      <c r="J16" s="595">
        <f t="shared" si="0"/>
        <v>0</v>
      </c>
      <c r="K16" s="1599"/>
      <c r="L16" s="1600"/>
      <c r="M16" s="608"/>
      <c r="N16" s="1282"/>
    </row>
    <row r="17" spans="2:14" x14ac:dyDescent="0.2">
      <c r="B17" s="622"/>
      <c r="C17" s="581"/>
      <c r="D17" s="581"/>
      <c r="E17" s="1603"/>
      <c r="F17" s="1604"/>
      <c r="G17" s="615"/>
      <c r="H17" s="1279">
        <v>0</v>
      </c>
      <c r="I17" s="1276"/>
      <c r="J17" s="595">
        <f t="shared" si="0"/>
        <v>0</v>
      </c>
      <c r="K17" s="1599"/>
      <c r="L17" s="1600"/>
      <c r="M17" s="608"/>
      <c r="N17" s="1282"/>
    </row>
    <row r="18" spans="2:14" x14ac:dyDescent="0.2">
      <c r="B18" s="622"/>
      <c r="C18" s="581"/>
      <c r="D18" s="581"/>
      <c r="E18" s="1603"/>
      <c r="F18" s="1604"/>
      <c r="G18" s="615"/>
      <c r="H18" s="1279">
        <v>0</v>
      </c>
      <c r="I18" s="1276"/>
      <c r="J18" s="595">
        <f t="shared" si="0"/>
        <v>0</v>
      </c>
      <c r="K18" s="1599"/>
      <c r="L18" s="1600"/>
      <c r="M18" s="608"/>
      <c r="N18" s="1282"/>
    </row>
    <row r="19" spans="2:14" x14ac:dyDescent="0.2">
      <c r="B19" s="622"/>
      <c r="C19" s="581"/>
      <c r="D19" s="581"/>
      <c r="E19" s="1603"/>
      <c r="F19" s="1604"/>
      <c r="G19" s="615"/>
      <c r="H19" s="1279">
        <v>0</v>
      </c>
      <c r="I19" s="1276"/>
      <c r="J19" s="595">
        <f t="shared" si="0"/>
        <v>0</v>
      </c>
      <c r="K19" s="1599"/>
      <c r="L19" s="1600"/>
      <c r="M19" s="608"/>
      <c r="N19" s="1282"/>
    </row>
    <row r="20" spans="2:14" x14ac:dyDescent="0.2">
      <c r="B20" s="622"/>
      <c r="C20" s="581"/>
      <c r="D20" s="581"/>
      <c r="E20" s="1603"/>
      <c r="F20" s="1604"/>
      <c r="G20" s="615"/>
      <c r="H20" s="1279">
        <v>0</v>
      </c>
      <c r="I20" s="1276"/>
      <c r="J20" s="595">
        <f t="shared" si="0"/>
        <v>0</v>
      </c>
      <c r="K20" s="1599"/>
      <c r="L20" s="1600"/>
      <c r="M20" s="608"/>
      <c r="N20" s="1282"/>
    </row>
    <row r="21" spans="2:14" x14ac:dyDescent="0.2">
      <c r="B21" s="622"/>
      <c r="C21" s="581"/>
      <c r="D21" s="581"/>
      <c r="E21" s="1603"/>
      <c r="F21" s="1604"/>
      <c r="G21" s="615"/>
      <c r="H21" s="1279">
        <v>0</v>
      </c>
      <c r="I21" s="1276"/>
      <c r="J21" s="595">
        <f t="shared" si="0"/>
        <v>0</v>
      </c>
      <c r="K21" s="1599"/>
      <c r="L21" s="1600"/>
      <c r="M21" s="608"/>
      <c r="N21" s="1282"/>
    </row>
    <row r="22" spans="2:14" x14ac:dyDescent="0.2">
      <c r="B22" s="622"/>
      <c r="C22" s="581"/>
      <c r="D22" s="581"/>
      <c r="E22" s="1603"/>
      <c r="F22" s="1604"/>
      <c r="G22" s="615"/>
      <c r="H22" s="1279">
        <v>0</v>
      </c>
      <c r="I22" s="1276"/>
      <c r="J22" s="595">
        <f t="shared" si="0"/>
        <v>0</v>
      </c>
      <c r="K22" s="1599"/>
      <c r="L22" s="1600"/>
      <c r="M22" s="608"/>
      <c r="N22" s="1282"/>
    </row>
    <row r="23" spans="2:14" x14ac:dyDescent="0.2">
      <c r="B23" s="622"/>
      <c r="C23" s="581"/>
      <c r="D23" s="581"/>
      <c r="E23" s="1603"/>
      <c r="F23" s="1604"/>
      <c r="G23" s="615"/>
      <c r="H23" s="1279">
        <v>0</v>
      </c>
      <c r="I23" s="1276"/>
      <c r="J23" s="595">
        <f t="shared" si="0"/>
        <v>0</v>
      </c>
      <c r="K23" s="1599"/>
      <c r="L23" s="1600"/>
      <c r="M23" s="608"/>
      <c r="N23" s="1282"/>
    </row>
    <row r="24" spans="2:14" ht="13.5" thickBot="1" x14ac:dyDescent="0.25">
      <c r="B24" s="622"/>
      <c r="C24" s="581"/>
      <c r="D24" s="581"/>
      <c r="E24" s="1603"/>
      <c r="F24" s="1604"/>
      <c r="G24" s="615"/>
      <c r="H24" s="1279">
        <v>0</v>
      </c>
      <c r="I24" s="1276"/>
      <c r="J24" s="595">
        <f t="shared" si="0"/>
        <v>0</v>
      </c>
      <c r="K24" s="1599"/>
      <c r="L24" s="1600"/>
      <c r="M24" s="608"/>
      <c r="N24" s="1282"/>
    </row>
    <row r="25" spans="2:14" hidden="1" outlineLevel="1" x14ac:dyDescent="0.2">
      <c r="B25" s="622">
        <v>20</v>
      </c>
      <c r="C25" s="581"/>
      <c r="D25" s="581"/>
      <c r="E25" s="1603"/>
      <c r="F25" s="1604"/>
      <c r="G25" s="615"/>
      <c r="H25" s="1279">
        <v>0</v>
      </c>
      <c r="I25" s="1276"/>
      <c r="J25" s="595">
        <f t="shared" si="0"/>
        <v>0</v>
      </c>
      <c r="K25" s="1599"/>
      <c r="L25" s="1600"/>
      <c r="M25" s="608"/>
      <c r="N25" s="1282"/>
    </row>
    <row r="26" spans="2:14" ht="12.75" hidden="1" customHeight="1" outlineLevel="1" x14ac:dyDescent="0.2">
      <c r="B26" s="622">
        <v>21</v>
      </c>
      <c r="C26" s="581"/>
      <c r="D26" s="581"/>
      <c r="E26" s="1603"/>
      <c r="F26" s="1604"/>
      <c r="G26" s="615"/>
      <c r="H26" s="1279">
        <v>0</v>
      </c>
      <c r="I26" s="1276"/>
      <c r="J26" s="595">
        <f t="shared" si="0"/>
        <v>0</v>
      </c>
      <c r="K26" s="1599"/>
      <c r="L26" s="1600"/>
      <c r="M26" s="608"/>
      <c r="N26" s="1282"/>
    </row>
    <row r="27" spans="2:14" ht="12.75" hidden="1" customHeight="1" outlineLevel="1" x14ac:dyDescent="0.2">
      <c r="B27" s="622">
        <v>22</v>
      </c>
      <c r="C27" s="581"/>
      <c r="D27" s="581"/>
      <c r="E27" s="1603"/>
      <c r="F27" s="1604"/>
      <c r="G27" s="615"/>
      <c r="H27" s="1279">
        <v>0</v>
      </c>
      <c r="I27" s="1276"/>
      <c r="J27" s="595">
        <f t="shared" si="0"/>
        <v>0</v>
      </c>
      <c r="K27" s="1599"/>
      <c r="L27" s="1600"/>
      <c r="M27" s="608"/>
      <c r="N27" s="1282"/>
    </row>
    <row r="28" spans="2:14" ht="12.75" hidden="1" customHeight="1" outlineLevel="1" x14ac:dyDescent="0.2">
      <c r="B28" s="622">
        <v>23</v>
      </c>
      <c r="C28" s="581"/>
      <c r="D28" s="581"/>
      <c r="E28" s="1603"/>
      <c r="F28" s="1604"/>
      <c r="G28" s="615"/>
      <c r="H28" s="1279">
        <v>0</v>
      </c>
      <c r="I28" s="1276"/>
      <c r="J28" s="595">
        <f t="shared" si="0"/>
        <v>0</v>
      </c>
      <c r="K28" s="1599"/>
      <c r="L28" s="1600"/>
      <c r="M28" s="608"/>
      <c r="N28" s="1282"/>
    </row>
    <row r="29" spans="2:14" ht="12.75" hidden="1" customHeight="1" outlineLevel="1" x14ac:dyDescent="0.2">
      <c r="B29" s="622">
        <v>24</v>
      </c>
      <c r="C29" s="581"/>
      <c r="D29" s="581"/>
      <c r="E29" s="1603"/>
      <c r="F29" s="1604"/>
      <c r="G29" s="615"/>
      <c r="H29" s="1279">
        <v>0</v>
      </c>
      <c r="I29" s="1276"/>
      <c r="J29" s="595">
        <f t="shared" si="0"/>
        <v>0</v>
      </c>
      <c r="K29" s="1599"/>
      <c r="L29" s="1600"/>
      <c r="M29" s="608"/>
      <c r="N29" s="1282"/>
    </row>
    <row r="30" spans="2:14" ht="12.75" hidden="1" customHeight="1" outlineLevel="1" x14ac:dyDescent="0.2">
      <c r="B30" s="622">
        <v>25</v>
      </c>
      <c r="C30" s="581"/>
      <c r="D30" s="581"/>
      <c r="E30" s="1603"/>
      <c r="F30" s="1604"/>
      <c r="G30" s="615"/>
      <c r="H30" s="1279">
        <v>0</v>
      </c>
      <c r="I30" s="1276"/>
      <c r="J30" s="595">
        <f t="shared" si="0"/>
        <v>0</v>
      </c>
      <c r="K30" s="1599"/>
      <c r="L30" s="1600"/>
      <c r="M30" s="608"/>
      <c r="N30" s="1282"/>
    </row>
    <row r="31" spans="2:14" ht="12.75" hidden="1" customHeight="1" outlineLevel="1" x14ac:dyDescent="0.2">
      <c r="B31" s="622">
        <v>26</v>
      </c>
      <c r="C31" s="581"/>
      <c r="D31" s="581"/>
      <c r="E31" s="1603"/>
      <c r="F31" s="1604"/>
      <c r="G31" s="615"/>
      <c r="H31" s="1279">
        <v>0</v>
      </c>
      <c r="I31" s="1276"/>
      <c r="J31" s="595">
        <f t="shared" si="0"/>
        <v>0</v>
      </c>
      <c r="K31" s="1599"/>
      <c r="L31" s="1600"/>
      <c r="M31" s="608"/>
      <c r="N31" s="1282"/>
    </row>
    <row r="32" spans="2:14" ht="12.75" hidden="1" customHeight="1" outlineLevel="1" x14ac:dyDescent="0.2">
      <c r="B32" s="622">
        <v>27</v>
      </c>
      <c r="C32" s="581"/>
      <c r="D32" s="581"/>
      <c r="E32" s="1603"/>
      <c r="F32" s="1604"/>
      <c r="G32" s="615"/>
      <c r="H32" s="1279">
        <v>0</v>
      </c>
      <c r="I32" s="1276"/>
      <c r="J32" s="595">
        <f t="shared" si="0"/>
        <v>0</v>
      </c>
      <c r="K32" s="1599"/>
      <c r="L32" s="1600"/>
      <c r="M32" s="608"/>
      <c r="N32" s="1282"/>
    </row>
    <row r="33" spans="2:14" ht="12.75" hidden="1" customHeight="1" outlineLevel="1" x14ac:dyDescent="0.2">
      <c r="B33" s="622">
        <v>28</v>
      </c>
      <c r="C33" s="581"/>
      <c r="D33" s="581"/>
      <c r="E33" s="1603"/>
      <c r="F33" s="1604"/>
      <c r="G33" s="615"/>
      <c r="H33" s="1279">
        <v>0</v>
      </c>
      <c r="I33" s="1276"/>
      <c r="J33" s="595">
        <f t="shared" si="0"/>
        <v>0</v>
      </c>
      <c r="K33" s="1599"/>
      <c r="L33" s="1600"/>
      <c r="M33" s="608"/>
      <c r="N33" s="1282"/>
    </row>
    <row r="34" spans="2:14" ht="12.75" hidden="1" customHeight="1" outlineLevel="1" x14ac:dyDescent="0.2">
      <c r="B34" s="622">
        <v>29</v>
      </c>
      <c r="C34" s="581"/>
      <c r="D34" s="581"/>
      <c r="E34" s="1603"/>
      <c r="F34" s="1604"/>
      <c r="G34" s="615"/>
      <c r="H34" s="1279">
        <v>0</v>
      </c>
      <c r="I34" s="1276"/>
      <c r="J34" s="595">
        <f t="shared" si="0"/>
        <v>0</v>
      </c>
      <c r="K34" s="1599"/>
      <c r="L34" s="1600"/>
      <c r="M34" s="608"/>
      <c r="N34" s="1282"/>
    </row>
    <row r="35" spans="2:14" ht="12.75" hidden="1" customHeight="1" outlineLevel="1" x14ac:dyDescent="0.2">
      <c r="B35" s="622">
        <v>30</v>
      </c>
      <c r="C35" s="581"/>
      <c r="D35" s="581"/>
      <c r="E35" s="1603"/>
      <c r="F35" s="1604"/>
      <c r="G35" s="615"/>
      <c r="H35" s="1279">
        <v>0</v>
      </c>
      <c r="I35" s="1276"/>
      <c r="J35" s="595">
        <f t="shared" si="0"/>
        <v>0</v>
      </c>
      <c r="K35" s="1599"/>
      <c r="L35" s="1600"/>
      <c r="M35" s="608"/>
      <c r="N35" s="1282"/>
    </row>
    <row r="36" spans="2:14" ht="12.75" hidden="1" customHeight="1" outlineLevel="1" x14ac:dyDescent="0.2">
      <c r="B36" s="622">
        <v>31</v>
      </c>
      <c r="C36" s="581"/>
      <c r="D36" s="581"/>
      <c r="E36" s="1603"/>
      <c r="F36" s="1604"/>
      <c r="G36" s="615"/>
      <c r="H36" s="1279">
        <v>0</v>
      </c>
      <c r="I36" s="1276"/>
      <c r="J36" s="595">
        <f t="shared" si="0"/>
        <v>0</v>
      </c>
      <c r="K36" s="1599"/>
      <c r="L36" s="1600"/>
      <c r="M36" s="608"/>
      <c r="N36" s="1282"/>
    </row>
    <row r="37" spans="2:14" ht="12.75" hidden="1" customHeight="1" outlineLevel="1" x14ac:dyDescent="0.2">
      <c r="B37" s="622">
        <v>32</v>
      </c>
      <c r="C37" s="581"/>
      <c r="D37" s="581"/>
      <c r="E37" s="1603"/>
      <c r="F37" s="1604"/>
      <c r="G37" s="615"/>
      <c r="H37" s="1279">
        <v>0</v>
      </c>
      <c r="I37" s="1276"/>
      <c r="J37" s="595">
        <f t="shared" si="0"/>
        <v>0</v>
      </c>
      <c r="K37" s="1599"/>
      <c r="L37" s="1600"/>
      <c r="M37" s="608"/>
      <c r="N37" s="1282"/>
    </row>
    <row r="38" spans="2:14" ht="12.75" hidden="1" customHeight="1" outlineLevel="1" x14ac:dyDescent="0.2">
      <c r="B38" s="622">
        <v>33</v>
      </c>
      <c r="C38" s="581"/>
      <c r="D38" s="581"/>
      <c r="E38" s="1603"/>
      <c r="F38" s="1604"/>
      <c r="G38" s="615"/>
      <c r="H38" s="1279">
        <v>0</v>
      </c>
      <c r="I38" s="1276"/>
      <c r="J38" s="595">
        <f t="shared" si="0"/>
        <v>0</v>
      </c>
      <c r="K38" s="1599"/>
      <c r="L38" s="1600"/>
      <c r="M38" s="608"/>
      <c r="N38" s="1282"/>
    </row>
    <row r="39" spans="2:14" ht="12.75" hidden="1" customHeight="1" outlineLevel="1" x14ac:dyDescent="0.2">
      <c r="B39" s="622">
        <v>34</v>
      </c>
      <c r="C39" s="581"/>
      <c r="D39" s="581"/>
      <c r="E39" s="1603"/>
      <c r="F39" s="1604"/>
      <c r="G39" s="615"/>
      <c r="H39" s="1279">
        <v>0</v>
      </c>
      <c r="I39" s="1276"/>
      <c r="J39" s="595">
        <f t="shared" si="0"/>
        <v>0</v>
      </c>
      <c r="K39" s="1599"/>
      <c r="L39" s="1600"/>
      <c r="M39" s="608"/>
      <c r="N39" s="1282"/>
    </row>
    <row r="40" spans="2:14" ht="12.75" hidden="1" customHeight="1" outlineLevel="1" x14ac:dyDescent="0.2">
      <c r="B40" s="622">
        <v>35</v>
      </c>
      <c r="C40" s="581"/>
      <c r="D40" s="581"/>
      <c r="E40" s="1603"/>
      <c r="F40" s="1604"/>
      <c r="G40" s="615"/>
      <c r="H40" s="1279">
        <v>0</v>
      </c>
      <c r="I40" s="1276"/>
      <c r="J40" s="595">
        <f t="shared" si="0"/>
        <v>0</v>
      </c>
      <c r="K40" s="1599"/>
      <c r="L40" s="1600"/>
      <c r="M40" s="608"/>
      <c r="N40" s="1282"/>
    </row>
    <row r="41" spans="2:14" ht="12.75" hidden="1" customHeight="1" outlineLevel="1" x14ac:dyDescent="0.2">
      <c r="B41" s="622">
        <v>36</v>
      </c>
      <c r="C41" s="581"/>
      <c r="D41" s="581"/>
      <c r="E41" s="1603"/>
      <c r="F41" s="1604"/>
      <c r="G41" s="615"/>
      <c r="H41" s="1279">
        <v>0</v>
      </c>
      <c r="I41" s="1276"/>
      <c r="J41" s="595">
        <f t="shared" si="0"/>
        <v>0</v>
      </c>
      <c r="K41" s="1599"/>
      <c r="L41" s="1600"/>
      <c r="M41" s="608"/>
      <c r="N41" s="1282"/>
    </row>
    <row r="42" spans="2:14" ht="12.75" hidden="1" customHeight="1" outlineLevel="1" x14ac:dyDescent="0.2">
      <c r="B42" s="622">
        <v>37</v>
      </c>
      <c r="C42" s="581"/>
      <c r="D42" s="581"/>
      <c r="E42" s="1603"/>
      <c r="F42" s="1604"/>
      <c r="G42" s="615"/>
      <c r="H42" s="1279">
        <v>0</v>
      </c>
      <c r="I42" s="1276"/>
      <c r="J42" s="595">
        <f t="shared" si="0"/>
        <v>0</v>
      </c>
      <c r="K42" s="1599"/>
      <c r="L42" s="1600"/>
      <c r="M42" s="608"/>
      <c r="N42" s="1282"/>
    </row>
    <row r="43" spans="2:14" ht="12.75" hidden="1" customHeight="1" outlineLevel="1" x14ac:dyDescent="0.2">
      <c r="B43" s="622">
        <v>38</v>
      </c>
      <c r="C43" s="581"/>
      <c r="D43" s="581"/>
      <c r="E43" s="1603"/>
      <c r="F43" s="1604"/>
      <c r="G43" s="615"/>
      <c r="H43" s="1279">
        <v>0</v>
      </c>
      <c r="I43" s="1276"/>
      <c r="J43" s="595">
        <f t="shared" si="0"/>
        <v>0</v>
      </c>
      <c r="K43" s="1599"/>
      <c r="L43" s="1600"/>
      <c r="M43" s="608"/>
      <c r="N43" s="1282"/>
    </row>
    <row r="44" spans="2:14" ht="12.75" hidden="1" customHeight="1" outlineLevel="1" x14ac:dyDescent="0.2">
      <c r="B44" s="622">
        <v>39</v>
      </c>
      <c r="C44" s="581"/>
      <c r="D44" s="581"/>
      <c r="E44" s="1603"/>
      <c r="F44" s="1604"/>
      <c r="G44" s="615"/>
      <c r="H44" s="1279">
        <v>0</v>
      </c>
      <c r="I44" s="1276"/>
      <c r="J44" s="595">
        <f t="shared" si="0"/>
        <v>0</v>
      </c>
      <c r="K44" s="1599"/>
      <c r="L44" s="1600"/>
      <c r="M44" s="608"/>
      <c r="N44" s="1282"/>
    </row>
    <row r="45" spans="2:14" ht="12.75" hidden="1" customHeight="1" outlineLevel="1" x14ac:dyDescent="0.2">
      <c r="B45" s="622">
        <v>40</v>
      </c>
      <c r="C45" s="581"/>
      <c r="D45" s="581"/>
      <c r="E45" s="1603"/>
      <c r="F45" s="1604"/>
      <c r="G45" s="615"/>
      <c r="H45" s="1279">
        <v>0</v>
      </c>
      <c r="I45" s="1276"/>
      <c r="J45" s="595">
        <f t="shared" si="0"/>
        <v>0</v>
      </c>
      <c r="K45" s="1599"/>
      <c r="L45" s="1600"/>
      <c r="M45" s="608"/>
      <c r="N45" s="1282"/>
    </row>
    <row r="46" spans="2:14" ht="12.75" hidden="1" customHeight="1" outlineLevel="1" x14ac:dyDescent="0.2">
      <c r="B46" s="622">
        <v>41</v>
      </c>
      <c r="C46" s="581"/>
      <c r="D46" s="581"/>
      <c r="E46" s="1603"/>
      <c r="F46" s="1604"/>
      <c r="G46" s="615"/>
      <c r="H46" s="1279">
        <v>0</v>
      </c>
      <c r="I46" s="1276"/>
      <c r="J46" s="595">
        <f t="shared" si="0"/>
        <v>0</v>
      </c>
      <c r="K46" s="1599"/>
      <c r="L46" s="1600"/>
      <c r="M46" s="608"/>
      <c r="N46" s="1282"/>
    </row>
    <row r="47" spans="2:14" ht="12.75" hidden="1" customHeight="1" outlineLevel="1" x14ac:dyDescent="0.2">
      <c r="B47" s="622">
        <v>42</v>
      </c>
      <c r="C47" s="581"/>
      <c r="D47" s="581"/>
      <c r="E47" s="1603"/>
      <c r="F47" s="1604"/>
      <c r="G47" s="615"/>
      <c r="H47" s="1279">
        <v>0</v>
      </c>
      <c r="I47" s="1276"/>
      <c r="J47" s="595">
        <f t="shared" si="0"/>
        <v>0</v>
      </c>
      <c r="K47" s="1599"/>
      <c r="L47" s="1600"/>
      <c r="M47" s="608"/>
      <c r="N47" s="1282"/>
    </row>
    <row r="48" spans="2:14" ht="12.75" hidden="1" customHeight="1" outlineLevel="1" x14ac:dyDescent="0.2">
      <c r="B48" s="622">
        <v>43</v>
      </c>
      <c r="C48" s="581"/>
      <c r="D48" s="581"/>
      <c r="E48" s="1603"/>
      <c r="F48" s="1604"/>
      <c r="G48" s="615"/>
      <c r="H48" s="1279">
        <v>0</v>
      </c>
      <c r="I48" s="1276"/>
      <c r="J48" s="595">
        <f t="shared" si="0"/>
        <v>0</v>
      </c>
      <c r="K48" s="1599"/>
      <c r="L48" s="1600"/>
      <c r="M48" s="608"/>
      <c r="N48" s="1282"/>
    </row>
    <row r="49" spans="2:14" ht="12.75" hidden="1" customHeight="1" outlineLevel="1" x14ac:dyDescent="0.2">
      <c r="B49" s="622">
        <v>44</v>
      </c>
      <c r="C49" s="581"/>
      <c r="D49" s="581"/>
      <c r="E49" s="1603"/>
      <c r="F49" s="1604"/>
      <c r="G49" s="615"/>
      <c r="H49" s="1279">
        <v>0</v>
      </c>
      <c r="I49" s="1276"/>
      <c r="J49" s="595">
        <f t="shared" si="0"/>
        <v>0</v>
      </c>
      <c r="K49" s="1599"/>
      <c r="L49" s="1600"/>
      <c r="M49" s="608"/>
      <c r="N49" s="1282"/>
    </row>
    <row r="50" spans="2:14" ht="12.75" hidden="1" customHeight="1" outlineLevel="1" x14ac:dyDescent="0.2">
      <c r="B50" s="622">
        <v>45</v>
      </c>
      <c r="C50" s="581"/>
      <c r="D50" s="581"/>
      <c r="E50" s="1603"/>
      <c r="F50" s="1604"/>
      <c r="G50" s="615"/>
      <c r="H50" s="1279">
        <v>0</v>
      </c>
      <c r="I50" s="1276"/>
      <c r="J50" s="595">
        <f t="shared" si="0"/>
        <v>0</v>
      </c>
      <c r="K50" s="1599"/>
      <c r="L50" s="1600"/>
      <c r="M50" s="608"/>
      <c r="N50" s="1282"/>
    </row>
    <row r="51" spans="2:14" ht="12.75" hidden="1" customHeight="1" outlineLevel="1" x14ac:dyDescent="0.2">
      <c r="B51" s="622">
        <v>46</v>
      </c>
      <c r="C51" s="581"/>
      <c r="D51" s="581"/>
      <c r="E51" s="1603"/>
      <c r="F51" s="1604"/>
      <c r="G51" s="615"/>
      <c r="H51" s="1279">
        <v>0</v>
      </c>
      <c r="I51" s="1276"/>
      <c r="J51" s="595">
        <f t="shared" si="0"/>
        <v>0</v>
      </c>
      <c r="K51" s="1599"/>
      <c r="L51" s="1600"/>
      <c r="M51" s="608"/>
      <c r="N51" s="1282"/>
    </row>
    <row r="52" spans="2:14" ht="12.75" hidden="1" customHeight="1" outlineLevel="1" x14ac:dyDescent="0.2">
      <c r="B52" s="622">
        <v>47</v>
      </c>
      <c r="C52" s="581"/>
      <c r="D52" s="581"/>
      <c r="E52" s="1603"/>
      <c r="F52" s="1604"/>
      <c r="G52" s="615"/>
      <c r="H52" s="1279">
        <v>0</v>
      </c>
      <c r="I52" s="1276"/>
      <c r="J52" s="595">
        <f t="shared" si="0"/>
        <v>0</v>
      </c>
      <c r="K52" s="1599"/>
      <c r="L52" s="1600"/>
      <c r="M52" s="608"/>
      <c r="N52" s="1282"/>
    </row>
    <row r="53" spans="2:14" ht="12.75" hidden="1" customHeight="1" outlineLevel="1" x14ac:dyDescent="0.2">
      <c r="B53" s="622">
        <v>48</v>
      </c>
      <c r="C53" s="581"/>
      <c r="D53" s="581"/>
      <c r="E53" s="1603"/>
      <c r="F53" s="1604"/>
      <c r="G53" s="615"/>
      <c r="H53" s="1279">
        <v>0</v>
      </c>
      <c r="I53" s="1276"/>
      <c r="J53" s="595">
        <f t="shared" si="0"/>
        <v>0</v>
      </c>
      <c r="K53" s="1599"/>
      <c r="L53" s="1600"/>
      <c r="M53" s="608"/>
      <c r="N53" s="1282"/>
    </row>
    <row r="54" spans="2:14" ht="12.75" hidden="1" customHeight="1" outlineLevel="1" x14ac:dyDescent="0.2">
      <c r="B54" s="622">
        <v>49</v>
      </c>
      <c r="C54" s="581"/>
      <c r="D54" s="581"/>
      <c r="E54" s="1603"/>
      <c r="F54" s="1604"/>
      <c r="G54" s="615"/>
      <c r="H54" s="1279">
        <v>0</v>
      </c>
      <c r="I54" s="1276"/>
      <c r="J54" s="595">
        <f t="shared" si="0"/>
        <v>0</v>
      </c>
      <c r="K54" s="1599"/>
      <c r="L54" s="1600"/>
      <c r="M54" s="608"/>
      <c r="N54" s="1282"/>
    </row>
    <row r="55" spans="2:14" ht="12.75" hidden="1" customHeight="1" outlineLevel="1" x14ac:dyDescent="0.2">
      <c r="B55" s="622">
        <v>50</v>
      </c>
      <c r="C55" s="581"/>
      <c r="D55" s="581"/>
      <c r="E55" s="1603"/>
      <c r="F55" s="1604"/>
      <c r="G55" s="615"/>
      <c r="H55" s="1279">
        <v>0</v>
      </c>
      <c r="I55" s="1276"/>
      <c r="J55" s="595">
        <f t="shared" si="0"/>
        <v>0</v>
      </c>
      <c r="K55" s="1599"/>
      <c r="L55" s="1600"/>
      <c r="M55" s="608"/>
      <c r="N55" s="1282"/>
    </row>
    <row r="56" spans="2:14" ht="12.75" hidden="1" customHeight="1" outlineLevel="1" x14ac:dyDescent="0.2">
      <c r="B56" s="622">
        <v>51</v>
      </c>
      <c r="C56" s="581"/>
      <c r="D56" s="581"/>
      <c r="E56" s="1603"/>
      <c r="F56" s="1604"/>
      <c r="G56" s="615"/>
      <c r="H56" s="1279">
        <v>0</v>
      </c>
      <c r="I56" s="1276"/>
      <c r="J56" s="595">
        <f t="shared" si="0"/>
        <v>0</v>
      </c>
      <c r="K56" s="1599"/>
      <c r="L56" s="1600"/>
      <c r="M56" s="608"/>
      <c r="N56" s="1282"/>
    </row>
    <row r="57" spans="2:14" ht="12.75" hidden="1" customHeight="1" outlineLevel="1" x14ac:dyDescent="0.2">
      <c r="B57" s="622">
        <v>52</v>
      </c>
      <c r="C57" s="581"/>
      <c r="D57" s="581"/>
      <c r="E57" s="1603"/>
      <c r="F57" s="1604"/>
      <c r="G57" s="615"/>
      <c r="H57" s="1279">
        <v>0</v>
      </c>
      <c r="I57" s="1276"/>
      <c r="J57" s="595">
        <f t="shared" si="0"/>
        <v>0</v>
      </c>
      <c r="K57" s="1599"/>
      <c r="L57" s="1600"/>
      <c r="M57" s="608"/>
      <c r="N57" s="1282"/>
    </row>
    <row r="58" spans="2:14" ht="12.75" hidden="1" customHeight="1" outlineLevel="1" x14ac:dyDescent="0.2">
      <c r="B58" s="622">
        <v>53</v>
      </c>
      <c r="C58" s="581"/>
      <c r="D58" s="581"/>
      <c r="E58" s="1603"/>
      <c r="F58" s="1604"/>
      <c r="G58" s="615"/>
      <c r="H58" s="1279">
        <v>0</v>
      </c>
      <c r="I58" s="1276"/>
      <c r="J58" s="595">
        <f t="shared" si="0"/>
        <v>0</v>
      </c>
      <c r="K58" s="1599"/>
      <c r="L58" s="1600"/>
      <c r="M58" s="608"/>
      <c r="N58" s="1282"/>
    </row>
    <row r="59" spans="2:14" ht="12.75" hidden="1" customHeight="1" outlineLevel="1" x14ac:dyDescent="0.2">
      <c r="B59" s="622">
        <v>54</v>
      </c>
      <c r="C59" s="581"/>
      <c r="D59" s="581"/>
      <c r="E59" s="1603"/>
      <c r="F59" s="1604"/>
      <c r="G59" s="615"/>
      <c r="H59" s="1279">
        <v>0</v>
      </c>
      <c r="I59" s="1276"/>
      <c r="J59" s="595">
        <f t="shared" si="0"/>
        <v>0</v>
      </c>
      <c r="K59" s="1599"/>
      <c r="L59" s="1600"/>
      <c r="M59" s="608"/>
      <c r="N59" s="1282"/>
    </row>
    <row r="60" spans="2:14" ht="12.75" hidden="1" customHeight="1" outlineLevel="1" x14ac:dyDescent="0.2">
      <c r="B60" s="622">
        <v>55</v>
      </c>
      <c r="C60" s="581"/>
      <c r="D60" s="581"/>
      <c r="E60" s="1603"/>
      <c r="F60" s="1604"/>
      <c r="G60" s="615"/>
      <c r="H60" s="1279">
        <v>0</v>
      </c>
      <c r="I60" s="1276"/>
      <c r="J60" s="595">
        <f t="shared" si="0"/>
        <v>0</v>
      </c>
      <c r="K60" s="1599"/>
      <c r="L60" s="1600"/>
      <c r="M60" s="608"/>
      <c r="N60" s="1282"/>
    </row>
    <row r="61" spans="2:14" ht="12.75" hidden="1" customHeight="1" outlineLevel="1" x14ac:dyDescent="0.2">
      <c r="B61" s="622">
        <v>56</v>
      </c>
      <c r="C61" s="581"/>
      <c r="D61" s="581"/>
      <c r="E61" s="1603"/>
      <c r="F61" s="1604"/>
      <c r="G61" s="615"/>
      <c r="H61" s="1279">
        <v>0</v>
      </c>
      <c r="I61" s="1276"/>
      <c r="J61" s="595">
        <f t="shared" si="0"/>
        <v>0</v>
      </c>
      <c r="K61" s="1599"/>
      <c r="L61" s="1600"/>
      <c r="M61" s="608"/>
      <c r="N61" s="1282"/>
    </row>
    <row r="62" spans="2:14" ht="12.75" hidden="1" customHeight="1" outlineLevel="1" x14ac:dyDescent="0.2">
      <c r="B62" s="622">
        <v>57</v>
      </c>
      <c r="C62" s="581"/>
      <c r="D62" s="581"/>
      <c r="E62" s="1603"/>
      <c r="F62" s="1604"/>
      <c r="G62" s="615"/>
      <c r="H62" s="1279">
        <v>0</v>
      </c>
      <c r="I62" s="1276"/>
      <c r="J62" s="595">
        <f t="shared" si="0"/>
        <v>0</v>
      </c>
      <c r="K62" s="1599"/>
      <c r="L62" s="1600"/>
      <c r="M62" s="608"/>
      <c r="N62" s="1282"/>
    </row>
    <row r="63" spans="2:14" ht="12.75" hidden="1" customHeight="1" outlineLevel="1" x14ac:dyDescent="0.2">
      <c r="B63" s="622">
        <v>58</v>
      </c>
      <c r="C63" s="581"/>
      <c r="D63" s="581"/>
      <c r="E63" s="1603"/>
      <c r="F63" s="1604"/>
      <c r="G63" s="615"/>
      <c r="H63" s="1279">
        <v>0</v>
      </c>
      <c r="I63" s="1276"/>
      <c r="J63" s="595">
        <f t="shared" si="0"/>
        <v>0</v>
      </c>
      <c r="K63" s="1599"/>
      <c r="L63" s="1600"/>
      <c r="M63" s="608"/>
      <c r="N63" s="1282"/>
    </row>
    <row r="64" spans="2:14" ht="12.75" hidden="1" customHeight="1" outlineLevel="1" x14ac:dyDescent="0.2">
      <c r="B64" s="622">
        <v>59</v>
      </c>
      <c r="C64" s="581"/>
      <c r="D64" s="581"/>
      <c r="E64" s="1603"/>
      <c r="F64" s="1604"/>
      <c r="G64" s="615"/>
      <c r="H64" s="1279">
        <v>0</v>
      </c>
      <c r="I64" s="1276"/>
      <c r="J64" s="595">
        <f t="shared" si="0"/>
        <v>0</v>
      </c>
      <c r="K64" s="1599"/>
      <c r="L64" s="1600"/>
      <c r="M64" s="608"/>
      <c r="N64" s="1282"/>
    </row>
    <row r="65" spans="2:19" ht="13.5" hidden="1" outlineLevel="1" thickBot="1" x14ac:dyDescent="0.25">
      <c r="B65" s="622">
        <v>60</v>
      </c>
      <c r="C65" s="591"/>
      <c r="D65" s="591"/>
      <c r="E65" s="1605"/>
      <c r="F65" s="1606"/>
      <c r="G65" s="616"/>
      <c r="H65" s="1280">
        <v>0</v>
      </c>
      <c r="I65" s="1278"/>
      <c r="J65" s="595">
        <f t="shared" si="0"/>
        <v>0</v>
      </c>
      <c r="K65" s="1601"/>
      <c r="L65" s="1602"/>
      <c r="M65" s="597"/>
      <c r="N65" s="1283"/>
    </row>
    <row r="66" spans="2:19" ht="13.5" collapsed="1" thickBot="1" x14ac:dyDescent="0.25">
      <c r="B66" s="612" t="s">
        <v>537</v>
      </c>
      <c r="C66" s="613"/>
      <c r="D66" s="613"/>
      <c r="E66" s="613"/>
      <c r="F66" s="613"/>
      <c r="G66" s="613"/>
      <c r="H66" s="613"/>
      <c r="I66" s="885" t="s">
        <v>539</v>
      </c>
      <c r="J66" s="884">
        <f>SUM(J6:J65)</f>
        <v>0</v>
      </c>
      <c r="K66" s="53"/>
      <c r="L66" s="53"/>
      <c r="M66" s="53"/>
      <c r="N66" s="1284"/>
      <c r="O66" s="53"/>
      <c r="P66" s="53"/>
      <c r="Q66" s="53"/>
      <c r="R66" s="53"/>
    </row>
    <row r="67" spans="2:19" x14ac:dyDescent="0.2">
      <c r="B67" s="612" t="s">
        <v>710</v>
      </c>
      <c r="C67" s="613"/>
      <c r="D67" s="613"/>
      <c r="E67" s="613"/>
      <c r="F67" s="613"/>
      <c r="G67" s="613"/>
      <c r="H67" s="613"/>
    </row>
    <row r="69" spans="2:19" ht="12.75" customHeight="1" x14ac:dyDescent="0.2">
      <c r="C69" s="611" t="s">
        <v>82</v>
      </c>
      <c r="D69" s="611" t="s">
        <v>82</v>
      </c>
      <c r="F69" s="611" t="s">
        <v>82</v>
      </c>
      <c r="H69" s="1607" t="s">
        <v>711</v>
      </c>
      <c r="I69" s="1607"/>
      <c r="J69" s="1607"/>
      <c r="K69" s="292"/>
    </row>
    <row r="70" spans="2:19" ht="12.75" customHeight="1" x14ac:dyDescent="0.2">
      <c r="C70" s="1541" t="s">
        <v>297</v>
      </c>
      <c r="D70" s="1541" t="s">
        <v>455</v>
      </c>
      <c r="E70" s="1529" t="s">
        <v>464</v>
      </c>
      <c r="F70" s="1573" t="s">
        <v>535</v>
      </c>
      <c r="G70" s="1541" t="s">
        <v>456</v>
      </c>
      <c r="H70" s="1608"/>
      <c r="I70" s="1608"/>
      <c r="J70" s="1608"/>
      <c r="K70" s="292"/>
    </row>
    <row r="71" spans="2:19" ht="25.5" x14ac:dyDescent="0.2">
      <c r="C71" s="1541"/>
      <c r="D71" s="1541"/>
      <c r="E71" s="1598"/>
      <c r="F71" s="1573"/>
      <c r="G71" s="1541"/>
      <c r="H71" s="620" t="s">
        <v>454</v>
      </c>
      <c r="I71" s="1288"/>
      <c r="J71" s="620" t="s">
        <v>461</v>
      </c>
      <c r="K71" s="292"/>
      <c r="N71" s="1285"/>
    </row>
    <row r="72" spans="2:19" ht="12.75" customHeight="1" x14ac:dyDescent="0.2">
      <c r="C72" s="582"/>
      <c r="D72" s="582"/>
      <c r="E72" s="590">
        <f>SUMPRODUCT((C$6:C$65=C72)*(D$6:D$65=D72)*J$6:J$65)</f>
        <v>0</v>
      </c>
      <c r="F72" s="588"/>
      <c r="G72" s="590">
        <f t="shared" ref="G72:G87" si="1">E72-F72</f>
        <v>0</v>
      </c>
      <c r="H72" s="1171" t="s">
        <v>570</v>
      </c>
      <c r="I72" s="1288"/>
      <c r="J72" s="586" t="str">
        <f>Period1_Label</f>
        <v>Proposer FY 1</v>
      </c>
      <c r="K72" s="292"/>
      <c r="N72" s="1285"/>
      <c r="O72" s="905"/>
      <c r="P72" s="905"/>
      <c r="Q72" s="905"/>
      <c r="R72" s="905"/>
    </row>
    <row r="73" spans="2:19" x14ac:dyDescent="0.2">
      <c r="C73" s="582"/>
      <c r="D73" s="582"/>
      <c r="E73" s="590">
        <f t="shared" ref="E73:E87" si="2">SUMPRODUCT((C$6:C$65=C73)*(D$6:D$65=D73)*J$6:J$65)</f>
        <v>0</v>
      </c>
      <c r="F73" s="588"/>
      <c r="G73" s="590">
        <f t="shared" si="1"/>
        <v>0</v>
      </c>
      <c r="H73" s="1171" t="s">
        <v>571</v>
      </c>
      <c r="I73" s="1288"/>
      <c r="J73" s="586" t="str">
        <f>Period2_Label</f>
        <v>Proposer FY 2</v>
      </c>
      <c r="K73" s="292"/>
      <c r="N73" s="1285"/>
      <c r="O73" s="905"/>
      <c r="P73" s="905"/>
      <c r="Q73" s="905"/>
      <c r="R73" s="905"/>
    </row>
    <row r="74" spans="2:19" x14ac:dyDescent="0.2">
      <c r="C74" s="582"/>
      <c r="D74" s="582"/>
      <c r="E74" s="590">
        <f t="shared" si="2"/>
        <v>0</v>
      </c>
      <c r="F74" s="588"/>
      <c r="G74" s="590">
        <f t="shared" si="1"/>
        <v>0</v>
      </c>
      <c r="H74" s="1171" t="s">
        <v>572</v>
      </c>
      <c r="I74" s="1288"/>
      <c r="J74" s="586" t="str">
        <f>Period3_Label</f>
        <v>Proposer FY 3</v>
      </c>
      <c r="K74" s="292"/>
      <c r="N74" s="1285"/>
      <c r="O74" s="905"/>
      <c r="P74" s="905"/>
      <c r="Q74" s="905"/>
      <c r="R74" s="905"/>
    </row>
    <row r="75" spans="2:19" x14ac:dyDescent="0.2">
      <c r="C75" s="582"/>
      <c r="D75" s="582"/>
      <c r="E75" s="590">
        <f t="shared" si="2"/>
        <v>0</v>
      </c>
      <c r="F75" s="588"/>
      <c r="G75" s="590">
        <f t="shared" si="1"/>
        <v>0</v>
      </c>
      <c r="H75" s="1171" t="s">
        <v>573</v>
      </c>
      <c r="I75" s="1288"/>
      <c r="J75" s="586" t="str">
        <f>Period4_Label</f>
        <v>Proposer FY 4</v>
      </c>
      <c r="K75" s="292"/>
      <c r="N75" s="1285"/>
      <c r="O75" s="905"/>
      <c r="P75" s="905"/>
      <c r="Q75" s="905"/>
      <c r="R75" s="905"/>
    </row>
    <row r="76" spans="2:19" x14ac:dyDescent="0.2">
      <c r="C76" s="582"/>
      <c r="D76" s="582"/>
      <c r="E76" s="590">
        <f t="shared" si="2"/>
        <v>0</v>
      </c>
      <c r="F76" s="588"/>
      <c r="G76" s="590">
        <f t="shared" si="1"/>
        <v>0</v>
      </c>
      <c r="H76" s="1171" t="s">
        <v>574</v>
      </c>
      <c r="I76" s="1288"/>
      <c r="J76" s="586" t="str">
        <f>Period5_Label</f>
        <v>Proposer FY 5</v>
      </c>
      <c r="K76" s="292"/>
      <c r="N76" s="1285"/>
      <c r="O76" s="905"/>
      <c r="P76" s="905"/>
      <c r="Q76" s="905"/>
      <c r="R76" s="905"/>
    </row>
    <row r="77" spans="2:19" x14ac:dyDescent="0.2">
      <c r="C77" s="582"/>
      <c r="D77" s="582"/>
      <c r="E77" s="590">
        <f t="shared" si="2"/>
        <v>0</v>
      </c>
      <c r="F77" s="588"/>
      <c r="G77" s="590">
        <f t="shared" si="1"/>
        <v>0</v>
      </c>
      <c r="H77" s="1171" t="s">
        <v>575</v>
      </c>
      <c r="I77" s="1288"/>
      <c r="J77" s="586" t="str">
        <f>Period6_Label</f>
        <v>Proposer FY 6</v>
      </c>
      <c r="K77" s="292"/>
      <c r="N77" s="1285"/>
      <c r="O77" s="148"/>
      <c r="P77" s="148"/>
      <c r="Q77" s="148"/>
      <c r="R77" s="148"/>
    </row>
    <row r="78" spans="2:19" x14ac:dyDescent="0.2">
      <c r="C78" s="582"/>
      <c r="D78" s="582"/>
      <c r="E78" s="590">
        <f t="shared" si="2"/>
        <v>0</v>
      </c>
      <c r="F78" s="588"/>
      <c r="G78" s="590">
        <f t="shared" si="1"/>
        <v>0</v>
      </c>
      <c r="H78" s="610"/>
      <c r="I78" s="589"/>
      <c r="N78" s="1285"/>
    </row>
    <row r="79" spans="2:19" x14ac:dyDescent="0.2">
      <c r="C79" s="582"/>
      <c r="D79" s="582"/>
      <c r="E79" s="590">
        <f t="shared" si="2"/>
        <v>0</v>
      </c>
      <c r="F79" s="588"/>
      <c r="G79" s="590">
        <f t="shared" si="1"/>
        <v>0</v>
      </c>
      <c r="H79" s="589"/>
    </row>
    <row r="80" spans="2:19" x14ac:dyDescent="0.2">
      <c r="C80" s="582"/>
      <c r="D80" s="582"/>
      <c r="E80" s="590">
        <f t="shared" si="2"/>
        <v>0</v>
      </c>
      <c r="F80" s="588"/>
      <c r="G80" s="590">
        <f t="shared" si="1"/>
        <v>0</v>
      </c>
      <c r="I80" s="587"/>
      <c r="N80" s="1285"/>
      <c r="O80" s="40"/>
      <c r="P80" s="40"/>
      <c r="Q80" s="40"/>
      <c r="R80" s="40"/>
      <c r="S80" s="40"/>
    </row>
    <row r="81" spans="1:18" x14ac:dyDescent="0.2">
      <c r="C81" s="582"/>
      <c r="D81" s="582"/>
      <c r="E81" s="590">
        <f t="shared" si="2"/>
        <v>0</v>
      </c>
      <c r="F81" s="588"/>
      <c r="G81" s="590">
        <f t="shared" si="1"/>
        <v>0</v>
      </c>
      <c r="H81" s="587"/>
      <c r="I81" s="587"/>
      <c r="L81" s="904"/>
      <c r="M81" s="904"/>
      <c r="N81" s="1286"/>
      <c r="O81" s="904"/>
      <c r="P81" s="904"/>
      <c r="Q81" s="904"/>
      <c r="R81" s="904"/>
    </row>
    <row r="82" spans="1:18" x14ac:dyDescent="0.2">
      <c r="C82" s="582"/>
      <c r="D82" s="582"/>
      <c r="E82" s="590">
        <f t="shared" si="2"/>
        <v>0</v>
      </c>
      <c r="F82" s="588"/>
      <c r="G82" s="590">
        <f t="shared" si="1"/>
        <v>0</v>
      </c>
      <c r="H82" s="587"/>
      <c r="I82" s="610"/>
      <c r="L82" s="631"/>
      <c r="M82" s="631"/>
      <c r="N82" s="1287"/>
      <c r="O82" s="631"/>
      <c r="P82" s="631"/>
      <c r="Q82" s="631"/>
      <c r="R82" s="631"/>
    </row>
    <row r="83" spans="1:18" x14ac:dyDescent="0.2">
      <c r="C83" s="582"/>
      <c r="D83" s="582"/>
      <c r="E83" s="590">
        <f t="shared" si="2"/>
        <v>0</v>
      </c>
      <c r="F83" s="588"/>
      <c r="G83" s="590">
        <f t="shared" si="1"/>
        <v>0</v>
      </c>
      <c r="H83" s="610"/>
      <c r="J83" s="610"/>
      <c r="K83" s="610"/>
      <c r="M83" s="53"/>
    </row>
    <row r="84" spans="1:18" x14ac:dyDescent="0.2">
      <c r="C84" s="582"/>
      <c r="D84" s="582"/>
      <c r="E84" s="590">
        <f t="shared" si="2"/>
        <v>0</v>
      </c>
      <c r="F84" s="588"/>
      <c r="G84" s="590">
        <f t="shared" si="1"/>
        <v>0</v>
      </c>
    </row>
    <row r="85" spans="1:18" x14ac:dyDescent="0.2">
      <c r="C85" s="582"/>
      <c r="D85" s="582"/>
      <c r="E85" s="590">
        <f t="shared" si="2"/>
        <v>0</v>
      </c>
      <c r="F85" s="588"/>
      <c r="G85" s="590">
        <f t="shared" si="1"/>
        <v>0</v>
      </c>
    </row>
    <row r="86" spans="1:18" x14ac:dyDescent="0.2">
      <c r="C86" s="582"/>
      <c r="D86" s="582"/>
      <c r="E86" s="590">
        <f t="shared" si="2"/>
        <v>0</v>
      </c>
      <c r="F86" s="588"/>
      <c r="G86" s="590">
        <f t="shared" si="1"/>
        <v>0</v>
      </c>
    </row>
    <row r="87" spans="1:18" ht="13.5" thickBot="1" x14ac:dyDescent="0.25">
      <c r="C87" s="582"/>
      <c r="D87" s="582"/>
      <c r="E87" s="590">
        <f t="shared" si="2"/>
        <v>0</v>
      </c>
      <c r="F87" s="588"/>
      <c r="G87" s="590">
        <f t="shared" si="1"/>
        <v>0</v>
      </c>
      <c r="J87" s="587"/>
      <c r="K87" s="587"/>
    </row>
    <row r="88" spans="1:18" ht="13.5" thickBot="1" x14ac:dyDescent="0.25">
      <c r="D88" s="589" t="s">
        <v>469</v>
      </c>
      <c r="E88" s="624">
        <f>SUM(E72:E87)</f>
        <v>0</v>
      </c>
      <c r="F88" s="623" t="s">
        <v>470</v>
      </c>
      <c r="J88" s="587"/>
      <c r="K88" s="587"/>
    </row>
    <row r="90" spans="1:18" ht="18" customHeight="1" x14ac:dyDescent="0.2">
      <c r="C90" s="610" t="s">
        <v>81</v>
      </c>
      <c r="D90" s="1444" t="s">
        <v>709</v>
      </c>
      <c r="E90" s="1444"/>
      <c r="F90" s="1444"/>
      <c r="G90" s="1444"/>
      <c r="H90" s="1444"/>
      <c r="I90" s="1444"/>
      <c r="J90" s="1444"/>
      <c r="K90" s="610" t="s">
        <v>42</v>
      </c>
      <c r="L90" s="40" t="s">
        <v>46</v>
      </c>
      <c r="M90" s="1285"/>
      <c r="N90" s="911"/>
      <c r="P90" s="905"/>
      <c r="Q90" s="905"/>
      <c r="R90" s="905"/>
    </row>
    <row r="91" spans="1:18" x14ac:dyDescent="0.2">
      <c r="D91" s="1444"/>
      <c r="E91" s="1444"/>
      <c r="F91" s="1444"/>
      <c r="G91" s="1444"/>
      <c r="H91" s="1444"/>
      <c r="I91" s="1444"/>
      <c r="J91" s="1444"/>
      <c r="K91" s="610"/>
      <c r="M91" s="938"/>
      <c r="N91" s="35"/>
    </row>
    <row r="92" spans="1:18" ht="41.25" customHeight="1" x14ac:dyDescent="0.2">
      <c r="C92" s="911"/>
      <c r="D92" s="1444"/>
      <c r="E92" s="1444"/>
      <c r="F92" s="1444"/>
      <c r="G92" s="1444"/>
      <c r="H92" s="1444"/>
      <c r="I92" s="1444"/>
      <c r="J92" s="1444"/>
      <c r="K92" s="610" t="s">
        <v>13</v>
      </c>
      <c r="L92" s="1441" t="s">
        <v>86</v>
      </c>
      <c r="M92" s="1441"/>
      <c r="N92" s="1441"/>
      <c r="P92" s="904"/>
      <c r="Q92" s="904"/>
      <c r="R92" s="904"/>
    </row>
    <row r="93" spans="1:18" x14ac:dyDescent="0.2">
      <c r="D93" s="1444"/>
      <c r="E93" s="1444"/>
      <c r="F93" s="1444"/>
      <c r="G93" s="1444"/>
      <c r="H93" s="1444"/>
      <c r="I93" s="1444"/>
      <c r="J93" s="1444"/>
      <c r="K93" s="610"/>
      <c r="M93" s="938"/>
      <c r="N93" s="35"/>
    </row>
    <row r="94" spans="1:18" ht="279.75" customHeight="1" x14ac:dyDescent="0.2">
      <c r="D94" s="1444"/>
      <c r="E94" s="1444"/>
      <c r="F94" s="1444"/>
      <c r="G94" s="1444"/>
      <c r="H94" s="1444"/>
      <c r="I94" s="1444"/>
      <c r="J94" s="1444"/>
      <c r="K94" s="610" t="s">
        <v>44</v>
      </c>
      <c r="L94" s="1441" t="s">
        <v>773</v>
      </c>
      <c r="M94" s="1441"/>
      <c r="N94" s="1441"/>
      <c r="P94" s="905"/>
      <c r="Q94" s="905"/>
      <c r="R94" s="905"/>
    </row>
    <row r="95" spans="1:18" customFormat="1" x14ac:dyDescent="0.2">
      <c r="A95" s="35"/>
      <c r="B95" s="35"/>
      <c r="C95" s="35"/>
      <c r="D95" s="35"/>
      <c r="E95" s="35"/>
      <c r="F95" s="35"/>
      <c r="G95" s="35"/>
      <c r="H95" s="35"/>
      <c r="I95" s="35"/>
      <c r="J95" s="35"/>
      <c r="K95" s="35"/>
      <c r="L95" s="35"/>
      <c r="N95" s="26"/>
    </row>
    <row r="96" spans="1:18" ht="13.5" thickBot="1" x14ac:dyDescent="0.25"/>
    <row r="97" spans="2:6" customFormat="1" ht="16.5" thickBot="1" x14ac:dyDescent="0.3">
      <c r="C97" s="1520" t="s">
        <v>511</v>
      </c>
      <c r="D97" s="1570"/>
      <c r="E97" s="1521"/>
    </row>
    <row r="98" spans="2:6" customFormat="1" ht="15.75" x14ac:dyDescent="0.2">
      <c r="B98" s="872" t="s">
        <v>512</v>
      </c>
      <c r="C98" s="1571" t="s">
        <v>530</v>
      </c>
      <c r="D98" s="1572"/>
      <c r="E98" s="1572"/>
      <c r="F98" s="1572"/>
    </row>
    <row r="99" spans="2:6" customFormat="1" ht="15.75" x14ac:dyDescent="0.2">
      <c r="B99" s="873"/>
      <c r="C99" s="1494"/>
      <c r="D99" s="1565"/>
      <c r="E99" s="1565"/>
      <c r="F99" s="1495"/>
    </row>
    <row r="100" spans="2:6" customFormat="1" ht="15.75" x14ac:dyDescent="0.2">
      <c r="B100" s="290"/>
      <c r="C100" s="1494"/>
      <c r="D100" s="1565"/>
      <c r="E100" s="1565"/>
      <c r="F100" s="1495"/>
    </row>
    <row r="101" spans="2:6" customFormat="1" ht="15.75" x14ac:dyDescent="0.2">
      <c r="B101" s="290"/>
      <c r="C101" s="1494"/>
      <c r="D101" s="1565"/>
      <c r="E101" s="1565"/>
      <c r="F101" s="1495"/>
    </row>
    <row r="102" spans="2:6" customFormat="1" ht="15.75" x14ac:dyDescent="0.2">
      <c r="B102" s="290"/>
      <c r="C102" s="1494"/>
      <c r="D102" s="1565"/>
      <c r="E102" s="1565"/>
      <c r="F102" s="1495"/>
    </row>
    <row r="103" spans="2:6" customFormat="1" ht="15.75" x14ac:dyDescent="0.2">
      <c r="B103" s="290"/>
      <c r="C103" s="1494"/>
      <c r="D103" s="1565"/>
      <c r="E103" s="1565"/>
      <c r="F103" s="1495"/>
    </row>
    <row r="104" spans="2:6" customFormat="1" ht="15.75" x14ac:dyDescent="0.2">
      <c r="B104" s="290"/>
      <c r="C104" s="1494"/>
      <c r="D104" s="1565"/>
      <c r="E104" s="1565"/>
      <c r="F104" s="1495"/>
    </row>
    <row r="105" spans="2:6" customFormat="1" ht="15.75" customHeight="1" x14ac:dyDescent="0.2">
      <c r="B105" s="290"/>
      <c r="C105" s="1494"/>
      <c r="D105" s="1565"/>
      <c r="E105" s="1565"/>
      <c r="F105" s="1495"/>
    </row>
    <row r="106" spans="2:6" customFormat="1" ht="15.75" customHeight="1" x14ac:dyDescent="0.2">
      <c r="B106" s="290"/>
      <c r="C106" s="1494"/>
      <c r="D106" s="1565"/>
      <c r="E106" s="1565"/>
      <c r="F106" s="1495"/>
    </row>
    <row r="107" spans="2:6" customFormat="1" ht="15.75" x14ac:dyDescent="0.2">
      <c r="B107" s="290"/>
      <c r="C107" s="1494"/>
      <c r="D107" s="1565"/>
      <c r="E107" s="1565"/>
      <c r="F107" s="1495"/>
    </row>
    <row r="108" spans="2:6" customFormat="1" ht="15.75" x14ac:dyDescent="0.2">
      <c r="B108" s="290"/>
      <c r="C108" s="1494"/>
      <c r="D108" s="1565"/>
      <c r="E108" s="1565"/>
      <c r="F108" s="1495"/>
    </row>
    <row r="109" spans="2:6" customFormat="1" ht="15.75" x14ac:dyDescent="0.2">
      <c r="B109" s="290"/>
      <c r="C109" s="1494"/>
      <c r="D109" s="1565"/>
      <c r="E109" s="1565"/>
      <c r="F109" s="1495"/>
    </row>
    <row r="110" spans="2:6" customFormat="1" ht="15.75" x14ac:dyDescent="0.2">
      <c r="B110" s="290"/>
      <c r="C110" s="1494"/>
      <c r="D110" s="1565"/>
      <c r="E110" s="1565"/>
      <c r="F110" s="1495"/>
    </row>
    <row r="111" spans="2:6" customFormat="1" ht="15.75" x14ac:dyDescent="0.2">
      <c r="B111" s="290"/>
      <c r="C111" s="1494"/>
      <c r="D111" s="1565"/>
      <c r="E111" s="1565"/>
      <c r="F111" s="1495"/>
    </row>
    <row r="112" spans="2:6" customFormat="1" x14ac:dyDescent="0.2"/>
  </sheetData>
  <mergeCells count="147">
    <mergeCell ref="K56:L56"/>
    <mergeCell ref="K57:L57"/>
    <mergeCell ref="K58:L58"/>
    <mergeCell ref="K59:L59"/>
    <mergeCell ref="K60:L60"/>
    <mergeCell ref="K61:L61"/>
    <mergeCell ref="K62:L62"/>
    <mergeCell ref="K63:L63"/>
    <mergeCell ref="K64:L64"/>
    <mergeCell ref="K47:L47"/>
    <mergeCell ref="K48:L48"/>
    <mergeCell ref="K49:L49"/>
    <mergeCell ref="K50:L50"/>
    <mergeCell ref="K51:L51"/>
    <mergeCell ref="K52:L52"/>
    <mergeCell ref="K53:L53"/>
    <mergeCell ref="K54:L54"/>
    <mergeCell ref="K55:L55"/>
    <mergeCell ref="K38:L38"/>
    <mergeCell ref="K39:L39"/>
    <mergeCell ref="K40:L40"/>
    <mergeCell ref="K41:L41"/>
    <mergeCell ref="K42:L42"/>
    <mergeCell ref="K43:L43"/>
    <mergeCell ref="K44:L44"/>
    <mergeCell ref="K45:L45"/>
    <mergeCell ref="K46:L46"/>
    <mergeCell ref="C109:F109"/>
    <mergeCell ref="C110:F110"/>
    <mergeCell ref="C111:F111"/>
    <mergeCell ref="C97:E97"/>
    <mergeCell ref="C98:F98"/>
    <mergeCell ref="C99:F99"/>
    <mergeCell ref="C100:F100"/>
    <mergeCell ref="C101:F101"/>
    <mergeCell ref="C102:F102"/>
    <mergeCell ref="C103:F103"/>
    <mergeCell ref="C104:F104"/>
    <mergeCell ref="C105:F105"/>
    <mergeCell ref="C106:F106"/>
    <mergeCell ref="C107:F107"/>
    <mergeCell ref="C108:F108"/>
    <mergeCell ref="D90:J94"/>
    <mergeCell ref="B2:E2"/>
    <mergeCell ref="C70:C71"/>
    <mergeCell ref="D70:D71"/>
    <mergeCell ref="E70:E71"/>
    <mergeCell ref="F70:F71"/>
    <mergeCell ref="G70:G71"/>
    <mergeCell ref="E5:F5"/>
    <mergeCell ref="E7:F7"/>
    <mergeCell ref="E6:F6"/>
    <mergeCell ref="E8:F8"/>
    <mergeCell ref="E20:F20"/>
    <mergeCell ref="E9:F9"/>
    <mergeCell ref="E10:F10"/>
    <mergeCell ref="E11:F11"/>
    <mergeCell ref="E12:F12"/>
    <mergeCell ref="E13:F13"/>
    <mergeCell ref="E14:F14"/>
    <mergeCell ref="E15:F15"/>
    <mergeCell ref="E16:F16"/>
    <mergeCell ref="E17:F17"/>
    <mergeCell ref="E18:F18"/>
    <mergeCell ref="E19:F19"/>
    <mergeCell ref="E32:F32"/>
    <mergeCell ref="E21:F21"/>
    <mergeCell ref="E22:F22"/>
    <mergeCell ref="E23:F23"/>
    <mergeCell ref="E24:F24"/>
    <mergeCell ref="E25:F25"/>
    <mergeCell ref="E26:F26"/>
    <mergeCell ref="E27:F27"/>
    <mergeCell ref="E28:F28"/>
    <mergeCell ref="E29:F29"/>
    <mergeCell ref="E30:F30"/>
    <mergeCell ref="E31:F31"/>
    <mergeCell ref="E44:F44"/>
    <mergeCell ref="E33:F33"/>
    <mergeCell ref="E34:F34"/>
    <mergeCell ref="E35:F35"/>
    <mergeCell ref="E36:F36"/>
    <mergeCell ref="E37:F37"/>
    <mergeCell ref="E38:F38"/>
    <mergeCell ref="E39:F39"/>
    <mergeCell ref="E40:F40"/>
    <mergeCell ref="E41:F41"/>
    <mergeCell ref="E42:F42"/>
    <mergeCell ref="E43:F43"/>
    <mergeCell ref="E56:F56"/>
    <mergeCell ref="E45:F45"/>
    <mergeCell ref="E46:F46"/>
    <mergeCell ref="E47:F47"/>
    <mergeCell ref="E48:F48"/>
    <mergeCell ref="E49:F49"/>
    <mergeCell ref="E50:F50"/>
    <mergeCell ref="K5:L5"/>
    <mergeCell ref="K20:L20"/>
    <mergeCell ref="K19:L19"/>
    <mergeCell ref="K21:L21"/>
    <mergeCell ref="K22:L22"/>
    <mergeCell ref="K11:L11"/>
    <mergeCell ref="E51:F51"/>
    <mergeCell ref="E52:F52"/>
    <mergeCell ref="E53:F53"/>
    <mergeCell ref="E54:F54"/>
    <mergeCell ref="E55:F55"/>
    <mergeCell ref="K6:L6"/>
    <mergeCell ref="K7:L7"/>
    <mergeCell ref="K8:L8"/>
    <mergeCell ref="K9:L9"/>
    <mergeCell ref="K10:L10"/>
    <mergeCell ref="K18:L18"/>
    <mergeCell ref="E63:F63"/>
    <mergeCell ref="E64:F64"/>
    <mergeCell ref="E65:F65"/>
    <mergeCell ref="H69:J70"/>
    <mergeCell ref="E57:F57"/>
    <mergeCell ref="E58:F58"/>
    <mergeCell ref="E59:F59"/>
    <mergeCell ref="E60:F60"/>
    <mergeCell ref="E61:F61"/>
    <mergeCell ref="E62:F62"/>
    <mergeCell ref="L92:N92"/>
    <mergeCell ref="L94:N94"/>
    <mergeCell ref="K12:L12"/>
    <mergeCell ref="K13:L13"/>
    <mergeCell ref="K14:L14"/>
    <mergeCell ref="K15:L15"/>
    <mergeCell ref="K16:L16"/>
    <mergeCell ref="K17:L17"/>
    <mergeCell ref="K23:L23"/>
    <mergeCell ref="K24:L24"/>
    <mergeCell ref="K25:L25"/>
    <mergeCell ref="K65:L65"/>
    <mergeCell ref="K26:L26"/>
    <mergeCell ref="K27:L27"/>
    <mergeCell ref="K28:L28"/>
    <mergeCell ref="K29:L29"/>
    <mergeCell ref="K30:L30"/>
    <mergeCell ref="K31:L31"/>
    <mergeCell ref="K32:L32"/>
    <mergeCell ref="K33:L33"/>
    <mergeCell ref="K34:L34"/>
    <mergeCell ref="K35:L35"/>
    <mergeCell ref="K36:L36"/>
    <mergeCell ref="K37:L37"/>
  </mergeCells>
  <dataValidations count="3">
    <dataValidation type="list" allowBlank="1" showInputMessage="1" showErrorMessage="1" sqref="D72:D87">
      <formula1>$M$72:$M$78</formula1>
    </dataValidation>
    <dataValidation type="list" allowBlank="1" showInputMessage="1" showErrorMessage="1" sqref="D6:D65">
      <formula1>$M$72:$M$77</formula1>
    </dataValidation>
    <dataValidation type="list" allowBlank="1" showInputMessage="1" showErrorMessage="1" sqref="C6:C65 C72:C87">
      <formula1>$L$72:$L$77</formula1>
    </dataValidation>
  </dataValidations>
  <pageMargins left="0.75" right="0.75" top="1" bottom="1" header="0.5" footer="0.5"/>
  <pageSetup scale="80" orientation="landscape"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 Values'!$D$6:$D$7</xm:f>
          </x14:formula1>
          <xm:sqref>M6:M65</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DC800"/>
  </sheetPr>
  <dimension ref="B1:T51"/>
  <sheetViews>
    <sheetView zoomScale="90" zoomScaleNormal="90" workbookViewId="0">
      <pane ySplit="15" topLeftCell="A16" activePane="bottomLeft" state="frozen"/>
      <selection pane="bottomLeft" activeCell="C3" sqref="C3"/>
    </sheetView>
  </sheetViews>
  <sheetFormatPr defaultRowHeight="14.25" x14ac:dyDescent="0.2"/>
  <cols>
    <col min="1" max="1" width="0.85546875" style="956" customWidth="1"/>
    <col min="2" max="2" width="2" style="956" customWidth="1"/>
    <col min="3" max="3" width="16.28515625" style="956" customWidth="1"/>
    <col min="4" max="4" width="19.85546875" style="956" customWidth="1"/>
    <col min="5" max="5" width="2" style="957" customWidth="1"/>
    <col min="6" max="6" width="16.28515625" style="956" customWidth="1"/>
    <col min="7" max="7" width="20.140625" style="956" customWidth="1"/>
    <col min="8" max="8" width="2" style="957" customWidth="1"/>
    <col min="9" max="9" width="16.28515625" style="956" customWidth="1"/>
    <col min="10" max="10" width="19.85546875" style="956" customWidth="1"/>
    <col min="11" max="11" width="2" style="957" customWidth="1"/>
    <col min="12" max="12" width="16.28515625" style="956" customWidth="1"/>
    <col min="13" max="13" width="20.28515625" style="956" customWidth="1"/>
    <col min="14" max="14" width="2" style="957" customWidth="1"/>
    <col min="15" max="15" width="16.28515625" style="956" customWidth="1"/>
    <col min="16" max="16" width="19.85546875" style="956" customWidth="1"/>
    <col min="17" max="17" width="2" style="957" customWidth="1"/>
    <col min="18" max="18" width="16.28515625" style="956" customWidth="1"/>
    <col min="19" max="19" width="19.85546875" style="956" customWidth="1"/>
    <col min="20" max="20" width="2" style="957" customWidth="1"/>
    <col min="21" max="27" width="9.140625" style="956"/>
    <col min="28" max="29" width="10.28515625" style="956" customWidth="1"/>
    <col min="30" max="16384" width="9.140625" style="956"/>
  </cols>
  <sheetData>
    <row r="1" spans="2:20" s="524" customFormat="1" ht="18.75" x14ac:dyDescent="0.3">
      <c r="B1" s="1013" t="s">
        <v>568</v>
      </c>
      <c r="C1" s="1014"/>
      <c r="D1" s="1014"/>
      <c r="E1" s="868"/>
      <c r="F1" s="868"/>
      <c r="G1" s="1014"/>
      <c r="H1" s="1014"/>
      <c r="I1" s="1014"/>
      <c r="J1" s="1014"/>
      <c r="K1" s="1014"/>
      <c r="L1" s="868"/>
      <c r="M1" s="1014"/>
      <c r="N1" s="868"/>
      <c r="O1" s="868"/>
      <c r="P1" s="868"/>
      <c r="Q1" s="868"/>
      <c r="R1" s="868"/>
      <c r="S1" s="868"/>
    </row>
    <row r="2" spans="2:20" s="143" customFormat="1" ht="15.75" x14ac:dyDescent="0.25">
      <c r="B2" s="836" t="str">
        <f>INITIALIZATION!C5</f>
        <v>Proposer's Name (Prime or Sub)</v>
      </c>
      <c r="C2" s="836"/>
      <c r="D2" s="836"/>
      <c r="E2" s="836"/>
      <c r="F2" s="526"/>
      <c r="G2" s="526"/>
      <c r="H2" s="526"/>
      <c r="I2" s="526"/>
      <c r="J2" s="526"/>
      <c r="K2" s="526"/>
      <c r="M2" s="526"/>
    </row>
    <row r="4" spans="2:20" ht="15" x14ac:dyDescent="0.2">
      <c r="C4" s="1036"/>
    </row>
    <row r="8" spans="2:20" ht="15" thickBot="1" x14ac:dyDescent="0.25"/>
    <row r="9" spans="2:20" ht="15" x14ac:dyDescent="0.2">
      <c r="B9" s="965"/>
      <c r="C9" s="1617" t="s">
        <v>558</v>
      </c>
      <c r="D9" s="1618"/>
      <c r="E9" s="985"/>
      <c r="F9" s="1619" t="s">
        <v>295</v>
      </c>
      <c r="G9" s="1620"/>
      <c r="H9" s="989"/>
      <c r="I9" s="1621" t="s">
        <v>296</v>
      </c>
      <c r="J9" s="1622"/>
      <c r="K9" s="993"/>
      <c r="L9" s="1623" t="s">
        <v>559</v>
      </c>
      <c r="M9" s="1624"/>
      <c r="N9" s="997"/>
      <c r="O9" s="1625" t="s">
        <v>560</v>
      </c>
      <c r="P9" s="1626"/>
      <c r="Q9" s="1001"/>
      <c r="R9" s="1615" t="s">
        <v>561</v>
      </c>
      <c r="S9" s="1616"/>
    </row>
    <row r="10" spans="2:20" x14ac:dyDescent="0.2">
      <c r="B10" s="966"/>
      <c r="C10" s="958" t="s">
        <v>562</v>
      </c>
      <c r="D10" s="967" t="str">
        <f>IF(INITIALIZATION!K5&gt;0,INITIALIZATION!K5,"N/A")</f>
        <v>N/A</v>
      </c>
      <c r="E10" s="986"/>
      <c r="F10" s="958" t="s">
        <v>562</v>
      </c>
      <c r="G10" s="967" t="str">
        <f>IF(INITIALIZATION!K6&gt;0,INITIALIZATION!K6,"N/A")</f>
        <v>N/A</v>
      </c>
      <c r="H10" s="990"/>
      <c r="I10" s="958" t="s">
        <v>562</v>
      </c>
      <c r="J10" s="967" t="str">
        <f>IF(INITIALIZATION!K7&gt;0,INITIALIZATION!K7,"N/A")</f>
        <v>N/A</v>
      </c>
      <c r="K10" s="994"/>
      <c r="L10" s="958" t="s">
        <v>562</v>
      </c>
      <c r="M10" s="967" t="str">
        <f>IF(INITIALIZATION!K8&gt;0,INITIALIZATION!K8,"N/A")</f>
        <v>N/A</v>
      </c>
      <c r="N10" s="998"/>
      <c r="O10" s="958" t="s">
        <v>562</v>
      </c>
      <c r="P10" s="967" t="str">
        <f>IF(INITIALIZATION!K9&gt;0,INITIALIZATION!K9,"N/A")</f>
        <v>N/A</v>
      </c>
      <c r="Q10" s="1002"/>
      <c r="R10" s="958" t="s">
        <v>562</v>
      </c>
      <c r="S10" s="967" t="str">
        <f>IF(INITIALIZATION!K10&gt;0,INITIALIZATION!K10,"N/A")</f>
        <v>N/A</v>
      </c>
    </row>
    <row r="11" spans="2:20" ht="42.75" customHeight="1" x14ac:dyDescent="0.2">
      <c r="B11" s="966"/>
      <c r="C11" s="959" t="s">
        <v>563</v>
      </c>
      <c r="D11" s="1006" t="str">
        <f>IF(D10="N/A","N/A",ROUNDUP([0]!tecpff.dlrs.Base,0))</f>
        <v>N/A</v>
      </c>
      <c r="E11" s="986"/>
      <c r="F11" s="959" t="s">
        <v>563</v>
      </c>
      <c r="G11" s="1006" t="str">
        <f>IF(G10="N/A","N/A",ROUNDUP([0]!tecpff.dlrs.Op1,0))</f>
        <v>N/A</v>
      </c>
      <c r="H11" s="990"/>
      <c r="I11" s="959" t="s">
        <v>563</v>
      </c>
      <c r="J11" s="1006" t="str">
        <f>IF(J10="N/A","N/A",ROUNDUP([0]!tecpff.dlrs.Op2,0))</f>
        <v>N/A</v>
      </c>
      <c r="K11" s="994"/>
      <c r="L11" s="959" t="s">
        <v>563</v>
      </c>
      <c r="M11" s="1006" t="str">
        <f>IF(M10="N/A","N/A",ROUNDUP([0]!tecpff.dlrs.Op3,0))</f>
        <v>N/A</v>
      </c>
      <c r="N11" s="998"/>
      <c r="O11" s="959" t="s">
        <v>563</v>
      </c>
      <c r="P11" s="1006" t="str">
        <f>IF(P10="N/A","N/A",ROUNDUP([0]!tecpff.dlrs.Op4,0))</f>
        <v>N/A</v>
      </c>
      <c r="Q11" s="1002"/>
      <c r="R11" s="959" t="s">
        <v>563</v>
      </c>
      <c r="S11" s="1006" t="str">
        <f>IF(S10="N/A","N/A",ROUNDUP([0]!tecpff.dlrs.Op5,0))</f>
        <v>N/A</v>
      </c>
    </row>
    <row r="12" spans="2:20" x14ac:dyDescent="0.2">
      <c r="B12" s="966"/>
      <c r="C12" s="958" t="s">
        <v>631</v>
      </c>
      <c r="D12" s="1005" t="str">
        <f>IF(D10="N/A","N/A",ROUNDUP(SUM(D16:D39),0))</f>
        <v>N/A</v>
      </c>
      <c r="E12" s="986"/>
      <c r="F12" s="958" t="s">
        <v>631</v>
      </c>
      <c r="G12" s="1005" t="str">
        <f>IF(G10="N/A","N/A",ROUNDUP(SUM(G16:G39),0))</f>
        <v>N/A</v>
      </c>
      <c r="H12" s="990"/>
      <c r="I12" s="958" t="s">
        <v>631</v>
      </c>
      <c r="J12" s="968" t="str">
        <f>IF(J10="N/A","N/A",ROUNDUP(SUM(J16:J39),0))</f>
        <v>N/A</v>
      </c>
      <c r="K12" s="994"/>
      <c r="L12" s="958" t="s">
        <v>631</v>
      </c>
      <c r="M12" s="968" t="str">
        <f>IF(M10="N/A","N/A",ROUNDUP(SUM(M16:M39),0))</f>
        <v>N/A</v>
      </c>
      <c r="N12" s="998"/>
      <c r="O12" s="958" t="s">
        <v>631</v>
      </c>
      <c r="P12" s="1005" t="str">
        <f>IF(P10="N/A","N/A",ROUNDUP(SUM(P16:P39),0))</f>
        <v>N/A</v>
      </c>
      <c r="Q12" s="1002"/>
      <c r="R12" s="958" t="s">
        <v>631</v>
      </c>
      <c r="S12" s="968" t="str">
        <f>IF(S10="N/A","N/A",ROUNDUP(SUM(S16:S39),0))</f>
        <v>N/A</v>
      </c>
    </row>
    <row r="13" spans="2:20" s="962" customFormat="1" ht="32.25" customHeight="1" x14ac:dyDescent="0.2">
      <c r="B13" s="969"/>
      <c r="C13" s="960" t="str">
        <f>IF(D11="N/A","NOT USED",IF(SUM(E:E)&gt;0,"INCOMPLETE PLAN","ALL MONTHS HAVE A VALUE"))</f>
        <v>NOT USED</v>
      </c>
      <c r="D13" s="970" t="str">
        <f>IF(D11="N/A","NOT USED",IF(OR(D12=D11,D12=D14),"PLAN MATCHES  PHASE COST","PLAN MISMATCH WITH PHASE COST"))</f>
        <v>NOT USED</v>
      </c>
      <c r="E13" s="987"/>
      <c r="F13" s="960" t="str">
        <f>IF(G11="N/A","NOT USED",IF(SUM(H:H)&gt;0,"INCOMPLETE PLAN","ALL MONTHS HAVE A VALUE"))</f>
        <v>NOT USED</v>
      </c>
      <c r="G13" s="970" t="str">
        <f>IF(G11="N/A","NOT USED",IF(OR(G12=G11,G12=G14),"PLAN MATCHES  PHASE COST","PLAN MISMATCH WITH PHASE COST"))</f>
        <v>NOT USED</v>
      </c>
      <c r="H13" s="991"/>
      <c r="I13" s="960" t="str">
        <f>IF(J11="N/A","NOT USED",IF(SUM(K:K)&gt;0,"INCOMPLETE PLAN","ALL MONTHS HAVE A VALUE"))</f>
        <v>NOT USED</v>
      </c>
      <c r="J13" s="970" t="str">
        <f>IF(J11="N/A","NOT USED",IF(OR(J12=J11,J12=J14),"PLAN MATCHES  PHASE COST","PLAN MISMATCH WITH PHASE COST"))</f>
        <v>NOT USED</v>
      </c>
      <c r="K13" s="995"/>
      <c r="L13" s="960" t="str">
        <f>IF(M11="N/A","NOT USED",IF(SUM(N:N)&gt;0,"INCOMPLETE PLAN","ALL MONTHS HAVE A VALUE"))</f>
        <v>NOT USED</v>
      </c>
      <c r="M13" s="970" t="str">
        <f>IF(M11="N/A","NOT USED",IF(OR(M12=M11,M12=M14),"PLAN MATCHES  PHASE COST","PLAN MISMATCH WITH PHASE COST"))</f>
        <v>NOT USED</v>
      </c>
      <c r="N13" s="999"/>
      <c r="O13" s="960" t="str">
        <f>IF(P11="N/A","NOT USED",IF(SUM(Q:Q)&gt;0,"INCOMPLETE PLAN","ALL MONTHS HAVE A VALUE"))</f>
        <v>NOT USED</v>
      </c>
      <c r="P13" s="970" t="str">
        <f>IF(P11="N/A","NOT USED",IF(OR(P12=P11,P12=P14),"PLAN MATCHES  PHASE COST","PLAN MISMATCH WITH PHASE COST"))</f>
        <v>NOT USED</v>
      </c>
      <c r="Q13" s="1003"/>
      <c r="R13" s="960" t="str">
        <f>IF(S11="N/A","NOT USED",IF(SUM(T:T)&gt;0,"INCOMPLETE PLAN","ALL MONTHS HAVE A VALUE"))</f>
        <v>NOT USED</v>
      </c>
      <c r="S13" s="970" t="str">
        <f>IF(S11="N/A","NOT USED",IF(OR(S12=S11,S12=S14),"PLAN MATCHES  PHASE COST","PLAN MISMATCH WITH PHASE COST"))</f>
        <v>NOT USED</v>
      </c>
      <c r="T13" s="961"/>
    </row>
    <row r="14" spans="2:20" x14ac:dyDescent="0.2">
      <c r="B14" s="966"/>
      <c r="C14" s="963"/>
      <c r="D14" s="971">
        <f>IF(D11="N/A",0,"X")</f>
        <v>0</v>
      </c>
      <c r="E14" s="986"/>
      <c r="F14" s="964"/>
      <c r="G14" s="971">
        <f>IF(G11="N/A",0,"X")</f>
        <v>0</v>
      </c>
      <c r="H14" s="990"/>
      <c r="I14" s="964"/>
      <c r="J14" s="971">
        <f>IF(J11="N/A",0,"X")</f>
        <v>0</v>
      </c>
      <c r="K14" s="994"/>
      <c r="L14" s="964"/>
      <c r="M14" s="971">
        <f>IF(M11="N/A",0,"X")</f>
        <v>0</v>
      </c>
      <c r="N14" s="998"/>
      <c r="O14" s="964"/>
      <c r="P14" s="971">
        <f>IF(P11="N/A",0,"X")</f>
        <v>0</v>
      </c>
      <c r="Q14" s="1002"/>
      <c r="R14" s="964"/>
      <c r="S14" s="971">
        <f>IF(S11="N/A",0,"X")</f>
        <v>0</v>
      </c>
    </row>
    <row r="15" spans="2:20" ht="28.5" x14ac:dyDescent="0.2">
      <c r="B15" s="966"/>
      <c r="C15" s="1007" t="s">
        <v>564</v>
      </c>
      <c r="D15" s="1008" t="s">
        <v>566</v>
      </c>
      <c r="E15" s="986"/>
      <c r="F15" s="1007" t="s">
        <v>564</v>
      </c>
      <c r="G15" s="1008" t="s">
        <v>566</v>
      </c>
      <c r="H15" s="990"/>
      <c r="I15" s="1007" t="s">
        <v>564</v>
      </c>
      <c r="J15" s="1008" t="s">
        <v>566</v>
      </c>
      <c r="K15" s="994"/>
      <c r="L15" s="1007" t="s">
        <v>564</v>
      </c>
      <c r="M15" s="1008" t="s">
        <v>566</v>
      </c>
      <c r="N15" s="998"/>
      <c r="O15" s="1007" t="s">
        <v>564</v>
      </c>
      <c r="P15" s="1008" t="s">
        <v>566</v>
      </c>
      <c r="Q15" s="1002"/>
      <c r="R15" s="1007" t="s">
        <v>565</v>
      </c>
      <c r="S15" s="1008" t="s">
        <v>566</v>
      </c>
    </row>
    <row r="16" spans="2:20" x14ac:dyDescent="0.2">
      <c r="B16" s="966"/>
      <c r="C16" s="1033" t="str">
        <f>IF(D10="N/A","",IF(D10&gt;=1,1,""))</f>
        <v/>
      </c>
      <c r="D16" s="1034"/>
      <c r="E16" s="986" t="str">
        <f>IF(AND(C16&lt;&gt;"",D16=""),1,"")</f>
        <v/>
      </c>
      <c r="F16" s="1033" t="str">
        <f>IF(G10="N/A","",IF(G10&gt;=1,1,""))</f>
        <v/>
      </c>
      <c r="G16" s="1035"/>
      <c r="H16" s="990" t="str">
        <f>IF(AND(F16&lt;&gt;"",G16=""),1,"")</f>
        <v/>
      </c>
      <c r="I16" s="1033" t="str">
        <f>IF(J10="N/A","",IF(J10&gt;=1,1,""))</f>
        <v/>
      </c>
      <c r="J16" s="1035"/>
      <c r="K16" s="994" t="str">
        <f>IF(AND(I16&lt;&gt;"",J16=""),1,"")</f>
        <v/>
      </c>
      <c r="L16" s="1033" t="str">
        <f>IF(M10="N/A","",IF(M10&gt;=1,1,""))</f>
        <v/>
      </c>
      <c r="M16" s="1035"/>
      <c r="N16" s="998" t="str">
        <f>IF(AND(L16&lt;&gt;"",M16=""),1,"")</f>
        <v/>
      </c>
      <c r="O16" s="1033" t="str">
        <f>IF(P10="N/A","",IF(P10&gt;=1,1,""))</f>
        <v/>
      </c>
      <c r="P16" s="1035"/>
      <c r="Q16" s="1002" t="str">
        <f>IF(AND(O16&lt;&gt;"",P16=""),1,"")</f>
        <v/>
      </c>
      <c r="R16" s="1033" t="str">
        <f>IF(S10="N/A","",IF(S10&gt;=1,1,""))</f>
        <v/>
      </c>
      <c r="S16" s="1035"/>
      <c r="T16" s="957" t="str">
        <f>IF(AND(R16&lt;&gt;"",S16=""),1,"")</f>
        <v/>
      </c>
    </row>
    <row r="17" spans="2:20" x14ac:dyDescent="0.2">
      <c r="B17" s="966"/>
      <c r="C17" s="1033" t="str">
        <f>IF(C16="","",IF(D$10&gt;=(C16+1),C16+1,""))</f>
        <v/>
      </c>
      <c r="D17" s="1034"/>
      <c r="E17" s="986" t="str">
        <f t="shared" ref="E17" si="0">IF(AND(C17&lt;&gt;"",D17=""),1,"")</f>
        <v/>
      </c>
      <c r="F17" s="1033" t="str">
        <f>IF(F16="","",IF(G$10&gt;=(F16+1),F16+1,""))</f>
        <v/>
      </c>
      <c r="G17" s="1035"/>
      <c r="H17" s="990" t="str">
        <f t="shared" ref="H17" si="1">IF(AND(F17&lt;&gt;"",G17=""),1,"")</f>
        <v/>
      </c>
      <c r="I17" s="1033" t="str">
        <f>IF(I16="","",IF(J$10&gt;=(I16+1),I16+1,""))</f>
        <v/>
      </c>
      <c r="J17" s="1035"/>
      <c r="K17" s="994" t="str">
        <f t="shared" ref="K17" si="2">IF(AND(I17&lt;&gt;"",J17=""),1,"")</f>
        <v/>
      </c>
      <c r="L17" s="1033" t="str">
        <f>IF(L16="","",IF(M$10&gt;=(L16+1),L16+1,""))</f>
        <v/>
      </c>
      <c r="M17" s="1035"/>
      <c r="N17" s="998" t="str">
        <f t="shared" ref="N17" si="3">IF(AND(L17&lt;&gt;"",M17=""),1,"")</f>
        <v/>
      </c>
      <c r="O17" s="1033" t="str">
        <f>IF(O16="","",IF(P$10&gt;=(O16+1),O16+1,""))</f>
        <v/>
      </c>
      <c r="P17" s="1035"/>
      <c r="Q17" s="1002" t="str">
        <f t="shared" ref="Q17" si="4">IF(AND(O17&lt;&gt;"",P17=""),1,"")</f>
        <v/>
      </c>
      <c r="R17" s="1033" t="str">
        <f>IF(R16="","",IF(S$10&gt;=(R16+1),R16+1,""))</f>
        <v/>
      </c>
      <c r="S17" s="1035"/>
      <c r="T17" s="957" t="str">
        <f t="shared" ref="T17:T39" si="5">IF(AND(R17&lt;&gt;"",S17=""),1,"")</f>
        <v/>
      </c>
    </row>
    <row r="18" spans="2:20" x14ac:dyDescent="0.2">
      <c r="B18" s="966"/>
      <c r="C18" s="1033" t="str">
        <f t="shared" ref="C18:C39" si="6">IF(C17="","",IF(D$10&gt;=(C17+1),C17+1,""))</f>
        <v/>
      </c>
      <c r="D18" s="1034"/>
      <c r="E18" s="986" t="str">
        <f t="shared" ref="E18:E39" si="7">IF(AND(C18&lt;&gt;"",D18=""),1,"")</f>
        <v/>
      </c>
      <c r="F18" s="1033" t="str">
        <f t="shared" ref="F18:F39" si="8">IF(F17="","",IF(G$10&gt;=(F17+1),F17+1,""))</f>
        <v/>
      </c>
      <c r="G18" s="1035"/>
      <c r="H18" s="990" t="str">
        <f t="shared" ref="H18:H39" si="9">IF(AND(F18&lt;&gt;"",G18=""),1,"")</f>
        <v/>
      </c>
      <c r="I18" s="1033" t="str">
        <f t="shared" ref="I18:I39" si="10">IF(I17="","",IF(J$10&gt;=(I17+1),I17+1,""))</f>
        <v/>
      </c>
      <c r="J18" s="1035"/>
      <c r="K18" s="994" t="str">
        <f t="shared" ref="K18:K39" si="11">IF(AND(I18&lt;&gt;"",J18=""),1,"")</f>
        <v/>
      </c>
      <c r="L18" s="1033" t="str">
        <f t="shared" ref="L18:L39" si="12">IF(L17="","",IF(M$10&gt;=(L17+1),L17+1,""))</f>
        <v/>
      </c>
      <c r="M18" s="1035"/>
      <c r="N18" s="998" t="str">
        <f t="shared" ref="N18:N39" si="13">IF(AND(L18&lt;&gt;"",M18=""),1,"")</f>
        <v/>
      </c>
      <c r="O18" s="1033" t="str">
        <f t="shared" ref="O18:O39" si="14">IF(O17="","",IF(P$10&gt;=(O17+1),O17+1,""))</f>
        <v/>
      </c>
      <c r="P18" s="1035"/>
      <c r="Q18" s="1002" t="str">
        <f t="shared" ref="Q18:Q39" si="15">IF(AND(O18&lt;&gt;"",P18=""),1,"")</f>
        <v/>
      </c>
      <c r="R18" s="1033" t="str">
        <f t="shared" ref="R18:R39" si="16">IF(R17="","",IF(S$10&gt;=(R17+1),R17+1,""))</f>
        <v/>
      </c>
      <c r="S18" s="1035"/>
      <c r="T18" s="957" t="str">
        <f t="shared" si="5"/>
        <v/>
      </c>
    </row>
    <row r="19" spans="2:20" x14ac:dyDescent="0.2">
      <c r="B19" s="966"/>
      <c r="C19" s="1033" t="str">
        <f t="shared" si="6"/>
        <v/>
      </c>
      <c r="D19" s="1034"/>
      <c r="E19" s="986" t="str">
        <f t="shared" si="7"/>
        <v/>
      </c>
      <c r="F19" s="1033" t="str">
        <f t="shared" si="8"/>
        <v/>
      </c>
      <c r="G19" s="1035"/>
      <c r="H19" s="990" t="str">
        <f t="shared" si="9"/>
        <v/>
      </c>
      <c r="I19" s="1033" t="str">
        <f t="shared" si="10"/>
        <v/>
      </c>
      <c r="J19" s="1035"/>
      <c r="K19" s="994" t="str">
        <f t="shared" si="11"/>
        <v/>
      </c>
      <c r="L19" s="1033" t="str">
        <f t="shared" si="12"/>
        <v/>
      </c>
      <c r="M19" s="1035"/>
      <c r="N19" s="998" t="str">
        <f t="shared" si="13"/>
        <v/>
      </c>
      <c r="O19" s="1033" t="str">
        <f t="shared" si="14"/>
        <v/>
      </c>
      <c r="P19" s="1035"/>
      <c r="Q19" s="1002" t="str">
        <f t="shared" si="15"/>
        <v/>
      </c>
      <c r="R19" s="1033" t="str">
        <f t="shared" si="16"/>
        <v/>
      </c>
      <c r="S19" s="1035"/>
      <c r="T19" s="957" t="str">
        <f t="shared" si="5"/>
        <v/>
      </c>
    </row>
    <row r="20" spans="2:20" x14ac:dyDescent="0.2">
      <c r="B20" s="966"/>
      <c r="C20" s="1033" t="str">
        <f t="shared" si="6"/>
        <v/>
      </c>
      <c r="D20" s="1034"/>
      <c r="E20" s="986" t="str">
        <f t="shared" si="7"/>
        <v/>
      </c>
      <c r="F20" s="1033" t="str">
        <f t="shared" si="8"/>
        <v/>
      </c>
      <c r="G20" s="1035"/>
      <c r="H20" s="990" t="str">
        <f t="shared" si="9"/>
        <v/>
      </c>
      <c r="I20" s="1033" t="str">
        <f t="shared" si="10"/>
        <v/>
      </c>
      <c r="J20" s="1035"/>
      <c r="K20" s="994" t="str">
        <f t="shared" si="11"/>
        <v/>
      </c>
      <c r="L20" s="1033" t="str">
        <f t="shared" si="12"/>
        <v/>
      </c>
      <c r="M20" s="1035"/>
      <c r="N20" s="998" t="str">
        <f t="shared" si="13"/>
        <v/>
      </c>
      <c r="O20" s="1033" t="str">
        <f t="shared" si="14"/>
        <v/>
      </c>
      <c r="P20" s="1035"/>
      <c r="Q20" s="1002" t="str">
        <f t="shared" si="15"/>
        <v/>
      </c>
      <c r="R20" s="1033" t="str">
        <f t="shared" si="16"/>
        <v/>
      </c>
      <c r="S20" s="1035"/>
      <c r="T20" s="957" t="str">
        <f t="shared" si="5"/>
        <v/>
      </c>
    </row>
    <row r="21" spans="2:20" x14ac:dyDescent="0.2">
      <c r="B21" s="966"/>
      <c r="C21" s="1033" t="str">
        <f t="shared" si="6"/>
        <v/>
      </c>
      <c r="D21" s="1034"/>
      <c r="E21" s="986" t="str">
        <f t="shared" si="7"/>
        <v/>
      </c>
      <c r="F21" s="1033" t="str">
        <f t="shared" si="8"/>
        <v/>
      </c>
      <c r="G21" s="1035"/>
      <c r="H21" s="990" t="str">
        <f t="shared" si="9"/>
        <v/>
      </c>
      <c r="I21" s="1033" t="str">
        <f t="shared" si="10"/>
        <v/>
      </c>
      <c r="J21" s="1035"/>
      <c r="K21" s="994" t="str">
        <f t="shared" si="11"/>
        <v/>
      </c>
      <c r="L21" s="1033" t="str">
        <f t="shared" si="12"/>
        <v/>
      </c>
      <c r="M21" s="1035"/>
      <c r="N21" s="998" t="str">
        <f t="shared" si="13"/>
        <v/>
      </c>
      <c r="O21" s="1033" t="str">
        <f t="shared" si="14"/>
        <v/>
      </c>
      <c r="P21" s="1035"/>
      <c r="Q21" s="1002" t="str">
        <f t="shared" si="15"/>
        <v/>
      </c>
      <c r="R21" s="1033" t="str">
        <f t="shared" si="16"/>
        <v/>
      </c>
      <c r="S21" s="1035"/>
      <c r="T21" s="957" t="str">
        <f t="shared" si="5"/>
        <v/>
      </c>
    </row>
    <row r="22" spans="2:20" x14ac:dyDescent="0.2">
      <c r="B22" s="966"/>
      <c r="C22" s="1033" t="str">
        <f t="shared" si="6"/>
        <v/>
      </c>
      <c r="D22" s="1034"/>
      <c r="E22" s="986" t="str">
        <f t="shared" si="7"/>
        <v/>
      </c>
      <c r="F22" s="1033" t="str">
        <f t="shared" si="8"/>
        <v/>
      </c>
      <c r="G22" s="1035"/>
      <c r="H22" s="990" t="str">
        <f t="shared" si="9"/>
        <v/>
      </c>
      <c r="I22" s="1033" t="str">
        <f t="shared" si="10"/>
        <v/>
      </c>
      <c r="J22" s="1035"/>
      <c r="K22" s="994" t="str">
        <f t="shared" si="11"/>
        <v/>
      </c>
      <c r="L22" s="1033" t="str">
        <f t="shared" si="12"/>
        <v/>
      </c>
      <c r="M22" s="1035"/>
      <c r="N22" s="998" t="str">
        <f t="shared" si="13"/>
        <v/>
      </c>
      <c r="O22" s="1033" t="str">
        <f t="shared" si="14"/>
        <v/>
      </c>
      <c r="P22" s="1035"/>
      <c r="Q22" s="1002" t="str">
        <f t="shared" si="15"/>
        <v/>
      </c>
      <c r="R22" s="1033" t="str">
        <f t="shared" si="16"/>
        <v/>
      </c>
      <c r="S22" s="1035"/>
      <c r="T22" s="957" t="str">
        <f t="shared" si="5"/>
        <v/>
      </c>
    </row>
    <row r="23" spans="2:20" x14ac:dyDescent="0.2">
      <c r="B23" s="966"/>
      <c r="C23" s="1033" t="str">
        <f t="shared" si="6"/>
        <v/>
      </c>
      <c r="D23" s="1034"/>
      <c r="E23" s="986" t="str">
        <f t="shared" si="7"/>
        <v/>
      </c>
      <c r="F23" s="1033" t="str">
        <f t="shared" si="8"/>
        <v/>
      </c>
      <c r="G23" s="1035"/>
      <c r="H23" s="990" t="str">
        <f t="shared" si="9"/>
        <v/>
      </c>
      <c r="I23" s="1033" t="str">
        <f t="shared" si="10"/>
        <v/>
      </c>
      <c r="J23" s="1035"/>
      <c r="K23" s="994" t="str">
        <f t="shared" si="11"/>
        <v/>
      </c>
      <c r="L23" s="1033" t="str">
        <f t="shared" si="12"/>
        <v/>
      </c>
      <c r="M23" s="1035"/>
      <c r="N23" s="998" t="str">
        <f t="shared" si="13"/>
        <v/>
      </c>
      <c r="O23" s="1033" t="str">
        <f t="shared" si="14"/>
        <v/>
      </c>
      <c r="P23" s="1035"/>
      <c r="Q23" s="1002" t="str">
        <f t="shared" si="15"/>
        <v/>
      </c>
      <c r="R23" s="1033" t="str">
        <f t="shared" si="16"/>
        <v/>
      </c>
      <c r="S23" s="1035"/>
      <c r="T23" s="957" t="str">
        <f t="shared" si="5"/>
        <v/>
      </c>
    </row>
    <row r="24" spans="2:20" x14ac:dyDescent="0.2">
      <c r="B24" s="966"/>
      <c r="C24" s="1033" t="str">
        <f t="shared" si="6"/>
        <v/>
      </c>
      <c r="D24" s="1034"/>
      <c r="E24" s="986" t="str">
        <f t="shared" si="7"/>
        <v/>
      </c>
      <c r="F24" s="1033" t="str">
        <f t="shared" si="8"/>
        <v/>
      </c>
      <c r="G24" s="1035"/>
      <c r="H24" s="990" t="str">
        <f t="shared" si="9"/>
        <v/>
      </c>
      <c r="I24" s="1033" t="str">
        <f t="shared" si="10"/>
        <v/>
      </c>
      <c r="J24" s="1035"/>
      <c r="K24" s="994" t="str">
        <f t="shared" si="11"/>
        <v/>
      </c>
      <c r="L24" s="1033" t="str">
        <f t="shared" si="12"/>
        <v/>
      </c>
      <c r="M24" s="1035"/>
      <c r="N24" s="998" t="str">
        <f t="shared" si="13"/>
        <v/>
      </c>
      <c r="O24" s="1033" t="str">
        <f t="shared" si="14"/>
        <v/>
      </c>
      <c r="P24" s="1035"/>
      <c r="Q24" s="1002" t="str">
        <f t="shared" si="15"/>
        <v/>
      </c>
      <c r="R24" s="1033" t="str">
        <f t="shared" si="16"/>
        <v/>
      </c>
      <c r="S24" s="1035"/>
      <c r="T24" s="957" t="str">
        <f t="shared" si="5"/>
        <v/>
      </c>
    </row>
    <row r="25" spans="2:20" x14ac:dyDescent="0.2">
      <c r="B25" s="966"/>
      <c r="C25" s="1033" t="str">
        <f t="shared" si="6"/>
        <v/>
      </c>
      <c r="D25" s="1034"/>
      <c r="E25" s="986" t="str">
        <f t="shared" si="7"/>
        <v/>
      </c>
      <c r="F25" s="1033" t="str">
        <f t="shared" si="8"/>
        <v/>
      </c>
      <c r="G25" s="1035"/>
      <c r="H25" s="990" t="str">
        <f t="shared" si="9"/>
        <v/>
      </c>
      <c r="I25" s="1033" t="str">
        <f t="shared" si="10"/>
        <v/>
      </c>
      <c r="J25" s="1035"/>
      <c r="K25" s="994" t="str">
        <f t="shared" si="11"/>
        <v/>
      </c>
      <c r="L25" s="1033" t="str">
        <f t="shared" si="12"/>
        <v/>
      </c>
      <c r="M25" s="1035"/>
      <c r="N25" s="998" t="str">
        <f t="shared" si="13"/>
        <v/>
      </c>
      <c r="O25" s="1033" t="str">
        <f t="shared" si="14"/>
        <v/>
      </c>
      <c r="P25" s="1035"/>
      <c r="Q25" s="1002" t="str">
        <f t="shared" si="15"/>
        <v/>
      </c>
      <c r="R25" s="1033" t="str">
        <f t="shared" si="16"/>
        <v/>
      </c>
      <c r="S25" s="1035"/>
      <c r="T25" s="957" t="str">
        <f t="shared" si="5"/>
        <v/>
      </c>
    </row>
    <row r="26" spans="2:20" x14ac:dyDescent="0.2">
      <c r="B26" s="966"/>
      <c r="C26" s="1033" t="str">
        <f t="shared" si="6"/>
        <v/>
      </c>
      <c r="D26" s="1034"/>
      <c r="E26" s="986" t="str">
        <f t="shared" si="7"/>
        <v/>
      </c>
      <c r="F26" s="1033" t="str">
        <f t="shared" si="8"/>
        <v/>
      </c>
      <c r="G26" s="1035"/>
      <c r="H26" s="990" t="str">
        <f t="shared" si="9"/>
        <v/>
      </c>
      <c r="I26" s="1033" t="str">
        <f t="shared" si="10"/>
        <v/>
      </c>
      <c r="J26" s="1035"/>
      <c r="K26" s="994" t="str">
        <f t="shared" si="11"/>
        <v/>
      </c>
      <c r="L26" s="1033" t="str">
        <f t="shared" si="12"/>
        <v/>
      </c>
      <c r="M26" s="1035"/>
      <c r="N26" s="998" t="str">
        <f t="shared" si="13"/>
        <v/>
      </c>
      <c r="O26" s="1033" t="str">
        <f t="shared" si="14"/>
        <v/>
      </c>
      <c r="P26" s="1035"/>
      <c r="Q26" s="1002" t="str">
        <f t="shared" si="15"/>
        <v/>
      </c>
      <c r="R26" s="1033" t="str">
        <f t="shared" si="16"/>
        <v/>
      </c>
      <c r="S26" s="1035"/>
      <c r="T26" s="957" t="str">
        <f t="shared" si="5"/>
        <v/>
      </c>
    </row>
    <row r="27" spans="2:20" x14ac:dyDescent="0.2">
      <c r="B27" s="966"/>
      <c r="C27" s="1033" t="str">
        <f t="shared" si="6"/>
        <v/>
      </c>
      <c r="D27" s="1034"/>
      <c r="E27" s="986" t="str">
        <f t="shared" si="7"/>
        <v/>
      </c>
      <c r="F27" s="1033" t="str">
        <f t="shared" si="8"/>
        <v/>
      </c>
      <c r="G27" s="1035"/>
      <c r="H27" s="990" t="str">
        <f t="shared" si="9"/>
        <v/>
      </c>
      <c r="I27" s="1033" t="str">
        <f t="shared" si="10"/>
        <v/>
      </c>
      <c r="J27" s="1035"/>
      <c r="K27" s="994" t="str">
        <f t="shared" si="11"/>
        <v/>
      </c>
      <c r="L27" s="1033" t="str">
        <f t="shared" si="12"/>
        <v/>
      </c>
      <c r="M27" s="1035"/>
      <c r="N27" s="998" t="str">
        <f t="shared" si="13"/>
        <v/>
      </c>
      <c r="O27" s="1033" t="str">
        <f t="shared" si="14"/>
        <v/>
      </c>
      <c r="P27" s="1035"/>
      <c r="Q27" s="1002" t="str">
        <f t="shared" si="15"/>
        <v/>
      </c>
      <c r="R27" s="1033" t="str">
        <f t="shared" si="16"/>
        <v/>
      </c>
      <c r="S27" s="1035"/>
      <c r="T27" s="957" t="str">
        <f t="shared" si="5"/>
        <v/>
      </c>
    </row>
    <row r="28" spans="2:20" x14ac:dyDescent="0.2">
      <c r="B28" s="966"/>
      <c r="C28" s="1033" t="str">
        <f t="shared" si="6"/>
        <v/>
      </c>
      <c r="D28" s="1034"/>
      <c r="E28" s="986" t="str">
        <f t="shared" si="7"/>
        <v/>
      </c>
      <c r="F28" s="1033" t="str">
        <f t="shared" si="8"/>
        <v/>
      </c>
      <c r="G28" s="1035"/>
      <c r="H28" s="990" t="str">
        <f t="shared" si="9"/>
        <v/>
      </c>
      <c r="I28" s="1033" t="str">
        <f t="shared" si="10"/>
        <v/>
      </c>
      <c r="J28" s="1035"/>
      <c r="K28" s="994" t="str">
        <f t="shared" si="11"/>
        <v/>
      </c>
      <c r="L28" s="1033" t="str">
        <f t="shared" si="12"/>
        <v/>
      </c>
      <c r="M28" s="1035"/>
      <c r="N28" s="998" t="str">
        <f t="shared" si="13"/>
        <v/>
      </c>
      <c r="O28" s="1033" t="str">
        <f t="shared" si="14"/>
        <v/>
      </c>
      <c r="P28" s="1035"/>
      <c r="Q28" s="1002" t="str">
        <f t="shared" si="15"/>
        <v/>
      </c>
      <c r="R28" s="1033" t="str">
        <f t="shared" si="16"/>
        <v/>
      </c>
      <c r="S28" s="1035"/>
      <c r="T28" s="957" t="str">
        <f t="shared" si="5"/>
        <v/>
      </c>
    </row>
    <row r="29" spans="2:20" x14ac:dyDescent="0.2">
      <c r="B29" s="966"/>
      <c r="C29" s="1033" t="str">
        <f t="shared" si="6"/>
        <v/>
      </c>
      <c r="D29" s="1034"/>
      <c r="E29" s="986" t="str">
        <f t="shared" si="7"/>
        <v/>
      </c>
      <c r="F29" s="1033" t="str">
        <f t="shared" si="8"/>
        <v/>
      </c>
      <c r="G29" s="1035"/>
      <c r="H29" s="990" t="str">
        <f t="shared" si="9"/>
        <v/>
      </c>
      <c r="I29" s="1033" t="str">
        <f t="shared" si="10"/>
        <v/>
      </c>
      <c r="J29" s="1035"/>
      <c r="K29" s="994" t="str">
        <f t="shared" si="11"/>
        <v/>
      </c>
      <c r="L29" s="1033" t="str">
        <f t="shared" si="12"/>
        <v/>
      </c>
      <c r="M29" s="1035"/>
      <c r="N29" s="998" t="str">
        <f t="shared" si="13"/>
        <v/>
      </c>
      <c r="O29" s="1033" t="str">
        <f t="shared" si="14"/>
        <v/>
      </c>
      <c r="P29" s="1035"/>
      <c r="Q29" s="1002" t="str">
        <f t="shared" si="15"/>
        <v/>
      </c>
      <c r="R29" s="1033" t="str">
        <f t="shared" si="16"/>
        <v/>
      </c>
      <c r="S29" s="1035"/>
      <c r="T29" s="957" t="str">
        <f t="shared" si="5"/>
        <v/>
      </c>
    </row>
    <row r="30" spans="2:20" x14ac:dyDescent="0.2">
      <c r="B30" s="966"/>
      <c r="C30" s="1033" t="str">
        <f t="shared" si="6"/>
        <v/>
      </c>
      <c r="D30" s="1034"/>
      <c r="E30" s="986" t="str">
        <f t="shared" si="7"/>
        <v/>
      </c>
      <c r="F30" s="1033" t="str">
        <f t="shared" si="8"/>
        <v/>
      </c>
      <c r="G30" s="1035"/>
      <c r="H30" s="990" t="str">
        <f t="shared" si="9"/>
        <v/>
      </c>
      <c r="I30" s="1033" t="str">
        <f t="shared" si="10"/>
        <v/>
      </c>
      <c r="J30" s="1035"/>
      <c r="K30" s="994" t="str">
        <f t="shared" si="11"/>
        <v/>
      </c>
      <c r="L30" s="1033" t="str">
        <f t="shared" si="12"/>
        <v/>
      </c>
      <c r="M30" s="1035"/>
      <c r="N30" s="998" t="str">
        <f t="shared" si="13"/>
        <v/>
      </c>
      <c r="O30" s="1033" t="str">
        <f t="shared" si="14"/>
        <v/>
      </c>
      <c r="P30" s="1035"/>
      <c r="Q30" s="1002" t="str">
        <f t="shared" si="15"/>
        <v/>
      </c>
      <c r="R30" s="1033" t="str">
        <f t="shared" si="16"/>
        <v/>
      </c>
      <c r="S30" s="1035"/>
      <c r="T30" s="957" t="str">
        <f t="shared" si="5"/>
        <v/>
      </c>
    </row>
    <row r="31" spans="2:20" x14ac:dyDescent="0.2">
      <c r="B31" s="966"/>
      <c r="C31" s="1033" t="str">
        <f t="shared" si="6"/>
        <v/>
      </c>
      <c r="D31" s="1034"/>
      <c r="E31" s="986" t="str">
        <f t="shared" si="7"/>
        <v/>
      </c>
      <c r="F31" s="1033" t="str">
        <f t="shared" si="8"/>
        <v/>
      </c>
      <c r="G31" s="1035"/>
      <c r="H31" s="990" t="str">
        <f t="shared" si="9"/>
        <v/>
      </c>
      <c r="I31" s="1033" t="str">
        <f t="shared" si="10"/>
        <v/>
      </c>
      <c r="J31" s="1035"/>
      <c r="K31" s="994" t="str">
        <f t="shared" si="11"/>
        <v/>
      </c>
      <c r="L31" s="1033" t="str">
        <f t="shared" si="12"/>
        <v/>
      </c>
      <c r="M31" s="1035"/>
      <c r="N31" s="998" t="str">
        <f t="shared" si="13"/>
        <v/>
      </c>
      <c r="O31" s="1033" t="str">
        <f t="shared" si="14"/>
        <v/>
      </c>
      <c r="P31" s="1035"/>
      <c r="Q31" s="1002" t="str">
        <f t="shared" si="15"/>
        <v/>
      </c>
      <c r="R31" s="1033" t="str">
        <f t="shared" si="16"/>
        <v/>
      </c>
      <c r="S31" s="1035"/>
      <c r="T31" s="957" t="str">
        <f t="shared" si="5"/>
        <v/>
      </c>
    </row>
    <row r="32" spans="2:20" x14ac:dyDescent="0.2">
      <c r="B32" s="966"/>
      <c r="C32" s="1033" t="str">
        <f t="shared" si="6"/>
        <v/>
      </c>
      <c r="D32" s="1034"/>
      <c r="E32" s="986" t="str">
        <f t="shared" si="7"/>
        <v/>
      </c>
      <c r="F32" s="1033" t="str">
        <f t="shared" si="8"/>
        <v/>
      </c>
      <c r="G32" s="1035"/>
      <c r="H32" s="990" t="str">
        <f t="shared" si="9"/>
        <v/>
      </c>
      <c r="I32" s="1033" t="str">
        <f t="shared" si="10"/>
        <v/>
      </c>
      <c r="J32" s="1035"/>
      <c r="K32" s="994" t="str">
        <f t="shared" si="11"/>
        <v/>
      </c>
      <c r="L32" s="1033" t="str">
        <f t="shared" si="12"/>
        <v/>
      </c>
      <c r="M32" s="1035"/>
      <c r="N32" s="998" t="str">
        <f t="shared" si="13"/>
        <v/>
      </c>
      <c r="O32" s="1033" t="str">
        <f t="shared" si="14"/>
        <v/>
      </c>
      <c r="P32" s="1035"/>
      <c r="Q32" s="1002" t="str">
        <f t="shared" si="15"/>
        <v/>
      </c>
      <c r="R32" s="1033" t="str">
        <f t="shared" si="16"/>
        <v/>
      </c>
      <c r="S32" s="1035"/>
      <c r="T32" s="957" t="str">
        <f t="shared" si="5"/>
        <v/>
      </c>
    </row>
    <row r="33" spans="2:20" x14ac:dyDescent="0.2">
      <c r="B33" s="966"/>
      <c r="C33" s="1033" t="str">
        <f t="shared" si="6"/>
        <v/>
      </c>
      <c r="D33" s="1034"/>
      <c r="E33" s="986" t="str">
        <f t="shared" si="7"/>
        <v/>
      </c>
      <c r="F33" s="1033" t="str">
        <f t="shared" si="8"/>
        <v/>
      </c>
      <c r="G33" s="1035"/>
      <c r="H33" s="990" t="str">
        <f t="shared" si="9"/>
        <v/>
      </c>
      <c r="I33" s="1033" t="str">
        <f t="shared" si="10"/>
        <v/>
      </c>
      <c r="J33" s="1035"/>
      <c r="K33" s="994" t="str">
        <f t="shared" si="11"/>
        <v/>
      </c>
      <c r="L33" s="1033" t="str">
        <f t="shared" si="12"/>
        <v/>
      </c>
      <c r="M33" s="1035"/>
      <c r="N33" s="998" t="str">
        <f t="shared" si="13"/>
        <v/>
      </c>
      <c r="O33" s="1033" t="str">
        <f t="shared" si="14"/>
        <v/>
      </c>
      <c r="P33" s="1035"/>
      <c r="Q33" s="1002" t="str">
        <f t="shared" si="15"/>
        <v/>
      </c>
      <c r="R33" s="1033" t="str">
        <f t="shared" si="16"/>
        <v/>
      </c>
      <c r="S33" s="1035"/>
      <c r="T33" s="957" t="str">
        <f t="shared" si="5"/>
        <v/>
      </c>
    </row>
    <row r="34" spans="2:20" x14ac:dyDescent="0.2">
      <c r="B34" s="966"/>
      <c r="C34" s="1033" t="str">
        <f t="shared" si="6"/>
        <v/>
      </c>
      <c r="D34" s="1034"/>
      <c r="E34" s="986" t="str">
        <f t="shared" si="7"/>
        <v/>
      </c>
      <c r="F34" s="1033" t="str">
        <f t="shared" si="8"/>
        <v/>
      </c>
      <c r="G34" s="1035"/>
      <c r="H34" s="990" t="str">
        <f t="shared" si="9"/>
        <v/>
      </c>
      <c r="I34" s="1033" t="str">
        <f t="shared" si="10"/>
        <v/>
      </c>
      <c r="J34" s="1035"/>
      <c r="K34" s="994" t="str">
        <f t="shared" si="11"/>
        <v/>
      </c>
      <c r="L34" s="1033" t="str">
        <f t="shared" si="12"/>
        <v/>
      </c>
      <c r="M34" s="1035"/>
      <c r="N34" s="998" t="str">
        <f t="shared" si="13"/>
        <v/>
      </c>
      <c r="O34" s="1033" t="str">
        <f t="shared" si="14"/>
        <v/>
      </c>
      <c r="P34" s="1035"/>
      <c r="Q34" s="1002" t="str">
        <f t="shared" si="15"/>
        <v/>
      </c>
      <c r="R34" s="1033" t="str">
        <f t="shared" si="16"/>
        <v/>
      </c>
      <c r="S34" s="1035"/>
      <c r="T34" s="957" t="str">
        <f t="shared" si="5"/>
        <v/>
      </c>
    </row>
    <row r="35" spans="2:20" x14ac:dyDescent="0.2">
      <c r="B35" s="966"/>
      <c r="C35" s="1033" t="str">
        <f t="shared" si="6"/>
        <v/>
      </c>
      <c r="D35" s="1034"/>
      <c r="E35" s="986" t="str">
        <f t="shared" si="7"/>
        <v/>
      </c>
      <c r="F35" s="1033" t="str">
        <f t="shared" si="8"/>
        <v/>
      </c>
      <c r="G35" s="1035"/>
      <c r="H35" s="990" t="str">
        <f t="shared" si="9"/>
        <v/>
      </c>
      <c r="I35" s="1033" t="str">
        <f t="shared" si="10"/>
        <v/>
      </c>
      <c r="J35" s="1035"/>
      <c r="K35" s="994" t="str">
        <f t="shared" si="11"/>
        <v/>
      </c>
      <c r="L35" s="1033" t="str">
        <f t="shared" si="12"/>
        <v/>
      </c>
      <c r="M35" s="1035"/>
      <c r="N35" s="998" t="str">
        <f t="shared" si="13"/>
        <v/>
      </c>
      <c r="O35" s="1033" t="str">
        <f t="shared" si="14"/>
        <v/>
      </c>
      <c r="P35" s="1035"/>
      <c r="Q35" s="1002" t="str">
        <f t="shared" si="15"/>
        <v/>
      </c>
      <c r="R35" s="1033" t="str">
        <f t="shared" si="16"/>
        <v/>
      </c>
      <c r="S35" s="1035"/>
      <c r="T35" s="957" t="str">
        <f t="shared" si="5"/>
        <v/>
      </c>
    </row>
    <row r="36" spans="2:20" x14ac:dyDescent="0.2">
      <c r="B36" s="966"/>
      <c r="C36" s="1033" t="str">
        <f t="shared" si="6"/>
        <v/>
      </c>
      <c r="D36" s="1034"/>
      <c r="E36" s="986" t="str">
        <f t="shared" si="7"/>
        <v/>
      </c>
      <c r="F36" s="1033" t="str">
        <f t="shared" si="8"/>
        <v/>
      </c>
      <c r="G36" s="1035"/>
      <c r="H36" s="990" t="str">
        <f t="shared" si="9"/>
        <v/>
      </c>
      <c r="I36" s="1033" t="str">
        <f t="shared" si="10"/>
        <v/>
      </c>
      <c r="J36" s="1035"/>
      <c r="K36" s="994" t="str">
        <f t="shared" si="11"/>
        <v/>
      </c>
      <c r="L36" s="1033" t="str">
        <f t="shared" si="12"/>
        <v/>
      </c>
      <c r="M36" s="1035"/>
      <c r="N36" s="998" t="str">
        <f t="shared" si="13"/>
        <v/>
      </c>
      <c r="O36" s="1033" t="str">
        <f t="shared" si="14"/>
        <v/>
      </c>
      <c r="P36" s="1035"/>
      <c r="Q36" s="1002" t="str">
        <f t="shared" si="15"/>
        <v/>
      </c>
      <c r="R36" s="1033" t="str">
        <f t="shared" si="16"/>
        <v/>
      </c>
      <c r="S36" s="1035"/>
      <c r="T36" s="957" t="str">
        <f t="shared" si="5"/>
        <v/>
      </c>
    </row>
    <row r="37" spans="2:20" x14ac:dyDescent="0.2">
      <c r="B37" s="966"/>
      <c r="C37" s="1033" t="str">
        <f t="shared" si="6"/>
        <v/>
      </c>
      <c r="D37" s="1034"/>
      <c r="E37" s="986" t="str">
        <f t="shared" si="7"/>
        <v/>
      </c>
      <c r="F37" s="1033" t="str">
        <f t="shared" si="8"/>
        <v/>
      </c>
      <c r="G37" s="1035"/>
      <c r="H37" s="990" t="str">
        <f t="shared" si="9"/>
        <v/>
      </c>
      <c r="I37" s="1033" t="str">
        <f t="shared" si="10"/>
        <v/>
      </c>
      <c r="J37" s="1035"/>
      <c r="K37" s="994" t="str">
        <f t="shared" si="11"/>
        <v/>
      </c>
      <c r="L37" s="1033" t="str">
        <f t="shared" si="12"/>
        <v/>
      </c>
      <c r="M37" s="1035"/>
      <c r="N37" s="998" t="str">
        <f t="shared" si="13"/>
        <v/>
      </c>
      <c r="O37" s="1033" t="str">
        <f t="shared" si="14"/>
        <v/>
      </c>
      <c r="P37" s="1035"/>
      <c r="Q37" s="1002" t="str">
        <f t="shared" si="15"/>
        <v/>
      </c>
      <c r="R37" s="1033" t="str">
        <f t="shared" si="16"/>
        <v/>
      </c>
      <c r="S37" s="1035"/>
      <c r="T37" s="957" t="str">
        <f t="shared" si="5"/>
        <v/>
      </c>
    </row>
    <row r="38" spans="2:20" x14ac:dyDescent="0.2">
      <c r="B38" s="966"/>
      <c r="C38" s="1033" t="str">
        <f t="shared" si="6"/>
        <v/>
      </c>
      <c r="D38" s="1034"/>
      <c r="E38" s="986" t="str">
        <f t="shared" si="7"/>
        <v/>
      </c>
      <c r="F38" s="1033" t="str">
        <f t="shared" si="8"/>
        <v/>
      </c>
      <c r="G38" s="1035"/>
      <c r="H38" s="990" t="str">
        <f t="shared" si="9"/>
        <v/>
      </c>
      <c r="I38" s="1033" t="str">
        <f t="shared" si="10"/>
        <v/>
      </c>
      <c r="J38" s="1035"/>
      <c r="K38" s="994" t="str">
        <f t="shared" si="11"/>
        <v/>
      </c>
      <c r="L38" s="1033" t="str">
        <f t="shared" si="12"/>
        <v/>
      </c>
      <c r="M38" s="1035"/>
      <c r="N38" s="998" t="str">
        <f t="shared" si="13"/>
        <v/>
      </c>
      <c r="O38" s="1033" t="str">
        <f t="shared" si="14"/>
        <v/>
      </c>
      <c r="P38" s="1035"/>
      <c r="Q38" s="1002" t="str">
        <f t="shared" si="15"/>
        <v/>
      </c>
      <c r="R38" s="1033" t="str">
        <f t="shared" si="16"/>
        <v/>
      </c>
      <c r="S38" s="1035"/>
      <c r="T38" s="957" t="str">
        <f t="shared" si="5"/>
        <v/>
      </c>
    </row>
    <row r="39" spans="2:20" x14ac:dyDescent="0.2">
      <c r="B39" s="966"/>
      <c r="C39" s="1033" t="str">
        <f t="shared" si="6"/>
        <v/>
      </c>
      <c r="D39" s="1034"/>
      <c r="E39" s="986" t="str">
        <f t="shared" si="7"/>
        <v/>
      </c>
      <c r="F39" s="1033" t="str">
        <f t="shared" si="8"/>
        <v/>
      </c>
      <c r="G39" s="1035"/>
      <c r="H39" s="990" t="str">
        <f t="shared" si="9"/>
        <v/>
      </c>
      <c r="I39" s="1033" t="str">
        <f t="shared" si="10"/>
        <v/>
      </c>
      <c r="J39" s="1035"/>
      <c r="K39" s="994" t="str">
        <f t="shared" si="11"/>
        <v/>
      </c>
      <c r="L39" s="1033" t="str">
        <f t="shared" si="12"/>
        <v/>
      </c>
      <c r="M39" s="1035"/>
      <c r="N39" s="998" t="str">
        <f t="shared" si="13"/>
        <v/>
      </c>
      <c r="O39" s="1033" t="str">
        <f t="shared" si="14"/>
        <v/>
      </c>
      <c r="P39" s="1035"/>
      <c r="Q39" s="1002" t="str">
        <f t="shared" si="15"/>
        <v/>
      </c>
      <c r="R39" s="1033" t="str">
        <f t="shared" si="16"/>
        <v/>
      </c>
      <c r="S39" s="1035"/>
      <c r="T39" s="957" t="str">
        <f t="shared" si="5"/>
        <v/>
      </c>
    </row>
    <row r="40" spans="2:20" ht="15" thickBot="1" x14ac:dyDescent="0.25">
      <c r="B40" s="972"/>
      <c r="C40" s="973"/>
      <c r="D40" s="974"/>
      <c r="E40" s="988"/>
      <c r="F40" s="975"/>
      <c r="G40" s="976"/>
      <c r="H40" s="992"/>
      <c r="I40" s="977"/>
      <c r="J40" s="978"/>
      <c r="K40" s="996"/>
      <c r="L40" s="979"/>
      <c r="M40" s="980"/>
      <c r="N40" s="1000"/>
      <c r="O40" s="981"/>
      <c r="P40" s="982"/>
      <c r="Q40" s="1004"/>
      <c r="R40" s="983"/>
      <c r="S40" s="984"/>
    </row>
    <row r="41" spans="2:20" x14ac:dyDescent="0.2">
      <c r="G41" s="1017"/>
    </row>
    <row r="42" spans="2:20" x14ac:dyDescent="0.2">
      <c r="G42" s="1019"/>
    </row>
    <row r="43" spans="2:20" x14ac:dyDescent="0.2">
      <c r="G43" s="1019"/>
    </row>
    <row r="44" spans="2:20" x14ac:dyDescent="0.2">
      <c r="G44" s="1019"/>
    </row>
    <row r="45" spans="2:20" x14ac:dyDescent="0.2">
      <c r="G45" s="1019"/>
    </row>
    <row r="46" spans="2:20" x14ac:dyDescent="0.2">
      <c r="G46" s="1019"/>
    </row>
    <row r="47" spans="2:20" x14ac:dyDescent="0.2">
      <c r="G47" s="1019"/>
    </row>
    <row r="48" spans="2:20" x14ac:dyDescent="0.2">
      <c r="G48" s="1019"/>
    </row>
    <row r="49" spans="7:7" x14ac:dyDescent="0.2">
      <c r="G49" s="1018"/>
    </row>
    <row r="50" spans="7:7" x14ac:dyDescent="0.2">
      <c r="G50" s="1018"/>
    </row>
    <row r="51" spans="7:7" x14ac:dyDescent="0.2">
      <c r="G51" s="1018"/>
    </row>
  </sheetData>
  <sheetProtection selectLockedCells="1"/>
  <mergeCells count="6">
    <mergeCell ref="R9:S9"/>
    <mergeCell ref="C9:D9"/>
    <mergeCell ref="F9:G9"/>
    <mergeCell ref="I9:J9"/>
    <mergeCell ref="L9:M9"/>
    <mergeCell ref="O9:P9"/>
  </mergeCells>
  <conditionalFormatting sqref="B13 U13:XFD13">
    <cfRule type="containsText" dxfId="67" priority="181" operator="containsText" text="PLAN MATCHES">
      <formula>NOT(ISERROR(SEARCH("PLAN MATCHES",B13)))</formula>
    </cfRule>
    <cfRule type="containsText" dxfId="66" priority="182" operator="containsText" text="MISMATCH">
      <formula>NOT(ISERROR(SEARCH("MISMATCH",B13)))</formula>
    </cfRule>
  </conditionalFormatting>
  <conditionalFormatting sqref="E13">
    <cfRule type="containsText" dxfId="65" priority="179" operator="containsText" text="EXPENDITURES MATCH">
      <formula>NOT(ISERROR(SEARCH("EXPENDITURES MATCH",E13)))</formula>
    </cfRule>
    <cfRule type="containsText" dxfId="64" priority="180" operator="containsText" text="DON'T MATCH">
      <formula>NOT(ISERROR(SEARCH("DON'T MATCH",E13)))</formula>
    </cfRule>
  </conditionalFormatting>
  <conditionalFormatting sqref="N13">
    <cfRule type="containsText" dxfId="63" priority="142" operator="containsText" text="EXPENDITURES MATCH">
      <formula>NOT(ISERROR(SEARCH("EXPENDITURES MATCH",N13)))</formula>
    </cfRule>
    <cfRule type="containsText" dxfId="62" priority="143" operator="containsText" text="DON'T MATCH">
      <formula>NOT(ISERROR(SEARCH("DON'T MATCH",N13)))</formula>
    </cfRule>
  </conditionalFormatting>
  <conditionalFormatting sqref="K13">
    <cfRule type="containsText" dxfId="61" priority="146" operator="containsText" text="EXPENDITURES MATCH">
      <formula>NOT(ISERROR(SEARCH("EXPENDITURES MATCH",K13)))</formula>
    </cfRule>
    <cfRule type="containsText" dxfId="60" priority="147" operator="containsText" text="DON'T MATCH">
      <formula>NOT(ISERROR(SEARCH("DON'T MATCH",K13)))</formula>
    </cfRule>
  </conditionalFormatting>
  <conditionalFormatting sqref="H13">
    <cfRule type="containsText" dxfId="59" priority="150" operator="containsText" text="EXPENDITURES MATCH">
      <formula>NOT(ISERROR(SEARCH("EXPENDITURES MATCH",H13)))</formula>
    </cfRule>
    <cfRule type="containsText" dxfId="58" priority="151" operator="containsText" text="DON'T MATCH">
      <formula>NOT(ISERROR(SEARCH("DON'T MATCH",H13)))</formula>
    </cfRule>
  </conditionalFormatting>
  <conditionalFormatting sqref="U13:XFD13 B13 E13">
    <cfRule type="containsText" dxfId="57" priority="152" operator="containsText" text="INCOMPLETE">
      <formula>NOT(ISERROR(SEARCH("INCOMPLETE",B13)))</formula>
    </cfRule>
    <cfRule type="containsText" dxfId="56" priority="153" operator="containsText" text="A VALUE">
      <formula>NOT(ISERROR(SEARCH("A VALUE",B13)))</formula>
    </cfRule>
  </conditionalFormatting>
  <conditionalFormatting sqref="H13">
    <cfRule type="containsText" dxfId="55" priority="148" operator="containsText" text="A VALUE">
      <formula>NOT(ISERROR(SEARCH("A VALUE",H13)))</formula>
    </cfRule>
    <cfRule type="containsText" dxfId="54" priority="149" operator="containsText" text="MISSING VALUE">
      <formula>NOT(ISERROR(SEARCH("MISSING VALUE",H13)))</formula>
    </cfRule>
  </conditionalFormatting>
  <conditionalFormatting sqref="K13">
    <cfRule type="containsText" dxfId="53" priority="144" operator="containsText" text="A VALUE">
      <formula>NOT(ISERROR(SEARCH("A VALUE",K13)))</formula>
    </cfRule>
    <cfRule type="containsText" dxfId="52" priority="145" operator="containsText" text="MISSING VALUE">
      <formula>NOT(ISERROR(SEARCH("MISSING VALUE",K13)))</formula>
    </cfRule>
  </conditionalFormatting>
  <conditionalFormatting sqref="N13">
    <cfRule type="containsText" dxfId="51" priority="140" operator="containsText" text="A VALUE">
      <formula>NOT(ISERROR(SEARCH("A VALUE",N13)))</formula>
    </cfRule>
    <cfRule type="containsText" dxfId="50" priority="141" operator="containsText" text="MISSING VALUE">
      <formula>NOT(ISERROR(SEARCH("MISSING VALUE",N13)))</formula>
    </cfRule>
  </conditionalFormatting>
  <conditionalFormatting sqref="Q13">
    <cfRule type="containsText" dxfId="49" priority="138" operator="containsText" text="EXPENDITURES MATCH">
      <formula>NOT(ISERROR(SEARCH("EXPENDITURES MATCH",Q13)))</formula>
    </cfRule>
    <cfRule type="containsText" dxfId="48" priority="139" operator="containsText" text="DON'T MATCH">
      <formula>NOT(ISERROR(SEARCH("DON'T MATCH",Q13)))</formula>
    </cfRule>
  </conditionalFormatting>
  <conditionalFormatting sqref="Q13">
    <cfRule type="containsText" dxfId="47" priority="136" operator="containsText" text="A VALUE">
      <formula>NOT(ISERROR(SEARCH("A VALUE",Q13)))</formula>
    </cfRule>
    <cfRule type="containsText" dxfId="46" priority="137" operator="containsText" text="MISSING VALUE">
      <formula>NOT(ISERROR(SEARCH("MISSING VALUE",Q13)))</formula>
    </cfRule>
  </conditionalFormatting>
  <conditionalFormatting sqref="T13">
    <cfRule type="containsText" dxfId="45" priority="134" operator="containsText" text="EXPENDITURES MATCH">
      <formula>NOT(ISERROR(SEARCH("EXPENDITURES MATCH",T13)))</formula>
    </cfRule>
    <cfRule type="containsText" dxfId="44" priority="135" operator="containsText" text="DON'T MATCH">
      <formula>NOT(ISERROR(SEARCH("DON'T MATCH",T13)))</formula>
    </cfRule>
  </conditionalFormatting>
  <conditionalFormatting sqref="T13">
    <cfRule type="containsText" dxfId="43" priority="132" operator="containsText" text="A VALUE">
      <formula>NOT(ISERROR(SEARCH("A VALUE",T13)))</formula>
    </cfRule>
    <cfRule type="containsText" dxfId="42" priority="133" operator="containsText" text="MISSING VALUE">
      <formula>NOT(ISERROR(SEARCH("MISSING VALUE",T13)))</formula>
    </cfRule>
  </conditionalFormatting>
  <conditionalFormatting sqref="C13:D13">
    <cfRule type="containsText" dxfId="41" priority="45" operator="containsText" text="PLAN MATCHES">
      <formula>NOT(ISERROR(SEARCH("PLAN MATCHES",C13)))</formula>
    </cfRule>
    <cfRule type="containsText" dxfId="40" priority="46" operator="containsText" text="MISMATCH">
      <formula>NOT(ISERROR(SEARCH("MISMATCH",C13)))</formula>
    </cfRule>
  </conditionalFormatting>
  <conditionalFormatting sqref="C13:D13">
    <cfRule type="containsText" dxfId="39" priority="43" operator="containsText" text="INCOMPLETE">
      <formula>NOT(ISERROR(SEARCH("INCOMPLETE",C13)))</formula>
    </cfRule>
    <cfRule type="containsText" dxfId="38" priority="44" operator="containsText" text="A VALUE">
      <formula>NOT(ISERROR(SEARCH("A VALUE",C13)))</formula>
    </cfRule>
  </conditionalFormatting>
  <conditionalFormatting sqref="F13:G13">
    <cfRule type="containsText" dxfId="37" priority="41" operator="containsText" text="PLAN MATCHES">
      <formula>NOT(ISERROR(SEARCH("PLAN MATCHES",F13)))</formula>
    </cfRule>
    <cfRule type="containsText" dxfId="36" priority="42" operator="containsText" text="MISMATCH">
      <formula>NOT(ISERROR(SEARCH("MISMATCH",F13)))</formula>
    </cfRule>
  </conditionalFormatting>
  <conditionalFormatting sqref="F13:G13">
    <cfRule type="containsText" dxfId="35" priority="39" operator="containsText" text="INCOMPLETE">
      <formula>NOT(ISERROR(SEARCH("INCOMPLETE",F13)))</formula>
    </cfRule>
    <cfRule type="containsText" dxfId="34" priority="40" operator="containsText" text="A VALUE">
      <formula>NOT(ISERROR(SEARCH("A VALUE",F13)))</formula>
    </cfRule>
  </conditionalFormatting>
  <conditionalFormatting sqref="I13:J13">
    <cfRule type="containsText" dxfId="33" priority="37" operator="containsText" text="PLAN MATCHES">
      <formula>NOT(ISERROR(SEARCH("PLAN MATCHES",I13)))</formula>
    </cfRule>
    <cfRule type="containsText" dxfId="32" priority="38" operator="containsText" text="MISMATCH">
      <formula>NOT(ISERROR(SEARCH("MISMATCH",I13)))</formula>
    </cfRule>
  </conditionalFormatting>
  <conditionalFormatting sqref="I13:J13">
    <cfRule type="containsText" dxfId="31" priority="35" operator="containsText" text="INCOMPLETE">
      <formula>NOT(ISERROR(SEARCH("INCOMPLETE",I13)))</formula>
    </cfRule>
    <cfRule type="containsText" dxfId="30" priority="36" operator="containsText" text="A VALUE">
      <formula>NOT(ISERROR(SEARCH("A VALUE",I13)))</formula>
    </cfRule>
  </conditionalFormatting>
  <conditionalFormatting sqref="L13:M13">
    <cfRule type="containsText" dxfId="29" priority="33" operator="containsText" text="PLAN MATCHES">
      <formula>NOT(ISERROR(SEARCH("PLAN MATCHES",L13)))</formula>
    </cfRule>
    <cfRule type="containsText" dxfId="28" priority="34" operator="containsText" text="MISMATCH">
      <formula>NOT(ISERROR(SEARCH("MISMATCH",L13)))</formula>
    </cfRule>
  </conditionalFormatting>
  <conditionalFormatting sqref="L13:M13">
    <cfRule type="containsText" dxfId="27" priority="31" operator="containsText" text="INCOMPLETE">
      <formula>NOT(ISERROR(SEARCH("INCOMPLETE",L13)))</formula>
    </cfRule>
    <cfRule type="containsText" dxfId="26" priority="32" operator="containsText" text="A VALUE">
      <formula>NOT(ISERROR(SEARCH("A VALUE",L13)))</formula>
    </cfRule>
  </conditionalFormatting>
  <conditionalFormatting sqref="O13:P13">
    <cfRule type="containsText" dxfId="25" priority="29" operator="containsText" text="PLAN MATCHES">
      <formula>NOT(ISERROR(SEARCH("PLAN MATCHES",O13)))</formula>
    </cfRule>
    <cfRule type="containsText" dxfId="24" priority="30" operator="containsText" text="MISMATCH">
      <formula>NOT(ISERROR(SEARCH("MISMATCH",O13)))</formula>
    </cfRule>
  </conditionalFormatting>
  <conditionalFormatting sqref="O13:P13">
    <cfRule type="containsText" dxfId="23" priority="27" operator="containsText" text="INCOMPLETE">
      <formula>NOT(ISERROR(SEARCH("INCOMPLETE",O13)))</formula>
    </cfRule>
    <cfRule type="containsText" dxfId="22" priority="28" operator="containsText" text="A VALUE">
      <formula>NOT(ISERROR(SEARCH("A VALUE",O13)))</formula>
    </cfRule>
  </conditionalFormatting>
  <conditionalFormatting sqref="R13:S13">
    <cfRule type="containsText" dxfId="21" priority="25" operator="containsText" text="PLAN MATCHES">
      <formula>NOT(ISERROR(SEARCH("PLAN MATCHES",R13)))</formula>
    </cfRule>
    <cfRule type="containsText" dxfId="20" priority="26" operator="containsText" text="MISMATCH">
      <formula>NOT(ISERROR(SEARCH("MISMATCH",R13)))</formula>
    </cfRule>
  </conditionalFormatting>
  <conditionalFormatting sqref="R13:S13">
    <cfRule type="containsText" dxfId="19" priority="23" operator="containsText" text="INCOMPLETE">
      <formula>NOT(ISERROR(SEARCH("INCOMPLETE",R13)))</formula>
    </cfRule>
    <cfRule type="containsText" dxfId="18" priority="24" operator="containsText" text="A VALUE">
      <formula>NOT(ISERROR(SEARCH("A VALUE",R13)))</formula>
    </cfRule>
  </conditionalFormatting>
  <conditionalFormatting sqref="C16:D16">
    <cfRule type="expression" dxfId="17" priority="22">
      <formula>$C16=""</formula>
    </cfRule>
  </conditionalFormatting>
  <conditionalFormatting sqref="F16:G16">
    <cfRule type="expression" dxfId="16" priority="21">
      <formula>$F16=""</formula>
    </cfRule>
  </conditionalFormatting>
  <conditionalFormatting sqref="I16:J16">
    <cfRule type="expression" dxfId="15" priority="20">
      <formula>$I16=""</formula>
    </cfRule>
  </conditionalFormatting>
  <conditionalFormatting sqref="M16">
    <cfRule type="expression" dxfId="14" priority="19">
      <formula>$L16=""</formula>
    </cfRule>
  </conditionalFormatting>
  <conditionalFormatting sqref="P16">
    <cfRule type="expression" dxfId="13" priority="18">
      <formula>$O16=""</formula>
    </cfRule>
  </conditionalFormatting>
  <conditionalFormatting sqref="S16">
    <cfRule type="expression" dxfId="12" priority="17">
      <formula>$R16=""</formula>
    </cfRule>
  </conditionalFormatting>
  <conditionalFormatting sqref="C17:D39">
    <cfRule type="expression" dxfId="11" priority="16">
      <formula>$C17=""</formula>
    </cfRule>
  </conditionalFormatting>
  <conditionalFormatting sqref="F17:G39">
    <cfRule type="expression" dxfId="10" priority="15">
      <formula>$F17=""</formula>
    </cfRule>
  </conditionalFormatting>
  <conditionalFormatting sqref="I17:J39">
    <cfRule type="expression" dxfId="9" priority="14">
      <formula>$I17=""</formula>
    </cfRule>
  </conditionalFormatting>
  <conditionalFormatting sqref="S17:S39">
    <cfRule type="expression" dxfId="8" priority="11">
      <formula>$R17=""</formula>
    </cfRule>
  </conditionalFormatting>
  <conditionalFormatting sqref="L17:M39">
    <cfRule type="expression" dxfId="7" priority="9">
      <formula>$L17=""</formula>
    </cfRule>
  </conditionalFormatting>
  <conditionalFormatting sqref="P25">
    <cfRule type="expression" dxfId="6" priority="7">
      <formula>$I25=""</formula>
    </cfRule>
  </conditionalFormatting>
  <conditionalFormatting sqref="R17:S39">
    <cfRule type="expression" dxfId="5" priority="5">
      <formula>$R17=""</formula>
    </cfRule>
  </conditionalFormatting>
  <conditionalFormatting sqref="L16:M16">
    <cfRule type="expression" dxfId="4" priority="4">
      <formula>$L16=""</formula>
    </cfRule>
  </conditionalFormatting>
  <conditionalFormatting sqref="O16:P16">
    <cfRule type="expression" dxfId="3" priority="3">
      <formula>$O16=""</formula>
    </cfRule>
  </conditionalFormatting>
  <conditionalFormatting sqref="R16:S16">
    <cfRule type="expression" dxfId="2" priority="2">
      <formula>$R16=""</formula>
    </cfRule>
  </conditionalFormatting>
  <conditionalFormatting sqref="O17:P39">
    <cfRule type="expression" dxfId="1" priority="1">
      <formula>$O17=""</formula>
    </cfRule>
  </conditionalFormatting>
  <dataValidations count="1">
    <dataValidation type="decimal" allowBlank="1" showInputMessage="1" showErrorMessage="1" sqref="D16:D39 P16:P39 M16:M39 J16:J39 G16:G39 S16:S39">
      <formula1>1</formula1>
      <formula2>5000000</formula2>
    </dataValidation>
  </dataValidations>
  <pageMargins left="0.7" right="0.7" top="0.75" bottom="0.75" header="0.3" footer="0.3"/>
  <pageSetup orientation="portrait" horizontalDpi="1200" verticalDpi="1200" r:id="rId1"/>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tabColor rgb="FFCDC800"/>
    <pageSetUpPr fitToPage="1"/>
  </sheetPr>
  <dimension ref="B1:BE218"/>
  <sheetViews>
    <sheetView zoomScale="71" zoomScaleNormal="71" workbookViewId="0">
      <pane xSplit="6" ySplit="7" topLeftCell="G88" activePane="bottomRight" state="frozen"/>
      <selection activeCell="D1" sqref="D1"/>
      <selection pane="topRight" activeCell="D1" sqref="D1"/>
      <selection pane="bottomLeft" activeCell="D1" sqref="D1"/>
      <selection pane="bottomRight" activeCell="M103" sqref="M103"/>
    </sheetView>
  </sheetViews>
  <sheetFormatPr defaultColWidth="10.5703125" defaultRowHeight="23.25" x14ac:dyDescent="0.2"/>
  <cols>
    <col min="1" max="1" width="0.7109375" style="432" customWidth="1"/>
    <col min="2" max="2" width="19.7109375" style="432" customWidth="1"/>
    <col min="3" max="3" width="21.7109375" style="454" customWidth="1"/>
    <col min="4" max="4" width="45.28515625" style="429" customWidth="1"/>
    <col min="5" max="6" width="25.42578125" style="464" customWidth="1"/>
    <col min="7" max="13" width="22.5703125" style="432" customWidth="1"/>
    <col min="14" max="14" width="61.42578125" style="456" customWidth="1"/>
    <col min="15" max="17" width="21.7109375" style="457" customWidth="1"/>
    <col min="18" max="30" width="10.5703125" style="431"/>
    <col min="31" max="31" width="9.42578125" style="431" customWidth="1"/>
    <col min="32" max="57" width="10.5703125" style="431"/>
    <col min="58" max="16384" width="10.5703125" style="432"/>
  </cols>
  <sheetData>
    <row r="1" spans="2:57" s="431" customFormat="1" ht="33.75" x14ac:dyDescent="0.2">
      <c r="B1" s="1020" t="s">
        <v>504</v>
      </c>
      <c r="C1" s="1015"/>
      <c r="D1" s="1015"/>
      <c r="E1" s="510"/>
      <c r="F1" s="510"/>
      <c r="G1" s="510"/>
      <c r="H1" s="510"/>
      <c r="I1" s="510"/>
      <c r="J1" s="510"/>
      <c r="K1" s="510"/>
      <c r="L1" s="510"/>
      <c r="M1" s="510"/>
      <c r="N1" s="510"/>
      <c r="O1" s="510"/>
      <c r="P1" s="510"/>
      <c r="Q1" s="510"/>
    </row>
    <row r="2" spans="2:57" ht="23.25" customHeight="1" x14ac:dyDescent="0.2">
      <c r="B2" s="1021" t="str">
        <f>INITIALIZATION!C5</f>
        <v>Proposer's Name (Prime or Sub)</v>
      </c>
      <c r="C2" s="1022"/>
      <c r="D2" s="1023"/>
      <c r="E2" s="512"/>
      <c r="F2" s="429"/>
      <c r="G2" s="429"/>
      <c r="H2" s="429"/>
      <c r="I2" s="429"/>
      <c r="J2" s="429"/>
      <c r="K2" s="429"/>
      <c r="M2" s="661"/>
      <c r="N2" s="429"/>
      <c r="O2" s="429"/>
      <c r="P2" s="429"/>
      <c r="Q2" s="429"/>
    </row>
    <row r="3" spans="2:57" x14ac:dyDescent="0.2">
      <c r="B3" s="1647" t="s">
        <v>294</v>
      </c>
      <c r="C3" s="1648"/>
      <c r="D3" s="1649"/>
      <c r="E3" s="429"/>
      <c r="F3" s="429"/>
      <c r="G3" s="429"/>
      <c r="H3" s="429"/>
      <c r="I3" s="429"/>
      <c r="J3" s="429"/>
      <c r="K3" s="429"/>
      <c r="L3" s="429"/>
      <c r="M3" s="429"/>
      <c r="N3" s="429"/>
      <c r="O3" s="432"/>
      <c r="P3" s="432"/>
      <c r="Q3" s="432"/>
      <c r="R3" s="433"/>
    </row>
    <row r="4" spans="2:57" ht="30" customHeight="1" x14ac:dyDescent="0.2">
      <c r="B4" s="429"/>
      <c r="C4" s="429"/>
      <c r="E4" s="429"/>
      <c r="F4" s="429"/>
      <c r="G4" s="429"/>
      <c r="H4" s="429"/>
      <c r="I4" s="429"/>
      <c r="J4" s="429"/>
      <c r="K4" s="429"/>
      <c r="L4" s="429"/>
      <c r="M4" s="429"/>
      <c r="N4" s="429"/>
      <c r="O4" s="432"/>
      <c r="P4" s="432"/>
      <c r="Q4" s="432"/>
      <c r="R4" s="433"/>
    </row>
    <row r="5" spans="2:57" ht="30" customHeight="1" x14ac:dyDescent="0.2">
      <c r="B5" s="429"/>
      <c r="C5" s="429"/>
      <c r="E5" s="429"/>
      <c r="F5" s="429"/>
      <c r="G5" s="429"/>
      <c r="H5" s="429"/>
      <c r="I5" s="429"/>
      <c r="J5" s="429"/>
      <c r="K5" s="429"/>
      <c r="M5" s="429"/>
      <c r="N5" s="429"/>
      <c r="O5" s="1016"/>
      <c r="P5" s="1016"/>
      <c r="Q5" s="1016"/>
      <c r="R5" s="433"/>
    </row>
    <row r="6" spans="2:57" ht="30" customHeight="1" x14ac:dyDescent="0.2">
      <c r="B6" s="429"/>
      <c r="C6" s="429"/>
      <c r="E6" s="429"/>
      <c r="F6" s="429"/>
      <c r="G6" s="429"/>
      <c r="H6" s="429"/>
      <c r="I6" s="429"/>
      <c r="J6" s="429"/>
      <c r="K6" s="429"/>
      <c r="M6" s="429"/>
      <c r="N6" s="429"/>
      <c r="O6" s="511" t="s">
        <v>307</v>
      </c>
      <c r="P6" s="511" t="s">
        <v>307</v>
      </c>
      <c r="Q6" s="511" t="s">
        <v>307</v>
      </c>
      <c r="R6" s="433"/>
    </row>
    <row r="7" spans="2:57" s="434" customFormat="1" ht="41.25" thickBot="1" x14ac:dyDescent="0.25">
      <c r="B7" s="1214" t="s">
        <v>297</v>
      </c>
      <c r="C7" s="1214" t="s">
        <v>298</v>
      </c>
      <c r="D7" s="1214" t="s">
        <v>391</v>
      </c>
      <c r="E7" s="1215" t="s">
        <v>431</v>
      </c>
      <c r="F7" s="1215" t="s">
        <v>432</v>
      </c>
      <c r="G7" s="1214" t="s">
        <v>299</v>
      </c>
      <c r="H7" s="1640" t="s">
        <v>300</v>
      </c>
      <c r="I7" s="1641"/>
      <c r="J7" s="1642"/>
      <c r="K7" s="1640" t="s">
        <v>301</v>
      </c>
      <c r="L7" s="1641"/>
      <c r="M7" s="1642"/>
      <c r="N7" s="1214" t="s">
        <v>410</v>
      </c>
      <c r="O7" s="1216" t="s">
        <v>302</v>
      </c>
      <c r="P7" s="1216" t="s">
        <v>303</v>
      </c>
      <c r="Q7" s="1216" t="s">
        <v>411</v>
      </c>
      <c r="R7" s="433"/>
      <c r="S7" s="433"/>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33"/>
      <c r="AU7" s="433"/>
      <c r="AV7" s="433"/>
      <c r="AW7" s="433"/>
      <c r="AX7" s="433"/>
      <c r="AY7" s="433"/>
      <c r="AZ7" s="433"/>
      <c r="BA7" s="433"/>
      <c r="BB7" s="433"/>
      <c r="BC7" s="433"/>
      <c r="BD7" s="433"/>
      <c r="BE7" s="433"/>
    </row>
    <row r="8" spans="2:57" s="1341" customFormat="1" ht="23.25" customHeight="1" thickBot="1" x14ac:dyDescent="0.25">
      <c r="B8" s="1331" t="s">
        <v>394</v>
      </c>
      <c r="C8" s="1332" t="s">
        <v>402</v>
      </c>
      <c r="D8" s="1333" t="s">
        <v>396</v>
      </c>
      <c r="E8" s="1334"/>
      <c r="F8" s="1335">
        <f>SUM($F9,$F22)</f>
        <v>50016.999999999993</v>
      </c>
      <c r="G8" s="1336"/>
      <c r="H8" s="1337"/>
      <c r="I8" s="1337"/>
      <c r="J8" s="1337"/>
      <c r="K8" s="1337"/>
      <c r="L8" s="1337"/>
      <c r="M8" s="1337"/>
      <c r="N8" s="1338"/>
      <c r="O8" s="1338"/>
      <c r="P8" s="1338"/>
      <c r="Q8" s="1339"/>
      <c r="R8" s="1340"/>
      <c r="S8" s="1340"/>
      <c r="T8" s="1340"/>
      <c r="U8" s="1340"/>
      <c r="V8" s="1340"/>
      <c r="W8" s="1340"/>
      <c r="X8" s="1340"/>
      <c r="Y8" s="1340"/>
      <c r="Z8" s="1340"/>
      <c r="AA8" s="1340"/>
      <c r="AB8" s="1340"/>
      <c r="AC8" s="1340"/>
      <c r="AD8" s="1340"/>
      <c r="AE8" s="1340"/>
      <c r="AF8" s="1340"/>
      <c r="AG8" s="1340"/>
      <c r="AH8" s="1340"/>
      <c r="AI8" s="1340"/>
      <c r="AJ8" s="1340"/>
      <c r="AK8" s="1340"/>
      <c r="AL8" s="1340"/>
      <c r="AM8" s="1340"/>
      <c r="AN8" s="1340"/>
      <c r="AO8" s="1340"/>
      <c r="AP8" s="1340"/>
      <c r="AQ8" s="1340"/>
      <c r="AR8" s="1340"/>
      <c r="AS8" s="1340"/>
      <c r="AT8" s="1340"/>
      <c r="AU8" s="1340"/>
      <c r="AV8" s="1340"/>
      <c r="AW8" s="1340"/>
      <c r="AX8" s="1340"/>
      <c r="AY8" s="1340"/>
      <c r="AZ8" s="1340"/>
      <c r="BA8" s="1340"/>
      <c r="BB8" s="1340"/>
      <c r="BC8" s="1340"/>
      <c r="BD8" s="1340"/>
      <c r="BE8" s="1340"/>
    </row>
    <row r="9" spans="2:57" ht="23.25" customHeight="1" thickBot="1" x14ac:dyDescent="0.25">
      <c r="B9" s="1356" t="s">
        <v>42</v>
      </c>
      <c r="C9" s="1357">
        <v>1</v>
      </c>
      <c r="D9" s="435" t="s">
        <v>392</v>
      </c>
      <c r="E9" s="503"/>
      <c r="F9" s="1358">
        <f>SUM(E10:E19)</f>
        <v>25008.499999999996</v>
      </c>
      <c r="G9" s="436" t="s">
        <v>304</v>
      </c>
      <c r="H9" s="1643" t="s">
        <v>305</v>
      </c>
      <c r="I9" s="1644"/>
      <c r="J9" s="1645"/>
      <c r="K9" s="1643" t="s">
        <v>306</v>
      </c>
      <c r="L9" s="1644"/>
      <c r="M9" s="1645"/>
      <c r="N9" s="435" t="s">
        <v>306</v>
      </c>
      <c r="O9" s="476" t="s">
        <v>307</v>
      </c>
      <c r="P9" s="476" t="s">
        <v>307</v>
      </c>
      <c r="Q9" s="477" t="s">
        <v>307</v>
      </c>
    </row>
    <row r="10" spans="2:57" ht="21.75" customHeight="1" x14ac:dyDescent="0.2">
      <c r="B10" s="1359"/>
      <c r="C10" s="1360">
        <v>1.1000000000000001</v>
      </c>
      <c r="D10" s="437" t="s">
        <v>308</v>
      </c>
      <c r="E10" s="438">
        <v>2500.85</v>
      </c>
      <c r="F10" s="498"/>
      <c r="G10" s="439" t="s">
        <v>309</v>
      </c>
      <c r="H10" s="1635" t="s">
        <v>305</v>
      </c>
      <c r="I10" s="1636"/>
      <c r="J10" s="1637"/>
      <c r="K10" s="1635" t="s">
        <v>306</v>
      </c>
      <c r="L10" s="1636"/>
      <c r="M10" s="1637"/>
      <c r="N10" s="437" t="s">
        <v>306</v>
      </c>
      <c r="O10" s="478" t="s">
        <v>307</v>
      </c>
      <c r="P10" s="478" t="s">
        <v>307</v>
      </c>
      <c r="Q10" s="478" t="s">
        <v>307</v>
      </c>
    </row>
    <row r="11" spans="2:57" ht="23.25" customHeight="1" x14ac:dyDescent="0.2">
      <c r="B11" s="1359"/>
      <c r="C11" s="1361">
        <v>1.2</v>
      </c>
      <c r="D11" s="440" t="s">
        <v>308</v>
      </c>
      <c r="E11" s="441">
        <v>2500.85</v>
      </c>
      <c r="F11" s="499"/>
      <c r="G11" s="442" t="s">
        <v>309</v>
      </c>
      <c r="H11" s="1629" t="s">
        <v>305</v>
      </c>
      <c r="I11" s="1630"/>
      <c r="J11" s="1631"/>
      <c r="K11" s="1629" t="s">
        <v>306</v>
      </c>
      <c r="L11" s="1630"/>
      <c r="M11" s="1631"/>
      <c r="N11" s="440" t="s">
        <v>306</v>
      </c>
      <c r="O11" s="479" t="s">
        <v>307</v>
      </c>
      <c r="P11" s="479" t="s">
        <v>307</v>
      </c>
      <c r="Q11" s="479" t="s">
        <v>307</v>
      </c>
    </row>
    <row r="12" spans="2:57" ht="23.25" customHeight="1" x14ac:dyDescent="0.2">
      <c r="B12" s="1359"/>
      <c r="C12" s="1361">
        <v>1.3</v>
      </c>
      <c r="D12" s="440" t="s">
        <v>308</v>
      </c>
      <c r="E12" s="441">
        <v>2500.85</v>
      </c>
      <c r="F12" s="499"/>
      <c r="G12" s="442" t="s">
        <v>310</v>
      </c>
      <c r="H12" s="1629" t="s">
        <v>305</v>
      </c>
      <c r="I12" s="1630"/>
      <c r="J12" s="1631"/>
      <c r="K12" s="1629" t="s">
        <v>306</v>
      </c>
      <c r="L12" s="1630"/>
      <c r="M12" s="1631"/>
      <c r="N12" s="440" t="s">
        <v>306</v>
      </c>
      <c r="O12" s="479" t="s">
        <v>307</v>
      </c>
      <c r="P12" s="479" t="s">
        <v>307</v>
      </c>
      <c r="Q12" s="479" t="s">
        <v>307</v>
      </c>
    </row>
    <row r="13" spans="2:57" ht="23.25" customHeight="1" x14ac:dyDescent="0.2">
      <c r="B13" s="1359"/>
      <c r="C13" s="1361">
        <v>1.4</v>
      </c>
      <c r="D13" s="440" t="s">
        <v>308</v>
      </c>
      <c r="E13" s="441">
        <v>2500.85</v>
      </c>
      <c r="F13" s="499"/>
      <c r="G13" s="442" t="s">
        <v>309</v>
      </c>
      <c r="H13" s="1629" t="s">
        <v>305</v>
      </c>
      <c r="I13" s="1630"/>
      <c r="J13" s="1631"/>
      <c r="K13" s="1629" t="s">
        <v>306</v>
      </c>
      <c r="L13" s="1630"/>
      <c r="M13" s="1631"/>
      <c r="N13" s="440" t="s">
        <v>306</v>
      </c>
      <c r="O13" s="479" t="s">
        <v>307</v>
      </c>
      <c r="P13" s="479" t="s">
        <v>307</v>
      </c>
      <c r="Q13" s="479" t="s">
        <v>307</v>
      </c>
    </row>
    <row r="14" spans="2:57" ht="23.25" customHeight="1" x14ac:dyDescent="0.2">
      <c r="B14" s="1359"/>
      <c r="C14" s="1361">
        <v>1.5</v>
      </c>
      <c r="D14" s="440" t="s">
        <v>308</v>
      </c>
      <c r="E14" s="441">
        <v>2500.85</v>
      </c>
      <c r="F14" s="499"/>
      <c r="G14" s="442" t="s">
        <v>311</v>
      </c>
      <c r="H14" s="1629" t="s">
        <v>305</v>
      </c>
      <c r="I14" s="1630"/>
      <c r="J14" s="1631"/>
      <c r="K14" s="1629" t="s">
        <v>306</v>
      </c>
      <c r="L14" s="1630"/>
      <c r="M14" s="1631"/>
      <c r="N14" s="440" t="s">
        <v>306</v>
      </c>
      <c r="O14" s="479" t="s">
        <v>307</v>
      </c>
      <c r="P14" s="479" t="s">
        <v>307</v>
      </c>
      <c r="Q14" s="479" t="s">
        <v>307</v>
      </c>
    </row>
    <row r="15" spans="2:57" ht="23.25" customHeight="1" x14ac:dyDescent="0.2">
      <c r="B15" s="1359"/>
      <c r="C15" s="1361">
        <v>1.6</v>
      </c>
      <c r="D15" s="440" t="s">
        <v>308</v>
      </c>
      <c r="E15" s="441">
        <v>2500.85</v>
      </c>
      <c r="F15" s="499"/>
      <c r="G15" s="442" t="s">
        <v>312</v>
      </c>
      <c r="H15" s="1629" t="s">
        <v>305</v>
      </c>
      <c r="I15" s="1630"/>
      <c r="J15" s="1631"/>
      <c r="K15" s="1629" t="s">
        <v>306</v>
      </c>
      <c r="L15" s="1630"/>
      <c r="M15" s="1631"/>
      <c r="N15" s="440" t="s">
        <v>306</v>
      </c>
      <c r="O15" s="479" t="s">
        <v>307</v>
      </c>
      <c r="P15" s="479" t="s">
        <v>307</v>
      </c>
      <c r="Q15" s="479" t="s">
        <v>307</v>
      </c>
    </row>
    <row r="16" spans="2:57" ht="23.25" customHeight="1" x14ac:dyDescent="0.2">
      <c r="B16" s="1359"/>
      <c r="C16" s="1361">
        <v>1.7</v>
      </c>
      <c r="D16" s="440" t="s">
        <v>308</v>
      </c>
      <c r="E16" s="441">
        <v>2500.85</v>
      </c>
      <c r="F16" s="499"/>
      <c r="G16" s="442" t="s">
        <v>309</v>
      </c>
      <c r="H16" s="1629" t="s">
        <v>305</v>
      </c>
      <c r="I16" s="1630"/>
      <c r="J16" s="1631"/>
      <c r="K16" s="1629" t="s">
        <v>306</v>
      </c>
      <c r="L16" s="1630"/>
      <c r="M16" s="1631"/>
      <c r="N16" s="440" t="s">
        <v>306</v>
      </c>
      <c r="O16" s="479" t="s">
        <v>307</v>
      </c>
      <c r="P16" s="479" t="s">
        <v>307</v>
      </c>
      <c r="Q16" s="479" t="s">
        <v>307</v>
      </c>
    </row>
    <row r="17" spans="2:17" ht="23.25" customHeight="1" x14ac:dyDescent="0.2">
      <c r="B17" s="1359"/>
      <c r="C17" s="1361">
        <v>1.8</v>
      </c>
      <c r="D17" s="440" t="s">
        <v>308</v>
      </c>
      <c r="E17" s="441">
        <v>2500.85</v>
      </c>
      <c r="F17" s="499"/>
      <c r="G17" s="442" t="s">
        <v>313</v>
      </c>
      <c r="H17" s="1629" t="s">
        <v>305</v>
      </c>
      <c r="I17" s="1630"/>
      <c r="J17" s="1631"/>
      <c r="K17" s="1629" t="s">
        <v>306</v>
      </c>
      <c r="L17" s="1630"/>
      <c r="M17" s="1631"/>
      <c r="N17" s="440" t="s">
        <v>306</v>
      </c>
      <c r="O17" s="479" t="s">
        <v>307</v>
      </c>
      <c r="P17" s="479" t="s">
        <v>307</v>
      </c>
      <c r="Q17" s="479" t="s">
        <v>307</v>
      </c>
    </row>
    <row r="18" spans="2:17" ht="23.25" customHeight="1" x14ac:dyDescent="0.2">
      <c r="B18" s="1359"/>
      <c r="C18" s="1361">
        <v>1.9</v>
      </c>
      <c r="D18" s="440" t="s">
        <v>308</v>
      </c>
      <c r="E18" s="441">
        <v>2500.85</v>
      </c>
      <c r="F18" s="499"/>
      <c r="G18" s="442" t="s">
        <v>314</v>
      </c>
      <c r="H18" s="1629" t="s">
        <v>305</v>
      </c>
      <c r="I18" s="1630"/>
      <c r="J18" s="1631"/>
      <c r="K18" s="1629" t="s">
        <v>306</v>
      </c>
      <c r="L18" s="1630"/>
      <c r="M18" s="1631"/>
      <c r="N18" s="440" t="s">
        <v>306</v>
      </c>
      <c r="O18" s="479" t="s">
        <v>307</v>
      </c>
      <c r="P18" s="479" t="s">
        <v>307</v>
      </c>
      <c r="Q18" s="479" t="s">
        <v>307</v>
      </c>
    </row>
    <row r="19" spans="2:17" ht="23.25" customHeight="1" x14ac:dyDescent="0.2">
      <c r="B19" s="1359"/>
      <c r="C19" s="1362">
        <v>1.1000000000000001</v>
      </c>
      <c r="D19" s="443" t="s">
        <v>308</v>
      </c>
      <c r="E19" s="441">
        <v>2500.85</v>
      </c>
      <c r="F19" s="500"/>
      <c r="G19" s="444" t="s">
        <v>309</v>
      </c>
      <c r="H19" s="1629" t="s">
        <v>305</v>
      </c>
      <c r="I19" s="1630"/>
      <c r="J19" s="1631"/>
      <c r="K19" s="1629" t="s">
        <v>306</v>
      </c>
      <c r="L19" s="1630"/>
      <c r="M19" s="1631"/>
      <c r="N19" s="443" t="s">
        <v>306</v>
      </c>
      <c r="O19" s="479" t="s">
        <v>307</v>
      </c>
      <c r="P19" s="479" t="s">
        <v>307</v>
      </c>
      <c r="Q19" s="479" t="s">
        <v>307</v>
      </c>
    </row>
    <row r="20" spans="2:17" ht="23.25" customHeight="1" x14ac:dyDescent="0.2">
      <c r="B20" s="1363" t="s">
        <v>393</v>
      </c>
      <c r="C20" s="1364"/>
      <c r="D20" s="1365"/>
      <c r="E20" s="1365"/>
      <c r="F20" s="1365"/>
      <c r="G20" s="1365"/>
      <c r="H20" s="1365"/>
      <c r="I20" s="1365"/>
      <c r="J20" s="1365"/>
      <c r="K20" s="1365"/>
      <c r="L20" s="1365"/>
      <c r="M20" s="1365"/>
      <c r="N20" s="1365"/>
      <c r="O20" s="1365"/>
      <c r="P20" s="1365"/>
      <c r="Q20" s="1366"/>
    </row>
    <row r="21" spans="2:17" ht="8.1" customHeight="1" thickBot="1" x14ac:dyDescent="0.25">
      <c r="B21" s="445"/>
      <c r="C21" s="446"/>
      <c r="D21" s="447"/>
      <c r="E21" s="447"/>
      <c r="F21" s="447"/>
      <c r="G21" s="447"/>
      <c r="H21" s="447"/>
      <c r="I21" s="447"/>
      <c r="J21" s="447"/>
      <c r="K21" s="447"/>
      <c r="L21" s="447"/>
      <c r="M21" s="447"/>
      <c r="N21" s="447"/>
      <c r="O21" s="447"/>
      <c r="P21" s="447"/>
      <c r="Q21" s="448"/>
    </row>
    <row r="22" spans="2:17" ht="23.25" customHeight="1" thickBot="1" x14ac:dyDescent="0.25">
      <c r="B22" s="1356" t="s">
        <v>42</v>
      </c>
      <c r="C22" s="1367">
        <v>2</v>
      </c>
      <c r="D22" s="1072"/>
      <c r="E22" s="504"/>
      <c r="F22" s="1358">
        <f>SUM(E23:E32)</f>
        <v>25008.499999999996</v>
      </c>
      <c r="G22" s="1072"/>
      <c r="H22" s="1632"/>
      <c r="I22" s="1633"/>
      <c r="J22" s="1634"/>
      <c r="K22" s="1632"/>
      <c r="L22" s="1633"/>
      <c r="M22" s="1634"/>
      <c r="N22" s="449"/>
      <c r="O22" s="476"/>
      <c r="P22" s="476"/>
      <c r="Q22" s="477"/>
    </row>
    <row r="23" spans="2:17" ht="23.25" customHeight="1" x14ac:dyDescent="0.2">
      <c r="B23" s="1359"/>
      <c r="C23" s="1360">
        <v>2.1</v>
      </c>
      <c r="D23" s="437"/>
      <c r="E23" s="438">
        <v>2500.85</v>
      </c>
      <c r="F23" s="498"/>
      <c r="G23" s="439"/>
      <c r="H23" s="1635"/>
      <c r="I23" s="1636"/>
      <c r="J23" s="1637"/>
      <c r="K23" s="1635"/>
      <c r="L23" s="1636"/>
      <c r="M23" s="1637"/>
      <c r="N23" s="437"/>
      <c r="O23" s="478"/>
      <c r="P23" s="478"/>
      <c r="Q23" s="478"/>
    </row>
    <row r="24" spans="2:17" ht="23.25" customHeight="1" x14ac:dyDescent="0.2">
      <c r="B24" s="1359"/>
      <c r="C24" s="1368">
        <v>2.2000000000000002</v>
      </c>
      <c r="D24" s="440"/>
      <c r="E24" s="441">
        <v>2500.85</v>
      </c>
      <c r="F24" s="499"/>
      <c r="G24" s="442"/>
      <c r="H24" s="1629"/>
      <c r="I24" s="1630"/>
      <c r="J24" s="1631"/>
      <c r="K24" s="1629"/>
      <c r="L24" s="1630"/>
      <c r="M24" s="1631"/>
      <c r="N24" s="440"/>
      <c r="O24" s="479"/>
      <c r="P24" s="479"/>
      <c r="Q24" s="479"/>
    </row>
    <row r="25" spans="2:17" ht="23.25" customHeight="1" x14ac:dyDescent="0.2">
      <c r="B25" s="1359" t="s">
        <v>409</v>
      </c>
      <c r="C25" s="1369">
        <v>2.2999999999999998</v>
      </c>
      <c r="D25" s="440"/>
      <c r="E25" s="441">
        <v>2500.85</v>
      </c>
      <c r="F25" s="499"/>
      <c r="G25" s="442"/>
      <c r="H25" s="1629"/>
      <c r="I25" s="1630"/>
      <c r="J25" s="1631"/>
      <c r="K25" s="1629"/>
      <c r="L25" s="1630"/>
      <c r="M25" s="1631"/>
      <c r="N25" s="440"/>
      <c r="O25" s="479"/>
      <c r="P25" s="479"/>
      <c r="Q25" s="479"/>
    </row>
    <row r="26" spans="2:17" ht="23.25" customHeight="1" x14ac:dyDescent="0.2">
      <c r="B26" s="1359"/>
      <c r="C26" s="1369">
        <v>2.4</v>
      </c>
      <c r="D26" s="440"/>
      <c r="E26" s="441">
        <v>2500.85</v>
      </c>
      <c r="F26" s="499"/>
      <c r="G26" s="442"/>
      <c r="H26" s="1629"/>
      <c r="I26" s="1630"/>
      <c r="J26" s="1631"/>
      <c r="K26" s="1629"/>
      <c r="L26" s="1630"/>
      <c r="M26" s="1631"/>
      <c r="N26" s="440"/>
      <c r="O26" s="479"/>
      <c r="P26" s="479"/>
      <c r="Q26" s="479"/>
    </row>
    <row r="27" spans="2:17" ht="23.25" customHeight="1" x14ac:dyDescent="0.2">
      <c r="B27" s="1359"/>
      <c r="C27" s="1369">
        <v>2.5</v>
      </c>
      <c r="D27" s="440"/>
      <c r="E27" s="441">
        <v>2500.85</v>
      </c>
      <c r="F27" s="499"/>
      <c r="G27" s="439"/>
      <c r="H27" s="1629"/>
      <c r="I27" s="1630"/>
      <c r="J27" s="1631"/>
      <c r="K27" s="1629"/>
      <c r="L27" s="1630"/>
      <c r="M27" s="1631"/>
      <c r="N27" s="440"/>
      <c r="O27" s="479"/>
      <c r="P27" s="479"/>
      <c r="Q27" s="479"/>
    </row>
    <row r="28" spans="2:17" ht="23.25" customHeight="1" x14ac:dyDescent="0.2">
      <c r="B28" s="1359"/>
      <c r="C28" s="1369">
        <v>2.6</v>
      </c>
      <c r="D28" s="440"/>
      <c r="E28" s="441">
        <v>2500.85</v>
      </c>
      <c r="F28" s="499"/>
      <c r="G28" s="442"/>
      <c r="H28" s="1629"/>
      <c r="I28" s="1630"/>
      <c r="J28" s="1631"/>
      <c r="K28" s="1629"/>
      <c r="L28" s="1630"/>
      <c r="M28" s="1631"/>
      <c r="N28" s="440"/>
      <c r="O28" s="479"/>
      <c r="P28" s="479"/>
      <c r="Q28" s="479"/>
    </row>
    <row r="29" spans="2:17" ht="23.25" customHeight="1" x14ac:dyDescent="0.2">
      <c r="B29" s="1359"/>
      <c r="C29" s="1369">
        <v>2.7</v>
      </c>
      <c r="D29" s="440"/>
      <c r="E29" s="441">
        <v>2500.85</v>
      </c>
      <c r="F29" s="499"/>
      <c r="G29" s="442"/>
      <c r="H29" s="1629"/>
      <c r="I29" s="1630"/>
      <c r="J29" s="1631"/>
      <c r="K29" s="1629"/>
      <c r="L29" s="1630"/>
      <c r="M29" s="1631"/>
      <c r="N29" s="440"/>
      <c r="O29" s="479"/>
      <c r="P29" s="479"/>
      <c r="Q29" s="479"/>
    </row>
    <row r="30" spans="2:17" ht="23.25" customHeight="1" x14ac:dyDescent="0.2">
      <c r="B30" s="1359"/>
      <c r="C30" s="1369">
        <v>2.8</v>
      </c>
      <c r="D30" s="440"/>
      <c r="E30" s="441">
        <v>2500.85</v>
      </c>
      <c r="F30" s="499"/>
      <c r="G30" s="442"/>
      <c r="H30" s="1629"/>
      <c r="I30" s="1630"/>
      <c r="J30" s="1631"/>
      <c r="K30" s="1629"/>
      <c r="L30" s="1630"/>
      <c r="M30" s="1631"/>
      <c r="N30" s="440"/>
      <c r="O30" s="479"/>
      <c r="P30" s="479"/>
      <c r="Q30" s="479"/>
    </row>
    <row r="31" spans="2:17" ht="23.25" customHeight="1" x14ac:dyDescent="0.2">
      <c r="B31" s="1359"/>
      <c r="C31" s="1369">
        <v>2.9</v>
      </c>
      <c r="D31" s="440"/>
      <c r="E31" s="441">
        <v>2500.85</v>
      </c>
      <c r="F31" s="499"/>
      <c r="G31" s="442"/>
      <c r="H31" s="1629"/>
      <c r="I31" s="1630"/>
      <c r="J31" s="1631"/>
      <c r="K31" s="1629"/>
      <c r="L31" s="1630"/>
      <c r="M31" s="1631"/>
      <c r="N31" s="440"/>
      <c r="O31" s="479"/>
      <c r="P31" s="479"/>
      <c r="Q31" s="479"/>
    </row>
    <row r="32" spans="2:17" ht="23.25" customHeight="1" x14ac:dyDescent="0.2">
      <c r="B32" s="1359"/>
      <c r="C32" s="1370">
        <v>2.1</v>
      </c>
      <c r="D32" s="440"/>
      <c r="E32" s="441">
        <v>2500.85</v>
      </c>
      <c r="F32" s="499"/>
      <c r="G32" s="442"/>
      <c r="H32" s="1629"/>
      <c r="I32" s="1630"/>
      <c r="J32" s="1631"/>
      <c r="K32" s="1629"/>
      <c r="L32" s="1630"/>
      <c r="M32" s="1631"/>
      <c r="N32" s="440"/>
      <c r="O32" s="479"/>
      <c r="P32" s="479"/>
      <c r="Q32" s="479"/>
    </row>
    <row r="33" spans="2:57" ht="23.25" customHeight="1" thickBot="1" x14ac:dyDescent="0.25">
      <c r="B33" s="1371" t="s">
        <v>393</v>
      </c>
      <c r="C33" s="1364"/>
      <c r="D33" s="1365"/>
      <c r="E33" s="1365"/>
      <c r="F33" s="1365"/>
      <c r="G33" s="1365"/>
      <c r="H33" s="1365"/>
      <c r="I33" s="1365"/>
      <c r="J33" s="1365"/>
      <c r="K33" s="1365"/>
      <c r="L33" s="1365"/>
      <c r="M33" s="1365"/>
      <c r="N33" s="1365"/>
      <c r="O33" s="1365"/>
      <c r="P33" s="1365"/>
      <c r="Q33" s="1366"/>
    </row>
    <row r="34" spans="2:57" ht="8.1" customHeight="1" thickBot="1" x14ac:dyDescent="0.25">
      <c r="B34" s="451"/>
      <c r="C34" s="452"/>
      <c r="D34" s="452"/>
      <c r="E34" s="452"/>
      <c r="F34" s="452"/>
      <c r="G34" s="452"/>
      <c r="H34" s="452"/>
      <c r="I34" s="452"/>
      <c r="J34" s="452"/>
      <c r="K34" s="452"/>
      <c r="L34" s="452"/>
      <c r="M34" s="452"/>
      <c r="N34" s="452"/>
      <c r="O34" s="452"/>
      <c r="P34" s="452"/>
      <c r="Q34" s="452"/>
    </row>
    <row r="35" spans="2:57" s="1341" customFormat="1" ht="23.25" customHeight="1" thickBot="1" x14ac:dyDescent="0.25">
      <c r="B35" s="1342" t="s">
        <v>395</v>
      </c>
      <c r="C35" s="1343" t="s">
        <v>401</v>
      </c>
      <c r="D35" s="1344" t="s">
        <v>397</v>
      </c>
      <c r="E35" s="1334"/>
      <c r="F35" s="1345">
        <f>SUM(F36,F49)</f>
        <v>50016.999999999993</v>
      </c>
      <c r="G35" s="1346"/>
      <c r="H35" s="1347"/>
      <c r="I35" s="1347"/>
      <c r="J35" s="1347"/>
      <c r="K35" s="1347"/>
      <c r="L35" s="1347"/>
      <c r="M35" s="1347"/>
      <c r="N35" s="1348"/>
      <c r="O35" s="1348"/>
      <c r="P35" s="1348"/>
      <c r="Q35" s="1349"/>
      <c r="R35" s="1340"/>
      <c r="S35" s="1340"/>
      <c r="T35" s="1340"/>
      <c r="U35" s="1340"/>
      <c r="V35" s="1340"/>
      <c r="W35" s="1340"/>
      <c r="X35" s="1340"/>
      <c r="Y35" s="1340"/>
      <c r="Z35" s="1340"/>
      <c r="AA35" s="1340"/>
      <c r="AB35" s="1340"/>
      <c r="AC35" s="1340"/>
      <c r="AD35" s="1340"/>
      <c r="AE35" s="1340"/>
      <c r="AF35" s="1340"/>
      <c r="AG35" s="1340"/>
      <c r="AH35" s="1340"/>
      <c r="AI35" s="1340"/>
      <c r="AJ35" s="1340"/>
      <c r="AK35" s="1340"/>
      <c r="AL35" s="1340"/>
      <c r="AM35" s="1340"/>
      <c r="AN35" s="1340"/>
      <c r="AO35" s="1340"/>
      <c r="AP35" s="1340"/>
      <c r="AQ35" s="1340"/>
      <c r="AR35" s="1340"/>
      <c r="AS35" s="1340"/>
      <c r="AT35" s="1340"/>
      <c r="AU35" s="1340"/>
      <c r="AV35" s="1340"/>
      <c r="AW35" s="1340"/>
      <c r="AX35" s="1340"/>
      <c r="AY35" s="1340"/>
      <c r="AZ35" s="1340"/>
      <c r="BA35" s="1340"/>
      <c r="BB35" s="1340"/>
      <c r="BC35" s="1340"/>
      <c r="BD35" s="1340"/>
      <c r="BE35" s="1340"/>
    </row>
    <row r="36" spans="2:57" s="431" customFormat="1" ht="23.25" customHeight="1" thickBot="1" x14ac:dyDescent="0.25">
      <c r="B36" s="1372" t="s">
        <v>42</v>
      </c>
      <c r="C36" s="1367">
        <v>1</v>
      </c>
      <c r="D36" s="449"/>
      <c r="E36" s="503"/>
      <c r="F36" s="1358">
        <f>SUM(E37:E46)</f>
        <v>25008.499999999996</v>
      </c>
      <c r="G36" s="1072"/>
      <c r="H36" s="1632"/>
      <c r="I36" s="1633"/>
      <c r="J36" s="1634"/>
      <c r="K36" s="1632"/>
      <c r="L36" s="1633"/>
      <c r="M36" s="1634"/>
      <c r="N36" s="1072"/>
      <c r="O36" s="476"/>
      <c r="P36" s="476"/>
      <c r="Q36" s="477"/>
    </row>
    <row r="37" spans="2:57" s="431" customFormat="1" ht="23.25" customHeight="1" x14ac:dyDescent="0.2">
      <c r="B37" s="1373"/>
      <c r="C37" s="1374">
        <v>1.1000000000000001</v>
      </c>
      <c r="D37" s="437"/>
      <c r="E37" s="438">
        <v>2500.85</v>
      </c>
      <c r="F37" s="501"/>
      <c r="G37" s="1074"/>
      <c r="H37" s="1635"/>
      <c r="I37" s="1636"/>
      <c r="J37" s="1637"/>
      <c r="K37" s="1635"/>
      <c r="L37" s="1636"/>
      <c r="M37" s="1637"/>
      <c r="N37" s="466"/>
      <c r="O37" s="478"/>
      <c r="P37" s="478"/>
      <c r="Q37" s="478"/>
    </row>
    <row r="38" spans="2:57" s="431" customFormat="1" ht="23.25" customHeight="1" x14ac:dyDescent="0.2">
      <c r="B38" s="1373"/>
      <c r="C38" s="1374">
        <v>1.2</v>
      </c>
      <c r="D38" s="440"/>
      <c r="E38" s="441">
        <v>2500.85</v>
      </c>
      <c r="F38" s="502"/>
      <c r="G38" s="1073"/>
      <c r="H38" s="1629"/>
      <c r="I38" s="1630"/>
      <c r="J38" s="1631"/>
      <c r="K38" s="1629"/>
      <c r="L38" s="1630"/>
      <c r="M38" s="1631"/>
      <c r="N38" s="1073"/>
      <c r="O38" s="479"/>
      <c r="P38" s="479"/>
      <c r="Q38" s="479"/>
    </row>
    <row r="39" spans="2:57" s="431" customFormat="1" ht="23.25" customHeight="1" x14ac:dyDescent="0.2">
      <c r="B39" s="1373"/>
      <c r="C39" s="1375">
        <v>1.3</v>
      </c>
      <c r="D39" s="440"/>
      <c r="E39" s="441">
        <v>2500.85</v>
      </c>
      <c r="F39" s="502"/>
      <c r="G39" s="1073"/>
      <c r="H39" s="1629"/>
      <c r="I39" s="1630"/>
      <c r="J39" s="1631"/>
      <c r="K39" s="1629"/>
      <c r="L39" s="1630"/>
      <c r="M39" s="1631"/>
      <c r="N39" s="1073"/>
      <c r="O39" s="479"/>
      <c r="P39" s="479"/>
      <c r="Q39" s="479"/>
    </row>
    <row r="40" spans="2:57" s="431" customFormat="1" ht="15" x14ac:dyDescent="0.2">
      <c r="B40" s="1373"/>
      <c r="C40" s="1374">
        <v>1.4</v>
      </c>
      <c r="D40" s="440"/>
      <c r="E40" s="441">
        <v>2500.85</v>
      </c>
      <c r="F40" s="502"/>
      <c r="G40" s="1073"/>
      <c r="H40" s="1629"/>
      <c r="I40" s="1630"/>
      <c r="J40" s="1631"/>
      <c r="K40" s="1629"/>
      <c r="L40" s="1630"/>
      <c r="M40" s="1631"/>
      <c r="N40" s="1073"/>
      <c r="O40" s="479"/>
      <c r="P40" s="479"/>
      <c r="Q40" s="479"/>
    </row>
    <row r="41" spans="2:57" s="431" customFormat="1" ht="23.25" customHeight="1" x14ac:dyDescent="0.2">
      <c r="B41" s="1373"/>
      <c r="C41" s="1376">
        <v>1.5</v>
      </c>
      <c r="D41" s="440"/>
      <c r="E41" s="441">
        <v>2500.85</v>
      </c>
      <c r="F41" s="502"/>
      <c r="G41" s="1073"/>
      <c r="H41" s="1629"/>
      <c r="I41" s="1630"/>
      <c r="J41" s="1631"/>
      <c r="K41" s="1629"/>
      <c r="L41" s="1630"/>
      <c r="M41" s="1631"/>
      <c r="N41" s="1073"/>
      <c r="O41" s="479"/>
      <c r="P41" s="479"/>
      <c r="Q41" s="479"/>
    </row>
    <row r="42" spans="2:57" s="431" customFormat="1" ht="23.25" customHeight="1" x14ac:dyDescent="0.2">
      <c r="B42" s="1373" t="s">
        <v>409</v>
      </c>
      <c r="C42" s="1377">
        <v>1.6</v>
      </c>
      <c r="D42" s="440"/>
      <c r="E42" s="441">
        <v>2500.85</v>
      </c>
      <c r="F42" s="502"/>
      <c r="G42" s="1073"/>
      <c r="H42" s="1629"/>
      <c r="I42" s="1630"/>
      <c r="J42" s="1631"/>
      <c r="K42" s="1629"/>
      <c r="L42" s="1630"/>
      <c r="M42" s="1631"/>
      <c r="N42" s="1073"/>
      <c r="O42" s="479"/>
      <c r="P42" s="479"/>
      <c r="Q42" s="479"/>
    </row>
    <row r="43" spans="2:57" s="431" customFormat="1" ht="23.25" customHeight="1" x14ac:dyDescent="0.2">
      <c r="B43" s="1373"/>
      <c r="C43" s="1377">
        <v>1.7</v>
      </c>
      <c r="D43" s="440"/>
      <c r="E43" s="441">
        <v>2500.85</v>
      </c>
      <c r="F43" s="502"/>
      <c r="G43" s="1073"/>
      <c r="H43" s="1629"/>
      <c r="I43" s="1630"/>
      <c r="J43" s="1631"/>
      <c r="K43" s="1629"/>
      <c r="L43" s="1630"/>
      <c r="M43" s="1631"/>
      <c r="N43" s="1073"/>
      <c r="O43" s="479"/>
      <c r="P43" s="479"/>
      <c r="Q43" s="479"/>
    </row>
    <row r="44" spans="2:57" s="431" customFormat="1" ht="23.25" customHeight="1" x14ac:dyDescent="0.2">
      <c r="B44" s="1373"/>
      <c r="C44" s="1377">
        <v>1.8</v>
      </c>
      <c r="D44" s="440"/>
      <c r="E44" s="441">
        <v>2500.85</v>
      </c>
      <c r="F44" s="502"/>
      <c r="G44" s="1073"/>
      <c r="H44" s="1629"/>
      <c r="I44" s="1630"/>
      <c r="J44" s="1631"/>
      <c r="K44" s="1629"/>
      <c r="L44" s="1630"/>
      <c r="M44" s="1631"/>
      <c r="N44" s="1073"/>
      <c r="O44" s="479"/>
      <c r="P44" s="479"/>
      <c r="Q44" s="479"/>
    </row>
    <row r="45" spans="2:57" s="431" customFormat="1" ht="23.25" customHeight="1" x14ac:dyDescent="0.2">
      <c r="B45" s="1373"/>
      <c r="C45" s="1377">
        <v>1.9</v>
      </c>
      <c r="D45" s="440"/>
      <c r="E45" s="441">
        <v>2500.85</v>
      </c>
      <c r="F45" s="502"/>
      <c r="G45" s="1073"/>
      <c r="H45" s="1629"/>
      <c r="I45" s="1630"/>
      <c r="J45" s="1631"/>
      <c r="K45" s="1629"/>
      <c r="L45" s="1630"/>
      <c r="M45" s="1631"/>
      <c r="N45" s="1073"/>
      <c r="O45" s="479"/>
      <c r="P45" s="479"/>
      <c r="Q45" s="479"/>
    </row>
    <row r="46" spans="2:57" s="431" customFormat="1" ht="23.25" customHeight="1" x14ac:dyDescent="0.2">
      <c r="B46" s="1373"/>
      <c r="C46" s="1377">
        <v>1.1000000000000001</v>
      </c>
      <c r="D46" s="440"/>
      <c r="E46" s="441">
        <v>2500.85</v>
      </c>
      <c r="F46" s="502"/>
      <c r="G46" s="1073"/>
      <c r="H46" s="1629"/>
      <c r="I46" s="1630"/>
      <c r="J46" s="1631"/>
      <c r="K46" s="1629"/>
      <c r="L46" s="1630"/>
      <c r="M46" s="1631"/>
      <c r="N46" s="1073"/>
      <c r="O46" s="479"/>
      <c r="P46" s="479"/>
      <c r="Q46" s="479"/>
    </row>
    <row r="47" spans="2:57" ht="23.25" customHeight="1" x14ac:dyDescent="0.2">
      <c r="B47" s="1378" t="s">
        <v>393</v>
      </c>
      <c r="C47" s="1379"/>
      <c r="D47" s="1380"/>
      <c r="E47" s="1380"/>
      <c r="F47" s="1380"/>
      <c r="G47" s="1380"/>
      <c r="H47" s="1380"/>
      <c r="I47" s="1380"/>
      <c r="J47" s="1380"/>
      <c r="K47" s="1380"/>
      <c r="L47" s="1380"/>
      <c r="M47" s="1380"/>
      <c r="N47" s="1380"/>
      <c r="O47" s="1380"/>
      <c r="P47" s="1380"/>
      <c r="Q47" s="1381"/>
    </row>
    <row r="48" spans="2:57" ht="8.1" customHeight="1" thickBot="1" x14ac:dyDescent="0.25">
      <c r="B48" s="465"/>
      <c r="C48" s="446"/>
      <c r="D48" s="447"/>
      <c r="E48" s="447"/>
      <c r="F48" s="447"/>
      <c r="G48" s="447"/>
      <c r="H48" s="447"/>
      <c r="I48" s="447"/>
      <c r="J48" s="447"/>
      <c r="K48" s="447"/>
      <c r="L48" s="447"/>
      <c r="M48" s="447"/>
      <c r="N48" s="447"/>
      <c r="O48" s="447"/>
      <c r="P48" s="447"/>
      <c r="Q48" s="448"/>
    </row>
    <row r="49" spans="2:17" s="431" customFormat="1" ht="23.25" customHeight="1" thickBot="1" x14ac:dyDescent="0.25">
      <c r="B49" s="1372" t="s">
        <v>42</v>
      </c>
      <c r="C49" s="1367">
        <v>2</v>
      </c>
      <c r="D49" s="449"/>
      <c r="E49" s="504"/>
      <c r="F49" s="1358">
        <f>SUM(E50:E59)</f>
        <v>25008.499999999996</v>
      </c>
      <c r="G49" s="1072"/>
      <c r="H49" s="1632"/>
      <c r="I49" s="1633"/>
      <c r="J49" s="1634"/>
      <c r="K49" s="1632"/>
      <c r="L49" s="1633"/>
      <c r="M49" s="1634"/>
      <c r="N49" s="1072"/>
      <c r="O49" s="476"/>
      <c r="P49" s="476"/>
      <c r="Q49" s="477"/>
    </row>
    <row r="50" spans="2:17" s="431" customFormat="1" ht="23.25" customHeight="1" x14ac:dyDescent="0.2">
      <c r="B50" s="1373"/>
      <c r="C50" s="1377">
        <v>2.1</v>
      </c>
      <c r="D50" s="437"/>
      <c r="E50" s="438">
        <v>2500.85</v>
      </c>
      <c r="F50" s="501"/>
      <c r="G50" s="1074"/>
      <c r="H50" s="1635"/>
      <c r="I50" s="1636"/>
      <c r="J50" s="1637"/>
      <c r="K50" s="1635"/>
      <c r="L50" s="1636"/>
      <c r="M50" s="1637"/>
      <c r="N50" s="466"/>
      <c r="O50" s="478"/>
      <c r="P50" s="478"/>
      <c r="Q50" s="478"/>
    </row>
    <row r="51" spans="2:17" s="431" customFormat="1" ht="23.25" customHeight="1" x14ac:dyDescent="0.2">
      <c r="B51" s="1373"/>
      <c r="C51" s="1382">
        <v>2.2000000000000002</v>
      </c>
      <c r="D51" s="440"/>
      <c r="E51" s="441">
        <v>2500.85</v>
      </c>
      <c r="F51" s="502"/>
      <c r="G51" s="1073"/>
      <c r="H51" s="1629"/>
      <c r="I51" s="1630"/>
      <c r="J51" s="1631"/>
      <c r="K51" s="1629"/>
      <c r="L51" s="1630"/>
      <c r="M51" s="1631"/>
      <c r="N51" s="1073"/>
      <c r="O51" s="479"/>
      <c r="P51" s="479"/>
      <c r="Q51" s="479"/>
    </row>
    <row r="52" spans="2:17" s="431" customFormat="1" ht="23.25" customHeight="1" x14ac:dyDescent="0.2">
      <c r="B52" s="1373"/>
      <c r="C52" s="1382">
        <v>2.2999999999999998</v>
      </c>
      <c r="D52" s="440"/>
      <c r="E52" s="441">
        <v>2500.85</v>
      </c>
      <c r="F52" s="502"/>
      <c r="G52" s="1073"/>
      <c r="H52" s="1629"/>
      <c r="I52" s="1630"/>
      <c r="J52" s="1631"/>
      <c r="K52" s="1629"/>
      <c r="L52" s="1630"/>
      <c r="M52" s="1631"/>
      <c r="N52" s="1073"/>
      <c r="O52" s="479"/>
      <c r="P52" s="479"/>
      <c r="Q52" s="479"/>
    </row>
    <row r="53" spans="2:17" s="431" customFormat="1" ht="15" x14ac:dyDescent="0.2">
      <c r="B53" s="1373"/>
      <c r="C53" s="1382">
        <v>2.4</v>
      </c>
      <c r="D53" s="440"/>
      <c r="E53" s="441">
        <v>2500.85</v>
      </c>
      <c r="F53" s="502"/>
      <c r="G53" s="1073"/>
      <c r="H53" s="1629"/>
      <c r="I53" s="1630"/>
      <c r="J53" s="1631"/>
      <c r="K53" s="1629"/>
      <c r="L53" s="1630"/>
      <c r="M53" s="1631"/>
      <c r="N53" s="1073"/>
      <c r="O53" s="479"/>
      <c r="P53" s="479"/>
      <c r="Q53" s="479"/>
    </row>
    <row r="54" spans="2:17" s="431" customFormat="1" ht="23.25" customHeight="1" x14ac:dyDescent="0.2">
      <c r="B54" s="1373"/>
      <c r="C54" s="1382">
        <v>2.5</v>
      </c>
      <c r="D54" s="440"/>
      <c r="E54" s="441">
        <v>2500.85</v>
      </c>
      <c r="F54" s="502"/>
      <c r="G54" s="1073"/>
      <c r="H54" s="1629"/>
      <c r="I54" s="1630"/>
      <c r="J54" s="1631"/>
      <c r="K54" s="1629"/>
      <c r="L54" s="1630"/>
      <c r="M54" s="1631"/>
      <c r="N54" s="1073"/>
      <c r="O54" s="479"/>
      <c r="P54" s="479"/>
      <c r="Q54" s="479"/>
    </row>
    <row r="55" spans="2:17" s="431" customFormat="1" ht="23.25" customHeight="1" x14ac:dyDescent="0.2">
      <c r="B55" s="1373"/>
      <c r="C55" s="1382">
        <v>2.6</v>
      </c>
      <c r="D55" s="440"/>
      <c r="E55" s="441">
        <v>2500.85</v>
      </c>
      <c r="F55" s="502"/>
      <c r="G55" s="1073"/>
      <c r="H55" s="1629"/>
      <c r="I55" s="1630"/>
      <c r="J55" s="1631"/>
      <c r="K55" s="1629"/>
      <c r="L55" s="1630"/>
      <c r="M55" s="1631"/>
      <c r="N55" s="1073"/>
      <c r="O55" s="479"/>
      <c r="P55" s="479"/>
      <c r="Q55" s="479"/>
    </row>
    <row r="56" spans="2:17" s="431" customFormat="1" ht="23.25" customHeight="1" x14ac:dyDescent="0.2">
      <c r="B56" s="1373"/>
      <c r="C56" s="1383">
        <v>2.7</v>
      </c>
      <c r="D56" s="440"/>
      <c r="E56" s="441">
        <v>2500.85</v>
      </c>
      <c r="F56" s="502"/>
      <c r="G56" s="1073"/>
      <c r="H56" s="1629"/>
      <c r="I56" s="1630"/>
      <c r="J56" s="1631"/>
      <c r="K56" s="1629"/>
      <c r="L56" s="1630"/>
      <c r="M56" s="1631"/>
      <c r="N56" s="1073"/>
      <c r="O56" s="479"/>
      <c r="P56" s="479"/>
      <c r="Q56" s="479"/>
    </row>
    <row r="57" spans="2:17" s="431" customFormat="1" ht="23.25" customHeight="1" x14ac:dyDescent="0.2">
      <c r="B57" s="1373" t="s">
        <v>409</v>
      </c>
      <c r="C57" s="1384">
        <v>2.8</v>
      </c>
      <c r="D57" s="440"/>
      <c r="E57" s="441">
        <v>2500.85</v>
      </c>
      <c r="F57" s="502"/>
      <c r="G57" s="1073"/>
      <c r="H57" s="1629"/>
      <c r="I57" s="1630"/>
      <c r="J57" s="1631"/>
      <c r="K57" s="1629"/>
      <c r="L57" s="1630"/>
      <c r="M57" s="1631"/>
      <c r="N57" s="1073"/>
      <c r="O57" s="479"/>
      <c r="P57" s="479"/>
      <c r="Q57" s="479"/>
    </row>
    <row r="58" spans="2:17" s="431" customFormat="1" ht="23.25" customHeight="1" x14ac:dyDescent="0.2">
      <c r="B58" s="1373"/>
      <c r="C58" s="1384">
        <v>2.9</v>
      </c>
      <c r="D58" s="440"/>
      <c r="E58" s="441">
        <v>2500.85</v>
      </c>
      <c r="F58" s="502"/>
      <c r="G58" s="1073"/>
      <c r="H58" s="1629"/>
      <c r="I58" s="1630"/>
      <c r="J58" s="1631"/>
      <c r="K58" s="1629"/>
      <c r="L58" s="1630"/>
      <c r="M58" s="1631"/>
      <c r="N58" s="1073"/>
      <c r="O58" s="479"/>
      <c r="P58" s="479"/>
      <c r="Q58" s="479"/>
    </row>
    <row r="59" spans="2:17" s="431" customFormat="1" ht="23.25" customHeight="1" x14ac:dyDescent="0.2">
      <c r="B59" s="1373"/>
      <c r="C59" s="1385">
        <v>2.1</v>
      </c>
      <c r="D59" s="440"/>
      <c r="E59" s="441">
        <v>2500.85</v>
      </c>
      <c r="F59" s="502"/>
      <c r="G59" s="1073"/>
      <c r="H59" s="1629"/>
      <c r="I59" s="1630"/>
      <c r="J59" s="1631"/>
      <c r="K59" s="1629"/>
      <c r="L59" s="1630"/>
      <c r="M59" s="1631"/>
      <c r="N59" s="1073"/>
      <c r="O59" s="479"/>
      <c r="P59" s="479"/>
      <c r="Q59" s="479"/>
    </row>
    <row r="60" spans="2:17" ht="23.25" customHeight="1" thickBot="1" x14ac:dyDescent="0.25">
      <c r="B60" s="1386" t="s">
        <v>393</v>
      </c>
      <c r="C60" s="1379"/>
      <c r="D60" s="1380"/>
      <c r="E60" s="1380"/>
      <c r="F60" s="1380"/>
      <c r="G60" s="1380"/>
      <c r="H60" s="1380"/>
      <c r="I60" s="1380"/>
      <c r="J60" s="1380"/>
      <c r="K60" s="1380"/>
      <c r="L60" s="1380"/>
      <c r="M60" s="1380"/>
      <c r="N60" s="1380"/>
      <c r="O60" s="1380"/>
      <c r="P60" s="1380"/>
      <c r="Q60" s="1381"/>
    </row>
    <row r="61" spans="2:17" ht="8.1" customHeight="1" thickBot="1" x14ac:dyDescent="0.25">
      <c r="B61" s="451"/>
      <c r="C61" s="452"/>
      <c r="D61" s="452"/>
      <c r="E61" s="452"/>
      <c r="F61" s="452"/>
      <c r="G61" s="452"/>
      <c r="H61" s="452"/>
      <c r="I61" s="452"/>
      <c r="J61" s="452"/>
      <c r="K61" s="452"/>
      <c r="L61" s="452"/>
      <c r="M61" s="452"/>
      <c r="N61" s="452"/>
      <c r="O61" s="452"/>
      <c r="P61" s="452"/>
      <c r="Q61" s="452"/>
    </row>
    <row r="62" spans="2:17" s="1355" customFormat="1" ht="23.25" customHeight="1" thickBot="1" x14ac:dyDescent="0.25">
      <c r="B62" s="1350" t="s">
        <v>399</v>
      </c>
      <c r="C62" s="1343" t="s">
        <v>400</v>
      </c>
      <c r="D62" s="1344" t="s">
        <v>398</v>
      </c>
      <c r="E62" s="1351"/>
      <c r="F62" s="1352">
        <f>SUM(F63,F76)</f>
        <v>50017.299999999996</v>
      </c>
      <c r="G62" s="1353"/>
      <c r="H62" s="1354"/>
      <c r="I62" s="1354"/>
      <c r="J62" s="1354"/>
      <c r="K62" s="1354"/>
      <c r="L62" s="1354"/>
      <c r="M62" s="1354"/>
      <c r="N62" s="1638"/>
      <c r="O62" s="1638"/>
      <c r="P62" s="1638"/>
      <c r="Q62" s="1639"/>
    </row>
    <row r="63" spans="2:17" s="431" customFormat="1" ht="23.25" customHeight="1" thickBot="1" x14ac:dyDescent="0.25">
      <c r="B63" s="1387" t="s">
        <v>42</v>
      </c>
      <c r="C63" s="1367">
        <v>1</v>
      </c>
      <c r="D63" s="449"/>
      <c r="E63" s="503"/>
      <c r="F63" s="1358">
        <f>SUM(E64:E73)</f>
        <v>25008.649999999998</v>
      </c>
      <c r="G63" s="1072"/>
      <c r="H63" s="1632"/>
      <c r="I63" s="1633"/>
      <c r="J63" s="1634"/>
      <c r="K63" s="1632"/>
      <c r="L63" s="1633"/>
      <c r="M63" s="1634"/>
      <c r="N63" s="450"/>
      <c r="O63" s="476"/>
      <c r="P63" s="476"/>
      <c r="Q63" s="477"/>
    </row>
    <row r="64" spans="2:17" s="431" customFormat="1" ht="23.25" customHeight="1" x14ac:dyDescent="0.2">
      <c r="B64" s="1388"/>
      <c r="C64" s="1389">
        <v>1.1000000000000001</v>
      </c>
      <c r="D64" s="437"/>
      <c r="E64" s="438">
        <v>2500.85</v>
      </c>
      <c r="F64" s="501"/>
      <c r="G64" s="1074"/>
      <c r="H64" s="1635"/>
      <c r="I64" s="1636"/>
      <c r="J64" s="1637"/>
      <c r="K64" s="1635"/>
      <c r="L64" s="1636"/>
      <c r="M64" s="1637"/>
      <c r="N64" s="1074"/>
      <c r="O64" s="478"/>
      <c r="P64" s="478"/>
      <c r="Q64" s="478"/>
    </row>
    <row r="65" spans="2:17" s="431" customFormat="1" ht="23.25" customHeight="1" x14ac:dyDescent="0.2">
      <c r="B65" s="1390"/>
      <c r="C65" s="1384">
        <v>1.2</v>
      </c>
      <c r="D65" s="440"/>
      <c r="E65" s="441">
        <v>2500.85</v>
      </c>
      <c r="F65" s="502"/>
      <c r="G65" s="1073"/>
      <c r="H65" s="1629"/>
      <c r="I65" s="1630"/>
      <c r="J65" s="1631"/>
      <c r="K65" s="1629"/>
      <c r="L65" s="1630"/>
      <c r="M65" s="1631"/>
      <c r="N65" s="1073"/>
      <c r="O65" s="479"/>
      <c r="P65" s="479"/>
      <c r="Q65" s="479"/>
    </row>
    <row r="66" spans="2:17" s="431" customFormat="1" ht="23.25" customHeight="1" x14ac:dyDescent="0.2">
      <c r="B66" s="1390"/>
      <c r="C66" s="1384">
        <v>1.3</v>
      </c>
      <c r="D66" s="440"/>
      <c r="E66" s="441">
        <v>2500.85</v>
      </c>
      <c r="F66" s="502"/>
      <c r="G66" s="1073"/>
      <c r="H66" s="1629"/>
      <c r="I66" s="1630"/>
      <c r="J66" s="1631"/>
      <c r="K66" s="1629"/>
      <c r="L66" s="1630"/>
      <c r="M66" s="1631"/>
      <c r="N66" s="1073"/>
      <c r="O66" s="479"/>
      <c r="P66" s="479"/>
      <c r="Q66" s="479"/>
    </row>
    <row r="67" spans="2:17" s="431" customFormat="1" ht="23.25" customHeight="1" x14ac:dyDescent="0.2">
      <c r="B67" s="1390"/>
      <c r="C67" s="1384">
        <v>1.4</v>
      </c>
      <c r="D67" s="440"/>
      <c r="E67" s="441">
        <v>2500.85</v>
      </c>
      <c r="F67" s="502"/>
      <c r="G67" s="1073"/>
      <c r="H67" s="1629"/>
      <c r="I67" s="1630"/>
      <c r="J67" s="1631"/>
      <c r="K67" s="1629"/>
      <c r="L67" s="1630"/>
      <c r="M67" s="1631"/>
      <c r="N67" s="1073"/>
      <c r="O67" s="479"/>
      <c r="P67" s="479"/>
      <c r="Q67" s="479"/>
    </row>
    <row r="68" spans="2:17" s="431" customFormat="1" ht="23.25" customHeight="1" x14ac:dyDescent="0.2">
      <c r="B68" s="1390"/>
      <c r="C68" s="1384">
        <v>1.5</v>
      </c>
      <c r="D68" s="440"/>
      <c r="E68" s="441">
        <v>2500.85</v>
      </c>
      <c r="F68" s="502"/>
      <c r="G68" s="1073"/>
      <c r="H68" s="1629"/>
      <c r="I68" s="1630"/>
      <c r="J68" s="1631"/>
      <c r="K68" s="1629"/>
      <c r="L68" s="1630"/>
      <c r="M68" s="1631"/>
      <c r="N68" s="1073"/>
      <c r="O68" s="479"/>
      <c r="P68" s="479"/>
      <c r="Q68" s="479"/>
    </row>
    <row r="69" spans="2:17" s="431" customFormat="1" ht="23.25" customHeight="1" x14ac:dyDescent="0.2">
      <c r="B69" s="1390"/>
      <c r="C69" s="1384">
        <v>1.6</v>
      </c>
      <c r="D69" s="440"/>
      <c r="E69" s="441">
        <v>2500.85</v>
      </c>
      <c r="F69" s="502"/>
      <c r="G69" s="1073"/>
      <c r="H69" s="1629"/>
      <c r="I69" s="1630"/>
      <c r="J69" s="1631"/>
      <c r="K69" s="1629"/>
      <c r="L69" s="1630"/>
      <c r="M69" s="1631"/>
      <c r="N69" s="1073"/>
      <c r="O69" s="479"/>
      <c r="P69" s="479"/>
      <c r="Q69" s="479"/>
    </row>
    <row r="70" spans="2:17" s="431" customFormat="1" ht="23.25" customHeight="1" x14ac:dyDescent="0.2">
      <c r="B70" s="1390"/>
      <c r="C70" s="1391">
        <v>1.7</v>
      </c>
      <c r="D70" s="440"/>
      <c r="E70" s="441">
        <v>2500.85</v>
      </c>
      <c r="F70" s="502"/>
      <c r="G70" s="1073"/>
      <c r="H70" s="1629"/>
      <c r="I70" s="1630"/>
      <c r="J70" s="1631"/>
      <c r="K70" s="1629"/>
      <c r="L70" s="1630"/>
      <c r="M70" s="1631"/>
      <c r="N70" s="1073"/>
      <c r="O70" s="479"/>
      <c r="P70" s="479"/>
      <c r="Q70" s="479"/>
    </row>
    <row r="71" spans="2:17" s="431" customFormat="1" ht="23.25" customHeight="1" x14ac:dyDescent="0.2">
      <c r="B71" s="1390" t="s">
        <v>409</v>
      </c>
      <c r="C71" s="1392">
        <v>1.8</v>
      </c>
      <c r="D71" s="440"/>
      <c r="E71" s="441">
        <v>2501</v>
      </c>
      <c r="F71" s="502"/>
      <c r="G71" s="1073"/>
      <c r="H71" s="1629"/>
      <c r="I71" s="1630"/>
      <c r="J71" s="1631"/>
      <c r="K71" s="1629"/>
      <c r="L71" s="1630"/>
      <c r="M71" s="1631"/>
      <c r="N71" s="1073"/>
      <c r="O71" s="479"/>
      <c r="P71" s="479"/>
      <c r="Q71" s="479"/>
    </row>
    <row r="72" spans="2:17" s="431" customFormat="1" ht="23.25" customHeight="1" x14ac:dyDescent="0.2">
      <c r="B72" s="1390"/>
      <c r="C72" s="1392">
        <v>1.9</v>
      </c>
      <c r="D72" s="440"/>
      <c r="E72" s="441">
        <v>2500.85</v>
      </c>
      <c r="F72" s="502"/>
      <c r="G72" s="1073"/>
      <c r="H72" s="1629"/>
      <c r="I72" s="1630"/>
      <c r="J72" s="1631"/>
      <c r="K72" s="1629"/>
      <c r="L72" s="1630"/>
      <c r="M72" s="1631"/>
      <c r="N72" s="1073"/>
      <c r="O72" s="479"/>
      <c r="P72" s="479"/>
      <c r="Q72" s="479"/>
    </row>
    <row r="73" spans="2:17" s="431" customFormat="1" ht="23.25" customHeight="1" x14ac:dyDescent="0.2">
      <c r="B73" s="1390"/>
      <c r="C73" s="1393">
        <v>1.1000000000000001</v>
      </c>
      <c r="D73" s="440"/>
      <c r="E73" s="441">
        <v>2500.85</v>
      </c>
      <c r="F73" s="502"/>
      <c r="G73" s="1073"/>
      <c r="H73" s="1629"/>
      <c r="I73" s="1630"/>
      <c r="J73" s="1631"/>
      <c r="K73" s="1629"/>
      <c r="L73" s="1630"/>
      <c r="M73" s="1631"/>
      <c r="N73" s="1073"/>
      <c r="O73" s="479"/>
      <c r="P73" s="479"/>
      <c r="Q73" s="479"/>
    </row>
    <row r="74" spans="2:17" ht="23.25" customHeight="1" x14ac:dyDescent="0.2">
      <c r="B74" s="1394" t="s">
        <v>393</v>
      </c>
      <c r="C74" s="1395"/>
      <c r="D74" s="1396"/>
      <c r="E74" s="1396"/>
      <c r="F74" s="1396"/>
      <c r="G74" s="1396"/>
      <c r="H74" s="1396"/>
      <c r="I74" s="1396"/>
      <c r="J74" s="1396"/>
      <c r="K74" s="1396"/>
      <c r="L74" s="1396"/>
      <c r="M74" s="1396"/>
      <c r="N74" s="1396"/>
      <c r="O74" s="1396"/>
      <c r="P74" s="1396"/>
      <c r="Q74" s="1397"/>
    </row>
    <row r="75" spans="2:17" ht="8.1" customHeight="1" thickBot="1" x14ac:dyDescent="0.25">
      <c r="B75" s="1398"/>
      <c r="C75" s="1399"/>
      <c r="D75" s="1400"/>
      <c r="E75" s="1400"/>
      <c r="F75" s="1400"/>
      <c r="G75" s="1400"/>
      <c r="H75" s="1400"/>
      <c r="I75" s="1400"/>
      <c r="J75" s="1400"/>
      <c r="K75" s="1400"/>
      <c r="L75" s="1400"/>
      <c r="M75" s="1400"/>
      <c r="N75" s="1400"/>
      <c r="O75" s="1400"/>
      <c r="P75" s="1400"/>
      <c r="Q75" s="1401"/>
    </row>
    <row r="76" spans="2:17" s="431" customFormat="1" ht="23.25" customHeight="1" thickBot="1" x14ac:dyDescent="0.25">
      <c r="B76" s="1387" t="s">
        <v>42</v>
      </c>
      <c r="C76" s="1367">
        <v>2</v>
      </c>
      <c r="D76" s="449"/>
      <c r="E76" s="505"/>
      <c r="F76" s="1358">
        <f>SUM(E77:E86)</f>
        <v>25008.649999999998</v>
      </c>
      <c r="G76" s="1072"/>
      <c r="H76" s="1632"/>
      <c r="I76" s="1633"/>
      <c r="J76" s="1634"/>
      <c r="K76" s="1632"/>
      <c r="L76" s="1633"/>
      <c r="M76" s="1634"/>
      <c r="N76" s="474"/>
      <c r="O76" s="476"/>
      <c r="P76" s="476"/>
      <c r="Q76" s="477"/>
    </row>
    <row r="77" spans="2:17" s="431" customFormat="1" ht="23.25" customHeight="1" x14ac:dyDescent="0.2">
      <c r="B77" s="1390"/>
      <c r="C77" s="1402">
        <v>2.1</v>
      </c>
      <c r="D77" s="437"/>
      <c r="E77" s="438">
        <v>2500.85</v>
      </c>
      <c r="F77" s="501"/>
      <c r="G77" s="1074"/>
      <c r="H77" s="1635"/>
      <c r="I77" s="1636"/>
      <c r="J77" s="1637"/>
      <c r="K77" s="1635"/>
      <c r="L77" s="1636"/>
      <c r="M77" s="1637"/>
      <c r="N77" s="475"/>
      <c r="O77" s="478"/>
      <c r="P77" s="478"/>
      <c r="Q77" s="478"/>
    </row>
    <row r="78" spans="2:17" s="431" customFormat="1" ht="23.25" customHeight="1" x14ac:dyDescent="0.2">
      <c r="B78" s="1390"/>
      <c r="C78" s="1392">
        <v>2.2000000000000002</v>
      </c>
      <c r="D78" s="440"/>
      <c r="E78" s="441">
        <v>2500.85</v>
      </c>
      <c r="F78" s="502"/>
      <c r="G78" s="1073"/>
      <c r="H78" s="1629"/>
      <c r="I78" s="1630"/>
      <c r="J78" s="1631"/>
      <c r="K78" s="1629"/>
      <c r="L78" s="1630"/>
      <c r="M78" s="1631"/>
      <c r="N78" s="475"/>
      <c r="O78" s="479"/>
      <c r="P78" s="479"/>
      <c r="Q78" s="479"/>
    </row>
    <row r="79" spans="2:17" s="431" customFormat="1" ht="23.25" customHeight="1" x14ac:dyDescent="0.2">
      <c r="B79" s="1390"/>
      <c r="C79" s="1392">
        <v>2.2999999999999998</v>
      </c>
      <c r="D79" s="440"/>
      <c r="E79" s="441">
        <v>2500.85</v>
      </c>
      <c r="F79" s="502"/>
      <c r="G79" s="1073"/>
      <c r="H79" s="1629"/>
      <c r="I79" s="1630"/>
      <c r="J79" s="1631"/>
      <c r="K79" s="1629"/>
      <c r="L79" s="1630"/>
      <c r="M79" s="1631"/>
      <c r="N79" s="475"/>
      <c r="O79" s="479"/>
      <c r="P79" s="479"/>
      <c r="Q79" s="479"/>
    </row>
    <row r="80" spans="2:17" s="431" customFormat="1" ht="32.1" customHeight="1" x14ac:dyDescent="0.2">
      <c r="B80" s="1390"/>
      <c r="C80" s="1392">
        <v>2.4</v>
      </c>
      <c r="D80" s="440"/>
      <c r="E80" s="441">
        <v>2500.85</v>
      </c>
      <c r="F80" s="502"/>
      <c r="G80" s="1073"/>
      <c r="H80" s="1629"/>
      <c r="I80" s="1630"/>
      <c r="J80" s="1631"/>
      <c r="K80" s="1629"/>
      <c r="L80" s="1630"/>
      <c r="M80" s="1631"/>
      <c r="N80" s="475"/>
      <c r="O80" s="479"/>
      <c r="P80" s="479"/>
      <c r="Q80" s="479"/>
    </row>
    <row r="81" spans="2:57" s="431" customFormat="1" ht="15" x14ac:dyDescent="0.2">
      <c r="B81" s="1390"/>
      <c r="C81" s="1392">
        <v>2.5</v>
      </c>
      <c r="D81" s="440"/>
      <c r="E81" s="441">
        <v>2500.85</v>
      </c>
      <c r="F81" s="502"/>
      <c r="G81" s="1073"/>
      <c r="H81" s="1629"/>
      <c r="I81" s="1630"/>
      <c r="J81" s="1631"/>
      <c r="K81" s="1629"/>
      <c r="L81" s="1630"/>
      <c r="M81" s="1631"/>
      <c r="N81" s="475"/>
      <c r="O81" s="479"/>
      <c r="P81" s="479"/>
      <c r="Q81" s="479"/>
    </row>
    <row r="82" spans="2:57" ht="23.25" customHeight="1" x14ac:dyDescent="0.2">
      <c r="B82" s="1390"/>
      <c r="C82" s="1392">
        <v>2.6</v>
      </c>
      <c r="D82" s="440"/>
      <c r="E82" s="441">
        <v>2500.85</v>
      </c>
      <c r="F82" s="502"/>
      <c r="G82" s="1073"/>
      <c r="H82" s="1629"/>
      <c r="I82" s="1630"/>
      <c r="J82" s="1631"/>
      <c r="K82" s="1629"/>
      <c r="L82" s="1630"/>
      <c r="M82" s="1631"/>
      <c r="N82" s="475"/>
      <c r="O82" s="479"/>
      <c r="P82" s="479"/>
      <c r="Q82" s="479"/>
    </row>
    <row r="83" spans="2:57" ht="23.25" customHeight="1" x14ac:dyDescent="0.2">
      <c r="B83" s="1390"/>
      <c r="C83" s="1392">
        <v>2.7</v>
      </c>
      <c r="D83" s="440"/>
      <c r="E83" s="441">
        <v>2500.85</v>
      </c>
      <c r="F83" s="502"/>
      <c r="G83" s="1073"/>
      <c r="H83" s="1629"/>
      <c r="I83" s="1630"/>
      <c r="J83" s="1631"/>
      <c r="K83" s="1629"/>
      <c r="L83" s="1630"/>
      <c r="M83" s="1631"/>
      <c r="N83" s="475"/>
      <c r="O83" s="479"/>
      <c r="P83" s="479"/>
      <c r="Q83" s="479"/>
    </row>
    <row r="84" spans="2:57" ht="23.25" customHeight="1" x14ac:dyDescent="0.2">
      <c r="B84" s="1390"/>
      <c r="C84" s="1392">
        <v>2.8</v>
      </c>
      <c r="D84" s="440"/>
      <c r="E84" s="441">
        <v>2501</v>
      </c>
      <c r="F84" s="502"/>
      <c r="G84" s="1073"/>
      <c r="H84" s="1629"/>
      <c r="I84" s="1630"/>
      <c r="J84" s="1631"/>
      <c r="K84" s="1629"/>
      <c r="L84" s="1630"/>
      <c r="M84" s="1631"/>
      <c r="N84" s="475"/>
      <c r="O84" s="479"/>
      <c r="P84" s="479"/>
      <c r="Q84" s="479"/>
    </row>
    <row r="85" spans="2:57" ht="23.25" customHeight="1" x14ac:dyDescent="0.2">
      <c r="B85" s="1390"/>
      <c r="C85" s="1392">
        <v>2.9</v>
      </c>
      <c r="D85" s="440"/>
      <c r="E85" s="441">
        <v>2500.85</v>
      </c>
      <c r="F85" s="502"/>
      <c r="G85" s="1073"/>
      <c r="H85" s="1629"/>
      <c r="I85" s="1630"/>
      <c r="J85" s="1631"/>
      <c r="K85" s="1629"/>
      <c r="L85" s="1630"/>
      <c r="M85" s="1631"/>
      <c r="N85" s="475"/>
      <c r="O85" s="479"/>
      <c r="P85" s="479"/>
      <c r="Q85" s="479"/>
    </row>
    <row r="86" spans="2:57" ht="23.25" customHeight="1" x14ac:dyDescent="0.2">
      <c r="B86" s="1390"/>
      <c r="C86" s="1393">
        <v>2.1</v>
      </c>
      <c r="D86" s="440"/>
      <c r="E86" s="441">
        <v>2500.85</v>
      </c>
      <c r="F86" s="502"/>
      <c r="G86" s="1073"/>
      <c r="H86" s="1629"/>
      <c r="I86" s="1630"/>
      <c r="J86" s="1631"/>
      <c r="K86" s="1629"/>
      <c r="L86" s="1630"/>
      <c r="M86" s="1631"/>
      <c r="N86" s="475"/>
      <c r="O86" s="479"/>
      <c r="P86" s="479"/>
      <c r="Q86" s="479"/>
    </row>
    <row r="87" spans="2:57" ht="23.25" customHeight="1" thickBot="1" x14ac:dyDescent="0.25">
      <c r="B87" s="1403" t="s">
        <v>393</v>
      </c>
      <c r="C87" s="1395"/>
      <c r="D87" s="1396"/>
      <c r="E87" s="1396"/>
      <c r="F87" s="1396"/>
      <c r="G87" s="1396"/>
      <c r="H87" s="1396"/>
      <c r="I87" s="1396"/>
      <c r="J87" s="1396"/>
      <c r="K87" s="1396"/>
      <c r="L87" s="1396"/>
      <c r="M87" s="1396"/>
      <c r="N87" s="1396"/>
      <c r="O87" s="1396"/>
      <c r="P87" s="1396"/>
      <c r="Q87" s="1397"/>
    </row>
    <row r="88" spans="2:57" ht="8.1" customHeight="1" x14ac:dyDescent="0.2">
      <c r="B88" s="451"/>
      <c r="C88" s="452"/>
      <c r="D88" s="452"/>
      <c r="E88" s="452"/>
      <c r="F88" s="452"/>
      <c r="G88" s="452"/>
      <c r="H88" s="452"/>
      <c r="I88" s="452"/>
      <c r="J88" s="452"/>
      <c r="K88" s="452"/>
      <c r="L88" s="452"/>
      <c r="M88" s="452"/>
      <c r="N88" s="452"/>
      <c r="O88" s="452"/>
      <c r="P88" s="452"/>
      <c r="Q88" s="452"/>
    </row>
    <row r="89" spans="2:57" x14ac:dyDescent="0.2">
      <c r="B89" s="506"/>
      <c r="C89" s="507" t="s">
        <v>403</v>
      </c>
      <c r="D89" s="453"/>
      <c r="E89" s="453" t="s">
        <v>430</v>
      </c>
      <c r="F89" s="508">
        <f>SUM(F8,F35,F62)</f>
        <v>150051.29999999999</v>
      </c>
      <c r="G89" s="508"/>
      <c r="H89" s="509"/>
      <c r="I89" s="509"/>
      <c r="J89" s="509"/>
      <c r="K89" s="509"/>
      <c r="L89" s="509"/>
      <c r="M89" s="509"/>
      <c r="N89" s="1627"/>
      <c r="O89" s="1627"/>
      <c r="P89" s="1627"/>
      <c r="Q89" s="1628"/>
    </row>
    <row r="91" spans="2:57" x14ac:dyDescent="0.2">
      <c r="E91" s="1031" t="s">
        <v>408</v>
      </c>
      <c r="F91" s="1031"/>
      <c r="G91" s="1032"/>
      <c r="H91" s="1032"/>
      <c r="I91" s="1032"/>
      <c r="J91" s="1032"/>
    </row>
    <row r="92" spans="2:57" x14ac:dyDescent="0.2">
      <c r="D92" s="430" t="s">
        <v>404</v>
      </c>
      <c r="E92" s="458"/>
      <c r="F92" s="459"/>
      <c r="G92" s="460"/>
      <c r="H92" s="461"/>
      <c r="I92" s="462"/>
      <c r="J92" s="463"/>
      <c r="M92" s="456"/>
      <c r="N92" s="457"/>
      <c r="Q92" s="431"/>
      <c r="BE92" s="432"/>
    </row>
    <row r="93" spans="2:57" x14ac:dyDescent="0.2">
      <c r="D93" s="430" t="s">
        <v>405</v>
      </c>
      <c r="E93" s="428" t="s">
        <v>282</v>
      </c>
      <c r="F93" s="428" t="s">
        <v>283</v>
      </c>
      <c r="G93" s="428" t="s">
        <v>284</v>
      </c>
      <c r="H93" s="428" t="s">
        <v>285</v>
      </c>
      <c r="I93" s="428" t="s">
        <v>286</v>
      </c>
      <c r="J93" s="428" t="s">
        <v>287</v>
      </c>
      <c r="M93" s="456"/>
      <c r="N93" s="457"/>
      <c r="Q93" s="431"/>
      <c r="BE93" s="432"/>
    </row>
    <row r="94" spans="2:57" x14ac:dyDescent="0.2">
      <c r="D94" s="430" t="s">
        <v>406</v>
      </c>
      <c r="E94" s="419">
        <f>'Proposer Acct. Data'!C12</f>
        <v>0</v>
      </c>
      <c r="F94" s="419">
        <f>'Proposer Acct. Data'!D12</f>
        <v>366</v>
      </c>
      <c r="G94" s="419">
        <f>'Proposer Acct. Data'!E12</f>
        <v>731</v>
      </c>
      <c r="H94" s="419">
        <f>'Proposer Acct. Data'!F12</f>
        <v>1096</v>
      </c>
      <c r="I94" s="419">
        <f>'Proposer Acct. Data'!G12</f>
        <v>1461</v>
      </c>
      <c r="J94" s="419">
        <f>'Proposer Acct. Data'!H12</f>
        <v>1827</v>
      </c>
      <c r="M94" s="456"/>
      <c r="N94" s="457"/>
      <c r="Q94" s="431"/>
      <c r="BE94" s="432"/>
    </row>
    <row r="95" spans="2:57" x14ac:dyDescent="0.2">
      <c r="D95" s="430" t="s">
        <v>407</v>
      </c>
      <c r="E95" s="419">
        <f>'Proposer Acct. Data'!C13</f>
        <v>0</v>
      </c>
      <c r="F95" s="419">
        <f>'Proposer Acct. Data'!D13</f>
        <v>366</v>
      </c>
      <c r="G95" s="419">
        <f>'Proposer Acct. Data'!E13</f>
        <v>731</v>
      </c>
      <c r="H95" s="419">
        <f>'Proposer Acct. Data'!F13</f>
        <v>1096</v>
      </c>
      <c r="I95" s="419">
        <f>'Proposer Acct. Data'!G13</f>
        <v>1461</v>
      </c>
      <c r="J95" s="419">
        <f>'Proposer Acct. Data'!H13</f>
        <v>1827</v>
      </c>
      <c r="M95" s="456"/>
      <c r="N95" s="457"/>
      <c r="Q95" s="431"/>
      <c r="BE95" s="432"/>
    </row>
    <row r="96" spans="2:57" x14ac:dyDescent="0.2">
      <c r="F96" s="432"/>
      <c r="M96" s="456"/>
      <c r="N96" s="457"/>
      <c r="Q96" s="431"/>
      <c r="BE96" s="432"/>
    </row>
    <row r="97" spans="3:57" x14ac:dyDescent="0.2">
      <c r="D97" s="455"/>
      <c r="E97" s="1031" t="s">
        <v>471</v>
      </c>
      <c r="F97" s="1032"/>
      <c r="G97" s="1032"/>
      <c r="H97" s="1032"/>
      <c r="I97" s="1032"/>
      <c r="M97" s="456"/>
      <c r="N97" s="457"/>
      <c r="Q97" s="431"/>
      <c r="BE97" s="432"/>
    </row>
    <row r="98" spans="3:57" ht="15.75" thickBot="1" x14ac:dyDescent="0.25">
      <c r="C98" s="1110"/>
      <c r="D98" s="1111" t="s">
        <v>13</v>
      </c>
      <c r="E98" s="1112"/>
      <c r="F98" s="1113"/>
      <c r="G98" s="1114"/>
      <c r="H98" s="1115"/>
      <c r="I98" s="1116"/>
      <c r="J98" s="1117"/>
      <c r="K98" s="1118" t="s">
        <v>276</v>
      </c>
      <c r="L98" s="1119" t="s">
        <v>426</v>
      </c>
      <c r="M98" s="456"/>
      <c r="N98" s="457"/>
      <c r="Q98" s="431"/>
      <c r="BE98" s="432"/>
    </row>
    <row r="99" spans="3:57" ht="15" x14ac:dyDescent="0.2">
      <c r="C99" s="1120" t="s">
        <v>49</v>
      </c>
      <c r="D99" s="1121" t="s">
        <v>402</v>
      </c>
      <c r="E99" s="1122">
        <f>SUM(E9:E24)</f>
        <v>30010.199999999993</v>
      </c>
      <c r="F99" s="1122">
        <f>SUM(E25:E32)</f>
        <v>20006.8</v>
      </c>
      <c r="G99" s="1122"/>
      <c r="H99" s="480"/>
      <c r="I99" s="480"/>
      <c r="J99" s="481"/>
      <c r="K99" s="493">
        <f>SUM(E99:J99)</f>
        <v>50016.999999999993</v>
      </c>
      <c r="L99" s="484">
        <f>K99-K100</f>
        <v>50016.999999999993</v>
      </c>
      <c r="M99" s="456"/>
      <c r="N99" s="457"/>
      <c r="Q99" s="431"/>
      <c r="BE99" s="432"/>
    </row>
    <row r="100" spans="3:57" ht="15.75" thickBot="1" x14ac:dyDescent="0.25">
      <c r="C100" s="1123" t="s">
        <v>420</v>
      </c>
      <c r="D100" s="1124" t="s">
        <v>421</v>
      </c>
      <c r="E100" s="1125">
        <f>'Base (Ph1)'!M90</f>
        <v>0</v>
      </c>
      <c r="F100" s="1125">
        <f>'Base (Ph1)'!V90</f>
        <v>0</v>
      </c>
      <c r="G100" s="1125">
        <f>'Base (Ph1)'!AE90</f>
        <v>0</v>
      </c>
      <c r="H100" s="1125">
        <f>'Base (Ph1)'!AN90</f>
        <v>0</v>
      </c>
      <c r="I100" s="1125">
        <f>'Base (Ph1)'!AW90</f>
        <v>0</v>
      </c>
      <c r="J100" s="1125">
        <f>'Base (Ph1)'!BF90</f>
        <v>0</v>
      </c>
      <c r="K100" s="494">
        <f>SUM(E100:J100)</f>
        <v>0</v>
      </c>
      <c r="L100" s="486"/>
      <c r="M100" s="456"/>
      <c r="N100" s="457"/>
      <c r="Q100" s="431"/>
      <c r="BE100" s="432"/>
    </row>
    <row r="101" spans="3:57" ht="9.9499999999999993" customHeight="1" thickBot="1" x14ac:dyDescent="0.25">
      <c r="C101" s="1123"/>
      <c r="D101" s="1124"/>
      <c r="E101" s="1124"/>
      <c r="F101" s="1124"/>
      <c r="G101" s="1124"/>
      <c r="H101" s="1124"/>
      <c r="I101" s="1124"/>
      <c r="J101" s="1124"/>
      <c r="K101" s="1124"/>
      <c r="L101" s="1124"/>
      <c r="M101" s="1124"/>
      <c r="N101" s="457"/>
      <c r="Q101" s="431"/>
      <c r="BE101" s="432"/>
    </row>
    <row r="102" spans="3:57" ht="15" x14ac:dyDescent="0.2">
      <c r="C102" s="1120" t="s">
        <v>50</v>
      </c>
      <c r="D102" s="1121" t="s">
        <v>416</v>
      </c>
      <c r="E102" s="1126"/>
      <c r="F102" s="1122">
        <f>SUM(E36:E41)</f>
        <v>12504.25</v>
      </c>
      <c r="G102" s="1025">
        <f>SUM(E42:E56)</f>
        <v>30010.199999999993</v>
      </c>
      <c r="H102" s="1025">
        <f>SUM(E57:E59)</f>
        <v>7502.5499999999993</v>
      </c>
      <c r="I102" s="480"/>
      <c r="J102" s="480"/>
      <c r="K102" s="493">
        <f>SUM(E102:J102)</f>
        <v>50017</v>
      </c>
      <c r="L102" s="484">
        <f>K102-K103</f>
        <v>50017</v>
      </c>
      <c r="M102" s="456"/>
      <c r="N102" s="457"/>
      <c r="Q102" s="431"/>
      <c r="BE102" s="432"/>
    </row>
    <row r="103" spans="3:57" ht="15.75" thickBot="1" x14ac:dyDescent="0.25">
      <c r="C103" s="1123" t="s">
        <v>420</v>
      </c>
      <c r="D103" s="1124" t="s">
        <v>422</v>
      </c>
      <c r="E103" s="1125">
        <f>'O-I (Ph2)'!M90</f>
        <v>0</v>
      </c>
      <c r="F103" s="1125">
        <f>'O-I (Ph2)'!V90</f>
        <v>0</v>
      </c>
      <c r="G103" s="1125">
        <f>'O-I (Ph2)'!AE90</f>
        <v>0</v>
      </c>
      <c r="H103" s="1125">
        <f>'O-I (Ph2)'!AN90</f>
        <v>0</v>
      </c>
      <c r="I103" s="1125">
        <f>'O-I (Ph2)'!AW90</f>
        <v>0</v>
      </c>
      <c r="J103" s="1125">
        <f>'O-I (Ph2)'!BF90</f>
        <v>0</v>
      </c>
      <c r="K103" s="494">
        <f>SUM(E103:J103)</f>
        <v>0</v>
      </c>
      <c r="L103" s="486"/>
      <c r="M103" s="456"/>
      <c r="N103" s="457"/>
      <c r="Q103" s="431"/>
      <c r="BE103" s="432"/>
    </row>
    <row r="104" spans="3:57" ht="9.9499999999999993" customHeight="1" thickBot="1" x14ac:dyDescent="0.25">
      <c r="C104" s="1123"/>
      <c r="D104" s="1124"/>
      <c r="E104" s="1124"/>
      <c r="F104" s="1124"/>
      <c r="G104" s="1124"/>
      <c r="H104" s="1124"/>
      <c r="I104" s="1124"/>
      <c r="J104" s="1124"/>
      <c r="K104" s="1124"/>
      <c r="L104" s="1124"/>
      <c r="M104" s="1124"/>
      <c r="N104" s="457"/>
      <c r="Q104" s="431"/>
      <c r="BE104" s="432"/>
    </row>
    <row r="105" spans="3:57" ht="15" x14ac:dyDescent="0.2">
      <c r="C105" s="1120" t="s">
        <v>412</v>
      </c>
      <c r="D105" s="1121" t="s">
        <v>400</v>
      </c>
      <c r="E105" s="1126"/>
      <c r="F105" s="480"/>
      <c r="G105" s="1026"/>
      <c r="H105" s="1025">
        <f>SUM(E71:E73)</f>
        <v>7502.7000000000007</v>
      </c>
      <c r="I105" s="1027">
        <f>SUM(E71:E86)</f>
        <v>32511.349999999995</v>
      </c>
      <c r="J105" s="480"/>
      <c r="K105" s="493">
        <f>SUM(E105:J105)</f>
        <v>40014.049999999996</v>
      </c>
      <c r="L105" s="484">
        <f>K105-K106</f>
        <v>40014.049999999996</v>
      </c>
      <c r="M105" s="456"/>
      <c r="N105" s="457"/>
      <c r="Q105" s="431"/>
      <c r="BE105" s="432"/>
    </row>
    <row r="106" spans="3:57" ht="15.75" thickBot="1" x14ac:dyDescent="0.25">
      <c r="C106" s="1123" t="s">
        <v>420</v>
      </c>
      <c r="D106" s="1124" t="s">
        <v>423</v>
      </c>
      <c r="E106" s="1125">
        <f>'O-II (Ph3)'!M90</f>
        <v>0</v>
      </c>
      <c r="F106" s="1125">
        <f>'O-II (Ph3)'!V90</f>
        <v>0</v>
      </c>
      <c r="G106" s="1125">
        <f>'O-II (Ph3)'!AE90</f>
        <v>0</v>
      </c>
      <c r="H106" s="1125">
        <f>'O-II (Ph3)'!AN90</f>
        <v>0</v>
      </c>
      <c r="I106" s="1125">
        <f>'O-II (Ph3)'!AW90</f>
        <v>0</v>
      </c>
      <c r="J106" s="1125">
        <f>'O-II (Ph3)'!BF90</f>
        <v>0</v>
      </c>
      <c r="K106" s="494">
        <f>SUM(E106:J106)</f>
        <v>0</v>
      </c>
      <c r="L106" s="486"/>
      <c r="M106" s="456"/>
      <c r="N106" s="457"/>
      <c r="Q106" s="431"/>
      <c r="BE106" s="432"/>
    </row>
    <row r="107" spans="3:57" ht="9.9499999999999993" customHeight="1" thickBot="1" x14ac:dyDescent="0.25">
      <c r="C107" s="1123"/>
      <c r="D107" s="1124"/>
      <c r="E107" s="1124"/>
      <c r="F107" s="1124"/>
      <c r="G107" s="1124"/>
      <c r="H107" s="1124"/>
      <c r="I107" s="1124"/>
      <c r="J107" s="1124"/>
      <c r="K107" s="1124"/>
      <c r="L107" s="1124"/>
      <c r="M107" s="1124"/>
      <c r="N107" s="457"/>
      <c r="Q107" s="431"/>
      <c r="BE107" s="432"/>
    </row>
    <row r="108" spans="3:57" ht="15" x14ac:dyDescent="0.2">
      <c r="C108" s="1120" t="s">
        <v>413</v>
      </c>
      <c r="D108" s="1121" t="s">
        <v>417</v>
      </c>
      <c r="E108" s="1126"/>
      <c r="F108" s="480"/>
      <c r="G108" s="480"/>
      <c r="H108" s="1026"/>
      <c r="I108" s="1025"/>
      <c r="J108" s="480"/>
      <c r="K108" s="483">
        <f>SUM(E108:J108)</f>
        <v>0</v>
      </c>
      <c r="L108" s="484">
        <f>K108-K109</f>
        <v>0</v>
      </c>
      <c r="M108" s="456"/>
      <c r="N108" s="457"/>
      <c r="Q108" s="431"/>
      <c r="BE108" s="432"/>
    </row>
    <row r="109" spans="3:57" ht="15.75" thickBot="1" x14ac:dyDescent="0.25">
      <c r="C109" s="1123" t="s">
        <v>420</v>
      </c>
      <c r="D109" s="1124" t="s">
        <v>424</v>
      </c>
      <c r="E109" s="1125">
        <f>'O-III (Ph4)'!M90</f>
        <v>0</v>
      </c>
      <c r="F109" s="1125">
        <f>'O-III (Ph4)'!V90</f>
        <v>0</v>
      </c>
      <c r="G109" s="1125">
        <f>'O-III (Ph4)'!AE90</f>
        <v>0</v>
      </c>
      <c r="H109" s="1125">
        <f>'O-III (Ph4)'!AN90</f>
        <v>0</v>
      </c>
      <c r="I109" s="1125">
        <f>'O-III (Ph4)'!AW90</f>
        <v>0</v>
      </c>
      <c r="J109" s="1125">
        <f>'O-III (Ph4)'!BF90</f>
        <v>0</v>
      </c>
      <c r="K109" s="485">
        <f>SUM(E109:J109)</f>
        <v>0</v>
      </c>
      <c r="L109" s="486"/>
      <c r="M109" s="456"/>
      <c r="N109" s="457"/>
      <c r="Q109" s="431"/>
      <c r="BE109" s="432"/>
    </row>
    <row r="110" spans="3:57" ht="9.9499999999999993" customHeight="1" thickBot="1" x14ac:dyDescent="0.25">
      <c r="C110" s="1123"/>
      <c r="D110" s="1124"/>
      <c r="E110" s="1124"/>
      <c r="F110" s="1124"/>
      <c r="G110" s="1124"/>
      <c r="H110" s="1124"/>
      <c r="I110" s="1124"/>
      <c r="J110" s="1124"/>
      <c r="K110" s="1124"/>
      <c r="L110" s="1124"/>
      <c r="M110" s="1124"/>
      <c r="N110" s="457"/>
      <c r="Q110" s="431"/>
      <c r="BE110" s="432"/>
    </row>
    <row r="111" spans="3:57" ht="15" x14ac:dyDescent="0.2">
      <c r="C111" s="1120" t="s">
        <v>414</v>
      </c>
      <c r="D111" s="1121" t="s">
        <v>418</v>
      </c>
      <c r="E111" s="1126"/>
      <c r="F111" s="1126"/>
      <c r="G111" s="1126"/>
      <c r="H111" s="1126"/>
      <c r="I111" s="1126"/>
      <c r="J111" s="1126"/>
      <c r="K111" s="483">
        <f>SUM(E111:J111)</f>
        <v>0</v>
      </c>
      <c r="L111" s="484">
        <f>K111-K112</f>
        <v>0</v>
      </c>
      <c r="M111" s="456"/>
      <c r="N111" s="457"/>
      <c r="Q111" s="431"/>
      <c r="BE111" s="432"/>
    </row>
    <row r="112" spans="3:57" ht="15.75" thickBot="1" x14ac:dyDescent="0.25">
      <c r="C112" s="1123" t="s">
        <v>420</v>
      </c>
      <c r="D112" s="1124" t="s">
        <v>425</v>
      </c>
      <c r="E112" s="1125">
        <f>'O-IV (Ph5)'!M90</f>
        <v>0</v>
      </c>
      <c r="F112" s="1125">
        <f>'O-IV (Ph5)'!V90</f>
        <v>0</v>
      </c>
      <c r="G112" s="1125">
        <f>'O-IV (Ph5)'!AE90</f>
        <v>0</v>
      </c>
      <c r="H112" s="1125">
        <f>'O-IV (Ph5)'!AN90</f>
        <v>0</v>
      </c>
      <c r="I112" s="1125">
        <f>'O-IV (Ph5)'!AW90</f>
        <v>0</v>
      </c>
      <c r="J112" s="1125">
        <f>'O-IV (Ph5)'!BF90</f>
        <v>0</v>
      </c>
      <c r="K112" s="485">
        <f>SUM(E112:J112)</f>
        <v>0</v>
      </c>
      <c r="L112" s="486"/>
      <c r="M112" s="456"/>
      <c r="N112" s="457"/>
      <c r="Q112" s="431"/>
      <c r="BE112" s="432"/>
    </row>
    <row r="113" spans="2:57" ht="9.9499999999999993" customHeight="1" thickBot="1" x14ac:dyDescent="0.25">
      <c r="C113" s="1123"/>
      <c r="D113" s="1124"/>
      <c r="E113" s="1124"/>
      <c r="F113" s="1124"/>
      <c r="G113" s="1124"/>
      <c r="H113" s="1124"/>
      <c r="I113" s="1124"/>
      <c r="J113" s="1124"/>
      <c r="K113" s="1124"/>
      <c r="L113" s="1124"/>
      <c r="M113" s="1124"/>
      <c r="N113" s="457"/>
      <c r="Q113" s="431"/>
      <c r="BE113" s="432"/>
    </row>
    <row r="114" spans="2:57" ht="15" x14ac:dyDescent="0.2">
      <c r="C114" s="1120" t="s">
        <v>415</v>
      </c>
      <c r="D114" s="1121" t="s">
        <v>419</v>
      </c>
      <c r="E114" s="1126"/>
      <c r="F114" s="1126"/>
      <c r="G114" s="1126"/>
      <c r="H114" s="1126"/>
      <c r="I114" s="1126"/>
      <c r="J114" s="1126"/>
      <c r="K114" s="483">
        <f>SUM(E114:J114)</f>
        <v>0</v>
      </c>
      <c r="L114" s="484">
        <f>K114-K115</f>
        <v>0</v>
      </c>
      <c r="M114" s="456"/>
      <c r="N114" s="457"/>
      <c r="Q114" s="431"/>
      <c r="BE114" s="432"/>
    </row>
    <row r="115" spans="2:57" ht="15.75" thickBot="1" x14ac:dyDescent="0.25">
      <c r="C115" s="1123" t="s">
        <v>420</v>
      </c>
      <c r="D115" s="1124" t="s">
        <v>425</v>
      </c>
      <c r="E115" s="1125">
        <f>'O-V (Ph6)'!M90</f>
        <v>0</v>
      </c>
      <c r="F115" s="1125">
        <f>'O-V (Ph6)'!V90</f>
        <v>0</v>
      </c>
      <c r="G115" s="1125">
        <f>'O-V (Ph6)'!AE90</f>
        <v>0</v>
      </c>
      <c r="H115" s="1125">
        <f>'O-V (Ph6)'!AN90</f>
        <v>0</v>
      </c>
      <c r="I115" s="1125">
        <f>'O-V (Ph6)'!AW90</f>
        <v>0</v>
      </c>
      <c r="J115" s="1125">
        <f>'O-V (Ph6)'!BF90</f>
        <v>0</v>
      </c>
      <c r="K115" s="485">
        <f>SUM(E115:J115)</f>
        <v>0</v>
      </c>
      <c r="L115" s="486"/>
      <c r="M115" s="456"/>
      <c r="N115" s="457"/>
      <c r="Q115" s="431"/>
      <c r="BE115" s="432"/>
    </row>
    <row r="116" spans="2:57" ht="18.75" x14ac:dyDescent="0.2">
      <c r="C116" s="1028"/>
      <c r="D116" s="1029"/>
      <c r="E116" s="487"/>
      <c r="F116" s="488"/>
      <c r="G116" s="489"/>
      <c r="H116" s="490"/>
      <c r="I116" s="491"/>
      <c r="J116" s="492"/>
      <c r="K116" s="1030" t="s">
        <v>427</v>
      </c>
      <c r="L116" s="482"/>
      <c r="M116" s="456"/>
      <c r="N116" s="457"/>
      <c r="Q116" s="431"/>
      <c r="BE116" s="432"/>
    </row>
    <row r="117" spans="2:57" s="470" customFormat="1" x14ac:dyDescent="0.2">
      <c r="C117" s="467"/>
      <c r="D117" s="468"/>
      <c r="E117" s="469"/>
      <c r="F117" s="469"/>
      <c r="N117" s="471"/>
      <c r="O117" s="472"/>
      <c r="P117" s="472"/>
      <c r="Q117" s="472"/>
      <c r="R117" s="473"/>
      <c r="S117" s="473"/>
      <c r="T117" s="473"/>
      <c r="U117" s="473"/>
      <c r="V117" s="473"/>
      <c r="W117" s="473"/>
      <c r="X117" s="473"/>
      <c r="Y117" s="473"/>
      <c r="Z117" s="473"/>
      <c r="AA117" s="473"/>
      <c r="AB117" s="473"/>
      <c r="AC117" s="473"/>
      <c r="AD117" s="473"/>
      <c r="AE117" s="473"/>
      <c r="AF117" s="473"/>
      <c r="AG117" s="473"/>
      <c r="AH117" s="473"/>
      <c r="AI117" s="473"/>
      <c r="AJ117" s="473"/>
      <c r="AK117" s="473"/>
      <c r="AL117" s="473"/>
      <c r="AM117" s="473"/>
      <c r="AN117" s="473"/>
      <c r="AO117" s="473"/>
      <c r="AP117" s="473"/>
      <c r="AQ117" s="473"/>
      <c r="AR117" s="473"/>
      <c r="AS117" s="473"/>
      <c r="AT117" s="473"/>
      <c r="AU117" s="473"/>
      <c r="AV117" s="473"/>
      <c r="AW117" s="473"/>
      <c r="AX117" s="473"/>
      <c r="AY117" s="473"/>
      <c r="AZ117" s="473"/>
      <c r="BA117" s="473"/>
      <c r="BB117" s="473"/>
      <c r="BC117" s="473"/>
      <c r="BD117" s="473"/>
      <c r="BE117" s="473"/>
    </row>
    <row r="118" spans="2:57" s="470" customFormat="1" ht="23.25" customHeight="1" x14ac:dyDescent="0.2">
      <c r="B118" s="1024" t="s">
        <v>42</v>
      </c>
      <c r="C118" s="1646" t="s">
        <v>757</v>
      </c>
      <c r="D118" s="1646"/>
      <c r="E118" s="1646"/>
      <c r="F118" s="1646"/>
      <c r="N118" s="471"/>
      <c r="O118" s="472"/>
      <c r="P118" s="472"/>
      <c r="Q118" s="472"/>
      <c r="R118" s="473"/>
      <c r="S118" s="473"/>
      <c r="T118" s="473"/>
      <c r="U118" s="473"/>
      <c r="V118" s="473"/>
      <c r="W118" s="473"/>
      <c r="X118" s="473"/>
      <c r="Y118" s="473"/>
      <c r="Z118" s="473"/>
      <c r="AA118" s="473"/>
      <c r="AB118" s="473"/>
      <c r="AC118" s="473"/>
      <c r="AD118" s="473"/>
      <c r="AE118" s="473"/>
      <c r="AF118" s="473"/>
      <c r="AG118" s="473"/>
      <c r="AH118" s="473"/>
      <c r="AI118" s="473"/>
      <c r="AJ118" s="473"/>
      <c r="AK118" s="473"/>
      <c r="AL118" s="473"/>
      <c r="AM118" s="473"/>
      <c r="AN118" s="473"/>
      <c r="AO118" s="473"/>
      <c r="AP118" s="473"/>
      <c r="AQ118" s="473"/>
      <c r="AR118" s="473"/>
      <c r="AS118" s="473"/>
      <c r="AT118" s="473"/>
      <c r="AU118" s="473"/>
      <c r="AV118" s="473"/>
      <c r="AW118" s="473"/>
      <c r="AX118" s="473"/>
      <c r="AY118" s="473"/>
      <c r="AZ118" s="473"/>
      <c r="BA118" s="473"/>
      <c r="BB118" s="473"/>
      <c r="BC118" s="473"/>
      <c r="BD118" s="473"/>
      <c r="BE118" s="473"/>
    </row>
    <row r="119" spans="2:57" s="470" customFormat="1" ht="23.25" customHeight="1" x14ac:dyDescent="0.2">
      <c r="C119" s="1646"/>
      <c r="D119" s="1646"/>
      <c r="E119" s="1646"/>
      <c r="F119" s="1646"/>
      <c r="N119" s="471"/>
      <c r="O119" s="472"/>
      <c r="P119" s="472"/>
      <c r="Q119" s="472"/>
      <c r="R119" s="473"/>
      <c r="S119" s="473"/>
      <c r="T119" s="473"/>
      <c r="U119" s="473"/>
      <c r="V119" s="473"/>
      <c r="W119" s="473"/>
      <c r="X119" s="473"/>
      <c r="Y119" s="473"/>
      <c r="Z119" s="473"/>
      <c r="AA119" s="473"/>
      <c r="AB119" s="473"/>
      <c r="AC119" s="473"/>
      <c r="AD119" s="473"/>
      <c r="AE119" s="473"/>
      <c r="AF119" s="473"/>
      <c r="AG119" s="473"/>
      <c r="AH119" s="473"/>
      <c r="AI119" s="473"/>
      <c r="AJ119" s="473"/>
      <c r="AK119" s="473"/>
      <c r="AL119" s="473"/>
      <c r="AM119" s="473"/>
      <c r="AN119" s="473"/>
      <c r="AO119" s="473"/>
      <c r="AP119" s="473"/>
      <c r="AQ119" s="473"/>
      <c r="AR119" s="473"/>
      <c r="AS119" s="473"/>
      <c r="AT119" s="473"/>
      <c r="AU119" s="473"/>
      <c r="AV119" s="473"/>
      <c r="AW119" s="473"/>
      <c r="AX119" s="473"/>
      <c r="AY119" s="473"/>
      <c r="AZ119" s="473"/>
      <c r="BA119" s="473"/>
      <c r="BB119" s="473"/>
      <c r="BC119" s="473"/>
      <c r="BD119" s="473"/>
      <c r="BE119" s="473"/>
    </row>
    <row r="120" spans="2:57" s="470" customFormat="1" ht="23.25" customHeight="1" x14ac:dyDescent="0.2">
      <c r="C120" s="1646"/>
      <c r="D120" s="1646"/>
      <c r="E120" s="1646"/>
      <c r="F120" s="1646"/>
      <c r="N120" s="471"/>
      <c r="O120" s="472"/>
      <c r="P120" s="472"/>
      <c r="Q120" s="472"/>
      <c r="R120" s="473"/>
      <c r="S120" s="473"/>
      <c r="T120" s="473"/>
      <c r="U120" s="473"/>
      <c r="V120" s="473"/>
      <c r="W120" s="473"/>
      <c r="X120" s="473"/>
      <c r="Y120" s="473"/>
      <c r="Z120" s="473"/>
      <c r="AA120" s="473"/>
      <c r="AB120" s="473"/>
      <c r="AC120" s="473"/>
      <c r="AD120" s="473"/>
      <c r="AE120" s="473"/>
      <c r="AF120" s="473"/>
      <c r="AG120" s="473"/>
      <c r="AH120" s="473"/>
      <c r="AI120" s="473"/>
      <c r="AJ120" s="473"/>
      <c r="AK120" s="473"/>
      <c r="AL120" s="473"/>
      <c r="AM120" s="473"/>
      <c r="AN120" s="473"/>
      <c r="AO120" s="473"/>
      <c r="AP120" s="473"/>
      <c r="AQ120" s="473"/>
      <c r="AR120" s="473"/>
      <c r="AS120" s="473"/>
      <c r="AT120" s="473"/>
      <c r="AU120" s="473"/>
      <c r="AV120" s="473"/>
      <c r="AW120" s="473"/>
      <c r="AX120" s="473"/>
      <c r="AY120" s="473"/>
      <c r="AZ120" s="473"/>
      <c r="BA120" s="473"/>
      <c r="BB120" s="473"/>
      <c r="BC120" s="473"/>
      <c r="BD120" s="473"/>
      <c r="BE120" s="473"/>
    </row>
    <row r="121" spans="2:57" s="470" customFormat="1" ht="36" customHeight="1" x14ac:dyDescent="0.2">
      <c r="C121" s="1646"/>
      <c r="D121" s="1646"/>
      <c r="E121" s="1646"/>
      <c r="F121" s="1646"/>
      <c r="N121" s="471"/>
      <c r="O121" s="472"/>
      <c r="P121" s="472"/>
      <c r="Q121" s="472"/>
      <c r="R121" s="473"/>
      <c r="S121" s="473"/>
      <c r="T121" s="473"/>
      <c r="U121" s="473"/>
      <c r="V121" s="473"/>
      <c r="W121" s="473"/>
      <c r="X121" s="473"/>
      <c r="Y121" s="473"/>
      <c r="Z121" s="473"/>
      <c r="AA121" s="473"/>
      <c r="AB121" s="473"/>
      <c r="AC121" s="473"/>
      <c r="AD121" s="473"/>
      <c r="AE121" s="473"/>
      <c r="AF121" s="473"/>
      <c r="AG121" s="473"/>
      <c r="AH121" s="473"/>
      <c r="AI121" s="473"/>
      <c r="AJ121" s="473"/>
      <c r="AK121" s="473"/>
      <c r="AL121" s="473"/>
      <c r="AM121" s="473"/>
      <c r="AN121" s="473"/>
      <c r="AO121" s="473"/>
      <c r="AP121" s="473"/>
      <c r="AQ121" s="473"/>
      <c r="AR121" s="473"/>
      <c r="AS121" s="473"/>
      <c r="AT121" s="473"/>
      <c r="AU121" s="473"/>
      <c r="AV121" s="473"/>
      <c r="AW121" s="473"/>
      <c r="AX121" s="473"/>
      <c r="AY121" s="473"/>
      <c r="AZ121" s="473"/>
      <c r="BA121" s="473"/>
      <c r="BB121" s="473"/>
      <c r="BC121" s="473"/>
      <c r="BD121" s="473"/>
      <c r="BE121" s="473"/>
    </row>
    <row r="122" spans="2:57" s="470" customFormat="1" x14ac:dyDescent="0.2">
      <c r="C122" s="467"/>
      <c r="D122" s="468"/>
      <c r="E122" s="469"/>
      <c r="F122" s="469"/>
      <c r="N122" s="471"/>
      <c r="O122" s="472"/>
      <c r="P122" s="472"/>
      <c r="Q122" s="472"/>
      <c r="R122" s="473"/>
      <c r="S122" s="473"/>
      <c r="T122" s="473"/>
      <c r="U122" s="473"/>
      <c r="V122" s="473"/>
      <c r="W122" s="473"/>
      <c r="X122" s="473"/>
      <c r="Y122" s="473"/>
      <c r="Z122" s="473"/>
      <c r="AA122" s="473"/>
      <c r="AB122" s="473"/>
      <c r="AC122" s="473"/>
      <c r="AD122" s="473"/>
      <c r="AE122" s="473"/>
      <c r="AF122" s="473"/>
      <c r="AG122" s="473"/>
      <c r="AH122" s="473"/>
      <c r="AI122" s="473"/>
      <c r="AJ122" s="473"/>
      <c r="AK122" s="473"/>
      <c r="AL122" s="473"/>
      <c r="AM122" s="473"/>
      <c r="AN122" s="473"/>
      <c r="AO122" s="473"/>
      <c r="AP122" s="473"/>
      <c r="AQ122" s="473"/>
      <c r="AR122" s="473"/>
      <c r="AS122" s="473"/>
      <c r="AT122" s="473"/>
      <c r="AU122" s="473"/>
      <c r="AV122" s="473"/>
      <c r="AW122" s="473"/>
      <c r="AX122" s="473"/>
      <c r="AY122" s="473"/>
      <c r="AZ122" s="473"/>
      <c r="BA122" s="473"/>
      <c r="BB122" s="473"/>
      <c r="BC122" s="473"/>
      <c r="BD122" s="473"/>
      <c r="BE122" s="473"/>
    </row>
    <row r="123" spans="2:57" s="470" customFormat="1" ht="15" x14ac:dyDescent="0.2">
      <c r="B123" s="1024" t="s">
        <v>13</v>
      </c>
      <c r="C123" s="1646" t="s">
        <v>758</v>
      </c>
      <c r="D123" s="1646"/>
      <c r="E123" s="1646"/>
      <c r="F123" s="1646"/>
      <c r="N123" s="471"/>
      <c r="O123" s="472"/>
      <c r="P123" s="472"/>
      <c r="Q123" s="472"/>
      <c r="R123" s="473"/>
      <c r="S123" s="473"/>
      <c r="T123" s="473"/>
      <c r="U123" s="473"/>
      <c r="V123" s="473"/>
      <c r="W123" s="473"/>
      <c r="X123" s="473"/>
      <c r="Y123" s="473"/>
      <c r="Z123" s="473"/>
      <c r="AA123" s="473"/>
      <c r="AB123" s="473"/>
      <c r="AC123" s="473"/>
      <c r="AD123" s="473"/>
      <c r="AE123" s="473"/>
      <c r="AF123" s="473"/>
      <c r="AG123" s="473"/>
      <c r="AH123" s="473"/>
      <c r="AI123" s="473"/>
      <c r="AJ123" s="473"/>
      <c r="AK123" s="473"/>
      <c r="AL123" s="473"/>
      <c r="AM123" s="473"/>
      <c r="AN123" s="473"/>
      <c r="AO123" s="473"/>
      <c r="AP123" s="473"/>
      <c r="AQ123" s="473"/>
      <c r="AR123" s="473"/>
      <c r="AS123" s="473"/>
      <c r="AT123" s="473"/>
      <c r="AU123" s="473"/>
      <c r="AV123" s="473"/>
      <c r="AW123" s="473"/>
      <c r="AX123" s="473"/>
      <c r="AY123" s="473"/>
      <c r="AZ123" s="473"/>
      <c r="BA123" s="473"/>
      <c r="BB123" s="473"/>
      <c r="BC123" s="473"/>
      <c r="BD123" s="473"/>
      <c r="BE123" s="473"/>
    </row>
    <row r="124" spans="2:57" s="470" customFormat="1" ht="14.25" x14ac:dyDescent="0.2">
      <c r="C124" s="1646"/>
      <c r="D124" s="1646"/>
      <c r="E124" s="1646"/>
      <c r="F124" s="1646"/>
      <c r="N124" s="471"/>
      <c r="O124" s="472"/>
      <c r="P124" s="472"/>
      <c r="Q124" s="472"/>
      <c r="R124" s="473"/>
      <c r="S124" s="473"/>
      <c r="T124" s="473"/>
      <c r="U124" s="473"/>
      <c r="V124" s="473"/>
      <c r="W124" s="473"/>
      <c r="X124" s="473"/>
      <c r="Y124" s="473"/>
      <c r="Z124" s="473"/>
      <c r="AA124" s="473"/>
      <c r="AB124" s="473"/>
      <c r="AC124" s="473"/>
      <c r="AD124" s="473"/>
      <c r="AE124" s="473"/>
      <c r="AF124" s="473"/>
      <c r="AG124" s="473"/>
      <c r="AH124" s="473"/>
      <c r="AI124" s="473"/>
      <c r="AJ124" s="473"/>
      <c r="AK124" s="473"/>
      <c r="AL124" s="473"/>
      <c r="AM124" s="473"/>
      <c r="AN124" s="473"/>
      <c r="AO124" s="473"/>
      <c r="AP124" s="473"/>
      <c r="AQ124" s="473"/>
      <c r="AR124" s="473"/>
      <c r="AS124" s="473"/>
      <c r="AT124" s="473"/>
      <c r="AU124" s="473"/>
      <c r="AV124" s="473"/>
      <c r="AW124" s="473"/>
      <c r="AX124" s="473"/>
      <c r="AY124" s="473"/>
      <c r="AZ124" s="473"/>
      <c r="BA124" s="473"/>
      <c r="BB124" s="473"/>
      <c r="BC124" s="473"/>
      <c r="BD124" s="473"/>
      <c r="BE124" s="473"/>
    </row>
    <row r="125" spans="2:57" s="470" customFormat="1" ht="14.25" x14ac:dyDescent="0.2">
      <c r="C125" s="1646"/>
      <c r="D125" s="1646"/>
      <c r="E125" s="1646"/>
      <c r="F125" s="1646"/>
      <c r="N125" s="471"/>
      <c r="O125" s="472"/>
      <c r="P125" s="472"/>
      <c r="Q125" s="472"/>
      <c r="R125" s="473"/>
      <c r="S125" s="473"/>
      <c r="T125" s="473"/>
      <c r="U125" s="473"/>
      <c r="V125" s="473"/>
      <c r="W125" s="473"/>
      <c r="X125" s="473"/>
      <c r="Y125" s="473"/>
      <c r="Z125" s="473"/>
      <c r="AA125" s="473"/>
      <c r="AB125" s="473"/>
      <c r="AC125" s="473"/>
      <c r="AD125" s="473"/>
      <c r="AE125" s="473"/>
      <c r="AF125" s="473"/>
      <c r="AG125" s="473"/>
      <c r="AH125" s="473"/>
      <c r="AI125" s="473"/>
      <c r="AJ125" s="473"/>
      <c r="AK125" s="473"/>
      <c r="AL125" s="473"/>
      <c r="AM125" s="473"/>
      <c r="AN125" s="473"/>
      <c r="AO125" s="473"/>
      <c r="AP125" s="473"/>
      <c r="AQ125" s="473"/>
      <c r="AR125" s="473"/>
      <c r="AS125" s="473"/>
      <c r="AT125" s="473"/>
      <c r="AU125" s="473"/>
      <c r="AV125" s="473"/>
      <c r="AW125" s="473"/>
      <c r="AX125" s="473"/>
      <c r="AY125" s="473"/>
      <c r="AZ125" s="473"/>
      <c r="BA125" s="473"/>
      <c r="BB125" s="473"/>
      <c r="BC125" s="473"/>
      <c r="BD125" s="473"/>
      <c r="BE125" s="473"/>
    </row>
    <row r="126" spans="2:57" s="470" customFormat="1" ht="16.5" customHeight="1" x14ac:dyDescent="0.2">
      <c r="C126" s="1646"/>
      <c r="D126" s="1646"/>
      <c r="E126" s="1646"/>
      <c r="F126" s="1646"/>
      <c r="N126" s="471"/>
      <c r="O126" s="472"/>
      <c r="P126" s="472"/>
      <c r="Q126" s="472"/>
      <c r="R126" s="473"/>
      <c r="S126" s="473"/>
      <c r="T126" s="473"/>
      <c r="U126" s="473"/>
      <c r="V126" s="473"/>
      <c r="W126" s="473"/>
      <c r="X126" s="473"/>
      <c r="Y126" s="473"/>
      <c r="Z126" s="473"/>
      <c r="AA126" s="473"/>
      <c r="AB126" s="473"/>
      <c r="AC126" s="473"/>
      <c r="AD126" s="473"/>
      <c r="AE126" s="473"/>
      <c r="AF126" s="473"/>
      <c r="AG126" s="473"/>
      <c r="AH126" s="473"/>
      <c r="AI126" s="473"/>
      <c r="AJ126" s="473"/>
      <c r="AK126" s="473"/>
      <c r="AL126" s="473"/>
      <c r="AM126" s="473"/>
      <c r="AN126" s="473"/>
      <c r="AO126" s="473"/>
      <c r="AP126" s="473"/>
      <c r="AQ126" s="473"/>
      <c r="AR126" s="473"/>
      <c r="AS126" s="473"/>
      <c r="AT126" s="473"/>
      <c r="AU126" s="473"/>
      <c r="AV126" s="473"/>
      <c r="AW126" s="473"/>
      <c r="AX126" s="473"/>
      <c r="AY126" s="473"/>
      <c r="AZ126" s="473"/>
      <c r="BA126" s="473"/>
      <c r="BB126" s="473"/>
      <c r="BC126" s="473"/>
      <c r="BD126" s="473"/>
      <c r="BE126" s="473"/>
    </row>
    <row r="127" spans="2:57" s="470" customFormat="1" ht="24" thickBot="1" x14ac:dyDescent="0.25">
      <c r="C127" s="467"/>
      <c r="D127" s="468"/>
      <c r="E127" s="469"/>
      <c r="F127" s="469"/>
      <c r="N127" s="471"/>
      <c r="O127" s="472"/>
      <c r="P127" s="472"/>
      <c r="Q127" s="472"/>
      <c r="R127" s="473"/>
      <c r="S127" s="473"/>
      <c r="T127" s="473"/>
      <c r="U127" s="473"/>
      <c r="V127" s="473"/>
      <c r="W127" s="473"/>
      <c r="X127" s="473"/>
      <c r="Y127" s="473"/>
      <c r="Z127" s="473"/>
      <c r="AA127" s="473"/>
      <c r="AB127" s="473"/>
      <c r="AC127" s="473"/>
      <c r="AD127" s="473"/>
      <c r="AE127" s="473"/>
      <c r="AF127" s="473"/>
      <c r="AG127" s="473"/>
      <c r="AH127" s="473"/>
      <c r="AI127" s="473"/>
      <c r="AJ127" s="473"/>
      <c r="AK127" s="473"/>
      <c r="AL127" s="473"/>
      <c r="AM127" s="473"/>
      <c r="AN127" s="473"/>
      <c r="AO127" s="473"/>
      <c r="AP127" s="473"/>
      <c r="AQ127" s="473"/>
      <c r="AR127" s="473"/>
      <c r="AS127" s="473"/>
      <c r="AT127" s="473"/>
      <c r="AU127" s="473"/>
      <c r="AV127" s="473"/>
      <c r="AW127" s="473"/>
      <c r="AX127" s="473"/>
      <c r="AY127" s="473"/>
      <c r="AZ127" s="473"/>
      <c r="BA127" s="473"/>
      <c r="BB127" s="473"/>
      <c r="BC127" s="473"/>
      <c r="BD127" s="473"/>
      <c r="BE127" s="473"/>
    </row>
    <row r="128" spans="2:57" customFormat="1" ht="16.5" thickBot="1" x14ac:dyDescent="0.3">
      <c r="C128" s="1520" t="s">
        <v>511</v>
      </c>
      <c r="D128" s="1570"/>
      <c r="E128" s="1521"/>
    </row>
    <row r="129" spans="2:57" customFormat="1" ht="15.75" x14ac:dyDescent="0.2">
      <c r="B129" s="872" t="s">
        <v>512</v>
      </c>
      <c r="C129" s="1571" t="s">
        <v>530</v>
      </c>
      <c r="D129" s="1572"/>
      <c r="E129" s="1572"/>
      <c r="F129" s="1572"/>
    </row>
    <row r="130" spans="2:57" customFormat="1" ht="15.75" x14ac:dyDescent="0.2">
      <c r="B130" s="873"/>
      <c r="C130" s="1494"/>
      <c r="D130" s="1565"/>
      <c r="E130" s="1565"/>
      <c r="F130" s="1495"/>
    </row>
    <row r="131" spans="2:57" customFormat="1" ht="15.75" x14ac:dyDescent="0.2">
      <c r="B131" s="290"/>
      <c r="C131" s="1494"/>
      <c r="D131" s="1565"/>
      <c r="E131" s="1565"/>
      <c r="F131" s="1495"/>
    </row>
    <row r="132" spans="2:57" customFormat="1" ht="15.75" x14ac:dyDescent="0.2">
      <c r="B132" s="290"/>
      <c r="C132" s="1494"/>
      <c r="D132" s="1565"/>
      <c r="E132" s="1565"/>
      <c r="F132" s="1495"/>
    </row>
    <row r="133" spans="2:57" customFormat="1" ht="15.75" x14ac:dyDescent="0.2">
      <c r="B133" s="290"/>
      <c r="C133" s="1494"/>
      <c r="D133" s="1565"/>
      <c r="E133" s="1565"/>
      <c r="F133" s="1495"/>
    </row>
    <row r="134" spans="2:57" customFormat="1" ht="15.75" x14ac:dyDescent="0.2">
      <c r="B134" s="290"/>
      <c r="C134" s="1494"/>
      <c r="D134" s="1565"/>
      <c r="E134" s="1565"/>
      <c r="F134" s="1495"/>
    </row>
    <row r="135" spans="2:57" customFormat="1" ht="15.75" x14ac:dyDescent="0.2">
      <c r="B135" s="290"/>
      <c r="C135" s="1494"/>
      <c r="D135" s="1565"/>
      <c r="E135" s="1565"/>
      <c r="F135" s="1495"/>
    </row>
    <row r="136" spans="2:57" customFormat="1" ht="15.75" customHeight="1" x14ac:dyDescent="0.2">
      <c r="B136" s="290"/>
      <c r="C136" s="1494"/>
      <c r="D136" s="1565"/>
      <c r="E136" s="1565"/>
      <c r="F136" s="1495"/>
    </row>
    <row r="137" spans="2:57" customFormat="1" ht="15.75" customHeight="1" x14ac:dyDescent="0.2">
      <c r="B137" s="290"/>
      <c r="C137" s="1494"/>
      <c r="D137" s="1565"/>
      <c r="E137" s="1565"/>
      <c r="F137" s="1495"/>
    </row>
    <row r="138" spans="2:57" customFormat="1" ht="15.75" x14ac:dyDescent="0.2">
      <c r="B138" s="290"/>
      <c r="C138" s="1494"/>
      <c r="D138" s="1565"/>
      <c r="E138" s="1565"/>
      <c r="F138" s="1495"/>
    </row>
    <row r="139" spans="2:57" customFormat="1" ht="15.75" x14ac:dyDescent="0.2">
      <c r="B139" s="290"/>
      <c r="C139" s="1494"/>
      <c r="D139" s="1565"/>
      <c r="E139" s="1565"/>
      <c r="F139" s="1495"/>
    </row>
    <row r="140" spans="2:57" customFormat="1" ht="15.75" x14ac:dyDescent="0.2">
      <c r="B140" s="290"/>
      <c r="C140" s="1494"/>
      <c r="D140" s="1565"/>
      <c r="E140" s="1565"/>
      <c r="F140" s="1495"/>
    </row>
    <row r="141" spans="2:57" customFormat="1" ht="15.75" x14ac:dyDescent="0.2">
      <c r="B141" s="290"/>
      <c r="C141" s="1494"/>
      <c r="D141" s="1565"/>
      <c r="E141" s="1565"/>
      <c r="F141" s="1495"/>
    </row>
    <row r="142" spans="2:57" customFormat="1" ht="15.75" x14ac:dyDescent="0.2">
      <c r="B142" s="290"/>
      <c r="C142" s="1494"/>
      <c r="D142" s="1565"/>
      <c r="E142" s="1565"/>
      <c r="F142" s="1495"/>
    </row>
    <row r="143" spans="2:57" customFormat="1" ht="12.75" x14ac:dyDescent="0.2"/>
    <row r="144" spans="2:57" s="470" customFormat="1" x14ac:dyDescent="0.2">
      <c r="C144" s="467"/>
      <c r="D144" s="468"/>
      <c r="E144" s="469"/>
      <c r="F144" s="469"/>
      <c r="N144" s="471"/>
      <c r="O144" s="472"/>
      <c r="P144" s="472"/>
      <c r="Q144" s="472"/>
      <c r="R144" s="473"/>
      <c r="S144" s="473"/>
      <c r="T144" s="473"/>
      <c r="U144" s="473"/>
      <c r="V144" s="473"/>
      <c r="W144" s="473"/>
      <c r="X144" s="473"/>
      <c r="Y144" s="473"/>
      <c r="Z144" s="473"/>
      <c r="AA144" s="473"/>
      <c r="AB144" s="473"/>
      <c r="AC144" s="473"/>
      <c r="AD144" s="473"/>
      <c r="AE144" s="473"/>
      <c r="AF144" s="473"/>
      <c r="AG144" s="473"/>
      <c r="AH144" s="473"/>
      <c r="AI144" s="473"/>
      <c r="AJ144" s="473"/>
      <c r="AK144" s="473"/>
      <c r="AL144" s="473"/>
      <c r="AM144" s="473"/>
      <c r="AN144" s="473"/>
      <c r="AO144" s="473"/>
      <c r="AP144" s="473"/>
      <c r="AQ144" s="473"/>
      <c r="AR144" s="473"/>
      <c r="AS144" s="473"/>
      <c r="AT144" s="473"/>
      <c r="AU144" s="473"/>
      <c r="AV144" s="473"/>
      <c r="AW144" s="473"/>
      <c r="AX144" s="473"/>
      <c r="AY144" s="473"/>
      <c r="AZ144" s="473"/>
      <c r="BA144" s="473"/>
      <c r="BB144" s="473"/>
      <c r="BC144" s="473"/>
      <c r="BD144" s="473"/>
      <c r="BE144" s="473"/>
    </row>
    <row r="145" spans="3:57" s="470" customFormat="1" x14ac:dyDescent="0.2">
      <c r="C145" s="467"/>
      <c r="D145" s="468"/>
      <c r="E145" s="469"/>
      <c r="F145" s="469"/>
      <c r="N145" s="471"/>
      <c r="O145" s="472"/>
      <c r="P145" s="472"/>
      <c r="Q145" s="472"/>
      <c r="R145" s="473"/>
      <c r="S145" s="473"/>
      <c r="T145" s="473"/>
      <c r="U145" s="473"/>
      <c r="V145" s="473"/>
      <c r="W145" s="473"/>
      <c r="X145" s="473"/>
      <c r="Y145" s="473"/>
      <c r="Z145" s="473"/>
      <c r="AA145" s="473"/>
      <c r="AB145" s="473"/>
      <c r="AC145" s="473"/>
      <c r="AD145" s="473"/>
      <c r="AE145" s="473"/>
      <c r="AF145" s="473"/>
      <c r="AG145" s="473"/>
      <c r="AH145" s="473"/>
      <c r="AI145" s="473"/>
      <c r="AJ145" s="473"/>
      <c r="AK145" s="473"/>
      <c r="AL145" s="473"/>
      <c r="AM145" s="473"/>
      <c r="AN145" s="473"/>
      <c r="AO145" s="473"/>
      <c r="AP145" s="473"/>
      <c r="AQ145" s="473"/>
      <c r="AR145" s="473"/>
      <c r="AS145" s="473"/>
      <c r="AT145" s="473"/>
      <c r="AU145" s="473"/>
      <c r="AV145" s="473"/>
      <c r="AW145" s="473"/>
      <c r="AX145" s="473"/>
      <c r="AY145" s="473"/>
      <c r="AZ145" s="473"/>
      <c r="BA145" s="473"/>
      <c r="BB145" s="473"/>
      <c r="BC145" s="473"/>
      <c r="BD145" s="473"/>
      <c r="BE145" s="473"/>
    </row>
    <row r="146" spans="3:57" s="470" customFormat="1" x14ac:dyDescent="0.2">
      <c r="C146" s="467"/>
      <c r="D146" s="468"/>
      <c r="E146" s="469"/>
      <c r="F146" s="469"/>
      <c r="N146" s="471"/>
      <c r="O146" s="472"/>
      <c r="P146" s="472"/>
      <c r="Q146" s="472"/>
      <c r="R146" s="473"/>
      <c r="S146" s="473"/>
      <c r="T146" s="473"/>
      <c r="U146" s="473"/>
      <c r="V146" s="473"/>
      <c r="W146" s="473"/>
      <c r="X146" s="473"/>
      <c r="Y146" s="473"/>
      <c r="Z146" s="473"/>
      <c r="AA146" s="473"/>
      <c r="AB146" s="473"/>
      <c r="AC146" s="473"/>
      <c r="AD146" s="473"/>
      <c r="AE146" s="473"/>
      <c r="AF146" s="473"/>
      <c r="AG146" s="473"/>
      <c r="AH146" s="473"/>
      <c r="AI146" s="473"/>
      <c r="AJ146" s="473"/>
      <c r="AK146" s="473"/>
      <c r="AL146" s="473"/>
      <c r="AM146" s="473"/>
      <c r="AN146" s="473"/>
      <c r="AO146" s="473"/>
      <c r="AP146" s="473"/>
      <c r="AQ146" s="473"/>
      <c r="AR146" s="473"/>
      <c r="AS146" s="473"/>
      <c r="AT146" s="473"/>
      <c r="AU146" s="473"/>
      <c r="AV146" s="473"/>
      <c r="AW146" s="473"/>
      <c r="AX146" s="473"/>
      <c r="AY146" s="473"/>
      <c r="AZ146" s="473"/>
      <c r="BA146" s="473"/>
      <c r="BB146" s="473"/>
      <c r="BC146" s="473"/>
      <c r="BD146" s="473"/>
      <c r="BE146" s="473"/>
    </row>
    <row r="147" spans="3:57" s="470" customFormat="1" x14ac:dyDescent="0.2">
      <c r="C147" s="467"/>
      <c r="D147" s="468"/>
      <c r="E147" s="469"/>
      <c r="F147" s="469"/>
      <c r="N147" s="471"/>
      <c r="O147" s="472"/>
      <c r="P147" s="472"/>
      <c r="Q147" s="472"/>
      <c r="R147" s="473"/>
      <c r="S147" s="473"/>
      <c r="T147" s="473"/>
      <c r="U147" s="473"/>
      <c r="V147" s="473"/>
      <c r="W147" s="473"/>
      <c r="X147" s="473"/>
      <c r="Y147" s="473"/>
      <c r="Z147" s="473"/>
      <c r="AA147" s="473"/>
      <c r="AB147" s="473"/>
      <c r="AC147" s="473"/>
      <c r="AD147" s="473"/>
      <c r="AE147" s="473"/>
      <c r="AF147" s="473"/>
      <c r="AG147" s="473"/>
      <c r="AH147" s="473"/>
      <c r="AI147" s="473"/>
      <c r="AJ147" s="473"/>
      <c r="AK147" s="473"/>
      <c r="AL147" s="473"/>
      <c r="AM147" s="473"/>
      <c r="AN147" s="473"/>
      <c r="AO147" s="473"/>
      <c r="AP147" s="473"/>
      <c r="AQ147" s="473"/>
      <c r="AR147" s="473"/>
      <c r="AS147" s="473"/>
      <c r="AT147" s="473"/>
      <c r="AU147" s="473"/>
      <c r="AV147" s="473"/>
      <c r="AW147" s="473"/>
      <c r="AX147" s="473"/>
      <c r="AY147" s="473"/>
      <c r="AZ147" s="473"/>
      <c r="BA147" s="473"/>
      <c r="BB147" s="473"/>
      <c r="BC147" s="473"/>
      <c r="BD147" s="473"/>
      <c r="BE147" s="473"/>
    </row>
    <row r="148" spans="3:57" s="470" customFormat="1" x14ac:dyDescent="0.2">
      <c r="C148" s="467"/>
      <c r="D148" s="468"/>
      <c r="E148" s="469"/>
      <c r="F148" s="469"/>
      <c r="N148" s="471"/>
      <c r="O148" s="472"/>
      <c r="P148" s="472"/>
      <c r="Q148" s="472"/>
      <c r="R148" s="473"/>
      <c r="S148" s="473"/>
      <c r="T148" s="473"/>
      <c r="U148" s="473"/>
      <c r="V148" s="473"/>
      <c r="W148" s="473"/>
      <c r="X148" s="473"/>
      <c r="Y148" s="473"/>
      <c r="Z148" s="473"/>
      <c r="AA148" s="473"/>
      <c r="AB148" s="473"/>
      <c r="AC148" s="473"/>
      <c r="AD148" s="473"/>
      <c r="AE148" s="473"/>
      <c r="AF148" s="473"/>
      <c r="AG148" s="473"/>
      <c r="AH148" s="473"/>
      <c r="AI148" s="473"/>
      <c r="AJ148" s="473"/>
      <c r="AK148" s="473"/>
      <c r="AL148" s="473"/>
      <c r="AM148" s="473"/>
      <c r="AN148" s="473"/>
      <c r="AO148" s="473"/>
      <c r="AP148" s="473"/>
      <c r="AQ148" s="473"/>
      <c r="AR148" s="473"/>
      <c r="AS148" s="473"/>
      <c r="AT148" s="473"/>
      <c r="AU148" s="473"/>
      <c r="AV148" s="473"/>
      <c r="AW148" s="473"/>
      <c r="AX148" s="473"/>
      <c r="AY148" s="473"/>
      <c r="AZ148" s="473"/>
      <c r="BA148" s="473"/>
      <c r="BB148" s="473"/>
      <c r="BC148" s="473"/>
      <c r="BD148" s="473"/>
      <c r="BE148" s="473"/>
    </row>
    <row r="149" spans="3:57" s="470" customFormat="1" x14ac:dyDescent="0.2">
      <c r="C149" s="467"/>
      <c r="D149" s="468"/>
      <c r="E149" s="469"/>
      <c r="F149" s="469"/>
      <c r="N149" s="471"/>
      <c r="O149" s="472"/>
      <c r="P149" s="472"/>
      <c r="Q149" s="472"/>
      <c r="R149" s="473"/>
      <c r="S149" s="473"/>
      <c r="T149" s="473"/>
      <c r="U149" s="473"/>
      <c r="V149" s="473"/>
      <c r="W149" s="473"/>
      <c r="X149" s="473"/>
      <c r="Y149" s="473"/>
      <c r="Z149" s="473"/>
      <c r="AA149" s="473"/>
      <c r="AB149" s="473"/>
      <c r="AC149" s="473"/>
      <c r="AD149" s="473"/>
      <c r="AE149" s="473"/>
      <c r="AF149" s="473"/>
      <c r="AG149" s="473"/>
      <c r="AH149" s="473"/>
      <c r="AI149" s="473"/>
      <c r="AJ149" s="473"/>
      <c r="AK149" s="473"/>
      <c r="AL149" s="473"/>
      <c r="AM149" s="473"/>
      <c r="AN149" s="473"/>
      <c r="AO149" s="473"/>
      <c r="AP149" s="473"/>
      <c r="AQ149" s="473"/>
      <c r="AR149" s="473"/>
      <c r="AS149" s="473"/>
      <c r="AT149" s="473"/>
      <c r="AU149" s="473"/>
      <c r="AV149" s="473"/>
      <c r="AW149" s="473"/>
      <c r="AX149" s="473"/>
      <c r="AY149" s="473"/>
      <c r="AZ149" s="473"/>
      <c r="BA149" s="473"/>
      <c r="BB149" s="473"/>
      <c r="BC149" s="473"/>
      <c r="BD149" s="473"/>
      <c r="BE149" s="473"/>
    </row>
    <row r="150" spans="3:57" s="470" customFormat="1" x14ac:dyDescent="0.2">
      <c r="C150" s="467"/>
      <c r="D150" s="468"/>
      <c r="E150" s="469"/>
      <c r="F150" s="469"/>
      <c r="N150" s="471"/>
      <c r="O150" s="472"/>
      <c r="P150" s="472"/>
      <c r="Q150" s="472"/>
      <c r="R150" s="473"/>
      <c r="S150" s="473"/>
      <c r="T150" s="473"/>
      <c r="U150" s="473"/>
      <c r="V150" s="473"/>
      <c r="W150" s="473"/>
      <c r="X150" s="473"/>
      <c r="Y150" s="473"/>
      <c r="Z150" s="473"/>
      <c r="AA150" s="473"/>
      <c r="AB150" s="473"/>
      <c r="AC150" s="473"/>
      <c r="AD150" s="473"/>
      <c r="AE150" s="473"/>
      <c r="AF150" s="473"/>
      <c r="AG150" s="473"/>
      <c r="AH150" s="473"/>
      <c r="AI150" s="473"/>
      <c r="AJ150" s="473"/>
      <c r="AK150" s="473"/>
      <c r="AL150" s="473"/>
      <c r="AM150" s="473"/>
      <c r="AN150" s="473"/>
      <c r="AO150" s="473"/>
      <c r="AP150" s="473"/>
      <c r="AQ150" s="473"/>
      <c r="AR150" s="473"/>
      <c r="AS150" s="473"/>
      <c r="AT150" s="473"/>
      <c r="AU150" s="473"/>
      <c r="AV150" s="473"/>
      <c r="AW150" s="473"/>
      <c r="AX150" s="473"/>
      <c r="AY150" s="473"/>
      <c r="AZ150" s="473"/>
      <c r="BA150" s="473"/>
      <c r="BB150" s="473"/>
      <c r="BC150" s="473"/>
      <c r="BD150" s="473"/>
      <c r="BE150" s="473"/>
    </row>
    <row r="151" spans="3:57" s="470" customFormat="1" x14ac:dyDescent="0.2">
      <c r="C151" s="467"/>
      <c r="D151" s="468"/>
      <c r="E151" s="469"/>
      <c r="F151" s="469"/>
      <c r="N151" s="471"/>
      <c r="O151" s="472"/>
      <c r="P151" s="472"/>
      <c r="Q151" s="472"/>
      <c r="R151" s="473"/>
      <c r="S151" s="473"/>
      <c r="T151" s="473"/>
      <c r="U151" s="473"/>
      <c r="V151" s="473"/>
      <c r="W151" s="473"/>
      <c r="X151" s="473"/>
      <c r="Y151" s="473"/>
      <c r="Z151" s="473"/>
      <c r="AA151" s="473"/>
      <c r="AB151" s="473"/>
      <c r="AC151" s="473"/>
      <c r="AD151" s="473"/>
      <c r="AE151" s="473"/>
      <c r="AF151" s="473"/>
      <c r="AG151" s="473"/>
      <c r="AH151" s="473"/>
      <c r="AI151" s="473"/>
      <c r="AJ151" s="473"/>
      <c r="AK151" s="473"/>
      <c r="AL151" s="473"/>
      <c r="AM151" s="473"/>
      <c r="AN151" s="473"/>
      <c r="AO151" s="473"/>
      <c r="AP151" s="473"/>
      <c r="AQ151" s="473"/>
      <c r="AR151" s="473"/>
      <c r="AS151" s="473"/>
      <c r="AT151" s="473"/>
      <c r="AU151" s="473"/>
      <c r="AV151" s="473"/>
      <c r="AW151" s="473"/>
      <c r="AX151" s="473"/>
      <c r="AY151" s="473"/>
      <c r="AZ151" s="473"/>
      <c r="BA151" s="473"/>
      <c r="BB151" s="473"/>
      <c r="BC151" s="473"/>
      <c r="BD151" s="473"/>
      <c r="BE151" s="473"/>
    </row>
    <row r="152" spans="3:57" s="470" customFormat="1" x14ac:dyDescent="0.2">
      <c r="C152" s="467"/>
      <c r="D152" s="468"/>
      <c r="E152" s="469"/>
      <c r="F152" s="469"/>
      <c r="N152" s="471"/>
      <c r="O152" s="472"/>
      <c r="P152" s="472"/>
      <c r="Q152" s="472"/>
      <c r="R152" s="473"/>
      <c r="S152" s="473"/>
      <c r="T152" s="473"/>
      <c r="U152" s="473"/>
      <c r="V152" s="473"/>
      <c r="W152" s="473"/>
      <c r="X152" s="473"/>
      <c r="Y152" s="473"/>
      <c r="Z152" s="473"/>
      <c r="AA152" s="473"/>
      <c r="AB152" s="473"/>
      <c r="AC152" s="473"/>
      <c r="AD152" s="473"/>
      <c r="AE152" s="473"/>
      <c r="AF152" s="473"/>
      <c r="AG152" s="473"/>
      <c r="AH152" s="473"/>
      <c r="AI152" s="473"/>
      <c r="AJ152" s="473"/>
      <c r="AK152" s="473"/>
      <c r="AL152" s="473"/>
      <c r="AM152" s="473"/>
      <c r="AN152" s="473"/>
      <c r="AO152" s="473"/>
      <c r="AP152" s="473"/>
      <c r="AQ152" s="473"/>
      <c r="AR152" s="473"/>
      <c r="AS152" s="473"/>
      <c r="AT152" s="473"/>
      <c r="AU152" s="473"/>
      <c r="AV152" s="473"/>
      <c r="AW152" s="473"/>
      <c r="AX152" s="473"/>
      <c r="AY152" s="473"/>
      <c r="AZ152" s="473"/>
      <c r="BA152" s="473"/>
      <c r="BB152" s="473"/>
      <c r="BC152" s="473"/>
      <c r="BD152" s="473"/>
      <c r="BE152" s="473"/>
    </row>
    <row r="153" spans="3:57" s="470" customFormat="1" x14ac:dyDescent="0.2">
      <c r="C153" s="467"/>
      <c r="D153" s="468"/>
      <c r="E153" s="469"/>
      <c r="F153" s="469"/>
      <c r="N153" s="471"/>
      <c r="O153" s="472"/>
      <c r="P153" s="472"/>
      <c r="Q153" s="472"/>
      <c r="R153" s="473"/>
      <c r="S153" s="473"/>
      <c r="T153" s="473"/>
      <c r="U153" s="473"/>
      <c r="V153" s="473"/>
      <c r="W153" s="473"/>
      <c r="X153" s="473"/>
      <c r="Y153" s="473"/>
      <c r="Z153" s="473"/>
      <c r="AA153" s="473"/>
      <c r="AB153" s="473"/>
      <c r="AC153" s="473"/>
      <c r="AD153" s="473"/>
      <c r="AE153" s="473"/>
      <c r="AF153" s="473"/>
      <c r="AG153" s="473"/>
      <c r="AH153" s="473"/>
      <c r="AI153" s="473"/>
      <c r="AJ153" s="473"/>
      <c r="AK153" s="473"/>
      <c r="AL153" s="473"/>
      <c r="AM153" s="473"/>
      <c r="AN153" s="473"/>
      <c r="AO153" s="473"/>
      <c r="AP153" s="473"/>
      <c r="AQ153" s="473"/>
      <c r="AR153" s="473"/>
      <c r="AS153" s="473"/>
      <c r="AT153" s="473"/>
      <c r="AU153" s="473"/>
      <c r="AV153" s="473"/>
      <c r="AW153" s="473"/>
      <c r="AX153" s="473"/>
      <c r="AY153" s="473"/>
      <c r="AZ153" s="473"/>
      <c r="BA153" s="473"/>
      <c r="BB153" s="473"/>
      <c r="BC153" s="473"/>
      <c r="BD153" s="473"/>
      <c r="BE153" s="473"/>
    </row>
    <row r="154" spans="3:57" s="470" customFormat="1" x14ac:dyDescent="0.2">
      <c r="C154" s="467"/>
      <c r="D154" s="468"/>
      <c r="E154" s="469"/>
      <c r="F154" s="469"/>
      <c r="N154" s="471"/>
      <c r="O154" s="472"/>
      <c r="P154" s="472"/>
      <c r="Q154" s="472"/>
      <c r="R154" s="473"/>
      <c r="S154" s="473"/>
      <c r="T154" s="473"/>
      <c r="U154" s="473"/>
      <c r="V154" s="473"/>
      <c r="W154" s="473"/>
      <c r="X154" s="473"/>
      <c r="Y154" s="473"/>
      <c r="Z154" s="473"/>
      <c r="AA154" s="473"/>
      <c r="AB154" s="473"/>
      <c r="AC154" s="473"/>
      <c r="AD154" s="473"/>
      <c r="AE154" s="473"/>
      <c r="AF154" s="473"/>
      <c r="AG154" s="473"/>
      <c r="AH154" s="473"/>
      <c r="AI154" s="473"/>
      <c r="AJ154" s="473"/>
      <c r="AK154" s="473"/>
      <c r="AL154" s="473"/>
      <c r="AM154" s="473"/>
      <c r="AN154" s="473"/>
      <c r="AO154" s="473"/>
      <c r="AP154" s="473"/>
      <c r="AQ154" s="473"/>
      <c r="AR154" s="473"/>
      <c r="AS154" s="473"/>
      <c r="AT154" s="473"/>
      <c r="AU154" s="473"/>
      <c r="AV154" s="473"/>
      <c r="AW154" s="473"/>
      <c r="AX154" s="473"/>
      <c r="AY154" s="473"/>
      <c r="AZ154" s="473"/>
      <c r="BA154" s="473"/>
      <c r="BB154" s="473"/>
      <c r="BC154" s="473"/>
      <c r="BD154" s="473"/>
      <c r="BE154" s="473"/>
    </row>
    <row r="155" spans="3:57" s="470" customFormat="1" x14ac:dyDescent="0.2">
      <c r="C155" s="467"/>
      <c r="D155" s="468"/>
      <c r="E155" s="469"/>
      <c r="F155" s="469"/>
      <c r="N155" s="471"/>
      <c r="O155" s="472"/>
      <c r="P155" s="472"/>
      <c r="Q155" s="472"/>
      <c r="R155" s="473"/>
      <c r="S155" s="473"/>
      <c r="T155" s="473"/>
      <c r="U155" s="473"/>
      <c r="V155" s="473"/>
      <c r="W155" s="473"/>
      <c r="X155" s="473"/>
      <c r="Y155" s="473"/>
      <c r="Z155" s="473"/>
      <c r="AA155" s="473"/>
      <c r="AB155" s="473"/>
      <c r="AC155" s="473"/>
      <c r="AD155" s="473"/>
      <c r="AE155" s="473"/>
      <c r="AF155" s="473"/>
      <c r="AG155" s="473"/>
      <c r="AH155" s="473"/>
      <c r="AI155" s="473"/>
      <c r="AJ155" s="473"/>
      <c r="AK155" s="473"/>
      <c r="AL155" s="473"/>
      <c r="AM155" s="473"/>
      <c r="AN155" s="473"/>
      <c r="AO155" s="473"/>
      <c r="AP155" s="473"/>
      <c r="AQ155" s="473"/>
      <c r="AR155" s="473"/>
      <c r="AS155" s="473"/>
      <c r="AT155" s="473"/>
      <c r="AU155" s="473"/>
      <c r="AV155" s="473"/>
      <c r="AW155" s="473"/>
      <c r="AX155" s="473"/>
      <c r="AY155" s="473"/>
      <c r="AZ155" s="473"/>
      <c r="BA155" s="473"/>
      <c r="BB155" s="473"/>
      <c r="BC155" s="473"/>
      <c r="BD155" s="473"/>
      <c r="BE155" s="473"/>
    </row>
    <row r="156" spans="3:57" s="470" customFormat="1" x14ac:dyDescent="0.2">
      <c r="C156" s="467"/>
      <c r="D156" s="468"/>
      <c r="E156" s="469"/>
      <c r="F156" s="469"/>
      <c r="N156" s="471"/>
      <c r="O156" s="472"/>
      <c r="P156" s="472"/>
      <c r="Q156" s="472"/>
      <c r="R156" s="473"/>
      <c r="S156" s="473"/>
      <c r="T156" s="473"/>
      <c r="U156" s="473"/>
      <c r="V156" s="473"/>
      <c r="W156" s="473"/>
      <c r="X156" s="473"/>
      <c r="Y156" s="473"/>
      <c r="Z156" s="473"/>
      <c r="AA156" s="473"/>
      <c r="AB156" s="473"/>
      <c r="AC156" s="473"/>
      <c r="AD156" s="473"/>
      <c r="AE156" s="473"/>
      <c r="AF156" s="473"/>
      <c r="AG156" s="473"/>
      <c r="AH156" s="473"/>
      <c r="AI156" s="473"/>
      <c r="AJ156" s="473"/>
      <c r="AK156" s="473"/>
      <c r="AL156" s="473"/>
      <c r="AM156" s="473"/>
      <c r="AN156" s="473"/>
      <c r="AO156" s="473"/>
      <c r="AP156" s="473"/>
      <c r="AQ156" s="473"/>
      <c r="AR156" s="473"/>
      <c r="AS156" s="473"/>
      <c r="AT156" s="473"/>
      <c r="AU156" s="473"/>
      <c r="AV156" s="473"/>
      <c r="AW156" s="473"/>
      <c r="AX156" s="473"/>
      <c r="AY156" s="473"/>
      <c r="AZ156" s="473"/>
      <c r="BA156" s="473"/>
      <c r="BB156" s="473"/>
      <c r="BC156" s="473"/>
      <c r="BD156" s="473"/>
      <c r="BE156" s="473"/>
    </row>
    <row r="157" spans="3:57" s="470" customFormat="1" x14ac:dyDescent="0.2">
      <c r="C157" s="467"/>
      <c r="D157" s="468"/>
      <c r="E157" s="469"/>
      <c r="F157" s="469"/>
      <c r="N157" s="471"/>
      <c r="O157" s="472"/>
      <c r="P157" s="472"/>
      <c r="Q157" s="472"/>
      <c r="R157" s="473"/>
      <c r="S157" s="473"/>
      <c r="T157" s="473"/>
      <c r="U157" s="473"/>
      <c r="V157" s="473"/>
      <c r="W157" s="473"/>
      <c r="X157" s="473"/>
      <c r="Y157" s="473"/>
      <c r="Z157" s="473"/>
      <c r="AA157" s="473"/>
      <c r="AB157" s="473"/>
      <c r="AC157" s="473"/>
      <c r="AD157" s="473"/>
      <c r="AE157" s="473"/>
      <c r="AF157" s="473"/>
      <c r="AG157" s="473"/>
      <c r="AH157" s="473"/>
      <c r="AI157" s="473"/>
      <c r="AJ157" s="473"/>
      <c r="AK157" s="473"/>
      <c r="AL157" s="473"/>
      <c r="AM157" s="473"/>
      <c r="AN157" s="473"/>
      <c r="AO157" s="473"/>
      <c r="AP157" s="473"/>
      <c r="AQ157" s="473"/>
      <c r="AR157" s="473"/>
      <c r="AS157" s="473"/>
      <c r="AT157" s="473"/>
      <c r="AU157" s="473"/>
      <c r="AV157" s="473"/>
      <c r="AW157" s="473"/>
      <c r="AX157" s="473"/>
      <c r="AY157" s="473"/>
      <c r="AZ157" s="473"/>
      <c r="BA157" s="473"/>
      <c r="BB157" s="473"/>
      <c r="BC157" s="473"/>
      <c r="BD157" s="473"/>
      <c r="BE157" s="473"/>
    </row>
    <row r="158" spans="3:57" s="470" customFormat="1" x14ac:dyDescent="0.2">
      <c r="C158" s="467"/>
      <c r="D158" s="468"/>
      <c r="E158" s="469"/>
      <c r="F158" s="469"/>
      <c r="N158" s="471"/>
      <c r="O158" s="472"/>
      <c r="P158" s="472"/>
      <c r="Q158" s="472"/>
      <c r="R158" s="473"/>
      <c r="S158" s="473"/>
      <c r="T158" s="473"/>
      <c r="U158" s="473"/>
      <c r="V158" s="473"/>
      <c r="W158" s="473"/>
      <c r="X158" s="473"/>
      <c r="Y158" s="473"/>
      <c r="Z158" s="473"/>
      <c r="AA158" s="473"/>
      <c r="AB158" s="473"/>
      <c r="AC158" s="473"/>
      <c r="AD158" s="473"/>
      <c r="AE158" s="473"/>
      <c r="AF158" s="473"/>
      <c r="AG158" s="473"/>
      <c r="AH158" s="473"/>
      <c r="AI158" s="473"/>
      <c r="AJ158" s="473"/>
      <c r="AK158" s="473"/>
      <c r="AL158" s="473"/>
      <c r="AM158" s="473"/>
      <c r="AN158" s="473"/>
      <c r="AO158" s="473"/>
      <c r="AP158" s="473"/>
      <c r="AQ158" s="473"/>
      <c r="AR158" s="473"/>
      <c r="AS158" s="473"/>
      <c r="AT158" s="473"/>
      <c r="AU158" s="473"/>
      <c r="AV158" s="473"/>
      <c r="AW158" s="473"/>
      <c r="AX158" s="473"/>
      <c r="AY158" s="473"/>
      <c r="AZ158" s="473"/>
      <c r="BA158" s="473"/>
      <c r="BB158" s="473"/>
      <c r="BC158" s="473"/>
      <c r="BD158" s="473"/>
      <c r="BE158" s="473"/>
    </row>
    <row r="159" spans="3:57" s="470" customFormat="1" x14ac:dyDescent="0.2">
      <c r="C159" s="467"/>
      <c r="D159" s="468"/>
      <c r="E159" s="469"/>
      <c r="F159" s="469"/>
      <c r="N159" s="471"/>
      <c r="O159" s="472"/>
      <c r="P159" s="472"/>
      <c r="Q159" s="472"/>
      <c r="R159" s="473"/>
      <c r="S159" s="473"/>
      <c r="T159" s="473"/>
      <c r="U159" s="473"/>
      <c r="V159" s="473"/>
      <c r="W159" s="473"/>
      <c r="X159" s="473"/>
      <c r="Y159" s="473"/>
      <c r="Z159" s="473"/>
      <c r="AA159" s="473"/>
      <c r="AB159" s="473"/>
      <c r="AC159" s="473"/>
      <c r="AD159" s="473"/>
      <c r="AE159" s="473"/>
      <c r="AF159" s="473"/>
      <c r="AG159" s="473"/>
      <c r="AH159" s="473"/>
      <c r="AI159" s="473"/>
      <c r="AJ159" s="473"/>
      <c r="AK159" s="473"/>
      <c r="AL159" s="473"/>
      <c r="AM159" s="473"/>
      <c r="AN159" s="473"/>
      <c r="AO159" s="473"/>
      <c r="AP159" s="473"/>
      <c r="AQ159" s="473"/>
      <c r="AR159" s="473"/>
      <c r="AS159" s="473"/>
      <c r="AT159" s="473"/>
      <c r="AU159" s="473"/>
      <c r="AV159" s="473"/>
      <c r="AW159" s="473"/>
      <c r="AX159" s="473"/>
      <c r="AY159" s="473"/>
      <c r="AZ159" s="473"/>
      <c r="BA159" s="473"/>
      <c r="BB159" s="473"/>
      <c r="BC159" s="473"/>
      <c r="BD159" s="473"/>
      <c r="BE159" s="473"/>
    </row>
    <row r="160" spans="3:57" s="470" customFormat="1" x14ac:dyDescent="0.2">
      <c r="C160" s="467"/>
      <c r="D160" s="468"/>
      <c r="E160" s="469"/>
      <c r="F160" s="469"/>
      <c r="N160" s="471"/>
      <c r="O160" s="472"/>
      <c r="P160" s="472"/>
      <c r="Q160" s="472"/>
      <c r="R160" s="473"/>
      <c r="S160" s="473"/>
      <c r="T160" s="473"/>
      <c r="U160" s="473"/>
      <c r="V160" s="473"/>
      <c r="W160" s="473"/>
      <c r="X160" s="473"/>
      <c r="Y160" s="473"/>
      <c r="Z160" s="473"/>
      <c r="AA160" s="473"/>
      <c r="AB160" s="473"/>
      <c r="AC160" s="473"/>
      <c r="AD160" s="473"/>
      <c r="AE160" s="473"/>
      <c r="AF160" s="473"/>
      <c r="AG160" s="473"/>
      <c r="AH160" s="473"/>
      <c r="AI160" s="473"/>
      <c r="AJ160" s="473"/>
      <c r="AK160" s="473"/>
      <c r="AL160" s="473"/>
      <c r="AM160" s="473"/>
      <c r="AN160" s="473"/>
      <c r="AO160" s="473"/>
      <c r="AP160" s="473"/>
      <c r="AQ160" s="473"/>
      <c r="AR160" s="473"/>
      <c r="AS160" s="473"/>
      <c r="AT160" s="473"/>
      <c r="AU160" s="473"/>
      <c r="AV160" s="473"/>
      <c r="AW160" s="473"/>
      <c r="AX160" s="473"/>
      <c r="AY160" s="473"/>
      <c r="AZ160" s="473"/>
      <c r="BA160" s="473"/>
      <c r="BB160" s="473"/>
      <c r="BC160" s="473"/>
      <c r="BD160" s="473"/>
      <c r="BE160" s="473"/>
    </row>
    <row r="161" spans="3:57" s="470" customFormat="1" x14ac:dyDescent="0.2">
      <c r="C161" s="467"/>
      <c r="D161" s="468"/>
      <c r="E161" s="469"/>
      <c r="F161" s="469"/>
      <c r="N161" s="471"/>
      <c r="O161" s="472"/>
      <c r="P161" s="472"/>
      <c r="Q161" s="472"/>
      <c r="R161" s="473"/>
      <c r="S161" s="473"/>
      <c r="T161" s="473"/>
      <c r="U161" s="473"/>
      <c r="V161" s="473"/>
      <c r="W161" s="473"/>
      <c r="X161" s="473"/>
      <c r="Y161" s="473"/>
      <c r="Z161" s="473"/>
      <c r="AA161" s="473"/>
      <c r="AB161" s="473"/>
      <c r="AC161" s="473"/>
      <c r="AD161" s="473"/>
      <c r="AE161" s="473"/>
      <c r="AF161" s="473"/>
      <c r="AG161" s="473"/>
      <c r="AH161" s="473"/>
      <c r="AI161" s="473"/>
      <c r="AJ161" s="473"/>
      <c r="AK161" s="473"/>
      <c r="AL161" s="473"/>
      <c r="AM161" s="473"/>
      <c r="AN161" s="473"/>
      <c r="AO161" s="473"/>
      <c r="AP161" s="473"/>
      <c r="AQ161" s="473"/>
      <c r="AR161" s="473"/>
      <c r="AS161" s="473"/>
      <c r="AT161" s="473"/>
      <c r="AU161" s="473"/>
      <c r="AV161" s="473"/>
      <c r="AW161" s="473"/>
      <c r="AX161" s="473"/>
      <c r="AY161" s="473"/>
      <c r="AZ161" s="473"/>
      <c r="BA161" s="473"/>
      <c r="BB161" s="473"/>
      <c r="BC161" s="473"/>
      <c r="BD161" s="473"/>
      <c r="BE161" s="473"/>
    </row>
    <row r="162" spans="3:57" s="470" customFormat="1" x14ac:dyDescent="0.2">
      <c r="C162" s="467"/>
      <c r="D162" s="468"/>
      <c r="E162" s="469"/>
      <c r="F162" s="469"/>
      <c r="N162" s="471"/>
      <c r="O162" s="472"/>
      <c r="P162" s="472"/>
      <c r="Q162" s="472"/>
      <c r="R162" s="473"/>
      <c r="S162" s="473"/>
      <c r="T162" s="473"/>
      <c r="U162" s="473"/>
      <c r="V162" s="473"/>
      <c r="W162" s="473"/>
      <c r="X162" s="473"/>
      <c r="Y162" s="473"/>
      <c r="Z162" s="473"/>
      <c r="AA162" s="473"/>
      <c r="AB162" s="473"/>
      <c r="AC162" s="473"/>
      <c r="AD162" s="473"/>
      <c r="AE162" s="473"/>
      <c r="AF162" s="473"/>
      <c r="AG162" s="473"/>
      <c r="AH162" s="473"/>
      <c r="AI162" s="473"/>
      <c r="AJ162" s="473"/>
      <c r="AK162" s="473"/>
      <c r="AL162" s="473"/>
      <c r="AM162" s="473"/>
      <c r="AN162" s="473"/>
      <c r="AO162" s="473"/>
      <c r="AP162" s="473"/>
      <c r="AQ162" s="473"/>
      <c r="AR162" s="473"/>
      <c r="AS162" s="473"/>
      <c r="AT162" s="473"/>
      <c r="AU162" s="473"/>
      <c r="AV162" s="473"/>
      <c r="AW162" s="473"/>
      <c r="AX162" s="473"/>
      <c r="AY162" s="473"/>
      <c r="AZ162" s="473"/>
      <c r="BA162" s="473"/>
      <c r="BB162" s="473"/>
      <c r="BC162" s="473"/>
      <c r="BD162" s="473"/>
      <c r="BE162" s="473"/>
    </row>
    <row r="163" spans="3:57" s="470" customFormat="1" x14ac:dyDescent="0.2">
      <c r="C163" s="467"/>
      <c r="D163" s="468"/>
      <c r="E163" s="469"/>
      <c r="F163" s="469"/>
      <c r="N163" s="471"/>
      <c r="O163" s="472"/>
      <c r="P163" s="472"/>
      <c r="Q163" s="472"/>
      <c r="R163" s="473"/>
      <c r="S163" s="473"/>
      <c r="T163" s="473"/>
      <c r="U163" s="473"/>
      <c r="V163" s="473"/>
      <c r="W163" s="473"/>
      <c r="X163" s="473"/>
      <c r="Y163" s="473"/>
      <c r="Z163" s="473"/>
      <c r="AA163" s="473"/>
      <c r="AB163" s="473"/>
      <c r="AC163" s="473"/>
      <c r="AD163" s="473"/>
      <c r="AE163" s="473"/>
      <c r="AF163" s="473"/>
      <c r="AG163" s="473"/>
      <c r="AH163" s="473"/>
      <c r="AI163" s="473"/>
      <c r="AJ163" s="473"/>
      <c r="AK163" s="473"/>
      <c r="AL163" s="473"/>
      <c r="AM163" s="473"/>
      <c r="AN163" s="473"/>
      <c r="AO163" s="473"/>
      <c r="AP163" s="473"/>
      <c r="AQ163" s="473"/>
      <c r="AR163" s="473"/>
      <c r="AS163" s="473"/>
      <c r="AT163" s="473"/>
      <c r="AU163" s="473"/>
      <c r="AV163" s="473"/>
      <c r="AW163" s="473"/>
      <c r="AX163" s="473"/>
      <c r="AY163" s="473"/>
      <c r="AZ163" s="473"/>
      <c r="BA163" s="473"/>
      <c r="BB163" s="473"/>
      <c r="BC163" s="473"/>
      <c r="BD163" s="473"/>
      <c r="BE163" s="473"/>
    </row>
    <row r="164" spans="3:57" s="470" customFormat="1" x14ac:dyDescent="0.2">
      <c r="C164" s="467"/>
      <c r="D164" s="468"/>
      <c r="E164" s="469"/>
      <c r="F164" s="469"/>
      <c r="N164" s="471"/>
      <c r="O164" s="472"/>
      <c r="P164" s="472"/>
      <c r="Q164" s="472"/>
      <c r="R164" s="473"/>
      <c r="S164" s="473"/>
      <c r="T164" s="473"/>
      <c r="U164" s="473"/>
      <c r="V164" s="473"/>
      <c r="W164" s="473"/>
      <c r="X164" s="473"/>
      <c r="Y164" s="473"/>
      <c r="Z164" s="473"/>
      <c r="AA164" s="473"/>
      <c r="AB164" s="473"/>
      <c r="AC164" s="473"/>
      <c r="AD164" s="473"/>
      <c r="AE164" s="473"/>
      <c r="AF164" s="473"/>
      <c r="AG164" s="473"/>
      <c r="AH164" s="473"/>
      <c r="AI164" s="473"/>
      <c r="AJ164" s="473"/>
      <c r="AK164" s="473"/>
      <c r="AL164" s="473"/>
      <c r="AM164" s="473"/>
      <c r="AN164" s="473"/>
      <c r="AO164" s="473"/>
      <c r="AP164" s="473"/>
      <c r="AQ164" s="473"/>
      <c r="AR164" s="473"/>
      <c r="AS164" s="473"/>
      <c r="AT164" s="473"/>
      <c r="AU164" s="473"/>
      <c r="AV164" s="473"/>
      <c r="AW164" s="473"/>
      <c r="AX164" s="473"/>
      <c r="AY164" s="473"/>
      <c r="AZ164" s="473"/>
      <c r="BA164" s="473"/>
      <c r="BB164" s="473"/>
      <c r="BC164" s="473"/>
      <c r="BD164" s="473"/>
      <c r="BE164" s="473"/>
    </row>
    <row r="165" spans="3:57" s="470" customFormat="1" x14ac:dyDescent="0.2">
      <c r="C165" s="467"/>
      <c r="D165" s="468"/>
      <c r="E165" s="469"/>
      <c r="F165" s="469"/>
      <c r="N165" s="471"/>
      <c r="O165" s="472"/>
      <c r="P165" s="472"/>
      <c r="Q165" s="472"/>
      <c r="R165" s="473"/>
      <c r="S165" s="473"/>
      <c r="T165" s="473"/>
      <c r="U165" s="473"/>
      <c r="V165" s="473"/>
      <c r="W165" s="473"/>
      <c r="X165" s="473"/>
      <c r="Y165" s="473"/>
      <c r="Z165" s="473"/>
      <c r="AA165" s="473"/>
      <c r="AB165" s="473"/>
      <c r="AC165" s="473"/>
      <c r="AD165" s="473"/>
      <c r="AE165" s="473"/>
      <c r="AF165" s="473"/>
      <c r="AG165" s="473"/>
      <c r="AH165" s="473"/>
      <c r="AI165" s="473"/>
      <c r="AJ165" s="473"/>
      <c r="AK165" s="473"/>
      <c r="AL165" s="473"/>
      <c r="AM165" s="473"/>
      <c r="AN165" s="473"/>
      <c r="AO165" s="473"/>
      <c r="AP165" s="473"/>
      <c r="AQ165" s="473"/>
      <c r="AR165" s="473"/>
      <c r="AS165" s="473"/>
      <c r="AT165" s="473"/>
      <c r="AU165" s="473"/>
      <c r="AV165" s="473"/>
      <c r="AW165" s="473"/>
      <c r="AX165" s="473"/>
      <c r="AY165" s="473"/>
      <c r="AZ165" s="473"/>
      <c r="BA165" s="473"/>
      <c r="BB165" s="473"/>
      <c r="BC165" s="473"/>
      <c r="BD165" s="473"/>
      <c r="BE165" s="473"/>
    </row>
    <row r="166" spans="3:57" s="470" customFormat="1" x14ac:dyDescent="0.2">
      <c r="C166" s="467"/>
      <c r="D166" s="468"/>
      <c r="E166" s="469"/>
      <c r="F166" s="469"/>
      <c r="N166" s="471"/>
      <c r="O166" s="472"/>
      <c r="P166" s="472"/>
      <c r="Q166" s="472"/>
      <c r="R166" s="473"/>
      <c r="S166" s="473"/>
      <c r="T166" s="473"/>
      <c r="U166" s="473"/>
      <c r="V166" s="473"/>
      <c r="W166" s="473"/>
      <c r="X166" s="473"/>
      <c r="Y166" s="473"/>
      <c r="Z166" s="473"/>
      <c r="AA166" s="473"/>
      <c r="AB166" s="473"/>
      <c r="AC166" s="473"/>
      <c r="AD166" s="473"/>
      <c r="AE166" s="473"/>
      <c r="AF166" s="473"/>
      <c r="AG166" s="473"/>
      <c r="AH166" s="473"/>
      <c r="AI166" s="473"/>
      <c r="AJ166" s="473"/>
      <c r="AK166" s="473"/>
      <c r="AL166" s="473"/>
      <c r="AM166" s="473"/>
      <c r="AN166" s="473"/>
      <c r="AO166" s="473"/>
      <c r="AP166" s="473"/>
      <c r="AQ166" s="473"/>
      <c r="AR166" s="473"/>
      <c r="AS166" s="473"/>
      <c r="AT166" s="473"/>
      <c r="AU166" s="473"/>
      <c r="AV166" s="473"/>
      <c r="AW166" s="473"/>
      <c r="AX166" s="473"/>
      <c r="AY166" s="473"/>
      <c r="AZ166" s="473"/>
      <c r="BA166" s="473"/>
      <c r="BB166" s="473"/>
      <c r="BC166" s="473"/>
      <c r="BD166" s="473"/>
      <c r="BE166" s="473"/>
    </row>
    <row r="167" spans="3:57" s="470" customFormat="1" x14ac:dyDescent="0.2">
      <c r="C167" s="467"/>
      <c r="D167" s="468"/>
      <c r="E167" s="469"/>
      <c r="F167" s="469"/>
      <c r="N167" s="471"/>
      <c r="O167" s="472"/>
      <c r="P167" s="472"/>
      <c r="Q167" s="472"/>
      <c r="R167" s="473"/>
      <c r="S167" s="473"/>
      <c r="T167" s="473"/>
      <c r="U167" s="473"/>
      <c r="V167" s="473"/>
      <c r="W167" s="473"/>
      <c r="X167" s="473"/>
      <c r="Y167" s="473"/>
      <c r="Z167" s="473"/>
      <c r="AA167" s="473"/>
      <c r="AB167" s="473"/>
      <c r="AC167" s="473"/>
      <c r="AD167" s="473"/>
      <c r="AE167" s="473"/>
      <c r="AF167" s="473"/>
      <c r="AG167" s="473"/>
      <c r="AH167" s="473"/>
      <c r="AI167" s="473"/>
      <c r="AJ167" s="473"/>
      <c r="AK167" s="473"/>
      <c r="AL167" s="473"/>
      <c r="AM167" s="473"/>
      <c r="AN167" s="473"/>
      <c r="AO167" s="473"/>
      <c r="AP167" s="473"/>
      <c r="AQ167" s="473"/>
      <c r="AR167" s="473"/>
      <c r="AS167" s="473"/>
      <c r="AT167" s="473"/>
      <c r="AU167" s="473"/>
      <c r="AV167" s="473"/>
      <c r="AW167" s="473"/>
      <c r="AX167" s="473"/>
      <c r="AY167" s="473"/>
      <c r="AZ167" s="473"/>
      <c r="BA167" s="473"/>
      <c r="BB167" s="473"/>
      <c r="BC167" s="473"/>
      <c r="BD167" s="473"/>
      <c r="BE167" s="473"/>
    </row>
    <row r="168" spans="3:57" s="470" customFormat="1" x14ac:dyDescent="0.2">
      <c r="C168" s="467"/>
      <c r="D168" s="468"/>
      <c r="E168" s="469"/>
      <c r="F168" s="469"/>
      <c r="N168" s="471"/>
      <c r="O168" s="472"/>
      <c r="P168" s="472"/>
      <c r="Q168" s="472"/>
      <c r="R168" s="473"/>
      <c r="S168" s="473"/>
      <c r="T168" s="473"/>
      <c r="U168" s="473"/>
      <c r="V168" s="473"/>
      <c r="W168" s="473"/>
      <c r="X168" s="473"/>
      <c r="Y168" s="473"/>
      <c r="Z168" s="473"/>
      <c r="AA168" s="473"/>
      <c r="AB168" s="473"/>
      <c r="AC168" s="473"/>
      <c r="AD168" s="473"/>
      <c r="AE168" s="473"/>
      <c r="AF168" s="473"/>
      <c r="AG168" s="473"/>
      <c r="AH168" s="473"/>
      <c r="AI168" s="473"/>
      <c r="AJ168" s="473"/>
      <c r="AK168" s="473"/>
      <c r="AL168" s="473"/>
      <c r="AM168" s="473"/>
      <c r="AN168" s="473"/>
      <c r="AO168" s="473"/>
      <c r="AP168" s="473"/>
      <c r="AQ168" s="473"/>
      <c r="AR168" s="473"/>
      <c r="AS168" s="473"/>
      <c r="AT168" s="473"/>
      <c r="AU168" s="473"/>
      <c r="AV168" s="473"/>
      <c r="AW168" s="473"/>
      <c r="AX168" s="473"/>
      <c r="AY168" s="473"/>
      <c r="AZ168" s="473"/>
      <c r="BA168" s="473"/>
      <c r="BB168" s="473"/>
      <c r="BC168" s="473"/>
      <c r="BD168" s="473"/>
      <c r="BE168" s="473"/>
    </row>
    <row r="169" spans="3:57" s="470" customFormat="1" x14ac:dyDescent="0.2">
      <c r="C169" s="467"/>
      <c r="D169" s="468"/>
      <c r="E169" s="469"/>
      <c r="F169" s="469"/>
      <c r="N169" s="471"/>
      <c r="O169" s="472"/>
      <c r="P169" s="472"/>
      <c r="Q169" s="472"/>
      <c r="R169" s="473"/>
      <c r="S169" s="473"/>
      <c r="T169" s="473"/>
      <c r="U169" s="473"/>
      <c r="V169" s="473"/>
      <c r="W169" s="473"/>
      <c r="X169" s="473"/>
      <c r="Y169" s="473"/>
      <c r="Z169" s="473"/>
      <c r="AA169" s="473"/>
      <c r="AB169" s="473"/>
      <c r="AC169" s="473"/>
      <c r="AD169" s="473"/>
      <c r="AE169" s="473"/>
      <c r="AF169" s="473"/>
      <c r="AG169" s="473"/>
      <c r="AH169" s="473"/>
      <c r="AI169" s="473"/>
      <c r="AJ169" s="473"/>
      <c r="AK169" s="473"/>
      <c r="AL169" s="473"/>
      <c r="AM169" s="473"/>
      <c r="AN169" s="473"/>
      <c r="AO169" s="473"/>
      <c r="AP169" s="473"/>
      <c r="AQ169" s="473"/>
      <c r="AR169" s="473"/>
      <c r="AS169" s="473"/>
      <c r="AT169" s="473"/>
      <c r="AU169" s="473"/>
      <c r="AV169" s="473"/>
      <c r="AW169" s="473"/>
      <c r="AX169" s="473"/>
      <c r="AY169" s="473"/>
      <c r="AZ169" s="473"/>
      <c r="BA169" s="473"/>
      <c r="BB169" s="473"/>
      <c r="BC169" s="473"/>
      <c r="BD169" s="473"/>
      <c r="BE169" s="473"/>
    </row>
    <row r="170" spans="3:57" s="470" customFormat="1" x14ac:dyDescent="0.2">
      <c r="C170" s="467"/>
      <c r="D170" s="468"/>
      <c r="E170" s="469"/>
      <c r="F170" s="469"/>
      <c r="N170" s="471"/>
      <c r="O170" s="472"/>
      <c r="P170" s="472"/>
      <c r="Q170" s="472"/>
      <c r="R170" s="473"/>
      <c r="S170" s="473"/>
      <c r="T170" s="473"/>
      <c r="U170" s="473"/>
      <c r="V170" s="473"/>
      <c r="W170" s="473"/>
      <c r="X170" s="473"/>
      <c r="Y170" s="473"/>
      <c r="Z170" s="473"/>
      <c r="AA170" s="473"/>
      <c r="AB170" s="473"/>
      <c r="AC170" s="473"/>
      <c r="AD170" s="473"/>
      <c r="AE170" s="473"/>
      <c r="AF170" s="473"/>
      <c r="AG170" s="473"/>
      <c r="AH170" s="473"/>
      <c r="AI170" s="473"/>
      <c r="AJ170" s="473"/>
      <c r="AK170" s="473"/>
      <c r="AL170" s="473"/>
      <c r="AM170" s="473"/>
      <c r="AN170" s="473"/>
      <c r="AO170" s="473"/>
      <c r="AP170" s="473"/>
      <c r="AQ170" s="473"/>
      <c r="AR170" s="473"/>
      <c r="AS170" s="473"/>
      <c r="AT170" s="473"/>
      <c r="AU170" s="473"/>
      <c r="AV170" s="473"/>
      <c r="AW170" s="473"/>
      <c r="AX170" s="473"/>
      <c r="AY170" s="473"/>
      <c r="AZ170" s="473"/>
      <c r="BA170" s="473"/>
      <c r="BB170" s="473"/>
      <c r="BC170" s="473"/>
      <c r="BD170" s="473"/>
      <c r="BE170" s="473"/>
    </row>
    <row r="171" spans="3:57" s="470" customFormat="1" x14ac:dyDescent="0.2">
      <c r="C171" s="467"/>
      <c r="D171" s="468"/>
      <c r="E171" s="469"/>
      <c r="F171" s="469"/>
      <c r="N171" s="471"/>
      <c r="O171" s="472"/>
      <c r="P171" s="472"/>
      <c r="Q171" s="472"/>
      <c r="R171" s="473"/>
      <c r="S171" s="473"/>
      <c r="T171" s="473"/>
      <c r="U171" s="473"/>
      <c r="V171" s="473"/>
      <c r="W171" s="473"/>
      <c r="X171" s="473"/>
      <c r="Y171" s="473"/>
      <c r="Z171" s="473"/>
      <c r="AA171" s="473"/>
      <c r="AB171" s="473"/>
      <c r="AC171" s="473"/>
      <c r="AD171" s="473"/>
      <c r="AE171" s="473"/>
      <c r="AF171" s="473"/>
      <c r="AG171" s="473"/>
      <c r="AH171" s="473"/>
      <c r="AI171" s="473"/>
      <c r="AJ171" s="473"/>
      <c r="AK171" s="473"/>
      <c r="AL171" s="473"/>
      <c r="AM171" s="473"/>
      <c r="AN171" s="473"/>
      <c r="AO171" s="473"/>
      <c r="AP171" s="473"/>
      <c r="AQ171" s="473"/>
      <c r="AR171" s="473"/>
      <c r="AS171" s="473"/>
      <c r="AT171" s="473"/>
      <c r="AU171" s="473"/>
      <c r="AV171" s="473"/>
      <c r="AW171" s="473"/>
      <c r="AX171" s="473"/>
      <c r="AY171" s="473"/>
      <c r="AZ171" s="473"/>
      <c r="BA171" s="473"/>
      <c r="BB171" s="473"/>
      <c r="BC171" s="473"/>
      <c r="BD171" s="473"/>
      <c r="BE171" s="473"/>
    </row>
    <row r="172" spans="3:57" s="470" customFormat="1" x14ac:dyDescent="0.2">
      <c r="C172" s="467"/>
      <c r="D172" s="468"/>
      <c r="E172" s="469"/>
      <c r="F172" s="469"/>
      <c r="N172" s="471"/>
      <c r="O172" s="472"/>
      <c r="P172" s="472"/>
      <c r="Q172" s="472"/>
      <c r="R172" s="473"/>
      <c r="S172" s="473"/>
      <c r="T172" s="473"/>
      <c r="U172" s="473"/>
      <c r="V172" s="473"/>
      <c r="W172" s="473"/>
      <c r="X172" s="473"/>
      <c r="Y172" s="473"/>
      <c r="Z172" s="473"/>
      <c r="AA172" s="473"/>
      <c r="AB172" s="473"/>
      <c r="AC172" s="473"/>
      <c r="AD172" s="473"/>
      <c r="AE172" s="473"/>
      <c r="AF172" s="473"/>
      <c r="AG172" s="473"/>
      <c r="AH172" s="473"/>
      <c r="AI172" s="473"/>
      <c r="AJ172" s="473"/>
      <c r="AK172" s="473"/>
      <c r="AL172" s="473"/>
      <c r="AM172" s="473"/>
      <c r="AN172" s="473"/>
      <c r="AO172" s="473"/>
      <c r="AP172" s="473"/>
      <c r="AQ172" s="473"/>
      <c r="AR172" s="473"/>
      <c r="AS172" s="473"/>
      <c r="AT172" s="473"/>
      <c r="AU172" s="473"/>
      <c r="AV172" s="473"/>
      <c r="AW172" s="473"/>
      <c r="AX172" s="473"/>
      <c r="AY172" s="473"/>
      <c r="AZ172" s="473"/>
      <c r="BA172" s="473"/>
      <c r="BB172" s="473"/>
      <c r="BC172" s="473"/>
      <c r="BD172" s="473"/>
      <c r="BE172" s="473"/>
    </row>
    <row r="173" spans="3:57" s="470" customFormat="1" x14ac:dyDescent="0.2">
      <c r="C173" s="467"/>
      <c r="D173" s="468"/>
      <c r="E173" s="469"/>
      <c r="F173" s="469"/>
      <c r="N173" s="471"/>
      <c r="O173" s="472"/>
      <c r="P173" s="472"/>
      <c r="Q173" s="472"/>
      <c r="R173" s="473"/>
      <c r="S173" s="473"/>
      <c r="T173" s="473"/>
      <c r="U173" s="473"/>
      <c r="V173" s="473"/>
      <c r="W173" s="473"/>
      <c r="X173" s="473"/>
      <c r="Y173" s="473"/>
      <c r="Z173" s="473"/>
      <c r="AA173" s="473"/>
      <c r="AB173" s="473"/>
      <c r="AC173" s="473"/>
      <c r="AD173" s="473"/>
      <c r="AE173" s="473"/>
      <c r="AF173" s="473"/>
      <c r="AG173" s="473"/>
      <c r="AH173" s="473"/>
      <c r="AI173" s="473"/>
      <c r="AJ173" s="473"/>
      <c r="AK173" s="473"/>
      <c r="AL173" s="473"/>
      <c r="AM173" s="473"/>
      <c r="AN173" s="473"/>
      <c r="AO173" s="473"/>
      <c r="AP173" s="473"/>
      <c r="AQ173" s="473"/>
      <c r="AR173" s="473"/>
      <c r="AS173" s="473"/>
      <c r="AT173" s="473"/>
      <c r="AU173" s="473"/>
      <c r="AV173" s="473"/>
      <c r="AW173" s="473"/>
      <c r="AX173" s="473"/>
      <c r="AY173" s="473"/>
      <c r="AZ173" s="473"/>
      <c r="BA173" s="473"/>
      <c r="BB173" s="473"/>
      <c r="BC173" s="473"/>
      <c r="BD173" s="473"/>
      <c r="BE173" s="473"/>
    </row>
    <row r="174" spans="3:57" s="470" customFormat="1" x14ac:dyDescent="0.2">
      <c r="C174" s="467"/>
      <c r="D174" s="468"/>
      <c r="E174" s="469"/>
      <c r="F174" s="469"/>
      <c r="N174" s="471"/>
      <c r="O174" s="472"/>
      <c r="P174" s="472"/>
      <c r="Q174" s="472"/>
      <c r="R174" s="473"/>
      <c r="S174" s="473"/>
      <c r="T174" s="473"/>
      <c r="U174" s="473"/>
      <c r="V174" s="473"/>
      <c r="W174" s="473"/>
      <c r="X174" s="473"/>
      <c r="Y174" s="473"/>
      <c r="Z174" s="473"/>
      <c r="AA174" s="473"/>
      <c r="AB174" s="473"/>
      <c r="AC174" s="473"/>
      <c r="AD174" s="473"/>
      <c r="AE174" s="473"/>
      <c r="AF174" s="473"/>
      <c r="AG174" s="473"/>
      <c r="AH174" s="473"/>
      <c r="AI174" s="473"/>
      <c r="AJ174" s="473"/>
      <c r="AK174" s="473"/>
      <c r="AL174" s="473"/>
      <c r="AM174" s="473"/>
      <c r="AN174" s="473"/>
      <c r="AO174" s="473"/>
      <c r="AP174" s="473"/>
      <c r="AQ174" s="473"/>
      <c r="AR174" s="473"/>
      <c r="AS174" s="473"/>
      <c r="AT174" s="473"/>
      <c r="AU174" s="473"/>
      <c r="AV174" s="473"/>
      <c r="AW174" s="473"/>
      <c r="AX174" s="473"/>
      <c r="AY174" s="473"/>
      <c r="AZ174" s="473"/>
      <c r="BA174" s="473"/>
      <c r="BB174" s="473"/>
      <c r="BC174" s="473"/>
      <c r="BD174" s="473"/>
      <c r="BE174" s="473"/>
    </row>
    <row r="175" spans="3:57" s="470" customFormat="1" x14ac:dyDescent="0.2">
      <c r="C175" s="467"/>
      <c r="D175" s="468"/>
      <c r="E175" s="469"/>
      <c r="F175" s="469"/>
      <c r="N175" s="471"/>
      <c r="O175" s="472"/>
      <c r="P175" s="472"/>
      <c r="Q175" s="472"/>
      <c r="R175" s="473"/>
      <c r="S175" s="473"/>
      <c r="T175" s="473"/>
      <c r="U175" s="473"/>
      <c r="V175" s="473"/>
      <c r="W175" s="473"/>
      <c r="X175" s="473"/>
      <c r="Y175" s="473"/>
      <c r="Z175" s="473"/>
      <c r="AA175" s="473"/>
      <c r="AB175" s="473"/>
      <c r="AC175" s="473"/>
      <c r="AD175" s="473"/>
      <c r="AE175" s="473"/>
      <c r="AF175" s="473"/>
      <c r="AG175" s="473"/>
      <c r="AH175" s="473"/>
      <c r="AI175" s="473"/>
      <c r="AJ175" s="473"/>
      <c r="AK175" s="473"/>
      <c r="AL175" s="473"/>
      <c r="AM175" s="473"/>
      <c r="AN175" s="473"/>
      <c r="AO175" s="473"/>
      <c r="AP175" s="473"/>
      <c r="AQ175" s="473"/>
      <c r="AR175" s="473"/>
      <c r="AS175" s="473"/>
      <c r="AT175" s="473"/>
      <c r="AU175" s="473"/>
      <c r="AV175" s="473"/>
      <c r="AW175" s="473"/>
      <c r="AX175" s="473"/>
      <c r="AY175" s="473"/>
      <c r="AZ175" s="473"/>
      <c r="BA175" s="473"/>
      <c r="BB175" s="473"/>
      <c r="BC175" s="473"/>
      <c r="BD175" s="473"/>
      <c r="BE175" s="473"/>
    </row>
    <row r="176" spans="3:57" s="470" customFormat="1" x14ac:dyDescent="0.2">
      <c r="C176" s="467"/>
      <c r="D176" s="468"/>
      <c r="E176" s="469"/>
      <c r="F176" s="469"/>
      <c r="N176" s="471"/>
      <c r="O176" s="472"/>
      <c r="P176" s="472"/>
      <c r="Q176" s="472"/>
      <c r="R176" s="473"/>
      <c r="S176" s="473"/>
      <c r="T176" s="473"/>
      <c r="U176" s="473"/>
      <c r="V176" s="473"/>
      <c r="W176" s="473"/>
      <c r="X176" s="473"/>
      <c r="Y176" s="473"/>
      <c r="Z176" s="473"/>
      <c r="AA176" s="473"/>
      <c r="AB176" s="473"/>
      <c r="AC176" s="473"/>
      <c r="AD176" s="473"/>
      <c r="AE176" s="473"/>
      <c r="AF176" s="473"/>
      <c r="AG176" s="473"/>
      <c r="AH176" s="473"/>
      <c r="AI176" s="473"/>
      <c r="AJ176" s="473"/>
      <c r="AK176" s="473"/>
      <c r="AL176" s="473"/>
      <c r="AM176" s="473"/>
      <c r="AN176" s="473"/>
      <c r="AO176" s="473"/>
      <c r="AP176" s="473"/>
      <c r="AQ176" s="473"/>
      <c r="AR176" s="473"/>
      <c r="AS176" s="473"/>
      <c r="AT176" s="473"/>
      <c r="AU176" s="473"/>
      <c r="AV176" s="473"/>
      <c r="AW176" s="473"/>
      <c r="AX176" s="473"/>
      <c r="AY176" s="473"/>
      <c r="AZ176" s="473"/>
      <c r="BA176" s="473"/>
      <c r="BB176" s="473"/>
      <c r="BC176" s="473"/>
      <c r="BD176" s="473"/>
      <c r="BE176" s="473"/>
    </row>
    <row r="177" spans="3:57" s="470" customFormat="1" x14ac:dyDescent="0.2">
      <c r="C177" s="467"/>
      <c r="D177" s="468"/>
      <c r="E177" s="469"/>
      <c r="F177" s="469"/>
      <c r="N177" s="471"/>
      <c r="O177" s="472"/>
      <c r="P177" s="472"/>
      <c r="Q177" s="472"/>
      <c r="R177" s="473"/>
      <c r="S177" s="473"/>
      <c r="T177" s="473"/>
      <c r="U177" s="473"/>
      <c r="V177" s="473"/>
      <c r="W177" s="473"/>
      <c r="X177" s="473"/>
      <c r="Y177" s="473"/>
      <c r="Z177" s="473"/>
      <c r="AA177" s="473"/>
      <c r="AB177" s="473"/>
      <c r="AC177" s="473"/>
      <c r="AD177" s="473"/>
      <c r="AE177" s="473"/>
      <c r="AF177" s="473"/>
      <c r="AG177" s="473"/>
      <c r="AH177" s="473"/>
      <c r="AI177" s="473"/>
      <c r="AJ177" s="473"/>
      <c r="AK177" s="473"/>
      <c r="AL177" s="473"/>
      <c r="AM177" s="473"/>
      <c r="AN177" s="473"/>
      <c r="AO177" s="473"/>
      <c r="AP177" s="473"/>
      <c r="AQ177" s="473"/>
      <c r="AR177" s="473"/>
      <c r="AS177" s="473"/>
      <c r="AT177" s="473"/>
      <c r="AU177" s="473"/>
      <c r="AV177" s="473"/>
      <c r="AW177" s="473"/>
      <c r="AX177" s="473"/>
      <c r="AY177" s="473"/>
      <c r="AZ177" s="473"/>
      <c r="BA177" s="473"/>
      <c r="BB177" s="473"/>
      <c r="BC177" s="473"/>
      <c r="BD177" s="473"/>
      <c r="BE177" s="473"/>
    </row>
    <row r="178" spans="3:57" s="470" customFormat="1" x14ac:dyDescent="0.2">
      <c r="C178" s="467"/>
      <c r="D178" s="468"/>
      <c r="E178" s="469"/>
      <c r="F178" s="469"/>
      <c r="N178" s="471"/>
      <c r="O178" s="472"/>
      <c r="P178" s="472"/>
      <c r="Q178" s="472"/>
      <c r="R178" s="473"/>
      <c r="S178" s="473"/>
      <c r="T178" s="473"/>
      <c r="U178" s="473"/>
      <c r="V178" s="473"/>
      <c r="W178" s="473"/>
      <c r="X178" s="473"/>
      <c r="Y178" s="473"/>
      <c r="Z178" s="473"/>
      <c r="AA178" s="473"/>
      <c r="AB178" s="473"/>
      <c r="AC178" s="473"/>
      <c r="AD178" s="473"/>
      <c r="AE178" s="473"/>
      <c r="AF178" s="473"/>
      <c r="AG178" s="473"/>
      <c r="AH178" s="473"/>
      <c r="AI178" s="473"/>
      <c r="AJ178" s="473"/>
      <c r="AK178" s="473"/>
      <c r="AL178" s="473"/>
      <c r="AM178" s="473"/>
      <c r="AN178" s="473"/>
      <c r="AO178" s="473"/>
      <c r="AP178" s="473"/>
      <c r="AQ178" s="473"/>
      <c r="AR178" s="473"/>
      <c r="AS178" s="473"/>
      <c r="AT178" s="473"/>
      <c r="AU178" s="473"/>
      <c r="AV178" s="473"/>
      <c r="AW178" s="473"/>
      <c r="AX178" s="473"/>
      <c r="AY178" s="473"/>
      <c r="AZ178" s="473"/>
      <c r="BA178" s="473"/>
      <c r="BB178" s="473"/>
      <c r="BC178" s="473"/>
      <c r="BD178" s="473"/>
      <c r="BE178" s="473"/>
    </row>
    <row r="179" spans="3:57" s="470" customFormat="1" x14ac:dyDescent="0.2">
      <c r="C179" s="467"/>
      <c r="D179" s="468"/>
      <c r="E179" s="469"/>
      <c r="F179" s="469"/>
      <c r="N179" s="471"/>
      <c r="O179" s="472"/>
      <c r="P179" s="472"/>
      <c r="Q179" s="472"/>
      <c r="R179" s="473"/>
      <c r="S179" s="473"/>
      <c r="T179" s="473"/>
      <c r="U179" s="473"/>
      <c r="V179" s="473"/>
      <c r="W179" s="473"/>
      <c r="X179" s="473"/>
      <c r="Y179" s="473"/>
      <c r="Z179" s="473"/>
      <c r="AA179" s="473"/>
      <c r="AB179" s="473"/>
      <c r="AC179" s="473"/>
      <c r="AD179" s="473"/>
      <c r="AE179" s="473"/>
      <c r="AF179" s="473"/>
      <c r="AG179" s="473"/>
      <c r="AH179" s="473"/>
      <c r="AI179" s="473"/>
      <c r="AJ179" s="473"/>
      <c r="AK179" s="473"/>
      <c r="AL179" s="473"/>
      <c r="AM179" s="473"/>
      <c r="AN179" s="473"/>
      <c r="AO179" s="473"/>
      <c r="AP179" s="473"/>
      <c r="AQ179" s="473"/>
      <c r="AR179" s="473"/>
      <c r="AS179" s="473"/>
      <c r="AT179" s="473"/>
      <c r="AU179" s="473"/>
      <c r="AV179" s="473"/>
      <c r="AW179" s="473"/>
      <c r="AX179" s="473"/>
      <c r="AY179" s="473"/>
      <c r="AZ179" s="473"/>
      <c r="BA179" s="473"/>
      <c r="BB179" s="473"/>
      <c r="BC179" s="473"/>
      <c r="BD179" s="473"/>
      <c r="BE179" s="473"/>
    </row>
    <row r="180" spans="3:57" s="470" customFormat="1" x14ac:dyDescent="0.2">
      <c r="C180" s="467"/>
      <c r="D180" s="468"/>
      <c r="E180" s="469"/>
      <c r="F180" s="469"/>
      <c r="N180" s="471"/>
      <c r="O180" s="472"/>
      <c r="P180" s="472"/>
      <c r="Q180" s="472"/>
      <c r="R180" s="473"/>
      <c r="S180" s="473"/>
      <c r="T180" s="473"/>
      <c r="U180" s="473"/>
      <c r="V180" s="473"/>
      <c r="W180" s="473"/>
      <c r="X180" s="473"/>
      <c r="Y180" s="473"/>
      <c r="Z180" s="473"/>
      <c r="AA180" s="473"/>
      <c r="AB180" s="473"/>
      <c r="AC180" s="473"/>
      <c r="AD180" s="473"/>
      <c r="AE180" s="473"/>
      <c r="AF180" s="473"/>
      <c r="AG180" s="473"/>
      <c r="AH180" s="473"/>
      <c r="AI180" s="473"/>
      <c r="AJ180" s="473"/>
      <c r="AK180" s="473"/>
      <c r="AL180" s="473"/>
      <c r="AM180" s="473"/>
      <c r="AN180" s="473"/>
      <c r="AO180" s="473"/>
      <c r="AP180" s="473"/>
      <c r="AQ180" s="473"/>
      <c r="AR180" s="473"/>
      <c r="AS180" s="473"/>
      <c r="AT180" s="473"/>
      <c r="AU180" s="473"/>
      <c r="AV180" s="473"/>
      <c r="AW180" s="473"/>
      <c r="AX180" s="473"/>
      <c r="AY180" s="473"/>
      <c r="AZ180" s="473"/>
      <c r="BA180" s="473"/>
      <c r="BB180" s="473"/>
      <c r="BC180" s="473"/>
      <c r="BD180" s="473"/>
      <c r="BE180" s="473"/>
    </row>
    <row r="181" spans="3:57" s="470" customFormat="1" x14ac:dyDescent="0.2">
      <c r="C181" s="467"/>
      <c r="D181" s="468"/>
      <c r="E181" s="469"/>
      <c r="F181" s="469"/>
      <c r="N181" s="471"/>
      <c r="O181" s="472"/>
      <c r="P181" s="472"/>
      <c r="Q181" s="472"/>
      <c r="R181" s="473"/>
      <c r="S181" s="473"/>
      <c r="T181" s="473"/>
      <c r="U181" s="473"/>
      <c r="V181" s="473"/>
      <c r="W181" s="473"/>
      <c r="X181" s="473"/>
      <c r="Y181" s="473"/>
      <c r="Z181" s="473"/>
      <c r="AA181" s="473"/>
      <c r="AB181" s="473"/>
      <c r="AC181" s="473"/>
      <c r="AD181" s="473"/>
      <c r="AE181" s="473"/>
      <c r="AF181" s="473"/>
      <c r="AG181" s="473"/>
      <c r="AH181" s="473"/>
      <c r="AI181" s="473"/>
      <c r="AJ181" s="473"/>
      <c r="AK181" s="473"/>
      <c r="AL181" s="473"/>
      <c r="AM181" s="473"/>
      <c r="AN181" s="473"/>
      <c r="AO181" s="473"/>
      <c r="AP181" s="473"/>
      <c r="AQ181" s="473"/>
      <c r="AR181" s="473"/>
      <c r="AS181" s="473"/>
      <c r="AT181" s="473"/>
      <c r="AU181" s="473"/>
      <c r="AV181" s="473"/>
      <c r="AW181" s="473"/>
      <c r="AX181" s="473"/>
      <c r="AY181" s="473"/>
      <c r="AZ181" s="473"/>
      <c r="BA181" s="473"/>
      <c r="BB181" s="473"/>
      <c r="BC181" s="473"/>
      <c r="BD181" s="473"/>
      <c r="BE181" s="473"/>
    </row>
    <row r="182" spans="3:57" s="470" customFormat="1" x14ac:dyDescent="0.2">
      <c r="C182" s="467"/>
      <c r="D182" s="468"/>
      <c r="E182" s="469"/>
      <c r="F182" s="469"/>
      <c r="N182" s="471"/>
      <c r="O182" s="472"/>
      <c r="P182" s="472"/>
      <c r="Q182" s="472"/>
      <c r="R182" s="473"/>
      <c r="S182" s="473"/>
      <c r="T182" s="473"/>
      <c r="U182" s="473"/>
      <c r="V182" s="473"/>
      <c r="W182" s="473"/>
      <c r="X182" s="473"/>
      <c r="Y182" s="473"/>
      <c r="Z182" s="473"/>
      <c r="AA182" s="473"/>
      <c r="AB182" s="473"/>
      <c r="AC182" s="473"/>
      <c r="AD182" s="473"/>
      <c r="AE182" s="473"/>
      <c r="AF182" s="473"/>
      <c r="AG182" s="473"/>
      <c r="AH182" s="473"/>
      <c r="AI182" s="473"/>
      <c r="AJ182" s="473"/>
      <c r="AK182" s="473"/>
      <c r="AL182" s="473"/>
      <c r="AM182" s="473"/>
      <c r="AN182" s="473"/>
      <c r="AO182" s="473"/>
      <c r="AP182" s="473"/>
      <c r="AQ182" s="473"/>
      <c r="AR182" s="473"/>
      <c r="AS182" s="473"/>
      <c r="AT182" s="473"/>
      <c r="AU182" s="473"/>
      <c r="AV182" s="473"/>
      <c r="AW182" s="473"/>
      <c r="AX182" s="473"/>
      <c r="AY182" s="473"/>
      <c r="AZ182" s="473"/>
      <c r="BA182" s="473"/>
      <c r="BB182" s="473"/>
      <c r="BC182" s="473"/>
      <c r="BD182" s="473"/>
      <c r="BE182" s="473"/>
    </row>
    <row r="183" spans="3:57" s="470" customFormat="1" x14ac:dyDescent="0.2">
      <c r="C183" s="467"/>
      <c r="D183" s="468"/>
      <c r="E183" s="469"/>
      <c r="F183" s="469"/>
      <c r="N183" s="471"/>
      <c r="O183" s="472"/>
      <c r="P183" s="472"/>
      <c r="Q183" s="472"/>
      <c r="R183" s="473"/>
      <c r="S183" s="473"/>
      <c r="T183" s="473"/>
      <c r="U183" s="473"/>
      <c r="V183" s="473"/>
      <c r="W183" s="473"/>
      <c r="X183" s="473"/>
      <c r="Y183" s="473"/>
      <c r="Z183" s="473"/>
      <c r="AA183" s="473"/>
      <c r="AB183" s="473"/>
      <c r="AC183" s="473"/>
      <c r="AD183" s="473"/>
      <c r="AE183" s="473"/>
      <c r="AF183" s="473"/>
      <c r="AG183" s="473"/>
      <c r="AH183" s="473"/>
      <c r="AI183" s="473"/>
      <c r="AJ183" s="473"/>
      <c r="AK183" s="473"/>
      <c r="AL183" s="473"/>
      <c r="AM183" s="473"/>
      <c r="AN183" s="473"/>
      <c r="AO183" s="473"/>
      <c r="AP183" s="473"/>
      <c r="AQ183" s="473"/>
      <c r="AR183" s="473"/>
      <c r="AS183" s="473"/>
      <c r="AT183" s="473"/>
      <c r="AU183" s="473"/>
      <c r="AV183" s="473"/>
      <c r="AW183" s="473"/>
      <c r="AX183" s="473"/>
      <c r="AY183" s="473"/>
      <c r="AZ183" s="473"/>
      <c r="BA183" s="473"/>
      <c r="BB183" s="473"/>
      <c r="BC183" s="473"/>
      <c r="BD183" s="473"/>
      <c r="BE183" s="473"/>
    </row>
    <row r="184" spans="3:57" s="470" customFormat="1" x14ac:dyDescent="0.2">
      <c r="C184" s="467"/>
      <c r="D184" s="468"/>
      <c r="E184" s="469"/>
      <c r="F184" s="469"/>
      <c r="N184" s="471"/>
      <c r="O184" s="472"/>
      <c r="P184" s="472"/>
      <c r="Q184" s="472"/>
      <c r="R184" s="473"/>
      <c r="S184" s="473"/>
      <c r="T184" s="473"/>
      <c r="U184" s="473"/>
      <c r="V184" s="473"/>
      <c r="W184" s="473"/>
      <c r="X184" s="473"/>
      <c r="Y184" s="473"/>
      <c r="Z184" s="473"/>
      <c r="AA184" s="473"/>
      <c r="AB184" s="473"/>
      <c r="AC184" s="473"/>
      <c r="AD184" s="473"/>
      <c r="AE184" s="473"/>
      <c r="AF184" s="473"/>
      <c r="AG184" s="473"/>
      <c r="AH184" s="473"/>
      <c r="AI184" s="473"/>
      <c r="AJ184" s="473"/>
      <c r="AK184" s="473"/>
      <c r="AL184" s="473"/>
      <c r="AM184" s="473"/>
      <c r="AN184" s="473"/>
      <c r="AO184" s="473"/>
      <c r="AP184" s="473"/>
      <c r="AQ184" s="473"/>
      <c r="AR184" s="473"/>
      <c r="AS184" s="473"/>
      <c r="AT184" s="473"/>
      <c r="AU184" s="473"/>
      <c r="AV184" s="473"/>
      <c r="AW184" s="473"/>
      <c r="AX184" s="473"/>
      <c r="AY184" s="473"/>
      <c r="AZ184" s="473"/>
      <c r="BA184" s="473"/>
      <c r="BB184" s="473"/>
      <c r="BC184" s="473"/>
      <c r="BD184" s="473"/>
      <c r="BE184" s="473"/>
    </row>
    <row r="185" spans="3:57" s="470" customFormat="1" x14ac:dyDescent="0.2">
      <c r="C185" s="467"/>
      <c r="D185" s="468"/>
      <c r="E185" s="469"/>
      <c r="F185" s="469"/>
      <c r="N185" s="471"/>
      <c r="O185" s="472"/>
      <c r="P185" s="472"/>
      <c r="Q185" s="472"/>
      <c r="R185" s="473"/>
      <c r="S185" s="473"/>
      <c r="T185" s="473"/>
      <c r="U185" s="473"/>
      <c r="V185" s="473"/>
      <c r="W185" s="473"/>
      <c r="X185" s="473"/>
      <c r="Y185" s="473"/>
      <c r="Z185" s="473"/>
      <c r="AA185" s="473"/>
      <c r="AB185" s="473"/>
      <c r="AC185" s="473"/>
      <c r="AD185" s="473"/>
      <c r="AE185" s="473"/>
      <c r="AF185" s="473"/>
      <c r="AG185" s="473"/>
      <c r="AH185" s="473"/>
      <c r="AI185" s="473"/>
      <c r="AJ185" s="473"/>
      <c r="AK185" s="473"/>
      <c r="AL185" s="473"/>
      <c r="AM185" s="473"/>
      <c r="AN185" s="473"/>
      <c r="AO185" s="473"/>
      <c r="AP185" s="473"/>
      <c r="AQ185" s="473"/>
      <c r="AR185" s="473"/>
      <c r="AS185" s="473"/>
      <c r="AT185" s="473"/>
      <c r="AU185" s="473"/>
      <c r="AV185" s="473"/>
      <c r="AW185" s="473"/>
      <c r="AX185" s="473"/>
      <c r="AY185" s="473"/>
      <c r="AZ185" s="473"/>
      <c r="BA185" s="473"/>
      <c r="BB185" s="473"/>
      <c r="BC185" s="473"/>
      <c r="BD185" s="473"/>
      <c r="BE185" s="473"/>
    </row>
    <row r="186" spans="3:57" s="470" customFormat="1" x14ac:dyDescent="0.2">
      <c r="C186" s="467"/>
      <c r="D186" s="468"/>
      <c r="E186" s="469"/>
      <c r="F186" s="469"/>
      <c r="N186" s="471"/>
      <c r="O186" s="472"/>
      <c r="P186" s="472"/>
      <c r="Q186" s="472"/>
      <c r="R186" s="473"/>
      <c r="S186" s="473"/>
      <c r="T186" s="473"/>
      <c r="U186" s="473"/>
      <c r="V186" s="473"/>
      <c r="W186" s="473"/>
      <c r="X186" s="473"/>
      <c r="Y186" s="473"/>
      <c r="Z186" s="473"/>
      <c r="AA186" s="473"/>
      <c r="AB186" s="473"/>
      <c r="AC186" s="473"/>
      <c r="AD186" s="473"/>
      <c r="AE186" s="473"/>
      <c r="AF186" s="473"/>
      <c r="AG186" s="473"/>
      <c r="AH186" s="473"/>
      <c r="AI186" s="473"/>
      <c r="AJ186" s="473"/>
      <c r="AK186" s="473"/>
      <c r="AL186" s="473"/>
      <c r="AM186" s="473"/>
      <c r="AN186" s="473"/>
      <c r="AO186" s="473"/>
      <c r="AP186" s="473"/>
      <c r="AQ186" s="473"/>
      <c r="AR186" s="473"/>
      <c r="AS186" s="473"/>
      <c r="AT186" s="473"/>
      <c r="AU186" s="473"/>
      <c r="AV186" s="473"/>
      <c r="AW186" s="473"/>
      <c r="AX186" s="473"/>
      <c r="AY186" s="473"/>
      <c r="AZ186" s="473"/>
      <c r="BA186" s="473"/>
      <c r="BB186" s="473"/>
      <c r="BC186" s="473"/>
      <c r="BD186" s="473"/>
      <c r="BE186" s="473"/>
    </row>
    <row r="187" spans="3:57" s="470" customFormat="1" x14ac:dyDescent="0.2">
      <c r="C187" s="467"/>
      <c r="D187" s="468"/>
      <c r="E187" s="469"/>
      <c r="F187" s="469"/>
      <c r="N187" s="471"/>
      <c r="O187" s="472"/>
      <c r="P187" s="472"/>
      <c r="Q187" s="472"/>
      <c r="R187" s="473"/>
      <c r="S187" s="473"/>
      <c r="T187" s="473"/>
      <c r="U187" s="473"/>
      <c r="V187" s="473"/>
      <c r="W187" s="473"/>
      <c r="X187" s="473"/>
      <c r="Y187" s="473"/>
      <c r="Z187" s="473"/>
      <c r="AA187" s="473"/>
      <c r="AB187" s="473"/>
      <c r="AC187" s="473"/>
      <c r="AD187" s="473"/>
      <c r="AE187" s="473"/>
      <c r="AF187" s="473"/>
      <c r="AG187" s="473"/>
      <c r="AH187" s="473"/>
      <c r="AI187" s="473"/>
      <c r="AJ187" s="473"/>
      <c r="AK187" s="473"/>
      <c r="AL187" s="473"/>
      <c r="AM187" s="473"/>
      <c r="AN187" s="473"/>
      <c r="AO187" s="473"/>
      <c r="AP187" s="473"/>
      <c r="AQ187" s="473"/>
      <c r="AR187" s="473"/>
      <c r="AS187" s="473"/>
      <c r="AT187" s="473"/>
      <c r="AU187" s="473"/>
      <c r="AV187" s="473"/>
      <c r="AW187" s="473"/>
      <c r="AX187" s="473"/>
      <c r="AY187" s="473"/>
      <c r="AZ187" s="473"/>
      <c r="BA187" s="473"/>
      <c r="BB187" s="473"/>
      <c r="BC187" s="473"/>
      <c r="BD187" s="473"/>
      <c r="BE187" s="473"/>
    </row>
    <row r="188" spans="3:57" s="470" customFormat="1" x14ac:dyDescent="0.2">
      <c r="C188" s="467"/>
      <c r="D188" s="468"/>
      <c r="E188" s="469"/>
      <c r="F188" s="469"/>
      <c r="N188" s="471"/>
      <c r="O188" s="472"/>
      <c r="P188" s="472"/>
      <c r="Q188" s="472"/>
      <c r="R188" s="473"/>
      <c r="S188" s="473"/>
      <c r="T188" s="473"/>
      <c r="U188" s="473"/>
      <c r="V188" s="473"/>
      <c r="W188" s="473"/>
      <c r="X188" s="473"/>
      <c r="Y188" s="473"/>
      <c r="Z188" s="473"/>
      <c r="AA188" s="473"/>
      <c r="AB188" s="473"/>
      <c r="AC188" s="473"/>
      <c r="AD188" s="473"/>
      <c r="AE188" s="473"/>
      <c r="AF188" s="473"/>
      <c r="AG188" s="473"/>
      <c r="AH188" s="473"/>
      <c r="AI188" s="473"/>
      <c r="AJ188" s="473"/>
      <c r="AK188" s="473"/>
      <c r="AL188" s="473"/>
      <c r="AM188" s="473"/>
      <c r="AN188" s="473"/>
      <c r="AO188" s="473"/>
      <c r="AP188" s="473"/>
      <c r="AQ188" s="473"/>
      <c r="AR188" s="473"/>
      <c r="AS188" s="473"/>
      <c r="AT188" s="473"/>
      <c r="AU188" s="473"/>
      <c r="AV188" s="473"/>
      <c r="AW188" s="473"/>
      <c r="AX188" s="473"/>
      <c r="AY188" s="473"/>
      <c r="AZ188" s="473"/>
      <c r="BA188" s="473"/>
      <c r="BB188" s="473"/>
      <c r="BC188" s="473"/>
      <c r="BD188" s="473"/>
      <c r="BE188" s="473"/>
    </row>
    <row r="189" spans="3:57" s="470" customFormat="1" x14ac:dyDescent="0.2">
      <c r="C189" s="467"/>
      <c r="D189" s="468"/>
      <c r="E189" s="469"/>
      <c r="F189" s="469"/>
      <c r="N189" s="471"/>
      <c r="O189" s="472"/>
      <c r="P189" s="472"/>
      <c r="Q189" s="472"/>
      <c r="R189" s="473"/>
      <c r="S189" s="473"/>
      <c r="T189" s="473"/>
      <c r="U189" s="473"/>
      <c r="V189" s="473"/>
      <c r="W189" s="473"/>
      <c r="X189" s="473"/>
      <c r="Y189" s="473"/>
      <c r="Z189" s="473"/>
      <c r="AA189" s="473"/>
      <c r="AB189" s="473"/>
      <c r="AC189" s="473"/>
      <c r="AD189" s="473"/>
      <c r="AE189" s="473"/>
      <c r="AF189" s="473"/>
      <c r="AG189" s="473"/>
      <c r="AH189" s="473"/>
      <c r="AI189" s="473"/>
      <c r="AJ189" s="473"/>
      <c r="AK189" s="473"/>
      <c r="AL189" s="473"/>
      <c r="AM189" s="473"/>
      <c r="AN189" s="473"/>
      <c r="AO189" s="473"/>
      <c r="AP189" s="473"/>
      <c r="AQ189" s="473"/>
      <c r="AR189" s="473"/>
      <c r="AS189" s="473"/>
      <c r="AT189" s="473"/>
      <c r="AU189" s="473"/>
      <c r="AV189" s="473"/>
      <c r="AW189" s="473"/>
      <c r="AX189" s="473"/>
      <c r="AY189" s="473"/>
      <c r="AZ189" s="473"/>
      <c r="BA189" s="473"/>
      <c r="BB189" s="473"/>
      <c r="BC189" s="473"/>
      <c r="BD189" s="473"/>
      <c r="BE189" s="473"/>
    </row>
    <row r="190" spans="3:57" s="470" customFormat="1" x14ac:dyDescent="0.2">
      <c r="C190" s="467"/>
      <c r="D190" s="468"/>
      <c r="E190" s="469"/>
      <c r="F190" s="469"/>
      <c r="N190" s="471"/>
      <c r="O190" s="472"/>
      <c r="P190" s="472"/>
      <c r="Q190" s="472"/>
      <c r="R190" s="473"/>
      <c r="S190" s="473"/>
      <c r="T190" s="473"/>
      <c r="U190" s="473"/>
      <c r="V190" s="473"/>
      <c r="W190" s="473"/>
      <c r="X190" s="473"/>
      <c r="Y190" s="473"/>
      <c r="Z190" s="473"/>
      <c r="AA190" s="473"/>
      <c r="AB190" s="473"/>
      <c r="AC190" s="473"/>
      <c r="AD190" s="473"/>
      <c r="AE190" s="473"/>
      <c r="AF190" s="473"/>
      <c r="AG190" s="473"/>
      <c r="AH190" s="473"/>
      <c r="AI190" s="473"/>
      <c r="AJ190" s="473"/>
      <c r="AK190" s="473"/>
      <c r="AL190" s="473"/>
      <c r="AM190" s="473"/>
      <c r="AN190" s="473"/>
      <c r="AO190" s="473"/>
      <c r="AP190" s="473"/>
      <c r="AQ190" s="473"/>
      <c r="AR190" s="473"/>
      <c r="AS190" s="473"/>
      <c r="AT190" s="473"/>
      <c r="AU190" s="473"/>
      <c r="AV190" s="473"/>
      <c r="AW190" s="473"/>
      <c r="AX190" s="473"/>
      <c r="AY190" s="473"/>
      <c r="AZ190" s="473"/>
      <c r="BA190" s="473"/>
      <c r="BB190" s="473"/>
      <c r="BC190" s="473"/>
      <c r="BD190" s="473"/>
      <c r="BE190" s="473"/>
    </row>
    <row r="191" spans="3:57" s="470" customFormat="1" x14ac:dyDescent="0.2">
      <c r="C191" s="467"/>
      <c r="D191" s="468"/>
      <c r="E191" s="469"/>
      <c r="F191" s="469"/>
      <c r="N191" s="471"/>
      <c r="O191" s="472"/>
      <c r="P191" s="472"/>
      <c r="Q191" s="472"/>
      <c r="R191" s="473"/>
      <c r="S191" s="473"/>
      <c r="T191" s="473"/>
      <c r="U191" s="473"/>
      <c r="V191" s="473"/>
      <c r="W191" s="473"/>
      <c r="X191" s="473"/>
      <c r="Y191" s="473"/>
      <c r="Z191" s="473"/>
      <c r="AA191" s="473"/>
      <c r="AB191" s="473"/>
      <c r="AC191" s="473"/>
      <c r="AD191" s="473"/>
      <c r="AE191" s="473"/>
      <c r="AF191" s="473"/>
      <c r="AG191" s="473"/>
      <c r="AH191" s="473"/>
      <c r="AI191" s="473"/>
      <c r="AJ191" s="473"/>
      <c r="AK191" s="473"/>
      <c r="AL191" s="473"/>
      <c r="AM191" s="473"/>
      <c r="AN191" s="473"/>
      <c r="AO191" s="473"/>
      <c r="AP191" s="473"/>
      <c r="AQ191" s="473"/>
      <c r="AR191" s="473"/>
      <c r="AS191" s="473"/>
      <c r="AT191" s="473"/>
      <c r="AU191" s="473"/>
      <c r="AV191" s="473"/>
      <c r="AW191" s="473"/>
      <c r="AX191" s="473"/>
      <c r="AY191" s="473"/>
      <c r="AZ191" s="473"/>
      <c r="BA191" s="473"/>
      <c r="BB191" s="473"/>
      <c r="BC191" s="473"/>
      <c r="BD191" s="473"/>
      <c r="BE191" s="473"/>
    </row>
    <row r="192" spans="3:57" s="470" customFormat="1" x14ac:dyDescent="0.2">
      <c r="C192" s="467"/>
      <c r="D192" s="468"/>
      <c r="E192" s="469"/>
      <c r="F192" s="469"/>
      <c r="N192" s="471"/>
      <c r="O192" s="472"/>
      <c r="P192" s="472"/>
      <c r="Q192" s="472"/>
      <c r="R192" s="473"/>
      <c r="S192" s="473"/>
      <c r="T192" s="473"/>
      <c r="U192" s="473"/>
      <c r="V192" s="473"/>
      <c r="W192" s="473"/>
      <c r="X192" s="473"/>
      <c r="Y192" s="473"/>
      <c r="Z192" s="473"/>
      <c r="AA192" s="473"/>
      <c r="AB192" s="473"/>
      <c r="AC192" s="473"/>
      <c r="AD192" s="473"/>
      <c r="AE192" s="473"/>
      <c r="AF192" s="473"/>
      <c r="AG192" s="473"/>
      <c r="AH192" s="473"/>
      <c r="AI192" s="473"/>
      <c r="AJ192" s="473"/>
      <c r="AK192" s="473"/>
      <c r="AL192" s="473"/>
      <c r="AM192" s="473"/>
      <c r="AN192" s="473"/>
      <c r="AO192" s="473"/>
      <c r="AP192" s="473"/>
      <c r="AQ192" s="473"/>
      <c r="AR192" s="473"/>
      <c r="AS192" s="473"/>
      <c r="AT192" s="473"/>
      <c r="AU192" s="473"/>
      <c r="AV192" s="473"/>
      <c r="AW192" s="473"/>
      <c r="AX192" s="473"/>
      <c r="AY192" s="473"/>
      <c r="AZ192" s="473"/>
      <c r="BA192" s="473"/>
      <c r="BB192" s="473"/>
      <c r="BC192" s="473"/>
      <c r="BD192" s="473"/>
      <c r="BE192" s="473"/>
    </row>
    <row r="193" spans="3:57" s="470" customFormat="1" x14ac:dyDescent="0.2">
      <c r="C193" s="467"/>
      <c r="D193" s="468"/>
      <c r="E193" s="469"/>
      <c r="F193" s="469"/>
      <c r="N193" s="471"/>
      <c r="O193" s="472"/>
      <c r="P193" s="472"/>
      <c r="Q193" s="472"/>
      <c r="R193" s="473"/>
      <c r="S193" s="473"/>
      <c r="T193" s="473"/>
      <c r="U193" s="473"/>
      <c r="V193" s="473"/>
      <c r="W193" s="473"/>
      <c r="X193" s="473"/>
      <c r="Y193" s="473"/>
      <c r="Z193" s="473"/>
      <c r="AA193" s="473"/>
      <c r="AB193" s="473"/>
      <c r="AC193" s="473"/>
      <c r="AD193" s="473"/>
      <c r="AE193" s="473"/>
      <c r="AF193" s="473"/>
      <c r="AG193" s="473"/>
      <c r="AH193" s="473"/>
      <c r="AI193" s="473"/>
      <c r="AJ193" s="473"/>
      <c r="AK193" s="473"/>
      <c r="AL193" s="473"/>
      <c r="AM193" s="473"/>
      <c r="AN193" s="473"/>
      <c r="AO193" s="473"/>
      <c r="AP193" s="473"/>
      <c r="AQ193" s="473"/>
      <c r="AR193" s="473"/>
      <c r="AS193" s="473"/>
      <c r="AT193" s="473"/>
      <c r="AU193" s="473"/>
      <c r="AV193" s="473"/>
      <c r="AW193" s="473"/>
      <c r="AX193" s="473"/>
      <c r="AY193" s="473"/>
      <c r="AZ193" s="473"/>
      <c r="BA193" s="473"/>
      <c r="BB193" s="473"/>
      <c r="BC193" s="473"/>
      <c r="BD193" s="473"/>
      <c r="BE193" s="473"/>
    </row>
    <row r="194" spans="3:57" s="470" customFormat="1" x14ac:dyDescent="0.2">
      <c r="C194" s="467"/>
      <c r="D194" s="468"/>
      <c r="E194" s="469"/>
      <c r="F194" s="469"/>
      <c r="N194" s="471"/>
      <c r="O194" s="472"/>
      <c r="P194" s="472"/>
      <c r="Q194" s="472"/>
      <c r="R194" s="473"/>
      <c r="S194" s="473"/>
      <c r="T194" s="473"/>
      <c r="U194" s="473"/>
      <c r="V194" s="473"/>
      <c r="W194" s="473"/>
      <c r="X194" s="473"/>
      <c r="Y194" s="473"/>
      <c r="Z194" s="473"/>
      <c r="AA194" s="473"/>
      <c r="AB194" s="473"/>
      <c r="AC194" s="473"/>
      <c r="AD194" s="473"/>
      <c r="AE194" s="473"/>
      <c r="AF194" s="473"/>
      <c r="AG194" s="473"/>
      <c r="AH194" s="473"/>
      <c r="AI194" s="473"/>
      <c r="AJ194" s="473"/>
      <c r="AK194" s="473"/>
      <c r="AL194" s="473"/>
      <c r="AM194" s="473"/>
      <c r="AN194" s="473"/>
      <c r="AO194" s="473"/>
      <c r="AP194" s="473"/>
      <c r="AQ194" s="473"/>
      <c r="AR194" s="473"/>
      <c r="AS194" s="473"/>
      <c r="AT194" s="473"/>
      <c r="AU194" s="473"/>
      <c r="AV194" s="473"/>
      <c r="AW194" s="473"/>
      <c r="AX194" s="473"/>
      <c r="AY194" s="473"/>
      <c r="AZ194" s="473"/>
      <c r="BA194" s="473"/>
      <c r="BB194" s="473"/>
      <c r="BC194" s="473"/>
      <c r="BD194" s="473"/>
      <c r="BE194" s="473"/>
    </row>
    <row r="195" spans="3:57" s="470" customFormat="1" x14ac:dyDescent="0.2">
      <c r="C195" s="467"/>
      <c r="D195" s="468"/>
      <c r="E195" s="469"/>
      <c r="F195" s="469"/>
      <c r="N195" s="471"/>
      <c r="O195" s="472"/>
      <c r="P195" s="472"/>
      <c r="Q195" s="472"/>
      <c r="R195" s="473"/>
      <c r="S195" s="473"/>
      <c r="T195" s="473"/>
      <c r="U195" s="473"/>
      <c r="V195" s="473"/>
      <c r="W195" s="473"/>
      <c r="X195" s="473"/>
      <c r="Y195" s="473"/>
      <c r="Z195" s="473"/>
      <c r="AA195" s="473"/>
      <c r="AB195" s="473"/>
      <c r="AC195" s="473"/>
      <c r="AD195" s="473"/>
      <c r="AE195" s="473"/>
      <c r="AF195" s="473"/>
      <c r="AG195" s="473"/>
      <c r="AH195" s="473"/>
      <c r="AI195" s="473"/>
      <c r="AJ195" s="473"/>
      <c r="AK195" s="473"/>
      <c r="AL195" s="473"/>
      <c r="AM195" s="473"/>
      <c r="AN195" s="473"/>
      <c r="AO195" s="473"/>
      <c r="AP195" s="473"/>
      <c r="AQ195" s="473"/>
      <c r="AR195" s="473"/>
      <c r="AS195" s="473"/>
      <c r="AT195" s="473"/>
      <c r="AU195" s="473"/>
      <c r="AV195" s="473"/>
      <c r="AW195" s="473"/>
      <c r="AX195" s="473"/>
      <c r="AY195" s="473"/>
      <c r="AZ195" s="473"/>
      <c r="BA195" s="473"/>
      <c r="BB195" s="473"/>
      <c r="BC195" s="473"/>
      <c r="BD195" s="473"/>
      <c r="BE195" s="473"/>
    </row>
    <row r="196" spans="3:57" s="470" customFormat="1" x14ac:dyDescent="0.2">
      <c r="C196" s="467"/>
      <c r="D196" s="468"/>
      <c r="E196" s="469"/>
      <c r="F196" s="469"/>
      <c r="N196" s="471"/>
      <c r="O196" s="472"/>
      <c r="P196" s="472"/>
      <c r="Q196" s="472"/>
      <c r="R196" s="473"/>
      <c r="S196" s="473"/>
      <c r="T196" s="473"/>
      <c r="U196" s="473"/>
      <c r="V196" s="473"/>
      <c r="W196" s="473"/>
      <c r="X196" s="473"/>
      <c r="Y196" s="473"/>
      <c r="Z196" s="473"/>
      <c r="AA196" s="473"/>
      <c r="AB196" s="473"/>
      <c r="AC196" s="473"/>
      <c r="AD196" s="473"/>
      <c r="AE196" s="473"/>
      <c r="AF196" s="473"/>
      <c r="AG196" s="473"/>
      <c r="AH196" s="473"/>
      <c r="AI196" s="473"/>
      <c r="AJ196" s="473"/>
      <c r="AK196" s="473"/>
      <c r="AL196" s="473"/>
      <c r="AM196" s="473"/>
      <c r="AN196" s="473"/>
      <c r="AO196" s="473"/>
      <c r="AP196" s="473"/>
      <c r="AQ196" s="473"/>
      <c r="AR196" s="473"/>
      <c r="AS196" s="473"/>
      <c r="AT196" s="473"/>
      <c r="AU196" s="473"/>
      <c r="AV196" s="473"/>
      <c r="AW196" s="473"/>
      <c r="AX196" s="473"/>
      <c r="AY196" s="473"/>
      <c r="AZ196" s="473"/>
      <c r="BA196" s="473"/>
      <c r="BB196" s="473"/>
      <c r="BC196" s="473"/>
      <c r="BD196" s="473"/>
      <c r="BE196" s="473"/>
    </row>
    <row r="197" spans="3:57" s="470" customFormat="1" x14ac:dyDescent="0.2">
      <c r="C197" s="467"/>
      <c r="D197" s="468"/>
      <c r="E197" s="469"/>
      <c r="F197" s="469"/>
      <c r="N197" s="471"/>
      <c r="O197" s="472"/>
      <c r="P197" s="472"/>
      <c r="Q197" s="472"/>
      <c r="R197" s="473"/>
      <c r="S197" s="473"/>
      <c r="T197" s="473"/>
      <c r="U197" s="473"/>
      <c r="V197" s="473"/>
      <c r="W197" s="473"/>
      <c r="X197" s="473"/>
      <c r="Y197" s="473"/>
      <c r="Z197" s="473"/>
      <c r="AA197" s="473"/>
      <c r="AB197" s="473"/>
      <c r="AC197" s="473"/>
      <c r="AD197" s="473"/>
      <c r="AE197" s="473"/>
      <c r="AF197" s="473"/>
      <c r="AG197" s="473"/>
      <c r="AH197" s="473"/>
      <c r="AI197" s="473"/>
      <c r="AJ197" s="473"/>
      <c r="AK197" s="473"/>
      <c r="AL197" s="473"/>
      <c r="AM197" s="473"/>
      <c r="AN197" s="473"/>
      <c r="AO197" s="473"/>
      <c r="AP197" s="473"/>
      <c r="AQ197" s="473"/>
      <c r="AR197" s="473"/>
      <c r="AS197" s="473"/>
      <c r="AT197" s="473"/>
      <c r="AU197" s="473"/>
      <c r="AV197" s="473"/>
      <c r="AW197" s="473"/>
      <c r="AX197" s="473"/>
      <c r="AY197" s="473"/>
      <c r="AZ197" s="473"/>
      <c r="BA197" s="473"/>
      <c r="BB197" s="473"/>
      <c r="BC197" s="473"/>
      <c r="BD197" s="473"/>
      <c r="BE197" s="473"/>
    </row>
    <row r="198" spans="3:57" s="470" customFormat="1" x14ac:dyDescent="0.2">
      <c r="C198" s="467"/>
      <c r="D198" s="468"/>
      <c r="E198" s="469"/>
      <c r="F198" s="469"/>
      <c r="N198" s="471"/>
      <c r="O198" s="472"/>
      <c r="P198" s="472"/>
      <c r="Q198" s="472"/>
      <c r="R198" s="473"/>
      <c r="S198" s="473"/>
      <c r="T198" s="473"/>
      <c r="U198" s="473"/>
      <c r="V198" s="473"/>
      <c r="W198" s="473"/>
      <c r="X198" s="473"/>
      <c r="Y198" s="473"/>
      <c r="Z198" s="473"/>
      <c r="AA198" s="473"/>
      <c r="AB198" s="473"/>
      <c r="AC198" s="473"/>
      <c r="AD198" s="473"/>
      <c r="AE198" s="473"/>
      <c r="AF198" s="473"/>
      <c r="AG198" s="473"/>
      <c r="AH198" s="473"/>
      <c r="AI198" s="473"/>
      <c r="AJ198" s="473"/>
      <c r="AK198" s="473"/>
      <c r="AL198" s="473"/>
      <c r="AM198" s="473"/>
      <c r="AN198" s="473"/>
      <c r="AO198" s="473"/>
      <c r="AP198" s="473"/>
      <c r="AQ198" s="473"/>
      <c r="AR198" s="473"/>
      <c r="AS198" s="473"/>
      <c r="AT198" s="473"/>
      <c r="AU198" s="473"/>
      <c r="AV198" s="473"/>
      <c r="AW198" s="473"/>
      <c r="AX198" s="473"/>
      <c r="AY198" s="473"/>
      <c r="AZ198" s="473"/>
      <c r="BA198" s="473"/>
      <c r="BB198" s="473"/>
      <c r="BC198" s="473"/>
      <c r="BD198" s="473"/>
      <c r="BE198" s="473"/>
    </row>
    <row r="199" spans="3:57" s="470" customFormat="1" x14ac:dyDescent="0.2">
      <c r="C199" s="467"/>
      <c r="D199" s="468"/>
      <c r="E199" s="469"/>
      <c r="F199" s="469"/>
      <c r="N199" s="471"/>
      <c r="O199" s="472"/>
      <c r="P199" s="472"/>
      <c r="Q199" s="472"/>
      <c r="R199" s="473"/>
      <c r="S199" s="473"/>
      <c r="T199" s="473"/>
      <c r="U199" s="473"/>
      <c r="V199" s="473"/>
      <c r="W199" s="473"/>
      <c r="X199" s="473"/>
      <c r="Y199" s="473"/>
      <c r="Z199" s="473"/>
      <c r="AA199" s="473"/>
      <c r="AB199" s="473"/>
      <c r="AC199" s="473"/>
      <c r="AD199" s="473"/>
      <c r="AE199" s="473"/>
      <c r="AF199" s="473"/>
      <c r="AG199" s="473"/>
      <c r="AH199" s="473"/>
      <c r="AI199" s="473"/>
      <c r="AJ199" s="473"/>
      <c r="AK199" s="473"/>
      <c r="AL199" s="473"/>
      <c r="AM199" s="473"/>
      <c r="AN199" s="473"/>
      <c r="AO199" s="473"/>
      <c r="AP199" s="473"/>
      <c r="AQ199" s="473"/>
      <c r="AR199" s="473"/>
      <c r="AS199" s="473"/>
      <c r="AT199" s="473"/>
      <c r="AU199" s="473"/>
      <c r="AV199" s="473"/>
      <c r="AW199" s="473"/>
      <c r="AX199" s="473"/>
      <c r="AY199" s="473"/>
      <c r="AZ199" s="473"/>
      <c r="BA199" s="473"/>
      <c r="BB199" s="473"/>
      <c r="BC199" s="473"/>
      <c r="BD199" s="473"/>
      <c r="BE199" s="473"/>
    </row>
    <row r="200" spans="3:57" s="470" customFormat="1" x14ac:dyDescent="0.2">
      <c r="C200" s="467"/>
      <c r="D200" s="468"/>
      <c r="E200" s="469"/>
      <c r="F200" s="469"/>
      <c r="N200" s="471"/>
      <c r="O200" s="472"/>
      <c r="P200" s="472"/>
      <c r="Q200" s="472"/>
      <c r="R200" s="473"/>
      <c r="S200" s="473"/>
      <c r="T200" s="473"/>
      <c r="U200" s="473"/>
      <c r="V200" s="473"/>
      <c r="W200" s="473"/>
      <c r="X200" s="473"/>
      <c r="Y200" s="473"/>
      <c r="Z200" s="473"/>
      <c r="AA200" s="473"/>
      <c r="AB200" s="473"/>
      <c r="AC200" s="473"/>
      <c r="AD200" s="473"/>
      <c r="AE200" s="473"/>
      <c r="AF200" s="473"/>
      <c r="AG200" s="473"/>
      <c r="AH200" s="473"/>
      <c r="AI200" s="473"/>
      <c r="AJ200" s="473"/>
      <c r="AK200" s="473"/>
      <c r="AL200" s="473"/>
      <c r="AM200" s="473"/>
      <c r="AN200" s="473"/>
      <c r="AO200" s="473"/>
      <c r="AP200" s="473"/>
      <c r="AQ200" s="473"/>
      <c r="AR200" s="473"/>
      <c r="AS200" s="473"/>
      <c r="AT200" s="473"/>
      <c r="AU200" s="473"/>
      <c r="AV200" s="473"/>
      <c r="AW200" s="473"/>
      <c r="AX200" s="473"/>
      <c r="AY200" s="473"/>
      <c r="AZ200" s="473"/>
      <c r="BA200" s="473"/>
      <c r="BB200" s="473"/>
      <c r="BC200" s="473"/>
      <c r="BD200" s="473"/>
      <c r="BE200" s="473"/>
    </row>
    <row r="201" spans="3:57" s="470" customFormat="1" x14ac:dyDescent="0.2">
      <c r="C201" s="467"/>
      <c r="D201" s="468"/>
      <c r="E201" s="469"/>
      <c r="F201" s="469"/>
      <c r="N201" s="471"/>
      <c r="O201" s="472"/>
      <c r="P201" s="472"/>
      <c r="Q201" s="472"/>
      <c r="R201" s="473"/>
      <c r="S201" s="473"/>
      <c r="T201" s="473"/>
      <c r="U201" s="473"/>
      <c r="V201" s="473"/>
      <c r="W201" s="473"/>
      <c r="X201" s="473"/>
      <c r="Y201" s="473"/>
      <c r="Z201" s="473"/>
      <c r="AA201" s="473"/>
      <c r="AB201" s="473"/>
      <c r="AC201" s="473"/>
      <c r="AD201" s="473"/>
      <c r="AE201" s="473"/>
      <c r="AF201" s="473"/>
      <c r="AG201" s="473"/>
      <c r="AH201" s="473"/>
      <c r="AI201" s="473"/>
      <c r="AJ201" s="473"/>
      <c r="AK201" s="473"/>
      <c r="AL201" s="473"/>
      <c r="AM201" s="473"/>
      <c r="AN201" s="473"/>
      <c r="AO201" s="473"/>
      <c r="AP201" s="473"/>
      <c r="AQ201" s="473"/>
      <c r="AR201" s="473"/>
      <c r="AS201" s="473"/>
      <c r="AT201" s="473"/>
      <c r="AU201" s="473"/>
      <c r="AV201" s="473"/>
      <c r="AW201" s="473"/>
      <c r="AX201" s="473"/>
      <c r="AY201" s="473"/>
      <c r="AZ201" s="473"/>
      <c r="BA201" s="473"/>
      <c r="BB201" s="473"/>
      <c r="BC201" s="473"/>
      <c r="BD201" s="473"/>
      <c r="BE201" s="473"/>
    </row>
    <row r="202" spans="3:57" s="470" customFormat="1" x14ac:dyDescent="0.2">
      <c r="C202" s="467"/>
      <c r="D202" s="468"/>
      <c r="E202" s="469"/>
      <c r="F202" s="469"/>
      <c r="N202" s="471"/>
      <c r="O202" s="472"/>
      <c r="P202" s="472"/>
      <c r="Q202" s="472"/>
      <c r="R202" s="473"/>
      <c r="S202" s="473"/>
      <c r="T202" s="473"/>
      <c r="U202" s="473"/>
      <c r="V202" s="473"/>
      <c r="W202" s="473"/>
      <c r="X202" s="473"/>
      <c r="Y202" s="473"/>
      <c r="Z202" s="473"/>
      <c r="AA202" s="473"/>
      <c r="AB202" s="473"/>
      <c r="AC202" s="473"/>
      <c r="AD202" s="473"/>
      <c r="AE202" s="473"/>
      <c r="AF202" s="473"/>
      <c r="AG202" s="473"/>
      <c r="AH202" s="473"/>
      <c r="AI202" s="473"/>
      <c r="AJ202" s="473"/>
      <c r="AK202" s="473"/>
      <c r="AL202" s="473"/>
      <c r="AM202" s="473"/>
      <c r="AN202" s="473"/>
      <c r="AO202" s="473"/>
      <c r="AP202" s="473"/>
      <c r="AQ202" s="473"/>
      <c r="AR202" s="473"/>
      <c r="AS202" s="473"/>
      <c r="AT202" s="473"/>
      <c r="AU202" s="473"/>
      <c r="AV202" s="473"/>
      <c r="AW202" s="473"/>
      <c r="AX202" s="473"/>
      <c r="AY202" s="473"/>
      <c r="AZ202" s="473"/>
      <c r="BA202" s="473"/>
      <c r="BB202" s="473"/>
      <c r="BC202" s="473"/>
      <c r="BD202" s="473"/>
      <c r="BE202" s="473"/>
    </row>
    <row r="203" spans="3:57" s="470" customFormat="1" x14ac:dyDescent="0.2">
      <c r="C203" s="467"/>
      <c r="D203" s="468"/>
      <c r="E203" s="469"/>
      <c r="F203" s="469"/>
      <c r="N203" s="471"/>
      <c r="O203" s="472"/>
      <c r="P203" s="472"/>
      <c r="Q203" s="472"/>
      <c r="R203" s="473"/>
      <c r="S203" s="473"/>
      <c r="T203" s="473"/>
      <c r="U203" s="473"/>
      <c r="V203" s="473"/>
      <c r="W203" s="473"/>
      <c r="X203" s="473"/>
      <c r="Y203" s="473"/>
      <c r="Z203" s="473"/>
      <c r="AA203" s="473"/>
      <c r="AB203" s="473"/>
      <c r="AC203" s="473"/>
      <c r="AD203" s="473"/>
      <c r="AE203" s="473"/>
      <c r="AF203" s="473"/>
      <c r="AG203" s="473"/>
      <c r="AH203" s="473"/>
      <c r="AI203" s="473"/>
      <c r="AJ203" s="473"/>
      <c r="AK203" s="473"/>
      <c r="AL203" s="473"/>
      <c r="AM203" s="473"/>
      <c r="AN203" s="473"/>
      <c r="AO203" s="473"/>
      <c r="AP203" s="473"/>
      <c r="AQ203" s="473"/>
      <c r="AR203" s="473"/>
      <c r="AS203" s="473"/>
      <c r="AT203" s="473"/>
      <c r="AU203" s="473"/>
      <c r="AV203" s="473"/>
      <c r="AW203" s="473"/>
      <c r="AX203" s="473"/>
      <c r="AY203" s="473"/>
      <c r="AZ203" s="473"/>
      <c r="BA203" s="473"/>
      <c r="BB203" s="473"/>
      <c r="BC203" s="473"/>
      <c r="BD203" s="473"/>
      <c r="BE203" s="473"/>
    </row>
    <row r="204" spans="3:57" s="470" customFormat="1" x14ac:dyDescent="0.2">
      <c r="C204" s="467"/>
      <c r="D204" s="468"/>
      <c r="E204" s="469"/>
      <c r="F204" s="469"/>
      <c r="N204" s="471"/>
      <c r="O204" s="472"/>
      <c r="P204" s="472"/>
      <c r="Q204" s="472"/>
      <c r="R204" s="473"/>
      <c r="S204" s="473"/>
      <c r="T204" s="473"/>
      <c r="U204" s="473"/>
      <c r="V204" s="473"/>
      <c r="W204" s="473"/>
      <c r="X204" s="473"/>
      <c r="Y204" s="473"/>
      <c r="Z204" s="473"/>
      <c r="AA204" s="473"/>
      <c r="AB204" s="473"/>
      <c r="AC204" s="473"/>
      <c r="AD204" s="473"/>
      <c r="AE204" s="473"/>
      <c r="AF204" s="473"/>
      <c r="AG204" s="473"/>
      <c r="AH204" s="473"/>
      <c r="AI204" s="473"/>
      <c r="AJ204" s="473"/>
      <c r="AK204" s="473"/>
      <c r="AL204" s="473"/>
      <c r="AM204" s="473"/>
      <c r="AN204" s="473"/>
      <c r="AO204" s="473"/>
      <c r="AP204" s="473"/>
      <c r="AQ204" s="473"/>
      <c r="AR204" s="473"/>
      <c r="AS204" s="473"/>
      <c r="AT204" s="473"/>
      <c r="AU204" s="473"/>
      <c r="AV204" s="473"/>
      <c r="AW204" s="473"/>
      <c r="AX204" s="473"/>
      <c r="AY204" s="473"/>
      <c r="AZ204" s="473"/>
      <c r="BA204" s="473"/>
      <c r="BB204" s="473"/>
      <c r="BC204" s="473"/>
      <c r="BD204" s="473"/>
      <c r="BE204" s="473"/>
    </row>
    <row r="205" spans="3:57" s="470" customFormat="1" x14ac:dyDescent="0.2">
      <c r="C205" s="467"/>
      <c r="D205" s="468"/>
      <c r="E205" s="469"/>
      <c r="F205" s="469"/>
      <c r="N205" s="471"/>
      <c r="O205" s="472"/>
      <c r="P205" s="472"/>
      <c r="Q205" s="472"/>
      <c r="R205" s="473"/>
      <c r="S205" s="473"/>
      <c r="T205" s="473"/>
      <c r="U205" s="473"/>
      <c r="V205" s="473"/>
      <c r="W205" s="473"/>
      <c r="X205" s="473"/>
      <c r="Y205" s="473"/>
      <c r="Z205" s="473"/>
      <c r="AA205" s="473"/>
      <c r="AB205" s="473"/>
      <c r="AC205" s="473"/>
      <c r="AD205" s="473"/>
      <c r="AE205" s="473"/>
      <c r="AF205" s="473"/>
      <c r="AG205" s="473"/>
      <c r="AH205" s="473"/>
      <c r="AI205" s="473"/>
      <c r="AJ205" s="473"/>
      <c r="AK205" s="473"/>
      <c r="AL205" s="473"/>
      <c r="AM205" s="473"/>
      <c r="AN205" s="473"/>
      <c r="AO205" s="473"/>
      <c r="AP205" s="473"/>
      <c r="AQ205" s="473"/>
      <c r="AR205" s="473"/>
      <c r="AS205" s="473"/>
      <c r="AT205" s="473"/>
      <c r="AU205" s="473"/>
      <c r="AV205" s="473"/>
      <c r="AW205" s="473"/>
      <c r="AX205" s="473"/>
      <c r="AY205" s="473"/>
      <c r="AZ205" s="473"/>
      <c r="BA205" s="473"/>
      <c r="BB205" s="473"/>
      <c r="BC205" s="473"/>
      <c r="BD205" s="473"/>
      <c r="BE205" s="473"/>
    </row>
    <row r="206" spans="3:57" s="470" customFormat="1" x14ac:dyDescent="0.2">
      <c r="C206" s="467"/>
      <c r="D206" s="468"/>
      <c r="E206" s="469"/>
      <c r="F206" s="469"/>
      <c r="N206" s="471"/>
      <c r="O206" s="472"/>
      <c r="P206" s="472"/>
      <c r="Q206" s="472"/>
      <c r="R206" s="473"/>
      <c r="S206" s="473"/>
      <c r="T206" s="473"/>
      <c r="U206" s="473"/>
      <c r="V206" s="473"/>
      <c r="W206" s="473"/>
      <c r="X206" s="473"/>
      <c r="Y206" s="473"/>
      <c r="Z206" s="473"/>
      <c r="AA206" s="473"/>
      <c r="AB206" s="473"/>
      <c r="AC206" s="473"/>
      <c r="AD206" s="473"/>
      <c r="AE206" s="473"/>
      <c r="AF206" s="473"/>
      <c r="AG206" s="473"/>
      <c r="AH206" s="473"/>
      <c r="AI206" s="473"/>
      <c r="AJ206" s="473"/>
      <c r="AK206" s="473"/>
      <c r="AL206" s="473"/>
      <c r="AM206" s="473"/>
      <c r="AN206" s="473"/>
      <c r="AO206" s="473"/>
      <c r="AP206" s="473"/>
      <c r="AQ206" s="473"/>
      <c r="AR206" s="473"/>
      <c r="AS206" s="473"/>
      <c r="AT206" s="473"/>
      <c r="AU206" s="473"/>
      <c r="AV206" s="473"/>
      <c r="AW206" s="473"/>
      <c r="AX206" s="473"/>
      <c r="AY206" s="473"/>
      <c r="AZ206" s="473"/>
      <c r="BA206" s="473"/>
      <c r="BB206" s="473"/>
      <c r="BC206" s="473"/>
      <c r="BD206" s="473"/>
      <c r="BE206" s="473"/>
    </row>
    <row r="207" spans="3:57" s="470" customFormat="1" x14ac:dyDescent="0.2">
      <c r="C207" s="467"/>
      <c r="D207" s="468"/>
      <c r="E207" s="469"/>
      <c r="F207" s="469"/>
      <c r="N207" s="471"/>
      <c r="O207" s="472"/>
      <c r="P207" s="472"/>
      <c r="Q207" s="472"/>
      <c r="R207" s="473"/>
      <c r="S207" s="473"/>
      <c r="T207" s="473"/>
      <c r="U207" s="473"/>
      <c r="V207" s="473"/>
      <c r="W207" s="473"/>
      <c r="X207" s="473"/>
      <c r="Y207" s="473"/>
      <c r="Z207" s="473"/>
      <c r="AA207" s="473"/>
      <c r="AB207" s="473"/>
      <c r="AC207" s="473"/>
      <c r="AD207" s="473"/>
      <c r="AE207" s="473"/>
      <c r="AF207" s="473"/>
      <c r="AG207" s="473"/>
      <c r="AH207" s="473"/>
      <c r="AI207" s="473"/>
      <c r="AJ207" s="473"/>
      <c r="AK207" s="473"/>
      <c r="AL207" s="473"/>
      <c r="AM207" s="473"/>
      <c r="AN207" s="473"/>
      <c r="AO207" s="473"/>
      <c r="AP207" s="473"/>
      <c r="AQ207" s="473"/>
      <c r="AR207" s="473"/>
      <c r="AS207" s="473"/>
      <c r="AT207" s="473"/>
      <c r="AU207" s="473"/>
      <c r="AV207" s="473"/>
      <c r="AW207" s="473"/>
      <c r="AX207" s="473"/>
      <c r="AY207" s="473"/>
      <c r="AZ207" s="473"/>
      <c r="BA207" s="473"/>
      <c r="BB207" s="473"/>
      <c r="BC207" s="473"/>
      <c r="BD207" s="473"/>
      <c r="BE207" s="473"/>
    </row>
    <row r="208" spans="3:57" s="470" customFormat="1" x14ac:dyDescent="0.2">
      <c r="C208" s="467"/>
      <c r="D208" s="468"/>
      <c r="E208" s="469"/>
      <c r="F208" s="469"/>
      <c r="N208" s="471"/>
      <c r="O208" s="472"/>
      <c r="P208" s="472"/>
      <c r="Q208" s="472"/>
      <c r="R208" s="473"/>
      <c r="S208" s="473"/>
      <c r="T208" s="473"/>
      <c r="U208" s="473"/>
      <c r="V208" s="473"/>
      <c r="W208" s="473"/>
      <c r="X208" s="473"/>
      <c r="Y208" s="473"/>
      <c r="Z208" s="473"/>
      <c r="AA208" s="473"/>
      <c r="AB208" s="473"/>
      <c r="AC208" s="473"/>
      <c r="AD208" s="473"/>
      <c r="AE208" s="473"/>
      <c r="AF208" s="473"/>
      <c r="AG208" s="473"/>
      <c r="AH208" s="473"/>
      <c r="AI208" s="473"/>
      <c r="AJ208" s="473"/>
      <c r="AK208" s="473"/>
      <c r="AL208" s="473"/>
      <c r="AM208" s="473"/>
      <c r="AN208" s="473"/>
      <c r="AO208" s="473"/>
      <c r="AP208" s="473"/>
      <c r="AQ208" s="473"/>
      <c r="AR208" s="473"/>
      <c r="AS208" s="473"/>
      <c r="AT208" s="473"/>
      <c r="AU208" s="473"/>
      <c r="AV208" s="473"/>
      <c r="AW208" s="473"/>
      <c r="AX208" s="473"/>
      <c r="AY208" s="473"/>
      <c r="AZ208" s="473"/>
      <c r="BA208" s="473"/>
      <c r="BB208" s="473"/>
      <c r="BC208" s="473"/>
      <c r="BD208" s="473"/>
      <c r="BE208" s="473"/>
    </row>
    <row r="209" spans="3:57" s="470" customFormat="1" x14ac:dyDescent="0.2">
      <c r="C209" s="467"/>
      <c r="D209" s="468"/>
      <c r="E209" s="469"/>
      <c r="F209" s="469"/>
      <c r="N209" s="471"/>
      <c r="O209" s="472"/>
      <c r="P209" s="472"/>
      <c r="Q209" s="472"/>
      <c r="R209" s="473"/>
      <c r="S209" s="473"/>
      <c r="T209" s="473"/>
      <c r="U209" s="473"/>
      <c r="V209" s="473"/>
      <c r="W209" s="473"/>
      <c r="X209" s="473"/>
      <c r="Y209" s="473"/>
      <c r="Z209" s="473"/>
      <c r="AA209" s="473"/>
      <c r="AB209" s="473"/>
      <c r="AC209" s="473"/>
      <c r="AD209" s="473"/>
      <c r="AE209" s="473"/>
      <c r="AF209" s="473"/>
      <c r="AG209" s="473"/>
      <c r="AH209" s="473"/>
      <c r="AI209" s="473"/>
      <c r="AJ209" s="473"/>
      <c r="AK209" s="473"/>
      <c r="AL209" s="473"/>
      <c r="AM209" s="473"/>
      <c r="AN209" s="473"/>
      <c r="AO209" s="473"/>
      <c r="AP209" s="473"/>
      <c r="AQ209" s="473"/>
      <c r="AR209" s="473"/>
      <c r="AS209" s="473"/>
      <c r="AT209" s="473"/>
      <c r="AU209" s="473"/>
      <c r="AV209" s="473"/>
      <c r="AW209" s="473"/>
      <c r="AX209" s="473"/>
      <c r="AY209" s="473"/>
      <c r="AZ209" s="473"/>
      <c r="BA209" s="473"/>
      <c r="BB209" s="473"/>
      <c r="BC209" s="473"/>
      <c r="BD209" s="473"/>
      <c r="BE209" s="473"/>
    </row>
    <row r="210" spans="3:57" s="470" customFormat="1" x14ac:dyDescent="0.2">
      <c r="C210" s="467"/>
      <c r="D210" s="468"/>
      <c r="E210" s="469"/>
      <c r="F210" s="469"/>
      <c r="N210" s="471"/>
      <c r="O210" s="472"/>
      <c r="P210" s="472"/>
      <c r="Q210" s="472"/>
      <c r="R210" s="473"/>
      <c r="S210" s="473"/>
      <c r="T210" s="473"/>
      <c r="U210" s="473"/>
      <c r="V210" s="473"/>
      <c r="W210" s="473"/>
      <c r="X210" s="473"/>
      <c r="Y210" s="473"/>
      <c r="Z210" s="473"/>
      <c r="AA210" s="473"/>
      <c r="AB210" s="473"/>
      <c r="AC210" s="473"/>
      <c r="AD210" s="473"/>
      <c r="AE210" s="473"/>
      <c r="AF210" s="473"/>
      <c r="AG210" s="473"/>
      <c r="AH210" s="473"/>
      <c r="AI210" s="473"/>
      <c r="AJ210" s="473"/>
      <c r="AK210" s="473"/>
      <c r="AL210" s="473"/>
      <c r="AM210" s="473"/>
      <c r="AN210" s="473"/>
      <c r="AO210" s="473"/>
      <c r="AP210" s="473"/>
      <c r="AQ210" s="473"/>
      <c r="AR210" s="473"/>
      <c r="AS210" s="473"/>
      <c r="AT210" s="473"/>
      <c r="AU210" s="473"/>
      <c r="AV210" s="473"/>
      <c r="AW210" s="473"/>
      <c r="AX210" s="473"/>
      <c r="AY210" s="473"/>
      <c r="AZ210" s="473"/>
      <c r="BA210" s="473"/>
      <c r="BB210" s="473"/>
      <c r="BC210" s="473"/>
      <c r="BD210" s="473"/>
      <c r="BE210" s="473"/>
    </row>
    <row r="211" spans="3:57" s="470" customFormat="1" x14ac:dyDescent="0.2">
      <c r="C211" s="467"/>
      <c r="D211" s="468"/>
      <c r="E211" s="469"/>
      <c r="F211" s="469"/>
      <c r="N211" s="471"/>
      <c r="O211" s="472"/>
      <c r="P211" s="472"/>
      <c r="Q211" s="472"/>
      <c r="R211" s="473"/>
      <c r="S211" s="473"/>
      <c r="T211" s="473"/>
      <c r="U211" s="473"/>
      <c r="V211" s="473"/>
      <c r="W211" s="473"/>
      <c r="X211" s="473"/>
      <c r="Y211" s="473"/>
      <c r="Z211" s="473"/>
      <c r="AA211" s="473"/>
      <c r="AB211" s="473"/>
      <c r="AC211" s="473"/>
      <c r="AD211" s="473"/>
      <c r="AE211" s="473"/>
      <c r="AF211" s="473"/>
      <c r="AG211" s="473"/>
      <c r="AH211" s="473"/>
      <c r="AI211" s="473"/>
      <c r="AJ211" s="473"/>
      <c r="AK211" s="473"/>
      <c r="AL211" s="473"/>
      <c r="AM211" s="473"/>
      <c r="AN211" s="473"/>
      <c r="AO211" s="473"/>
      <c r="AP211" s="473"/>
      <c r="AQ211" s="473"/>
      <c r="AR211" s="473"/>
      <c r="AS211" s="473"/>
      <c r="AT211" s="473"/>
      <c r="AU211" s="473"/>
      <c r="AV211" s="473"/>
      <c r="AW211" s="473"/>
      <c r="AX211" s="473"/>
      <c r="AY211" s="473"/>
      <c r="AZ211" s="473"/>
      <c r="BA211" s="473"/>
      <c r="BB211" s="473"/>
      <c r="BC211" s="473"/>
      <c r="BD211" s="473"/>
      <c r="BE211" s="473"/>
    </row>
    <row r="212" spans="3:57" s="470" customFormat="1" x14ac:dyDescent="0.2">
      <c r="C212" s="467"/>
      <c r="D212" s="468"/>
      <c r="E212" s="469"/>
      <c r="F212" s="469"/>
      <c r="N212" s="471"/>
      <c r="O212" s="472"/>
      <c r="P212" s="472"/>
      <c r="Q212" s="472"/>
      <c r="R212" s="473"/>
      <c r="S212" s="473"/>
      <c r="T212" s="473"/>
      <c r="U212" s="473"/>
      <c r="V212" s="473"/>
      <c r="W212" s="473"/>
      <c r="X212" s="473"/>
      <c r="Y212" s="473"/>
      <c r="Z212" s="473"/>
      <c r="AA212" s="473"/>
      <c r="AB212" s="473"/>
      <c r="AC212" s="473"/>
      <c r="AD212" s="473"/>
      <c r="AE212" s="473"/>
      <c r="AF212" s="473"/>
      <c r="AG212" s="473"/>
      <c r="AH212" s="473"/>
      <c r="AI212" s="473"/>
      <c r="AJ212" s="473"/>
      <c r="AK212" s="473"/>
      <c r="AL212" s="473"/>
      <c r="AM212" s="473"/>
      <c r="AN212" s="473"/>
      <c r="AO212" s="473"/>
      <c r="AP212" s="473"/>
      <c r="AQ212" s="473"/>
      <c r="AR212" s="473"/>
      <c r="AS212" s="473"/>
      <c r="AT212" s="473"/>
      <c r="AU212" s="473"/>
      <c r="AV212" s="473"/>
      <c r="AW212" s="473"/>
      <c r="AX212" s="473"/>
      <c r="AY212" s="473"/>
      <c r="AZ212" s="473"/>
      <c r="BA212" s="473"/>
      <c r="BB212" s="473"/>
      <c r="BC212" s="473"/>
      <c r="BD212" s="473"/>
      <c r="BE212" s="473"/>
    </row>
    <row r="213" spans="3:57" s="470" customFormat="1" x14ac:dyDescent="0.2">
      <c r="C213" s="467"/>
      <c r="D213" s="468"/>
      <c r="E213" s="469"/>
      <c r="F213" s="469"/>
      <c r="N213" s="471"/>
      <c r="O213" s="472"/>
      <c r="P213" s="472"/>
      <c r="Q213" s="472"/>
      <c r="R213" s="473"/>
      <c r="S213" s="473"/>
      <c r="T213" s="473"/>
      <c r="U213" s="473"/>
      <c r="V213" s="473"/>
      <c r="W213" s="473"/>
      <c r="X213" s="473"/>
      <c r="Y213" s="473"/>
      <c r="Z213" s="473"/>
      <c r="AA213" s="473"/>
      <c r="AB213" s="473"/>
      <c r="AC213" s="473"/>
      <c r="AD213" s="473"/>
      <c r="AE213" s="473"/>
      <c r="AF213" s="473"/>
      <c r="AG213" s="473"/>
      <c r="AH213" s="473"/>
      <c r="AI213" s="473"/>
      <c r="AJ213" s="473"/>
      <c r="AK213" s="473"/>
      <c r="AL213" s="473"/>
      <c r="AM213" s="473"/>
      <c r="AN213" s="473"/>
      <c r="AO213" s="473"/>
      <c r="AP213" s="473"/>
      <c r="AQ213" s="473"/>
      <c r="AR213" s="473"/>
      <c r="AS213" s="473"/>
      <c r="AT213" s="473"/>
      <c r="AU213" s="473"/>
      <c r="AV213" s="473"/>
      <c r="AW213" s="473"/>
      <c r="AX213" s="473"/>
      <c r="AY213" s="473"/>
      <c r="AZ213" s="473"/>
      <c r="BA213" s="473"/>
      <c r="BB213" s="473"/>
      <c r="BC213" s="473"/>
      <c r="BD213" s="473"/>
      <c r="BE213" s="473"/>
    </row>
    <row r="214" spans="3:57" s="470" customFormat="1" x14ac:dyDescent="0.2">
      <c r="C214" s="467"/>
      <c r="D214" s="468"/>
      <c r="E214" s="469"/>
      <c r="F214" s="469"/>
      <c r="N214" s="471"/>
      <c r="O214" s="472"/>
      <c r="P214" s="472"/>
      <c r="Q214" s="472"/>
      <c r="R214" s="473"/>
      <c r="S214" s="473"/>
      <c r="T214" s="473"/>
      <c r="U214" s="473"/>
      <c r="V214" s="473"/>
      <c r="W214" s="473"/>
      <c r="X214" s="473"/>
      <c r="Y214" s="473"/>
      <c r="Z214" s="473"/>
      <c r="AA214" s="473"/>
      <c r="AB214" s="473"/>
      <c r="AC214" s="473"/>
      <c r="AD214" s="473"/>
      <c r="AE214" s="473"/>
      <c r="AF214" s="473"/>
      <c r="AG214" s="473"/>
      <c r="AH214" s="473"/>
      <c r="AI214" s="473"/>
      <c r="AJ214" s="473"/>
      <c r="AK214" s="473"/>
      <c r="AL214" s="473"/>
      <c r="AM214" s="473"/>
      <c r="AN214" s="473"/>
      <c r="AO214" s="473"/>
      <c r="AP214" s="473"/>
      <c r="AQ214" s="473"/>
      <c r="AR214" s="473"/>
      <c r="AS214" s="473"/>
      <c r="AT214" s="473"/>
      <c r="AU214" s="473"/>
      <c r="AV214" s="473"/>
      <c r="AW214" s="473"/>
      <c r="AX214" s="473"/>
      <c r="AY214" s="473"/>
      <c r="AZ214" s="473"/>
      <c r="BA214" s="473"/>
      <c r="BB214" s="473"/>
      <c r="BC214" s="473"/>
      <c r="BD214" s="473"/>
      <c r="BE214" s="473"/>
    </row>
    <row r="215" spans="3:57" s="470" customFormat="1" x14ac:dyDescent="0.2">
      <c r="C215" s="467"/>
      <c r="D215" s="468"/>
      <c r="E215" s="469"/>
      <c r="F215" s="469"/>
      <c r="N215" s="471"/>
      <c r="O215" s="472"/>
      <c r="P215" s="472"/>
      <c r="Q215" s="472"/>
      <c r="R215" s="473"/>
      <c r="S215" s="473"/>
      <c r="T215" s="473"/>
      <c r="U215" s="473"/>
      <c r="V215" s="473"/>
      <c r="W215" s="473"/>
      <c r="X215" s="473"/>
      <c r="Y215" s="473"/>
      <c r="Z215" s="473"/>
      <c r="AA215" s="473"/>
      <c r="AB215" s="473"/>
      <c r="AC215" s="473"/>
      <c r="AD215" s="473"/>
      <c r="AE215" s="473"/>
      <c r="AF215" s="473"/>
      <c r="AG215" s="473"/>
      <c r="AH215" s="473"/>
      <c r="AI215" s="473"/>
      <c r="AJ215" s="473"/>
      <c r="AK215" s="473"/>
      <c r="AL215" s="473"/>
      <c r="AM215" s="473"/>
      <c r="AN215" s="473"/>
      <c r="AO215" s="473"/>
      <c r="AP215" s="473"/>
      <c r="AQ215" s="473"/>
      <c r="AR215" s="473"/>
      <c r="AS215" s="473"/>
      <c r="AT215" s="473"/>
      <c r="AU215" s="473"/>
      <c r="AV215" s="473"/>
      <c r="AW215" s="473"/>
      <c r="AX215" s="473"/>
      <c r="AY215" s="473"/>
      <c r="AZ215" s="473"/>
      <c r="BA215" s="473"/>
      <c r="BB215" s="473"/>
      <c r="BC215" s="473"/>
      <c r="BD215" s="473"/>
      <c r="BE215" s="473"/>
    </row>
    <row r="216" spans="3:57" s="470" customFormat="1" x14ac:dyDescent="0.2">
      <c r="C216" s="467"/>
      <c r="D216" s="468"/>
      <c r="E216" s="469"/>
      <c r="F216" s="469"/>
      <c r="N216" s="471"/>
      <c r="O216" s="472"/>
      <c r="P216" s="472"/>
      <c r="Q216" s="472"/>
      <c r="R216" s="473"/>
      <c r="S216" s="473"/>
      <c r="T216" s="473"/>
      <c r="U216" s="473"/>
      <c r="V216" s="473"/>
      <c r="W216" s="473"/>
      <c r="X216" s="473"/>
      <c r="Y216" s="473"/>
      <c r="Z216" s="473"/>
      <c r="AA216" s="473"/>
      <c r="AB216" s="473"/>
      <c r="AC216" s="473"/>
      <c r="AD216" s="473"/>
      <c r="AE216" s="473"/>
      <c r="AF216" s="473"/>
      <c r="AG216" s="473"/>
      <c r="AH216" s="473"/>
      <c r="AI216" s="473"/>
      <c r="AJ216" s="473"/>
      <c r="AK216" s="473"/>
      <c r="AL216" s="473"/>
      <c r="AM216" s="473"/>
      <c r="AN216" s="473"/>
      <c r="AO216" s="473"/>
      <c r="AP216" s="473"/>
      <c r="AQ216" s="473"/>
      <c r="AR216" s="473"/>
      <c r="AS216" s="473"/>
      <c r="AT216" s="473"/>
      <c r="AU216" s="473"/>
      <c r="AV216" s="473"/>
      <c r="AW216" s="473"/>
      <c r="AX216" s="473"/>
      <c r="AY216" s="473"/>
      <c r="AZ216" s="473"/>
      <c r="BA216" s="473"/>
      <c r="BB216" s="473"/>
      <c r="BC216" s="473"/>
      <c r="BD216" s="473"/>
      <c r="BE216" s="473"/>
    </row>
    <row r="217" spans="3:57" s="470" customFormat="1" x14ac:dyDescent="0.2">
      <c r="C217" s="467"/>
      <c r="D217" s="468"/>
      <c r="E217" s="469"/>
      <c r="F217" s="469"/>
      <c r="N217" s="471"/>
      <c r="O217" s="472"/>
      <c r="P217" s="472"/>
      <c r="Q217" s="472"/>
      <c r="R217" s="473"/>
      <c r="S217" s="473"/>
      <c r="T217" s="473"/>
      <c r="U217" s="473"/>
      <c r="V217" s="473"/>
      <c r="W217" s="473"/>
      <c r="X217" s="473"/>
      <c r="Y217" s="473"/>
      <c r="Z217" s="473"/>
      <c r="AA217" s="473"/>
      <c r="AB217" s="473"/>
      <c r="AC217" s="473"/>
      <c r="AD217" s="473"/>
      <c r="AE217" s="473"/>
      <c r="AF217" s="473"/>
      <c r="AG217" s="473"/>
      <c r="AH217" s="473"/>
      <c r="AI217" s="473"/>
      <c r="AJ217" s="473"/>
      <c r="AK217" s="473"/>
      <c r="AL217" s="473"/>
      <c r="AM217" s="473"/>
      <c r="AN217" s="473"/>
      <c r="AO217" s="473"/>
      <c r="AP217" s="473"/>
      <c r="AQ217" s="473"/>
      <c r="AR217" s="473"/>
      <c r="AS217" s="473"/>
      <c r="AT217" s="473"/>
      <c r="AU217" s="473"/>
      <c r="AV217" s="473"/>
      <c r="AW217" s="473"/>
      <c r="AX217" s="473"/>
      <c r="AY217" s="473"/>
      <c r="AZ217" s="473"/>
      <c r="BA217" s="473"/>
      <c r="BB217" s="473"/>
      <c r="BC217" s="473"/>
      <c r="BD217" s="473"/>
      <c r="BE217" s="473"/>
    </row>
    <row r="218" spans="3:57" s="470" customFormat="1" x14ac:dyDescent="0.2">
      <c r="C218" s="467"/>
      <c r="D218" s="468"/>
      <c r="E218" s="469"/>
      <c r="F218" s="469"/>
      <c r="N218" s="471"/>
      <c r="O218" s="472"/>
      <c r="P218" s="472"/>
      <c r="Q218" s="472"/>
      <c r="R218" s="473"/>
      <c r="S218" s="473"/>
      <c r="T218" s="473"/>
      <c r="U218" s="473"/>
      <c r="V218" s="473"/>
      <c r="W218" s="473"/>
      <c r="X218" s="473"/>
      <c r="Y218" s="473"/>
      <c r="Z218" s="473"/>
      <c r="AA218" s="473"/>
      <c r="AB218" s="473"/>
      <c r="AC218" s="473"/>
      <c r="AD218" s="473"/>
      <c r="AE218" s="473"/>
      <c r="AF218" s="473"/>
      <c r="AG218" s="473"/>
      <c r="AH218" s="473"/>
      <c r="AI218" s="473"/>
      <c r="AJ218" s="473"/>
      <c r="AK218" s="473"/>
      <c r="AL218" s="473"/>
      <c r="AM218" s="473"/>
      <c r="AN218" s="473"/>
      <c r="AO218" s="473"/>
      <c r="AP218" s="473"/>
      <c r="AQ218" s="473"/>
      <c r="AR218" s="473"/>
      <c r="AS218" s="473"/>
      <c r="AT218" s="473"/>
      <c r="AU218" s="473"/>
      <c r="AV218" s="473"/>
      <c r="AW218" s="473"/>
      <c r="AX218" s="473"/>
      <c r="AY218" s="473"/>
      <c r="AZ218" s="473"/>
      <c r="BA218" s="473"/>
      <c r="BB218" s="473"/>
      <c r="BC218" s="473"/>
      <c r="BD218" s="473"/>
      <c r="BE218" s="473"/>
    </row>
  </sheetData>
  <mergeCells count="154">
    <mergeCell ref="C137:F137"/>
    <mergeCell ref="C138:F138"/>
    <mergeCell ref="C139:F139"/>
    <mergeCell ref="C140:F140"/>
    <mergeCell ref="C141:F141"/>
    <mergeCell ref="C142:F142"/>
    <mergeCell ref="C118:F121"/>
    <mergeCell ref="C123:F126"/>
    <mergeCell ref="B3:D3"/>
    <mergeCell ref="C128:E128"/>
    <mergeCell ref="C129:F129"/>
    <mergeCell ref="C130:F130"/>
    <mergeCell ref="C131:F131"/>
    <mergeCell ref="C132:F132"/>
    <mergeCell ref="C133:F133"/>
    <mergeCell ref="C134:F134"/>
    <mergeCell ref="C135:F135"/>
    <mergeCell ref="C136:F136"/>
    <mergeCell ref="H82:J82"/>
    <mergeCell ref="K82:M82"/>
    <mergeCell ref="K77:M77"/>
    <mergeCell ref="H78:J78"/>
    <mergeCell ref="K78:M78"/>
    <mergeCell ref="H79:J79"/>
    <mergeCell ref="K79:M79"/>
    <mergeCell ref="H67:J67"/>
    <mergeCell ref="K67:M67"/>
    <mergeCell ref="H68:J68"/>
    <mergeCell ref="K68:M68"/>
    <mergeCell ref="H69:J69"/>
    <mergeCell ref="K69:M69"/>
    <mergeCell ref="H64:J64"/>
    <mergeCell ref="K64:M64"/>
    <mergeCell ref="H65:J65"/>
    <mergeCell ref="K65:M65"/>
    <mergeCell ref="H66:J66"/>
    <mergeCell ref="K66:M66"/>
    <mergeCell ref="H58:J58"/>
    <mergeCell ref="K58:M58"/>
    <mergeCell ref="H59:J59"/>
    <mergeCell ref="K59:M59"/>
    <mergeCell ref="H63:J63"/>
    <mergeCell ref="K63:M63"/>
    <mergeCell ref="H55:J55"/>
    <mergeCell ref="K55:M55"/>
    <mergeCell ref="H56:J56"/>
    <mergeCell ref="K56:M56"/>
    <mergeCell ref="H57:J57"/>
    <mergeCell ref="K57:M57"/>
    <mergeCell ref="H52:J52"/>
    <mergeCell ref="K52:M52"/>
    <mergeCell ref="H53:J53"/>
    <mergeCell ref="K53:M53"/>
    <mergeCell ref="H54:J54"/>
    <mergeCell ref="K54:M54"/>
    <mergeCell ref="H46:J46"/>
    <mergeCell ref="K46:M46"/>
    <mergeCell ref="H50:J50"/>
    <mergeCell ref="K50:M50"/>
    <mergeCell ref="H51:J51"/>
    <mergeCell ref="K51:M51"/>
    <mergeCell ref="H49:J49"/>
    <mergeCell ref="K49:M49"/>
    <mergeCell ref="H43:J43"/>
    <mergeCell ref="K43:M43"/>
    <mergeCell ref="H44:J44"/>
    <mergeCell ref="K44:M44"/>
    <mergeCell ref="H45:J45"/>
    <mergeCell ref="K45:M45"/>
    <mergeCell ref="H40:J40"/>
    <mergeCell ref="K40:M40"/>
    <mergeCell ref="H41:J41"/>
    <mergeCell ref="K41:M41"/>
    <mergeCell ref="H42:J42"/>
    <mergeCell ref="K42:M42"/>
    <mergeCell ref="H37:J37"/>
    <mergeCell ref="K37:M37"/>
    <mergeCell ref="H38:J38"/>
    <mergeCell ref="K38:M38"/>
    <mergeCell ref="H39:J39"/>
    <mergeCell ref="K39:M39"/>
    <mergeCell ref="K30:M30"/>
    <mergeCell ref="K31:M31"/>
    <mergeCell ref="K32:M32"/>
    <mergeCell ref="H36:J36"/>
    <mergeCell ref="K36:M36"/>
    <mergeCell ref="K25:M25"/>
    <mergeCell ref="K26:M26"/>
    <mergeCell ref="K27:M27"/>
    <mergeCell ref="K28:M28"/>
    <mergeCell ref="K29:M29"/>
    <mergeCell ref="K19:M19"/>
    <mergeCell ref="K7:M7"/>
    <mergeCell ref="K22:M22"/>
    <mergeCell ref="K23:M23"/>
    <mergeCell ref="K24:M24"/>
    <mergeCell ref="K14:M14"/>
    <mergeCell ref="K15:M15"/>
    <mergeCell ref="K16:M16"/>
    <mergeCell ref="K17:M17"/>
    <mergeCell ref="K18:M18"/>
    <mergeCell ref="K9:M9"/>
    <mergeCell ref="K10:M10"/>
    <mergeCell ref="K11:M11"/>
    <mergeCell ref="K12:M12"/>
    <mergeCell ref="K13:M13"/>
    <mergeCell ref="H16:J16"/>
    <mergeCell ref="H17:J17"/>
    <mergeCell ref="H18:J18"/>
    <mergeCell ref="H19:J19"/>
    <mergeCell ref="H22:J22"/>
    <mergeCell ref="N62:Q62"/>
    <mergeCell ref="H7:J7"/>
    <mergeCell ref="H9:J9"/>
    <mergeCell ref="H10:J10"/>
    <mergeCell ref="H11:J11"/>
    <mergeCell ref="H12:J12"/>
    <mergeCell ref="H13:J13"/>
    <mergeCell ref="H14:J14"/>
    <mergeCell ref="H15:J15"/>
    <mergeCell ref="H28:J28"/>
    <mergeCell ref="H29:J29"/>
    <mergeCell ref="H30:J30"/>
    <mergeCell ref="H31:J31"/>
    <mergeCell ref="H32:J32"/>
    <mergeCell ref="H23:J23"/>
    <mergeCell ref="H24:J24"/>
    <mergeCell ref="H25:J25"/>
    <mergeCell ref="H26:J26"/>
    <mergeCell ref="H27:J27"/>
    <mergeCell ref="N89:Q89"/>
    <mergeCell ref="H70:J70"/>
    <mergeCell ref="K70:M70"/>
    <mergeCell ref="H71:J71"/>
    <mergeCell ref="K71:M71"/>
    <mergeCell ref="H72:J72"/>
    <mergeCell ref="K72:M72"/>
    <mergeCell ref="H73:J73"/>
    <mergeCell ref="K73:M73"/>
    <mergeCell ref="H76:J76"/>
    <mergeCell ref="K76:M76"/>
    <mergeCell ref="H77:J77"/>
    <mergeCell ref="H86:J86"/>
    <mergeCell ref="K86:M86"/>
    <mergeCell ref="H83:J83"/>
    <mergeCell ref="K83:M83"/>
    <mergeCell ref="H84:J84"/>
    <mergeCell ref="K84:M84"/>
    <mergeCell ref="H85:J85"/>
    <mergeCell ref="K85:M85"/>
    <mergeCell ref="H80:J80"/>
    <mergeCell ref="K80:M80"/>
    <mergeCell ref="H81:J81"/>
    <mergeCell ref="K81:M81"/>
  </mergeCells>
  <conditionalFormatting sqref="F94:J94">
    <cfRule type="expression" dxfId="0" priority="5">
      <formula>F94&lt;&gt;E95+1</formula>
    </cfRule>
  </conditionalFormatting>
  <pageMargins left="0.7" right="0.7" top="0.75" bottom="0.75" header="0.3" footer="0.3"/>
  <pageSetup paperSize="5" scale="28" fitToHeight="4" orientation="portrait" r:id="rId1"/>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C2:C4"/>
  <sheetViews>
    <sheetView workbookViewId="0">
      <selection activeCell="C2" sqref="C2"/>
    </sheetView>
  </sheetViews>
  <sheetFormatPr defaultRowHeight="12.75" x14ac:dyDescent="0.2"/>
  <cols>
    <col min="1" max="1" width="0.85546875" customWidth="1"/>
  </cols>
  <sheetData>
    <row r="2" spans="3:3" x14ac:dyDescent="0.2">
      <c r="C2" s="35" t="s">
        <v>774</v>
      </c>
    </row>
    <row r="4" spans="3:3" x14ac:dyDescent="0.2">
      <c r="C4"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DLCPolicyLabelValue xmlns="3f97f2e6-ec2f-45c4-86e0-107f26d604cf">For Official Use Only (FOUO)</DLCPolicyLabelValue>
    <DLCPolicyLabelLock xmlns="3f97f2e6-ec2f-45c4-86e0-107f26d604cf" xsi:nil="true"/>
    <DLCPolicyLabelClientValue xmlns="3f97f2e6-ec2f-45c4-86e0-107f26d604cf">For Official Use Only (FOUO)</DLCPolicyLabelClientVal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Document</p:Name>
  <p:Description/>
  <p:Statement/>
  <p:PolicyItems>
    <p:PolicyItem featureId="Microsoft.Office.RecordsManagement.PolicyFeatures.PolicyLabel" staticId="0x0101|951641713" UniqueId="6df05e30-62a3-4094-88f4-635da09f03d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literal">For Official Use Only (FOUO)</segment>
        </label>
      </p:CustomData>
    </p:PolicyItem>
  </p:PolicyItems>
</p:Policy>
</file>

<file path=customXml/item4.xml><?xml version="1.0" encoding="utf-8"?>
<ct:contentTypeSchema xmlns:ct="http://schemas.microsoft.com/office/2006/metadata/contentType" xmlns:ma="http://schemas.microsoft.com/office/2006/metadata/properties/metaAttributes" ct:_="" ma:_="" ma:contentTypeName="Document" ma:contentTypeID="0x0101005FF22582369E0D46B1067FCEAD3C0870" ma:contentTypeVersion="0" ma:contentTypeDescription="Create a new document." ma:contentTypeScope="" ma:versionID="4be81dbc5d5579d43add362bd0114d8d">
  <xsd:schema xmlns:xsd="http://www.w3.org/2001/XMLSchema" xmlns:xs="http://www.w3.org/2001/XMLSchema" xmlns:p="http://schemas.microsoft.com/office/2006/metadata/properties" xmlns:ns1="http://schemas.microsoft.com/sharepoint/v3" xmlns:ns2="3f97f2e6-ec2f-45c4-86e0-107f26d604cf" targetNamespace="http://schemas.microsoft.com/office/2006/metadata/properties" ma:root="true" ma:fieldsID="b82d3275e9f3ff813873e4f2ef1f0a54" ns1:_="" ns2:_="">
    <xsd:import namespace="http://schemas.microsoft.com/sharepoint/v3"/>
    <xsd:import namespace="3f97f2e6-ec2f-45c4-86e0-107f26d604cf"/>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97f2e6-ec2f-45c4-86e0-107f26d604cf"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Policy Label Generator</Name>
    <Synchronization>Synchronous</Synchronization>
    <Type>10001</Type>
    <SequenceNumber>1000</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10002</Type>
    <SequenceNumber>1001</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10004</Type>
    <SequenceNumber>1002</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10006</Type>
    <SequenceNumber>1003</SequenceNumber>
    <Assembly>Microsoft.Office.Policy, Version=14.0.0.0, Culture=neutral, PublicKeyToken=71e9bce111e9429c</Assembly>
    <Class>Microsoft.Office.RecordsManagement.Internal.LabelHandler</Class>
    <Data/>
    <Filter/>
  </Receiver>
</spe:Receivers>
</file>

<file path=customXml/itemProps1.xml><?xml version="1.0" encoding="utf-8"?>
<ds:datastoreItem xmlns:ds="http://schemas.openxmlformats.org/officeDocument/2006/customXml" ds:itemID="{809DF35C-851B-432A-A153-A7EB2C538E0E}">
  <ds:schemaRefs>
    <ds:schemaRef ds:uri="http://schemas.openxmlformats.org/package/2006/metadata/core-properties"/>
    <ds:schemaRef ds:uri="e0022ec3-c42b-40ec-8610-39ba4c9f4297"/>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0B768875-36C1-487D-A014-754DE71A7914}">
  <ds:schemaRefs>
    <ds:schemaRef ds:uri="http://schemas.microsoft.com/sharepoint/v3/contenttype/forms"/>
  </ds:schemaRefs>
</ds:datastoreItem>
</file>

<file path=customXml/itemProps3.xml><?xml version="1.0" encoding="utf-8"?>
<ds:datastoreItem xmlns:ds="http://schemas.openxmlformats.org/officeDocument/2006/customXml" ds:itemID="{453ED78C-069C-4815-BFBD-BAE63053BA6A}"/>
</file>

<file path=customXml/itemProps4.xml><?xml version="1.0" encoding="utf-8"?>
<ds:datastoreItem xmlns:ds="http://schemas.openxmlformats.org/officeDocument/2006/customXml" ds:itemID="{DF7E2845-2181-455B-9A82-5ED96092F3C7}"/>
</file>

<file path=customXml/itemProps5.xml><?xml version="1.0" encoding="utf-8"?>
<ds:datastoreItem xmlns:ds="http://schemas.openxmlformats.org/officeDocument/2006/customXml" ds:itemID="{A8FBB90C-0AD1-4DB0-980E-46E641BC6FE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135</vt:i4>
      </vt:variant>
    </vt:vector>
  </HeadingPairs>
  <TitlesOfParts>
    <vt:vector size="163" baseType="lpstr">
      <vt:lpstr>Change Notes</vt:lpstr>
      <vt:lpstr>Drop-Down Values</vt:lpstr>
      <vt:lpstr>Summary Check Sum</vt:lpstr>
      <vt:lpstr>INITIALIZATION</vt:lpstr>
      <vt:lpstr>General Instructions</vt:lpstr>
      <vt:lpstr>Workbook Change Instructions</vt:lpstr>
      <vt:lpstr>Proposer Acct. Data</vt:lpstr>
      <vt:lpstr>Direct Labor Categories</vt:lpstr>
      <vt:lpstr>Indirect Rates</vt:lpstr>
      <vt:lpstr>Labor Rates</vt:lpstr>
      <vt:lpstr>Project Cost Summary</vt:lpstr>
      <vt:lpstr>Base (Ph1)</vt:lpstr>
      <vt:lpstr>O-I (Ph2)</vt:lpstr>
      <vt:lpstr>O-II (Ph3)</vt:lpstr>
      <vt:lpstr>O-III (Ph4)</vt:lpstr>
      <vt:lpstr>O-IV (Ph5)</vt:lpstr>
      <vt:lpstr>O-V (Ph6)</vt:lpstr>
      <vt:lpstr>Flex 1</vt:lpstr>
      <vt:lpstr>Flex 2</vt:lpstr>
      <vt:lpstr>Subcontractors</vt:lpstr>
      <vt:lpstr>Consultants</vt:lpstr>
      <vt:lpstr>Materials-Supplies</vt:lpstr>
      <vt:lpstr>Equipment</vt:lpstr>
      <vt:lpstr>Travel</vt:lpstr>
      <vt:lpstr>ODC Detail</vt:lpstr>
      <vt:lpstr>Project Spend Plan</vt:lpstr>
      <vt:lpstr>Cost by Task</vt:lpstr>
      <vt:lpstr>Proposer Custom</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ff.dlrs.Op2</vt:lpstr>
      <vt:lpstr>ff.dlrs.Op3</vt:lpstr>
      <vt:lpstr>ff.dlrs.Op4</vt:lpstr>
      <vt:lpstr>ff.dlrs.Op5</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Indirect.Rate.Table</vt:lpstr>
      <vt:lpstr>IndirectRateCategories</vt:lpstr>
      <vt:lpstr>Labor.Rates.Table</vt:lpstr>
      <vt:lpstr>Labor_Cats_Sorted_Table</vt:lpstr>
      <vt:lpstr>LaborCollection</vt:lpstr>
      <vt:lpstr>NoBusinessTypeSelected</vt:lpstr>
      <vt:lpstr>Offeror.Bus.Type</vt:lpstr>
      <vt:lpstr>OfferorBusinessTypes</vt:lpstr>
      <vt:lpstr>OfferorBusType</vt:lpstr>
      <vt:lpstr>Period1_Label</vt:lpstr>
      <vt:lpstr>Period2_Label</vt:lpstr>
      <vt:lpstr>Period3_Label</vt:lpstr>
      <vt:lpstr>Period4_Label</vt:lpstr>
      <vt:lpstr>Period5_Label</vt:lpstr>
      <vt:lpstr>Period6_Label</vt:lpstr>
      <vt:lpstr>Ph1_PoP_mos</vt:lpstr>
      <vt:lpstr>Ph2_PoP_mos</vt:lpstr>
      <vt:lpstr>Ph3_Pop_mos</vt:lpstr>
      <vt:lpstr>Ph4_PoP_mos</vt:lpstr>
      <vt:lpstr>Ph5_PoP_mos</vt:lpstr>
      <vt:lpstr>Ph6_PoP_mos</vt:lpstr>
      <vt:lpstr>PoP_mos_All</vt:lpstr>
      <vt:lpstr>'Base (Ph1)'!Print_Area</vt:lpstr>
      <vt:lpstr>'Direct Labor Categories'!Print_Area</vt:lpstr>
      <vt:lpstr>'Flex 1'!Print_Area</vt:lpstr>
      <vt:lpstr>'General Instructions'!Print_Area</vt:lpstr>
      <vt:lpstr>INITIALIZATION!Print_Area</vt:lpstr>
      <vt:lpstr>'O-I (Ph2)'!Print_Area</vt:lpstr>
      <vt:lpstr>'O-II (Ph3)'!Print_Area</vt:lpstr>
      <vt:lpstr>'O-III (Ph4)'!Print_Area</vt:lpstr>
      <vt:lpstr>'O-IV (Ph5)'!Print_Area</vt:lpstr>
      <vt:lpstr>'O-V (Ph6)'!Print_Area</vt:lpstr>
      <vt:lpstr>'Project Cost Summary'!Print_Area</vt:lpstr>
      <vt:lpstr>Travel!Print_Area</vt:lpstr>
      <vt:lpstr>'Cost by Task'!Print_Titles</vt:lpstr>
      <vt:lpstr>SBIRSTTRPhaseChoices</vt:lpstr>
      <vt:lpstr>sc.dlrs.Base</vt:lpstr>
      <vt:lpstr>sc.dlrs.Op1</vt:lpstr>
      <vt:lpstr>sc.dlrs.Op2</vt:lpstr>
      <vt:lpstr>sc.dlrs.Op3</vt:lpstr>
      <vt:lpstr>sc.dlrs.Op4</vt:lpstr>
      <vt:lpstr>sc.dlrs.Op5</vt:lpstr>
      <vt:lpstr>SmallBusinessSizeChoices</vt:lpstr>
      <vt:lpstr>SpecificAnnouncementNumber</vt:lpstr>
      <vt:lpstr>SpreadsheetVersionNumber</vt:lpstr>
      <vt:lpstr>tcc.dlrs.Base</vt:lpstr>
      <vt:lpstr>tcc.dlrs.Op1</vt:lpstr>
      <vt:lpstr>tcc.dlrs.Op2</vt:lpstr>
      <vt:lpstr>tcc.dlrs.Op3</vt:lpstr>
      <vt:lpstr>tcc.dlrs.Op4</vt:lpstr>
      <vt:lpstr>tcc.dlrs.Op5</vt:lpstr>
      <vt:lpstr>tcm.dlrs.Base</vt:lpstr>
      <vt:lpstr>tcm.dlrs.Op1</vt:lpstr>
      <vt:lpstr>tcm.dlrs.Op2</vt:lpstr>
      <vt:lpstr>tcm.dlrs.Op3</vt:lpstr>
      <vt:lpstr>tcm.dlrs.Op4</vt:lpstr>
      <vt:lpstr>tcm.dlrs.Op5</vt:lpstr>
      <vt:lpstr>tdlc.dlrs.Base</vt:lpstr>
      <vt:lpstr>tdlc.dlrs.Op1</vt:lpstr>
      <vt:lpstr>tdlc.dlrs.Op2</vt:lpstr>
      <vt:lpstr>tdlc.dlrs.Op3</vt:lpstr>
      <vt:lpstr>tdlc.dlrs.Op4</vt:lpstr>
      <vt:lpstr>tdlc.dlrs.Op5</vt:lpstr>
      <vt:lpstr>tdlc.hrs.Base</vt:lpstr>
      <vt:lpstr>tdlc.hrs.Op1</vt:lpstr>
      <vt:lpstr>tdlc.hrs.Op2</vt:lpstr>
      <vt:lpstr>tdlc.hrs.Op3</vt:lpstr>
      <vt:lpstr>tdlc.hrs.Op4</vt:lpstr>
      <vt:lpstr>tdlc.hrs.Op5</vt:lpstr>
      <vt:lpstr>tecpff.dlrs.Base</vt:lpstr>
      <vt:lpstr>tecpff.dlrs.Op1</vt:lpstr>
      <vt:lpstr>tecpff.dlrs.Op2</vt:lpstr>
      <vt:lpstr>tecpff.dlrs.Op3</vt:lpstr>
      <vt:lpstr>tecpff.dlrs.Op4</vt:lpstr>
      <vt:lpstr>tecpff.dlrs.Op5</vt:lpstr>
      <vt:lpstr>tfbc.dlrs.Base</vt:lpstr>
      <vt:lpstr>tfbc.dlrs.Op1</vt:lpstr>
      <vt:lpstr>tfbc.dlrs.Op2</vt:lpstr>
      <vt:lpstr>tfbc.dlrs.Op3</vt:lpstr>
      <vt:lpstr>tfbc.dlrs.Op4</vt:lpstr>
      <vt:lpstr>tfbc.dlrs.Op5</vt:lpstr>
      <vt:lpstr>tgac.dlrs.Base</vt:lpstr>
      <vt:lpstr>tgac.dlrs.Op1</vt:lpstr>
      <vt:lpstr>tgac.dlrs.Op2</vt:lpstr>
      <vt:lpstr>tgac.dlrs.Op3</vt:lpstr>
      <vt:lpstr>tgac.dlrs.Op4</vt:lpstr>
      <vt:lpstr>tgac.dlrs.Op5</vt:lpstr>
      <vt:lpstr>tloc.dlrs.Base</vt:lpstr>
      <vt:lpstr>tloc.dlrs.Op1</vt:lpstr>
      <vt:lpstr>tloc.dlrs.Op2</vt:lpstr>
      <vt:lpstr>tloc.dlrs.Op3</vt:lpstr>
      <vt:lpstr>tloc.dlrs.Op4</vt:lpstr>
      <vt:lpstr>tloc.dlrs.Op5</vt:lpstr>
      <vt:lpstr>tmhc.dlrs.Base</vt:lpstr>
      <vt:lpstr>tmhc.dlrs.Op1</vt:lpstr>
      <vt:lpstr>tmhc.dlrs.Op2</vt:lpstr>
      <vt:lpstr>tmhc.dlrs.Op3</vt:lpstr>
      <vt:lpstr>tmhc.dlrs.Op4</vt:lpstr>
      <vt:lpstr>tmhc.dlrs.Op5</vt:lpstr>
      <vt:lpstr>tmmc.dlrs.Base</vt:lpstr>
      <vt:lpstr>tmmc.dlrs.Op1</vt:lpstr>
      <vt:lpstr>tmmc.dlrs.Op2</vt:lpstr>
      <vt:lpstr>tmmc.dlrs.Op3</vt:lpstr>
      <vt:lpstr>tmmc.dlrs.Op4</vt:lpstr>
      <vt:lpstr>tmmc.dlrs.Op5</vt:lpstr>
      <vt:lpstr>todc.dlrs.Base</vt:lpstr>
      <vt:lpstr>todc.dlrs.Op1</vt:lpstr>
      <vt:lpstr>todc.dlrs.Op2</vt:lpstr>
      <vt:lpstr>todc.dlrs.Op3</vt:lpstr>
      <vt:lpstr>todc.dlrs.Op4</vt:lpstr>
      <vt:lpstr>todc.dlrs.Op5</vt:lpstr>
      <vt:lpstr>tsc.dlrs.Base</vt:lpstr>
      <vt:lpstr>tsc.dlrs.Op1</vt:lpstr>
      <vt:lpstr>tsc.dlrs.Op2</vt:lpstr>
      <vt:lpstr>tsc.dlrs.Op3</vt:lpstr>
      <vt:lpstr>tsc.dlrs.Op4</vt:lpstr>
      <vt:lpstr>tsc.dlrs.Op5</vt:lpstr>
    </vt:vector>
  </TitlesOfParts>
  <Company>DARPA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DARPA</dc:creator>
  <cp:lastModifiedBy>dew</cp:lastModifiedBy>
  <cp:lastPrinted>2019-08-07T15:16:03Z</cp:lastPrinted>
  <dcterms:created xsi:type="dcterms:W3CDTF">2006-01-30T20:56:29Z</dcterms:created>
  <dcterms:modified xsi:type="dcterms:W3CDTF">2022-02-22T03:35:29Z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0x0101005FF22582369E0D46B1067FCEAD3C0870</vt:lpwstr>
  </property>
</Properties>
</file>