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yan_j_breitbach_civ_army_mil/Documents/Desktop/SAWS/"/>
    </mc:Choice>
  </mc:AlternateContent>
  <xr:revisionPtr revIDLastSave="11" documentId="8_{F08A8E7E-4438-4963-A6A7-6896DC4A4600}" xr6:coauthVersionLast="47" xr6:coauthVersionMax="47" xr10:uidLastSave="{58CF728C-8C38-4657-8D2D-CC5FE9F7B161}"/>
  <bookViews>
    <workbookView xWindow="-120" yWindow="120" windowWidth="29040" windowHeight="15480" xr2:uid="{CCC26600-A5FB-4C0A-B8C6-C07BD1CE05FD}"/>
  </bookViews>
  <sheets>
    <sheet name="PES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9" l="1"/>
  <c r="F9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0" i="9"/>
  <c r="F32" i="9" l="1"/>
</calcChain>
</file>

<file path=xl/sharedStrings.xml><?xml version="1.0" encoding="utf-8"?>
<sst xmlns="http://schemas.openxmlformats.org/spreadsheetml/2006/main" count="56" uniqueCount="46">
  <si>
    <t>ITEMS</t>
  </si>
  <si>
    <t>UNIT PRICE</t>
  </si>
  <si>
    <t>TOTAL</t>
  </si>
  <si>
    <t>60mm Mortar Weapon (Complete)</t>
  </si>
  <si>
    <t>5.45x39mm Ball</t>
  </si>
  <si>
    <t>7.62x39mm Ball</t>
  </si>
  <si>
    <t>7.62x39mm Blank</t>
  </si>
  <si>
    <t>7.62x39mm Tracer</t>
  </si>
  <si>
    <t>7.62x54mm R Ball</t>
  </si>
  <si>
    <t>12.7x108mm Ball</t>
  </si>
  <si>
    <t>.388 Norma Magnum Ball</t>
  </si>
  <si>
    <t>30mm HE Frag</t>
  </si>
  <si>
    <t>120mm Mortar HE (Complete)</t>
  </si>
  <si>
    <t>155mm HE Complete w/ M119</t>
  </si>
  <si>
    <t>155mm HE Complete w/ M4A2</t>
  </si>
  <si>
    <t>40mm HE FRAG</t>
  </si>
  <si>
    <t>107mm HE Rockets</t>
  </si>
  <si>
    <t>122mm M-21 OF Rocket (GRAD)</t>
  </si>
  <si>
    <t>Integral Firing Device (IFD) Detonator Assembly (EX-20070304153)</t>
  </si>
  <si>
    <t>Osica Kamikaze Drone</t>
  </si>
  <si>
    <t>Kargu-2 Unmanned Aerial System (UAS)</t>
  </si>
  <si>
    <t>Alpagu Kamikaze Drone</t>
  </si>
  <si>
    <t>Skydagger FPV Kamikaze Drone</t>
  </si>
  <si>
    <t>Linking Machine, 7.52x54mm</t>
  </si>
  <si>
    <t>73mm HE (SPG-9) Cutaway</t>
  </si>
  <si>
    <t>Inert TM62M Mine</t>
  </si>
  <si>
    <t>Qty</t>
  </si>
  <si>
    <t>Total Evaluated Price</t>
  </si>
  <si>
    <t>Offeror:</t>
  </si>
  <si>
    <t>Cage:</t>
  </si>
  <si>
    <t>N/A</t>
  </si>
  <si>
    <t>AK-47, RPK-74</t>
  </si>
  <si>
    <t>AK-47, RPD, RPK</t>
  </si>
  <si>
    <t>PKM, PSL, SVD</t>
  </si>
  <si>
    <t>DshK, NSV, KORD, YaKB</t>
  </si>
  <si>
    <t>Advanced Sniper Rifle (ASR), Light weight Medium Machine Gun (LWMMG)</t>
  </si>
  <si>
    <t>AGS-17</t>
  </si>
  <si>
    <t>M-38, M-43, M-75, and 2S11</t>
  </si>
  <si>
    <t>M777, M109</t>
  </si>
  <si>
    <t>RFP-7</t>
  </si>
  <si>
    <t>BM-12</t>
  </si>
  <si>
    <t>BM-21</t>
  </si>
  <si>
    <t>PKM</t>
  </si>
  <si>
    <t>WEAPON SYSTEM</t>
  </si>
  <si>
    <t>Attachment 0016: Price Evaluation Spreadsheet</t>
  </si>
  <si>
    <r>
      <t>Solicitation:  W519TC-26-R-0001</t>
    </r>
    <r>
      <rPr>
        <sz val="22"/>
        <color rgb="FFD13438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</si>
</sst>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22"/>
      <color rgb="FF000000"/>
      <name val="Arial"/>
      <family val="2"/>
    </font>
    <font>
      <sz val="22"/>
      <color rgb="FFD13438"/>
      <name val="Arial"/>
      <family val="2"/>
    </font>
    <font>
      <sz val="2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44" fontId="2" fillId="0" borderId="0" xfId="2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4" fontId="2" fillId="0" borderId="0" xfId="2" applyFont="1" applyFill="1" applyBorder="1" applyAlignment="1">
      <alignment vertical="center" wrapText="1"/>
    </xf>
    <xf numFmtId="44" fontId="2" fillId="0" borderId="0" xfId="2" applyFont="1" applyFill="1" applyBorder="1" applyAlignment="1">
      <alignment horizontal="left" vertical="top"/>
    </xf>
    <xf numFmtId="44" fontId="2" fillId="0" borderId="0" xfId="2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 wrapText="1"/>
    </xf>
    <xf numFmtId="43" fontId="5" fillId="0" borderId="3" xfId="1" applyFont="1" applyFill="1" applyBorder="1" applyAlignment="1">
      <alignment horizontal="center" vertical="center" wrapText="1"/>
    </xf>
    <xf numFmtId="44" fontId="5" fillId="2" borderId="3" xfId="2" applyFont="1" applyFill="1" applyBorder="1" applyAlignment="1" applyProtection="1">
      <alignment vertical="center"/>
      <protection locked="0"/>
    </xf>
    <xf numFmtId="44" fontId="5" fillId="0" borderId="4" xfId="2" applyFont="1" applyFill="1" applyBorder="1" applyAlignment="1">
      <alignment vertical="center"/>
    </xf>
    <xf numFmtId="43" fontId="5" fillId="0" borderId="2" xfId="1" applyFont="1" applyFill="1" applyBorder="1" applyAlignment="1">
      <alignment horizontal="center" vertical="center" wrapText="1"/>
    </xf>
    <xf numFmtId="44" fontId="5" fillId="2" borderId="2" xfId="2" applyFont="1" applyFill="1" applyBorder="1" applyAlignment="1" applyProtection="1">
      <alignment vertical="center"/>
      <protection locked="0"/>
    </xf>
    <xf numFmtId="44" fontId="5" fillId="0" borderId="5" xfId="2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43" fontId="5" fillId="0" borderId="2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horizontal="center" vertical="center" wrapText="1"/>
    </xf>
    <xf numFmtId="44" fontId="5" fillId="2" borderId="1" xfId="2" applyFont="1" applyFill="1" applyBorder="1" applyAlignment="1" applyProtection="1">
      <alignment vertical="center"/>
      <protection locked="0"/>
    </xf>
    <xf numFmtId="43" fontId="5" fillId="0" borderId="1" xfId="1" applyFont="1" applyFill="1" applyBorder="1" applyAlignment="1">
      <alignment horizontal="center" vertical="center"/>
    </xf>
    <xf numFmtId="44" fontId="5" fillId="2" borderId="6" xfId="2" applyFont="1" applyFill="1" applyBorder="1" applyAlignment="1" applyProtection="1">
      <alignment vertical="center"/>
      <protection locked="0"/>
    </xf>
    <xf numFmtId="44" fontId="5" fillId="0" borderId="7" xfId="2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3" fillId="2" borderId="13" xfId="0" applyFont="1" applyFill="1" applyBorder="1" applyProtection="1">
      <protection locked="0"/>
    </xf>
    <xf numFmtId="0" fontId="3" fillId="2" borderId="14" xfId="0" applyFont="1" applyFill="1" applyBorder="1" applyProtection="1">
      <protection locked="0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43" fontId="5" fillId="0" borderId="18" xfId="1" applyFont="1" applyFill="1" applyBorder="1" applyAlignment="1">
      <alignment horizontal="center" vertical="center"/>
    </xf>
    <xf numFmtId="44" fontId="5" fillId="0" borderId="20" xfId="0" applyNumberFormat="1" applyFont="1" applyBorder="1"/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64" fontId="5" fillId="0" borderId="27" xfId="1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 applyAlignment="1">
      <alignment horizontal="right"/>
    </xf>
    <xf numFmtId="0" fontId="0" fillId="0" borderId="19" xfId="0" applyBorder="1" applyAlignment="1">
      <alignment horizontal="right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FC3E-BAEB-4BAC-9CA5-E4219377458F}">
  <dimension ref="B1:G32"/>
  <sheetViews>
    <sheetView tabSelected="1" zoomScale="90" zoomScaleNormal="90" workbookViewId="0">
      <selection activeCell="J12" sqref="J12"/>
    </sheetView>
  </sheetViews>
  <sheetFormatPr defaultRowHeight="12.75" x14ac:dyDescent="0.2"/>
  <cols>
    <col min="1" max="1" width="9.140625" style="1"/>
    <col min="2" max="2" width="75.5703125" style="1" customWidth="1"/>
    <col min="3" max="3" width="86.5703125" style="1" customWidth="1"/>
    <col min="4" max="4" width="20.7109375" style="1" customWidth="1"/>
    <col min="5" max="6" width="21.7109375" style="1" customWidth="1"/>
    <col min="7" max="7" width="15" style="1" customWidth="1"/>
    <col min="8" max="16384" width="9.140625" style="1"/>
  </cols>
  <sheetData>
    <row r="1" spans="2:7" ht="34.5" customHeight="1" x14ac:dyDescent="0.35">
      <c r="B1" s="24" t="s">
        <v>45</v>
      </c>
      <c r="C1" s="25" t="s">
        <v>44</v>
      </c>
    </row>
    <row r="2" spans="2:7" ht="25.5" customHeight="1" x14ac:dyDescent="0.35">
      <c r="B2" s="24"/>
      <c r="C2" s="24"/>
      <c r="D2" s="25"/>
    </row>
    <row r="3" spans="2:7" ht="16.5" customHeight="1" thickBot="1" x14ac:dyDescent="0.25"/>
    <row r="4" spans="2:7" ht="30" customHeight="1" thickBot="1" x14ac:dyDescent="0.25">
      <c r="B4" s="26" t="s">
        <v>28</v>
      </c>
      <c r="C4" s="27" t="s">
        <v>29</v>
      </c>
    </row>
    <row r="5" spans="2:7" ht="16.5" customHeight="1" x14ac:dyDescent="0.2"/>
    <row r="6" spans="2:7" ht="16.5" customHeight="1" thickBot="1" x14ac:dyDescent="0.25"/>
    <row r="7" spans="2:7" ht="12.75" customHeight="1" x14ac:dyDescent="0.2">
      <c r="B7" s="48" t="s">
        <v>0</v>
      </c>
      <c r="C7" s="50" t="s">
        <v>43</v>
      </c>
      <c r="D7" s="50" t="s">
        <v>26</v>
      </c>
      <c r="E7" s="44" t="s">
        <v>1</v>
      </c>
      <c r="F7" s="46" t="s">
        <v>2</v>
      </c>
    </row>
    <row r="8" spans="2:7" ht="13.5" customHeight="1" thickBot="1" x14ac:dyDescent="0.25">
      <c r="B8" s="49"/>
      <c r="C8" s="51"/>
      <c r="D8" s="51"/>
      <c r="E8" s="45"/>
      <c r="F8" s="47"/>
      <c r="G8" s="3"/>
    </row>
    <row r="9" spans="2:7" ht="17.100000000000001" customHeight="1" x14ac:dyDescent="0.2">
      <c r="B9" s="32" t="s">
        <v>3</v>
      </c>
      <c r="C9" s="7" t="s">
        <v>30</v>
      </c>
      <c r="D9" s="8">
        <v>300</v>
      </c>
      <c r="E9" s="9">
        <v>0</v>
      </c>
      <c r="F9" s="10">
        <f t="shared" ref="F9:F16" si="0">$D9*E9</f>
        <v>0</v>
      </c>
      <c r="G9" s="2"/>
    </row>
    <row r="10" spans="2:7" ht="17.100000000000001" customHeight="1" x14ac:dyDescent="0.2">
      <c r="B10" s="33" t="s">
        <v>4</v>
      </c>
      <c r="C10" s="28" t="s">
        <v>31</v>
      </c>
      <c r="D10" s="11">
        <v>1000000</v>
      </c>
      <c r="E10" s="12">
        <v>0</v>
      </c>
      <c r="F10" s="13">
        <f t="shared" si="0"/>
        <v>0</v>
      </c>
      <c r="G10" s="2"/>
    </row>
    <row r="11" spans="2:7" ht="17.100000000000001" customHeight="1" x14ac:dyDescent="0.2">
      <c r="B11" s="34" t="s">
        <v>5</v>
      </c>
      <c r="C11" s="28" t="s">
        <v>32</v>
      </c>
      <c r="D11" s="16">
        <v>15000000</v>
      </c>
      <c r="E11" s="12">
        <v>0</v>
      </c>
      <c r="F11" s="13">
        <f t="shared" si="0"/>
        <v>0</v>
      </c>
      <c r="G11" s="2"/>
    </row>
    <row r="12" spans="2:7" ht="17.100000000000001" customHeight="1" x14ac:dyDescent="0.2">
      <c r="B12" s="34" t="s">
        <v>6</v>
      </c>
      <c r="C12" s="28" t="s">
        <v>32</v>
      </c>
      <c r="D12" s="16">
        <v>10000000</v>
      </c>
      <c r="E12" s="12">
        <v>0</v>
      </c>
      <c r="F12" s="13">
        <f t="shared" si="0"/>
        <v>0</v>
      </c>
    </row>
    <row r="13" spans="2:7" ht="17.100000000000001" customHeight="1" x14ac:dyDescent="0.2">
      <c r="B13" s="34" t="s">
        <v>7</v>
      </c>
      <c r="C13" s="29" t="s">
        <v>32</v>
      </c>
      <c r="D13" s="16">
        <v>7500000</v>
      </c>
      <c r="E13" s="12">
        <v>0</v>
      </c>
      <c r="F13" s="13">
        <f t="shared" si="0"/>
        <v>0</v>
      </c>
    </row>
    <row r="14" spans="2:7" ht="17.100000000000001" customHeight="1" x14ac:dyDescent="0.2">
      <c r="B14" s="35" t="s">
        <v>8</v>
      </c>
      <c r="C14" s="29" t="s">
        <v>33</v>
      </c>
      <c r="D14" s="16">
        <v>10000000</v>
      </c>
      <c r="E14" s="12">
        <v>0</v>
      </c>
      <c r="F14" s="13">
        <f t="shared" si="0"/>
        <v>0</v>
      </c>
    </row>
    <row r="15" spans="2:7" ht="17.100000000000001" customHeight="1" x14ac:dyDescent="0.2">
      <c r="B15" s="35" t="s">
        <v>9</v>
      </c>
      <c r="C15" s="17" t="s">
        <v>34</v>
      </c>
      <c r="D15" s="16">
        <v>10000000</v>
      </c>
      <c r="E15" s="12">
        <v>0</v>
      </c>
      <c r="F15" s="13">
        <f t="shared" si="0"/>
        <v>0</v>
      </c>
    </row>
    <row r="16" spans="2:7" ht="17.100000000000001" customHeight="1" x14ac:dyDescent="0.2">
      <c r="B16" s="35" t="s">
        <v>10</v>
      </c>
      <c r="C16" s="17" t="s">
        <v>35</v>
      </c>
      <c r="D16" s="18">
        <v>50000</v>
      </c>
      <c r="E16" s="19">
        <v>0</v>
      </c>
      <c r="F16" s="13">
        <f t="shared" si="0"/>
        <v>0</v>
      </c>
      <c r="G16" s="6"/>
    </row>
    <row r="17" spans="2:7" ht="17.100000000000001" customHeight="1" x14ac:dyDescent="0.2">
      <c r="B17" s="35" t="s">
        <v>11</v>
      </c>
      <c r="C17" s="17" t="s">
        <v>36</v>
      </c>
      <c r="D17" s="18">
        <v>100000</v>
      </c>
      <c r="E17" s="19">
        <v>0</v>
      </c>
      <c r="F17" s="13">
        <f t="shared" ref="F17:F18" si="1">$D17*E17</f>
        <v>0</v>
      </c>
      <c r="G17" s="2"/>
    </row>
    <row r="18" spans="2:7" ht="17.100000000000001" customHeight="1" x14ac:dyDescent="0.2">
      <c r="B18" s="35" t="s">
        <v>12</v>
      </c>
      <c r="C18" s="14" t="s">
        <v>37</v>
      </c>
      <c r="D18" s="18">
        <v>75000</v>
      </c>
      <c r="E18" s="19">
        <v>0</v>
      </c>
      <c r="F18" s="13">
        <f t="shared" si="1"/>
        <v>0</v>
      </c>
    </row>
    <row r="19" spans="2:7" ht="17.100000000000001" customHeight="1" x14ac:dyDescent="0.2">
      <c r="B19" s="34" t="s">
        <v>13</v>
      </c>
      <c r="C19" s="14" t="s">
        <v>38</v>
      </c>
      <c r="D19" s="18">
        <v>100000</v>
      </c>
      <c r="E19" s="19">
        <v>0</v>
      </c>
      <c r="F19" s="13">
        <f t="shared" ref="F19:F27" si="2">$D19*E19</f>
        <v>0</v>
      </c>
      <c r="G19" s="2"/>
    </row>
    <row r="20" spans="2:7" ht="17.100000000000001" customHeight="1" x14ac:dyDescent="0.2">
      <c r="B20" s="34" t="s">
        <v>14</v>
      </c>
      <c r="C20" s="14" t="s">
        <v>38</v>
      </c>
      <c r="D20" s="18">
        <v>100000</v>
      </c>
      <c r="E20" s="19">
        <v>0</v>
      </c>
      <c r="F20" s="13">
        <f t="shared" si="2"/>
        <v>0</v>
      </c>
    </row>
    <row r="21" spans="2:7" ht="17.100000000000001" customHeight="1" x14ac:dyDescent="0.2">
      <c r="B21" s="34" t="s">
        <v>15</v>
      </c>
      <c r="C21" s="14" t="s">
        <v>39</v>
      </c>
      <c r="D21" s="20">
        <v>250000</v>
      </c>
      <c r="E21" s="19">
        <v>0</v>
      </c>
      <c r="F21" s="13">
        <f t="shared" si="2"/>
        <v>0</v>
      </c>
      <c r="G21" s="2"/>
    </row>
    <row r="22" spans="2:7" ht="17.100000000000001" customHeight="1" x14ac:dyDescent="0.2">
      <c r="B22" s="34" t="s">
        <v>16</v>
      </c>
      <c r="C22" s="15" t="s">
        <v>40</v>
      </c>
      <c r="D22" s="20">
        <v>1500</v>
      </c>
      <c r="E22" s="19">
        <v>0</v>
      </c>
      <c r="F22" s="13">
        <f t="shared" si="2"/>
        <v>0</v>
      </c>
      <c r="G22" s="5"/>
    </row>
    <row r="23" spans="2:7" ht="17.100000000000001" customHeight="1" x14ac:dyDescent="0.2">
      <c r="B23" s="36" t="s">
        <v>17</v>
      </c>
      <c r="C23" s="15" t="s">
        <v>41</v>
      </c>
      <c r="D23" s="20">
        <v>50000</v>
      </c>
      <c r="E23" s="19">
        <v>0</v>
      </c>
      <c r="F23" s="13">
        <f t="shared" si="2"/>
        <v>0</v>
      </c>
      <c r="G23" s="4"/>
    </row>
    <row r="24" spans="2:7" ht="17.100000000000001" customHeight="1" x14ac:dyDescent="0.2">
      <c r="B24" s="36" t="s">
        <v>18</v>
      </c>
      <c r="C24" s="15" t="s">
        <v>30</v>
      </c>
      <c r="D24" s="20">
        <v>1500</v>
      </c>
      <c r="E24" s="19">
        <v>0</v>
      </c>
      <c r="F24" s="13">
        <f t="shared" si="2"/>
        <v>0</v>
      </c>
      <c r="G24" s="4"/>
    </row>
    <row r="25" spans="2:7" ht="17.100000000000001" customHeight="1" x14ac:dyDescent="0.2">
      <c r="B25" s="36" t="s">
        <v>19</v>
      </c>
      <c r="C25" s="15" t="s">
        <v>30</v>
      </c>
      <c r="D25" s="20">
        <v>60</v>
      </c>
      <c r="E25" s="19">
        <v>0</v>
      </c>
      <c r="F25" s="13">
        <f t="shared" si="2"/>
        <v>0</v>
      </c>
      <c r="G25" s="4"/>
    </row>
    <row r="26" spans="2:7" ht="17.100000000000001" customHeight="1" x14ac:dyDescent="0.2">
      <c r="B26" s="36" t="s">
        <v>20</v>
      </c>
      <c r="C26" s="15" t="s">
        <v>30</v>
      </c>
      <c r="D26" s="20">
        <v>60</v>
      </c>
      <c r="E26" s="19">
        <v>0</v>
      </c>
      <c r="F26" s="13">
        <f t="shared" si="2"/>
        <v>0</v>
      </c>
    </row>
    <row r="27" spans="2:7" ht="17.100000000000001" customHeight="1" x14ac:dyDescent="0.2">
      <c r="B27" s="36" t="s">
        <v>21</v>
      </c>
      <c r="C27" s="15" t="s">
        <v>30</v>
      </c>
      <c r="D27" s="20">
        <v>60</v>
      </c>
      <c r="E27" s="19">
        <v>0</v>
      </c>
      <c r="F27" s="13">
        <f t="shared" si="2"/>
        <v>0</v>
      </c>
      <c r="G27" s="4"/>
    </row>
    <row r="28" spans="2:7" ht="17.100000000000001" customHeight="1" x14ac:dyDescent="0.2">
      <c r="B28" s="36" t="s">
        <v>22</v>
      </c>
      <c r="C28" s="15" t="s">
        <v>30</v>
      </c>
      <c r="D28" s="20">
        <v>60</v>
      </c>
      <c r="E28" s="19">
        <v>0</v>
      </c>
      <c r="F28" s="13">
        <f t="shared" ref="F28:F31" si="3">$D28*E28</f>
        <v>0</v>
      </c>
      <c r="G28" s="4"/>
    </row>
    <row r="29" spans="2:7" ht="17.100000000000001" customHeight="1" x14ac:dyDescent="0.2">
      <c r="B29" s="38" t="s">
        <v>23</v>
      </c>
      <c r="C29" s="15" t="s">
        <v>42</v>
      </c>
      <c r="D29" s="30">
        <v>250</v>
      </c>
      <c r="E29" s="19">
        <v>0</v>
      </c>
      <c r="F29" s="13">
        <f t="shared" si="3"/>
        <v>0</v>
      </c>
      <c r="G29" s="2"/>
    </row>
    <row r="30" spans="2:7" ht="17.100000000000001" customHeight="1" x14ac:dyDescent="0.2">
      <c r="B30" s="37" t="s">
        <v>24</v>
      </c>
      <c r="C30" s="15" t="s">
        <v>30</v>
      </c>
      <c r="D30" s="30">
        <v>10</v>
      </c>
      <c r="E30" s="19">
        <v>0</v>
      </c>
      <c r="F30" s="13">
        <f t="shared" si="3"/>
        <v>0</v>
      </c>
      <c r="G30" s="2"/>
    </row>
    <row r="31" spans="2:7" ht="17.100000000000001" customHeight="1" thickBot="1" x14ac:dyDescent="0.25">
      <c r="B31" s="39" t="s">
        <v>25</v>
      </c>
      <c r="C31" s="41" t="s">
        <v>30</v>
      </c>
      <c r="D31" s="40">
        <v>2500</v>
      </c>
      <c r="E31" s="21">
        <v>0</v>
      </c>
      <c r="F31" s="22">
        <f t="shared" si="3"/>
        <v>0</v>
      </c>
      <c r="G31" s="2"/>
    </row>
    <row r="32" spans="2:7" ht="17.100000000000001" customHeight="1" thickBot="1" x14ac:dyDescent="0.3">
      <c r="B32" s="23"/>
      <c r="D32" s="42" t="s">
        <v>27</v>
      </c>
      <c r="E32" s="43"/>
      <c r="F32" s="31">
        <f>SUM(F9:F31)</f>
        <v>0</v>
      </c>
    </row>
  </sheetData>
  <sheetProtection algorithmName="SHA-512" hashValue="8peCPRF8B7CdvlR5PhovCa6YuMk47PrzpI+fN83qCw36l5h6W6uW96eEk5wIkCsu79JmZ6w1fkAGO70XPdf5hg==" saltValue="QhunCg8I/vbX7PO73NNxDA==" spinCount="100000" sheet="1" objects="1" scenarios="1"/>
  <mergeCells count="6">
    <mergeCell ref="D32:E32"/>
    <mergeCell ref="E7:E8"/>
    <mergeCell ref="F7:F8"/>
    <mergeCell ref="B7:B8"/>
    <mergeCell ref="C7:C8"/>
    <mergeCell ref="D7:D8"/>
  </mergeCells>
  <pageMargins left="0.7" right="0.7" top="0.75" bottom="0.75" header="0.3" footer="0.3"/>
  <pageSetup scale="5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409a30b-dac9-499f-8c12-c063c3a6bc32">
      <Terms xmlns="http://schemas.microsoft.com/office/infopath/2007/PartnerControls"/>
    </lcf76f155ced4ddcb4097134ff3c332f>
    <_ip_UnifiedCompliancePolicyProperties xmlns="http://schemas.microsoft.com/sharepoint/v3" xsi:nil="true"/>
    <TaxCatchAll xmlns="30e49430-8f3a-4fb7-998a-1ed2a5346f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F1F8481386347ABF96E55D6D94A89" ma:contentTypeVersion="15" ma:contentTypeDescription="Create a new document." ma:contentTypeScope="" ma:versionID="42bd925111d5cb0f6c359a1a100b8a35">
  <xsd:schema xmlns:xsd="http://www.w3.org/2001/XMLSchema" xmlns:xs="http://www.w3.org/2001/XMLSchema" xmlns:p="http://schemas.microsoft.com/office/2006/metadata/properties" xmlns:ns1="http://schemas.microsoft.com/sharepoint/v3" xmlns:ns2="0409a30b-dac9-499f-8c12-c063c3a6bc32" xmlns:ns3="30e49430-8f3a-4fb7-998a-1ed2a5346fac" targetNamespace="http://schemas.microsoft.com/office/2006/metadata/properties" ma:root="true" ma:fieldsID="0f100f28872433471274318ec8ad314a" ns1:_="" ns2:_="" ns3:_="">
    <xsd:import namespace="http://schemas.microsoft.com/sharepoint/v3"/>
    <xsd:import namespace="0409a30b-dac9-499f-8c12-c063c3a6bc32"/>
    <xsd:import namespace="30e49430-8f3a-4fb7-998a-1ed2a5346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9a30b-dac9-499f-8c12-c063c3a6b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49430-8f3a-4fb7-998a-1ed2a5346f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ed44f3b-985d-4e9e-b8c1-9b8a736bea6f}" ma:internalName="TaxCatchAll" ma:showField="CatchAllData" ma:web="30e49430-8f3a-4fb7-998a-1ed2a5346f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7C6038-CEB6-46BD-B488-47B3D514F5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409a30b-dac9-499f-8c12-c063c3a6bc32"/>
    <ds:schemaRef ds:uri="30e49430-8f3a-4fb7-998a-1ed2a5346fac"/>
  </ds:schemaRefs>
</ds:datastoreItem>
</file>

<file path=customXml/itemProps2.xml><?xml version="1.0" encoding="utf-8"?>
<ds:datastoreItem xmlns:ds="http://schemas.openxmlformats.org/officeDocument/2006/customXml" ds:itemID="{49A97BB8-8234-4FAF-A7F2-BCA56F031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409a30b-dac9-499f-8c12-c063c3a6bc32"/>
    <ds:schemaRef ds:uri="30e49430-8f3a-4fb7-998a-1ed2a5346f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C7375F-66BF-4B0B-A772-868557BC00C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Willecke, Frederick W CIV USARMY JPEO AA (USA)</dc:creator>
  <cp:keywords/>
  <dc:description/>
  <cp:lastModifiedBy>Breitbach, Ryan J CIV USARMY ACC (USA)</cp:lastModifiedBy>
  <cp:revision/>
  <cp:lastPrinted>2026-04-27T17:44:41Z</cp:lastPrinted>
  <dcterms:created xsi:type="dcterms:W3CDTF">2025-08-21T14:46:40Z</dcterms:created>
  <dcterms:modified xsi:type="dcterms:W3CDTF">2026-04-27T17:47:18Z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0x01010015DF1F8481386347ABF96E55D6D94A89</vt:lpwstr>
  </property>
  <property fmtid="{D5CDD505-2E9C-101B-9397-08002B2CF9AE}" pid="3" name="MediaServiceImageTags">
    <vt:lpwstr/>
  </property>
</Properties>
</file>