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R:\FSH\FSHB\0- Tailored Logistics Support\Tailored Logistics Support  SPE2DH-25-R-0001\Section 2 - Solicitation\Amendments\Amendment 0003- Q&amp;A Response\Solicitation Questions\"/>
    </mc:Choice>
  </mc:AlternateContent>
  <xr:revisionPtr revIDLastSave="0" documentId="13_ncr:1_{FA4580BE-61D5-4A2D-A03D-7CF28B9E8A7F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rice Evaluation List (PEL)" sheetId="6" r:id="rId1"/>
    <sheet name="PEL AMENDMENT 0003" sheetId="7" r:id="rId2"/>
    <sheet name="Supplemental Product Catalo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6" i="7" l="1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2" i="6"/>
</calcChain>
</file>

<file path=xl/sharedStrings.xml><?xml version="1.0" encoding="utf-8"?>
<sst xmlns="http://schemas.openxmlformats.org/spreadsheetml/2006/main" count="1103" uniqueCount="500">
  <si>
    <t>EA</t>
  </si>
  <si>
    <t>PEL List Item</t>
  </si>
  <si>
    <t>Part Number</t>
  </si>
  <si>
    <t>Item Description</t>
  </si>
  <si>
    <t>Country of Origin</t>
  </si>
  <si>
    <t>U/I</t>
  </si>
  <si>
    <t>3M</t>
  </si>
  <si>
    <t>Manufacturer</t>
  </si>
  <si>
    <t>NIIN</t>
  </si>
  <si>
    <t>Star Poly Bag, Downeast Logistics</t>
  </si>
  <si>
    <t>SP1115 - BAG PE 15X11IN TRNSPT ODOR CNTRL ADH - DL SPEC 1511 - 	BAG SPECIMEN PLASTIC THK 0.3MIL 11IN X 15IN FLEXIBLE ADHESIVE CLOSURE CONTINUOUS</t>
  </si>
  <si>
    <t>CORNING</t>
  </si>
  <si>
    <t>PSA1A-01</t>
  </si>
  <si>
    <t>PIPET, TRANSFER, STERILE POLYETHYLENE 2000/CS</t>
  </si>
  <si>
    <t>METAL MARKER MANUFACTURING</t>
  </si>
  <si>
    <t>TAG MEDICAL WARNING RED ALUMINUM 2.25X1.24" WORN W/ID TAG 100S</t>
  </si>
  <si>
    <t>GILLETTE</t>
  </si>
  <si>
    <t>82555V</t>
  </si>
  <si>
    <t xml:space="preserve">FLOSS, DENTAL, 10 PRE-CUT STRANDS, SUPER FLOSS, REGULAR, PATIENT SAMPLE, NON-STERILE, DISPOSABLE </t>
  </si>
  <si>
    <t>EMD MILLIPORE</t>
  </si>
  <si>
    <t>DAWP 047 00 - EMD Millipore</t>
  </si>
  <si>
    <t>FILTER MEMBRANE 0.65UM PORE MIX CELLULOSE ESTERS 47MM DIA</t>
  </si>
  <si>
    <t>SPECTRO</t>
  </si>
  <si>
    <t>MHM-10605</t>
  </si>
  <si>
    <t>SYRINGE LABORATORY 10ML PLASTIC NON-HYPO 1 TEST 100S</t>
  </si>
  <si>
    <t>FILTER MEMBRANE 0.8UM PORE MIX CELLULOSE ESTERS 47MM DIA</t>
  </si>
  <si>
    <t>MEDLINE INDUSTRIES LP</t>
  </si>
  <si>
    <t>BD</t>
  </si>
  <si>
    <t xml:space="preserve">HOLDER TUBE CLEAR BD VACUTAINER MALE LUER ADAPTER NEEDLELESS STERILE LATEX FREE </t>
  </si>
  <si>
    <t xml:space="preserve">GREINER BIO-ONE </t>
  </si>
  <si>
    <t>TUBE K2 EDTA 4ML LAVENDER VACUETTE PULL CAP BLOOD COLLECTION</t>
  </si>
  <si>
    <t>000-00025</t>
  </si>
  <si>
    <t>FILTERGRAM 50 EA</t>
  </si>
  <si>
    <t>DIXIE USA EMS SUPPLY</t>
  </si>
  <si>
    <t>08192AQU</t>
  </si>
  <si>
    <t>TEST PAPER CHLORINE 3X.250IN AQUA CHEM 4-WAAY TEST STRIPS 600S</t>
  </si>
  <si>
    <t>HACH</t>
  </si>
  <si>
    <t>27450-50</t>
  </si>
  <si>
    <t>STRIP WATER TESTING FREE AND TOTAL CHLORINE TEST 0-10MG/LT FOR DRINKING WATER/SA</t>
  </si>
  <si>
    <t>PETROLAB</t>
  </si>
  <si>
    <t>ACCESSORY FLASH POINT TESTER PIPETTE TIP 1ML DRAW PLASTIC W/RED IDENTIFIER F/GRABNER 44003 FUEL TEST PIPET</t>
  </si>
  <si>
    <t>DYNAREX</t>
  </si>
  <si>
    <t>UNDPD INCNT 36X23IN HI ABS FLF DISP</t>
  </si>
  <si>
    <t>ROCHE DIAGNOSTICS</t>
  </si>
  <si>
    <t>KIT PCR COBAS URN INVIT DX</t>
  </si>
  <si>
    <t>CHEMETRICS</t>
  </si>
  <si>
    <t>AMPULE REFILL F/DISSOLVED OXYGEN TEST KIT RHODAZINE-D 0-40PPM</t>
  </si>
  <si>
    <t xml:space="preserve">PRESTAN PRODUCTS </t>
  </si>
  <si>
    <t>PP-ALB-50</t>
  </si>
  <si>
    <t>BAG TRAINING LUNG FACE SHEILD PRESTAN ADULT</t>
  </si>
  <si>
    <t>REEVES EMS</t>
  </si>
  <si>
    <t>RDA0036</t>
  </si>
  <si>
    <t xml:space="preserve">TAG TRIAGE WATERPROOF </t>
  </si>
  <si>
    <t>LABCON</t>
  </si>
  <si>
    <t xml:space="preserve">UNIVERSAL FIT AEROSOL FILTER PIPET TIPS </t>
  </si>
  <si>
    <t>MEDLOGIX</t>
  </si>
  <si>
    <t>10-01</t>
  </si>
  <si>
    <t>PACK 6X9IN CMPR INST ICE MEDLOGIX KWKKLD</t>
  </si>
  <si>
    <t>ABT GLOBAL</t>
  </si>
  <si>
    <t>WOD TETRB4-00500-1-72-RB</t>
  </si>
  <si>
    <t>TAPE TAMPER RESISTANT PS SERRATED RED 1/2INX72YDS</t>
  </si>
  <si>
    <t>DRAEGER SAFETY</t>
  </si>
  <si>
    <t>DE TUBE CO2 100/A-P 10/PK</t>
  </si>
  <si>
    <t>367283 - BD</t>
  </si>
  <si>
    <t xml:space="preserve">SET BLOOD COLLECTION 23GA .75IN BD VACUTAINER BD SAFETY-LOK INFUSTION LUER ADAPTER NEEDLE 12IN STERILE LATEX FREE DISPOSABLE </t>
  </si>
  <si>
    <t>DYKD1002A</t>
  </si>
  <si>
    <t xml:space="preserve">KIT ADM INSL CRF EME BSIN SOAP MAU EKT </t>
  </si>
  <si>
    <t>AD SURGICAL</t>
  </si>
  <si>
    <t xml:space="preserve">PACK DENTAL I-PACK INTRAORAL 3 IN 1 STERILE </t>
  </si>
  <si>
    <t>IDEXX LABS</t>
  </si>
  <si>
    <t xml:space="preserve">WP200I </t>
  </si>
  <si>
    <t>KIT COLILERT E COLI MCBLTST 200 TST</t>
  </si>
  <si>
    <t>HENRY SCHEIN</t>
  </si>
  <si>
    <t>9000475EZ</t>
  </si>
  <si>
    <t>CLEANER ULTRASONIC MAXIZYME TABLET</t>
  </si>
  <si>
    <t>TUBE DRAEGER CARBON MONOXIDE ANALYZER 5-150 PPM</t>
  </si>
  <si>
    <t>ADS INC</t>
  </si>
  <si>
    <t>4352YND30369</t>
  </si>
  <si>
    <t>STERILE SPECIMEN CUPS</t>
  </si>
  <si>
    <t xml:space="preserve">BOUND TREE MEDICAL </t>
  </si>
  <si>
    <t>G6RH2T</t>
  </si>
  <si>
    <t>BLANKET HYPOTHERMIA SELF-HEATING READY HEAT II 12S</t>
  </si>
  <si>
    <t>TRI TECH</t>
  </si>
  <si>
    <t>RE-0DOD/FS</t>
  </si>
  <si>
    <t>KIT, COLLECTION, SEXUAL ASSAULT, FINGER STICK</t>
  </si>
  <si>
    <t>DYND88320</t>
  </si>
  <si>
    <t xml:space="preserve">BASIN EMESIS 500ML 9IN AUTOCLAVABLE BLUE PLASTIC LATEX FREE </t>
  </si>
  <si>
    <t>SUPERIOR GROUP OF COMPANIES</t>
  </si>
  <si>
    <t>7830 L</t>
  </si>
  <si>
    <t>TROUSERS,MEN'S PAJAMA</t>
  </si>
  <si>
    <t>O&amp;M HALYARD</t>
  </si>
  <si>
    <t>GOWN OPERATING SURGICAL SIZE LARGE NONSTERILE FULL LENGTH 36S</t>
  </si>
  <si>
    <t>PROPPER MFG</t>
  </si>
  <si>
    <t>COVERSLIP SQUARE 22X22MM THICKNESS #1 1OZ GLASS</t>
  </si>
  <si>
    <t>3271-12207</t>
  </si>
  <si>
    <t>BLANKET HYPOTHERMIA SELF-HEATING READY HEAT II 8S</t>
  </si>
  <si>
    <t>THORNHILL RESEARCH</t>
  </si>
  <si>
    <t xml:space="preserve">PATIENT CIRCUIT KIT, VENTILATOR </t>
  </si>
  <si>
    <t>CARDINAL HEALTH</t>
  </si>
  <si>
    <t xml:space="preserve">PACK SURGICAL BASIC STERILE LATEX FREE </t>
  </si>
  <si>
    <t>ALLIED HEALTHCARE PRODUCTS</t>
  </si>
  <si>
    <t>21025-25</t>
  </si>
  <si>
    <t>OXYGEN REGULATOR FOR "D" CYLINDER</t>
  </si>
  <si>
    <t>PAPER-PAK INDUSTRIES</t>
  </si>
  <si>
    <t>APLSV-2276H/6-2</t>
  </si>
  <si>
    <t>BLANKET EMERGENCY 76X22IN APLS THK.225IN C320-350LB NYLON THERMAL GUARD MYLAR 8 REINFORCE STRAP LIGHTWEIGHT PAD 2.9LB</t>
  </si>
  <si>
    <t>3B SCIENTIFIC</t>
  </si>
  <si>
    <t xml:space="preserve">6N1-SIOP </t>
  </si>
  <si>
    <t>6 IN 1 TCCC TRAINER 6N1 STERNAL IO PUCK</t>
  </si>
  <si>
    <t>ALCONOX</t>
  </si>
  <si>
    <t>1104-1 DETERGENT POWDER CONCENTRATE 9.5PH 4LB - 1104 DTRG INST 4LB</t>
  </si>
  <si>
    <t>PRODIGY DIABETES CARE LLC</t>
  </si>
  <si>
    <t xml:space="preserve">ANALYZER BLOOD GLUCOSE WITH CARRYING CASE </t>
  </si>
  <si>
    <t>BRUKER OPTICS</t>
  </si>
  <si>
    <t>FILTER GAS ANALYSER</t>
  </si>
  <si>
    <t xml:space="preserve">PATTERSON DENTAL </t>
  </si>
  <si>
    <t>07-0886614</t>
  </si>
  <si>
    <t>BAND MATRIX 1 THK.0015GA PATTERSON TOFFLEMIRE</t>
  </si>
  <si>
    <t>LIFESAVING SYSTEMS</t>
  </si>
  <si>
    <t>LITTERF/AIR-SEA RESCUE 24 X 7 X 84 IN STAINLESS STEEL HANDLEX5W/BODY/LIMB/HEAD</t>
  </si>
  <si>
    <t>6N1-HHIOP</t>
  </si>
  <si>
    <t>HEAD INTRAOSSEOUS USE WITH 6-IN-1 TCCC TRAINER 10S</t>
  </si>
  <si>
    <t>HUMANE RESTRAINT</t>
  </si>
  <si>
    <t>6530007884010-2</t>
  </si>
  <si>
    <t>KIT SRG TSTRNT LMB WRST MLTR</t>
  </si>
  <si>
    <t>THERMO FISHER SCIENTIFIC</t>
  </si>
  <si>
    <t>08-530L</t>
  </si>
  <si>
    <t>CYL GRAD BOROSIL GLS 600ML PR LIP</t>
  </si>
  <si>
    <t>6N1-NSK</t>
  </si>
  <si>
    <t xml:space="preserve">6 IN 1 TCCC TRAINER REPLACEMENT NECK SKIN </t>
  </si>
  <si>
    <t>TELECTRO-MEK</t>
  </si>
  <si>
    <t>200509-5</t>
  </si>
  <si>
    <t>FILTER, WRATTEN</t>
  </si>
  <si>
    <t>FLEMING INDUSTRIES</t>
  </si>
  <si>
    <t xml:space="preserve">BACKPACK MEDICAL TRAUMA W/REMOVABLE ROLLOUT MED HANGING PANEL </t>
  </si>
  <si>
    <t>POLO CUSTOM PRODUCTS</t>
  </si>
  <si>
    <t>2016-179</t>
  </si>
  <si>
    <t>WRAP AND LITTER, PATIENT, CHEMICAL PROTECTIVE PATIENT MOVEMENT; EA</t>
  </si>
  <si>
    <t>APOTHECARY PRODUCTS</t>
  </si>
  <si>
    <t>TRAY MED PILL CNT</t>
  </si>
  <si>
    <t>TRYCO</t>
  </si>
  <si>
    <t>ET1680A</t>
  </si>
  <si>
    <t xml:space="preserve">BAG COMBAT CASUALTY RESPONSE MEDIC/TRAUMA EXPANDABLE CLEARVIEW POCKETS BLACK NYL </t>
  </si>
  <si>
    <t>FUEL QUALITY SERVICES</t>
  </si>
  <si>
    <t>FQS-005</t>
  </si>
  <si>
    <t>KIT TEST MICORBIOLOGY IDENTIFICATION BUG ALERT FLEXIBLE PLASTIC STRIP COMPLETE READY TO USE FOR DETERMINATION OF FUNGI/BACTERIA</t>
  </si>
  <si>
    <t>ANSPEC PTY LTD</t>
  </si>
  <si>
    <t>GEL TRANSMISSION ULTRASOUND 250ML SQUEEZE BT 6.50-6.95 PH 12S</t>
  </si>
  <si>
    <t>SP BEL-ART</t>
  </si>
  <si>
    <t>4H</t>
  </si>
  <si>
    <t xml:space="preserve">HYDROMETER, GRADUATED SCALE </t>
  </si>
  <si>
    <t>PREISER SCIENTIFIC</t>
  </si>
  <si>
    <t xml:space="preserve"> 90-2306-82 </t>
  </si>
  <si>
    <t>90-2306-82 BEAKER LABORATORY POLYPROPYLENE 600 ML CAPACITY RATING B1 LOW</t>
  </si>
  <si>
    <t>LPV445.97.01110</t>
  </si>
  <si>
    <t>DR300 POCKET COLORIMETER</t>
  </si>
  <si>
    <t>MCKESSON MEDICAL-SURGICAL</t>
  </si>
  <si>
    <t xml:space="preserve">ADULT CPR TRAINING MANIKIN WITH MONITOR </t>
  </si>
  <si>
    <t>D-2 INC</t>
  </si>
  <si>
    <t>ACCESSORY FLASH POINT TESTER PIPET FUEL TESTER 1ML METAL F/GRABNER NAVIFLASH/MINI FLP/FLPH</t>
  </si>
  <si>
    <t>RESPIRATOR TURBO UNIT W/AEP3 CARTRIDGE</t>
  </si>
  <si>
    <t>BLICKMAN HEALTH</t>
  </si>
  <si>
    <t xml:space="preserve">STAND, INTRAVENOUS-IRRIGATION CONTAINER </t>
  </si>
  <si>
    <t>HABCO</t>
  </si>
  <si>
    <t>WV2037-V70</t>
  </si>
  <si>
    <t>VIAL, CALIBRATION SODIUM CHLORIDE</t>
  </si>
  <si>
    <t xml:space="preserve">TEST SET WATER REAGENT PORTABLE INCUBATOR THERMOMETER GLASSWARE POCKET PRO PH AND TDS TESTER FOR MEL/P-A SAFE DRINKING WATER </t>
  </si>
  <si>
    <t>JBC CORP</t>
  </si>
  <si>
    <t>JBC-DENT-01</t>
  </si>
  <si>
    <t>KIT DENTAL TREATMENT EMERGENCY</t>
  </si>
  <si>
    <t>MYRON L</t>
  </si>
  <si>
    <t>EP-10</t>
  </si>
  <si>
    <t>METER TOTAL DISSOLVED SOLIDS PORTABLE 100000MICROMHOS 4-RANGES</t>
  </si>
  <si>
    <t>PARKER HANNIFIN</t>
  </si>
  <si>
    <t>FG-K2-002-KW</t>
  </si>
  <si>
    <t>TEST KIT, OIL CONDITION</t>
  </si>
  <si>
    <t>CHIP GAS VAPOR MEASUREMENT CHLORINE 5-150PPM F/DRAEGER CMS</t>
  </si>
  <si>
    <t>480-050</t>
  </si>
  <si>
    <t>ASSEMBLY, SHUTTLE</t>
  </si>
  <si>
    <t>6N1-TRNR</t>
  </si>
  <si>
    <t>TRAINING AID PROSTHETIC WOUND CASUALTY SIMULATION KIT</t>
  </si>
  <si>
    <t>ZOLL MEDICAL</t>
  </si>
  <si>
    <t>XBTAED001A</t>
  </si>
  <si>
    <t>BATTERY DEFIBRILLATOR INTELLISENSE POWERHEART G5</t>
  </si>
  <si>
    <t>NORTHLAND</t>
  </si>
  <si>
    <t>MS24RFSGRG</t>
  </si>
  <si>
    <t>REFRIGERATOR-FREEZER MECHANICAL FIELD WARD UNDER COUNTER</t>
  </si>
  <si>
    <t>6N1-SK</t>
  </si>
  <si>
    <t xml:space="preserve">REPLACEMENT SKIN MANIKIN RESUSCITATION TRAINING USE WITH 6 IN 1 TCCC TRAINER </t>
  </si>
  <si>
    <t xml:space="preserve">TAMK-MS </t>
  </si>
  <si>
    <t>MOULAGE SET WAR WOUNDS 13 COMPONENTS</t>
  </si>
  <si>
    <t>CREATIVE LOGISTICS LTD</t>
  </si>
  <si>
    <t>DLA-5951</t>
  </si>
  <si>
    <t>CONTAINER MED EVAC 36-3/4IN L X20-3/4IN W X17-3/4IN H7-1/2CU FT</t>
  </si>
  <si>
    <t>GAMMON TECHNICAL PRODUCTS</t>
  </si>
  <si>
    <t>GTP-172 MARK II</t>
  </si>
  <si>
    <t>MONITOR KIT, FUEL SAMPLING</t>
  </si>
  <si>
    <t>LUNA INNOVATIONS</t>
  </si>
  <si>
    <t>30-0918</t>
  </si>
  <si>
    <t xml:space="preserve">TRAINING AID WOUND PACKAGING SILICONE TRAINER REUSABLE NO MOVING PARTS </t>
  </si>
  <si>
    <t xml:space="preserve">CHIP NITROGEN DIOXIDE 0.5-25PPM </t>
  </si>
  <si>
    <t>FLOTEC</t>
  </si>
  <si>
    <t>RR810-310P2</t>
  </si>
  <si>
    <t>FLOWMETER OXYGEN 300D NUT NIPPLE FIT DISS CHECK VALVE .25IN</t>
  </si>
  <si>
    <t>DECKMA HAMBURG GMBH</t>
  </si>
  <si>
    <t>CONTAINER, DESICCATOR, CONTROL INSTRUMENT, WATER QUALITY</t>
  </si>
  <si>
    <t>SUN NUCLEAR</t>
  </si>
  <si>
    <t>MODEL ATS 539</t>
  </si>
  <si>
    <t>PHANTOM, MULTIPURPOSE</t>
  </si>
  <si>
    <t xml:space="preserve">BRUKER </t>
  </si>
  <si>
    <t>FILTER, FLUID</t>
  </si>
  <si>
    <t>PG</t>
  </si>
  <si>
    <t>CS</t>
  </si>
  <si>
    <t>HD</t>
  </si>
  <si>
    <t>BT</t>
  </si>
  <si>
    <t>BX</t>
  </si>
  <si>
    <t>RO</t>
  </si>
  <si>
    <t>KT</t>
  </si>
  <si>
    <t>SE</t>
  </si>
  <si>
    <t xml:space="preserve">SP1115 </t>
  </si>
  <si>
    <t>1104-1</t>
  </si>
  <si>
    <t xml:space="preserve">50362B </t>
  </si>
  <si>
    <t>AAWP 047 00</t>
  </si>
  <si>
    <t xml:space="preserve">R7540 </t>
  </si>
  <si>
    <t>D002-009-P</t>
  </si>
  <si>
    <t>5 years</t>
  </si>
  <si>
    <t>PGC</t>
  </si>
  <si>
    <t>Total Evaluated Price</t>
  </si>
  <si>
    <t>Ceiling Price        Yr 1</t>
  </si>
  <si>
    <t>Extended Price                     Yr 1</t>
  </si>
  <si>
    <t>FSC</t>
  </si>
  <si>
    <t>Annual Demand Frequency</t>
  </si>
  <si>
    <t>Annual Demand Quantity</t>
  </si>
  <si>
    <t xml:space="preserve">Unit of Measure </t>
  </si>
  <si>
    <t>Unit Conversion</t>
  </si>
  <si>
    <t>no conversion</t>
  </si>
  <si>
    <t>LT7309</t>
  </si>
  <si>
    <t>LIGHTHOUSE FOR THE BLIND</t>
  </si>
  <si>
    <t>LITTER FOLDING RIGID ALUM POLE PLAS NYLON DUCK CVR 91.60"O/A L</t>
  </si>
  <si>
    <t>25 EA = 1 PG</t>
  </si>
  <si>
    <t>TRM4458A25</t>
  </si>
  <si>
    <t>NARMD</t>
  </si>
  <si>
    <t>BRUSH-SPONGE SURGICAL SCRUB DISPOSABLE 25S</t>
  </si>
  <si>
    <t>11440-900</t>
  </si>
  <si>
    <t>PACK 9X6IN THERAPEUTIC INSTANT COLD LARGE KWIK-KOLD DISPOSABLE</t>
  </si>
  <si>
    <t>UTRLU-333369-RED+EMERPKGM+SS-M</t>
  </si>
  <si>
    <t>WATERLOO</t>
  </si>
  <si>
    <t>CART EMERGENCY RESUSCITATION</t>
  </si>
  <si>
    <t>20 EA = 1 PG</t>
  </si>
  <si>
    <t>DYND20302 (NOT ON ECAT) - 2305 (ON ECAT)</t>
  </si>
  <si>
    <t>DYND20302 - MEDLINE INDUSTRIES LP - 2305 LSL INDUSTRIES</t>
  </si>
  <si>
    <t xml:space="preserve">DYND20302 - SYRINGE 60 ML LATEX FREE STERILE THUMB RING PISTON RIGID BASE ELONGATE TIP IRRIGATION TYVEK DISPOSABLE - 2305 TRAY IRRIGATION 60MM PISTON SYRINGE PEEL LID 60ML LATEX FREE STERILE </t>
  </si>
  <si>
    <t>H-223-48-223</t>
  </si>
  <si>
    <t>HILL-ROM</t>
  </si>
  <si>
    <t xml:space="preserve">PAD STRETCHER WARRIOR EVACUATION LITTER LATEX FREE </t>
  </si>
  <si>
    <t>30 EA = 1 PG</t>
  </si>
  <si>
    <t>CARE LINE</t>
  </si>
  <si>
    <t xml:space="preserve">KIT SURGICAL PERSONAL HYGIENE </t>
  </si>
  <si>
    <t xml:space="preserve">SKF TMEH 1 </t>
  </si>
  <si>
    <t>SKF USA</t>
  </si>
  <si>
    <t>OIL CHECK MONITOR</t>
  </si>
  <si>
    <t>200 EA = 1 PG</t>
  </si>
  <si>
    <t>01826C</t>
  </si>
  <si>
    <t>MEDEGEN MEDICAL PRODUCTS</t>
  </si>
  <si>
    <t>BAG, BIOHAZARD; FISHERBRAND; POLYPROPYLENE; AUTOCLAVABLE; PRINTED IN ENGLISH/SPA</t>
  </si>
  <si>
    <t>1000 EA = 1 PG</t>
  </si>
  <si>
    <t xml:space="preserve">DL-7434 - Downeast Logistics (ON PVM) - SIG11 SIGMA TECH ENTERPRISES (NOT ON PVM) </t>
  </si>
  <si>
    <t xml:space="preserve">SIG11 POUCH LIQ ABS POLYMER 1-1/4X1/4 6.750 OZ ABSORBS SPILLS 1000S - DL7434 POUCH ABSORBENT 1.25IN LIQUID </t>
  </si>
  <si>
    <t>AS2-3</t>
  </si>
  <si>
    <t xml:space="preserve">ARROW TAMPER EVIDENT STEAM 2 BARB GENESIS WHITE </t>
  </si>
  <si>
    <t>600 EA = 1 PG</t>
  </si>
  <si>
    <t>1.09535.0007 AND 9590-3</t>
  </si>
  <si>
    <t>EMD MILLIPORE (BOTH)</t>
  </si>
  <si>
    <t xml:space="preserve">1.09535.0007 STRIP PAD PH INDICATOR MQUANT UNIVERSAL MCOLORPHAS 0-14 RANGE - 9590-3 PAPER PH INDICATING COLORPHAST </t>
  </si>
  <si>
    <t xml:space="preserve">DL-7433 </t>
  </si>
  <si>
    <t>DOWNEAST LOGISTICS</t>
  </si>
  <si>
    <t>POUCH LIQUID ABSORBENT A6 PROTECTIVE LEAK RESISTANT HEAT SEAL 4"x3" 200ML DISPOSABLE 1000S</t>
  </si>
  <si>
    <t>100 EA = 1PG</t>
  </si>
  <si>
    <t>CRI10042</t>
  </si>
  <si>
    <t>CAP OPERATING SURGICAL UNIVERSAL SZ BOUFFANT DISP NONWOVEN 100S</t>
  </si>
  <si>
    <t>JF-WA1-AF</t>
  </si>
  <si>
    <t>HYDRO-LIGHT FREE WATER AVIATION FUEL TESTER</t>
  </si>
  <si>
    <t xml:space="preserve">BRENNER METAL PRODUCTS </t>
  </si>
  <si>
    <t>BED ADJUSTABLE FIELD HOSPITAL BRENNER</t>
  </si>
  <si>
    <t>FIRST RESPONDER BAG</t>
  </si>
  <si>
    <t>TACTICAL TAILOR</t>
  </si>
  <si>
    <t>FIRST RESPONDER BAG OLIVE 14X6.5X8.5IN</t>
  </si>
  <si>
    <t>PR</t>
  </si>
  <si>
    <t xml:space="preserve">JUNKIN SAFETY APPLIANCE </t>
  </si>
  <si>
    <t xml:space="preserve">SUPPORT LITTER FOLDING LIGHTWEIGHT 31.5" HEIGHT </t>
  </si>
  <si>
    <t>25 EA = 1 CS</t>
  </si>
  <si>
    <t>POLYSAFE5</t>
  </si>
  <si>
    <t xml:space="preserve">POLYNOR AS </t>
  </si>
  <si>
    <t>CONTAINER BIOHAZARD BOX INCINERATION WHITE/BLACK-RED PRINT PORT OPENING LID 5LITER</t>
  </si>
  <si>
    <t>1 PG = 5000 EA</t>
  </si>
  <si>
    <t>CUP MEDICINE PLAS 1 OZ 1.3X1.5 IN -FLAT TRANSPARENT NESTING TYPE5000</t>
  </si>
  <si>
    <t>00041-N</t>
  </si>
  <si>
    <t xml:space="preserve">PELICAN BIOTHERMAL </t>
  </si>
  <si>
    <t>CONTAINER, THERMAL, BLOOD TRANSPOR-GOLDEN HOUR MEDIC, SERIES S, BAG, MULICAM</t>
  </si>
  <si>
    <t>2254-01</t>
  </si>
  <si>
    <t xml:space="preserve">KIT TEST WATER CHLORINE TOTAL 0.2MG/L THOSULFATE TITRATION W/CASE 100TEST </t>
  </si>
  <si>
    <t>STRAP RESISTANT REPLACEMENT MEDEVAC LITTER MEDEVAC II SERIES FLOTATION KIT</t>
  </si>
  <si>
    <t>PHL-K-B</t>
  </si>
  <si>
    <t>TACMED SOLUTIONS</t>
  </si>
  <si>
    <t xml:space="preserve">PHANTOM LITTER HANDS FREE BLACK 65IN X 23IN </t>
  </si>
  <si>
    <t>XP53118300008</t>
  </si>
  <si>
    <t>ROLLS-ROYCE</t>
  </si>
  <si>
    <t>PAPER,FILTER</t>
  </si>
  <si>
    <t>100 EA = 1 BT</t>
  </si>
  <si>
    <t>WP104 - IDEXX Labs</t>
  </si>
  <si>
    <t>COMPARATOR COLOR BORDERLINE YELLOW/FLUORESCING F/IDEXX COLILERT/COLILERT-18 QUANTI-TRAY</t>
  </si>
  <si>
    <t xml:space="preserve">6N1-CM </t>
  </si>
  <si>
    <t>6 IN 1 TCCC TRAINER 6N1 REPLACEMENT CHEST MUSCLE</t>
  </si>
  <si>
    <t>3 EA = 1 PG</t>
  </si>
  <si>
    <t>2 EA = 1 PG</t>
  </si>
  <si>
    <t xml:space="preserve">10-0032 </t>
  </si>
  <si>
    <t>NORTH AMERICAN RESCUE LLC</t>
  </si>
  <si>
    <t xml:space="preserve">PACK EMERGENCY HYFIN 2 CHEST SEAL TRAINING </t>
  </si>
  <si>
    <t xml:space="preserve">2100Q01 </t>
  </si>
  <si>
    <t>TURBIDMETER PORTABLE 9" OVERALL LENGTH X 3" OVERALL HEIGHT X 4.2" OVERALL WIDTH</t>
  </si>
  <si>
    <t>CN</t>
  </si>
  <si>
    <t>500 EA = 1 CN</t>
  </si>
  <si>
    <t>1600036-001</t>
  </si>
  <si>
    <t>BIEN-AIR MEDICAL TECHNOLOGIES</t>
  </si>
  <si>
    <t xml:space="preserve">CLEANING AND LUBRICATING COMPUND DENTAL HANDPIECE 500ML CAN </t>
  </si>
  <si>
    <t xml:space="preserve">802-06010 SKC - 6406010 DRAGER MEDICAL </t>
  </si>
  <si>
    <t>CHIP CHLORINE (BOTH)</t>
  </si>
  <si>
    <t>12 EA = 1 PG</t>
  </si>
  <si>
    <t>PAC-DENT INTL</t>
  </si>
  <si>
    <t>IMPRESSION BIT TRAY DENTAL PLASTIC UPPER JAW NO.3 MEDIUM PEFORATED 12S</t>
  </si>
  <si>
    <t>85-3204</t>
  </si>
  <si>
    <t>NAVAL FIRST AID BOX RESPONSE KIT TRAINER</t>
  </si>
  <si>
    <t>SMWP025-00</t>
  </si>
  <si>
    <t>CASETTE, FILTER</t>
  </si>
  <si>
    <t>06F23-55</t>
  </si>
  <si>
    <t>ABBOTT LABS</t>
  </si>
  <si>
    <t>BATTERY 9-VOLT NIMH RECHARGEABLE F/I STAT ANALYZER</t>
  </si>
  <si>
    <t>802-06340</t>
  </si>
  <si>
    <t>SKC</t>
  </si>
  <si>
    <t>CHIP PHOSGENE .05-2.00PPM F/USE W/6630-01-479-2133</t>
  </si>
  <si>
    <t>2002-0032</t>
  </si>
  <si>
    <t>NALGE NUNC INTL</t>
  </si>
  <si>
    <t>BTL STOR NTR 216MM 91MM 38-430MM 27MM</t>
  </si>
  <si>
    <t>BS2001/0025</t>
  </si>
  <si>
    <t>MILITAIR GENEESKUNDIG LOGISTIEK CENTRUM</t>
  </si>
  <si>
    <t xml:space="preserve">BACK REST LITTER NONADJ ALUM/CTN DUCK 45 X 24" U/W FIELD LITTERS </t>
  </si>
  <si>
    <t>DYND80327, DYND80320, DYND80322</t>
  </si>
  <si>
    <t>BASIN EME 500ML MLD GRAD GRFT PLS 16OZ (27), BASIN EMESIS 500ML PLASTIC GRADUATED (20), BASIN EME 500ML 9IN GRAD WHT PLS ORAL (22)</t>
  </si>
  <si>
    <t>YD</t>
  </si>
  <si>
    <t>72 RO = 1 YD</t>
  </si>
  <si>
    <t>WOD TETRB4-00500-1-72-RB, 810S</t>
  </si>
  <si>
    <t>ABT GLOBAL (WOD) DIXIE USA EMS SUPPLY (810S)</t>
  </si>
  <si>
    <t>TAPE, TAMPER RESISTANT (WOD), TAPE TAMPER RESISTANT PS SERRATED RED 1/2INX72YDS (810S)</t>
  </si>
  <si>
    <t>R1115</t>
  </si>
  <si>
    <t>PRO-VAC SYSTEMS</t>
  </si>
  <si>
    <t>SHARPS SAFE TUBE, 1 1/2 INCH X 7 INCH, RED</t>
  </si>
  <si>
    <t>DST3</t>
  </si>
  <si>
    <t>STERIS</t>
  </si>
  <si>
    <t>BX OF 4 EA (250UN)</t>
  </si>
  <si>
    <t>100 EA = 1 PG</t>
  </si>
  <si>
    <t>084-079-00</t>
  </si>
  <si>
    <t>BROWNELLS</t>
  </si>
  <si>
    <t>CLOTH LENS GUNSMITH CLEANING COTTON 100S</t>
  </si>
  <si>
    <t>50 EA = 1PG</t>
  </si>
  <si>
    <t>103B</t>
  </si>
  <si>
    <t>PACK 5.5X5.5IN THRP INST CLD XS KWKKLD</t>
  </si>
  <si>
    <t>SMARTPRACTICE</t>
  </si>
  <si>
    <t>KIT RSTR EMT TSVR GEL</t>
  </si>
  <si>
    <t>PAPER RECORDING CLINICAL ANALYZER QBC STAR 3S</t>
  </si>
  <si>
    <t>12 EA = 1 DZ</t>
  </si>
  <si>
    <t>W216803</t>
  </si>
  <si>
    <t xml:space="preserve">DWK LIFE SCIENCES </t>
  </si>
  <si>
    <t>8 OZ BTL BS RD G 12/CS</t>
  </si>
  <si>
    <t>24 EA = 1 PG</t>
  </si>
  <si>
    <t>11443-512</t>
  </si>
  <si>
    <t>PACK 11X4.5IN THRP INST HOT CR SM LF</t>
  </si>
  <si>
    <t>K-300</t>
  </si>
  <si>
    <t xml:space="preserve">HUMANE RESTRAINT </t>
  </si>
  <si>
    <t>KEY RESTRAINT F/HUMANE RESTRAINT MILITARY RESTRAINT SET</t>
  </si>
  <si>
    <t>PACIFIC STAR COMMUNICATIONS</t>
  </si>
  <si>
    <t xml:space="preserve">RACK TEST TUBE LABORATORY EPOXY COATED WIRE 40 TUBE </t>
  </si>
  <si>
    <t>3VEY4</t>
  </si>
  <si>
    <t>W W GRAINGER</t>
  </si>
  <si>
    <t>LITMUS PAPER ACS STRIP F/ONSITE DETER OF PH VALUES 30 PER PKG</t>
  </si>
  <si>
    <t>SPOON MEASURING 0.5GR MOLDED PLASTIC CUP</t>
  </si>
  <si>
    <t>4436T37</t>
  </si>
  <si>
    <t>MCMASTER CARR SUPPLY</t>
  </si>
  <si>
    <t>CYLINDER, GRADUATED, LABORATORY</t>
  </si>
  <si>
    <t>DRAPE SRG MED 71X40IN SHT FNFLD STRL LF</t>
  </si>
  <si>
    <t>225-25</t>
  </si>
  <si>
    <t>ACCESSORY FILTER SAMPLING CASSETTE SEALING BAND 37MM</t>
  </si>
  <si>
    <t>S25001</t>
  </si>
  <si>
    <t>MICRONEL SAFETY USA LLC</t>
  </si>
  <si>
    <t xml:space="preserve">RECHARGEABLE BATTERY FOR C420 BLOWERS 4.8 VOLTAGE </t>
  </si>
  <si>
    <t>6PFC</t>
  </si>
  <si>
    <t>ULTRAMETER II</t>
  </si>
  <si>
    <t>DRAEGER MEDICAL</t>
  </si>
  <si>
    <t>CHIP HYDROGEN SULFIDE 20.0-500PPM RANGE F/USE W/6630-01-479-2133</t>
  </si>
  <si>
    <t>ARSENIC TEST KIT 100 TESTS</t>
  </si>
  <si>
    <t>6406200, 802-06200</t>
  </si>
  <si>
    <t>DRAGER MEDICAL (6406200), SKC (802-06200)</t>
  </si>
  <si>
    <t xml:space="preserve">CHIP PETROLEUM HYDROCARB20-500PPM RANGE F/USE W/6630-01-479-2133 </t>
  </si>
  <si>
    <t>AS-K11098</t>
  </si>
  <si>
    <t>END CAP, VISCOMETER</t>
  </si>
  <si>
    <t>91458A130</t>
  </si>
  <si>
    <t>THREADLOCKER ADHESIVE LOCTITE 222/FJBAIDS SYSTEM</t>
  </si>
  <si>
    <t>4436T31</t>
  </si>
  <si>
    <t>4436T35</t>
  </si>
  <si>
    <t>6N1-EYE</t>
  </si>
  <si>
    <t>6-IN-1 TCCC TRAINER 6N1 REPLACEMENT EYES</t>
  </si>
  <si>
    <t>6N1-TCH</t>
  </si>
  <si>
    <t>6-IN-1 TCCC TRAINER 6N1 REPLACEMENT TRACHEA</t>
  </si>
  <si>
    <t>6N1-REPKT</t>
  </si>
  <si>
    <t>6-IN-1 TCCC TRAINER, 6N1 USER REPAIR KIT</t>
  </si>
  <si>
    <t>190-5020-001</t>
  </si>
  <si>
    <t>TRNR AED REUSE TRN PD POWERHEART G5</t>
  </si>
  <si>
    <t>4 EA = 1 PG</t>
  </si>
  <si>
    <t>6N1-CL</t>
  </si>
  <si>
    <t xml:space="preserve">6-IN-1 TCCC TRAINER 6N1 CHEST LINER </t>
  </si>
  <si>
    <t>PPD300A</t>
  </si>
  <si>
    <t>SYSMEX</t>
  </si>
  <si>
    <t>RGT POCH-PK D HMTL</t>
  </si>
  <si>
    <t>100 EA = 1BX</t>
  </si>
  <si>
    <t>CHEMPLEX</t>
  </si>
  <si>
    <t xml:space="preserve">CUP SAMPLE FOR SPECTROSULFUR ANALYZER TRIMLESS 1.43IN APERTURE OD 1.69IN SINGLE </t>
  </si>
  <si>
    <t>FLOSS DENTAL WAXED 200 YD</t>
  </si>
  <si>
    <t>120 EA = 1BX</t>
  </si>
  <si>
    <t>101-3514</t>
  </si>
  <si>
    <t>POINT OBTR MXMA MED FN GTPRCH CLR CD</t>
  </si>
  <si>
    <t>46620-001</t>
  </si>
  <si>
    <t>VWR INTL</t>
  </si>
  <si>
    <t>BAG DENTAL PROSTHESIS PLASTIC 100S</t>
  </si>
  <si>
    <t>99.0654.03</t>
  </si>
  <si>
    <t xml:space="preserve">A DEC </t>
  </si>
  <si>
    <t>ACC HNDPC WHT HLDR VLV A-DEC 500 300</t>
  </si>
  <si>
    <t>1KT = 1KT</t>
  </si>
  <si>
    <t>503429-2</t>
  </si>
  <si>
    <t>VISTA DENTAL PRODUCTS</t>
  </si>
  <si>
    <t xml:space="preserve">DETECTOR KIT, FRACTURE DENTAL </t>
  </si>
  <si>
    <t>200PG = 200 PG</t>
  </si>
  <si>
    <t xml:space="preserve">COVER SHOE DRFT SMS XL X TRC SKD RST </t>
  </si>
  <si>
    <t>50 PG = 50 PG</t>
  </si>
  <si>
    <t>NON27236XL</t>
  </si>
  <si>
    <t>GOWN CVR XL YLW FULL BCK NK TIE ELC CUF</t>
  </si>
  <si>
    <t>160PG = 160PG</t>
  </si>
  <si>
    <t>MSC266044</t>
  </si>
  <si>
    <t>DPR 4 C22-35LB DRTM BRTHBL ANTILEAK GRD</t>
  </si>
  <si>
    <t>NONLV350XL</t>
  </si>
  <si>
    <t>GOWN ISL XL WHT LVL 3 FULL BCK TAB NK</t>
  </si>
  <si>
    <t>GOWN ISL XL YLW NK TIE ELC CUF SMS</t>
  </si>
  <si>
    <t>1SE = 1SE</t>
  </si>
  <si>
    <t>MXR IMAGING</t>
  </si>
  <si>
    <t>MARKER XRAY FILM ID GOTHIC UPPERCASE LETTERS R AND L</t>
  </si>
  <si>
    <t>PELI BIO THERMAL LLC</t>
  </si>
  <si>
    <t>CONTAINER, THERMAL, BLOOD TRANSPORT</t>
  </si>
  <si>
    <t>1231906SNL</t>
  </si>
  <si>
    <t xml:space="preserve">PHOENIX TEXTILE </t>
  </si>
  <si>
    <t>PAJAMAS LG FULL LG CTTN BLU PT CLRLS M</t>
  </si>
  <si>
    <t>14299-00</t>
  </si>
  <si>
    <t>DEIONIZER DEMINERALIZER BOTTLE W/MONOBED RESIN 177ML</t>
  </si>
  <si>
    <t>6EA = 1 BG</t>
  </si>
  <si>
    <t>M24-45P</t>
  </si>
  <si>
    <t>ON SITE GAS SYSTEMS</t>
  </si>
  <si>
    <t xml:space="preserve">CONNECTOR OXYGEN PLASTIC SWIVEL GREEN CHRISTMAS TREE </t>
  </si>
  <si>
    <t>414004-148</t>
  </si>
  <si>
    <t>BKR MSR CLR VWR PP GRAD SHTR RST TRNS</t>
  </si>
  <si>
    <t>C.R. BARD</t>
  </si>
  <si>
    <t>KIT 3OZ MDSTRM CNTNR FNL CNCT IODOPHER</t>
  </si>
  <si>
    <t>DRAGER MEDICAL</t>
  </si>
  <si>
    <t xml:space="preserve">CHIP CHEMICAL AMMONIA PROVIDES BEST RESULTS POSSIBLE </t>
  </si>
  <si>
    <t xml:space="preserve">16EA = 1PG </t>
  </si>
  <si>
    <t>11443-012</t>
  </si>
  <si>
    <t>PACK 9X7IN THRP INST HOT CR LG LF DISP</t>
  </si>
  <si>
    <t>00-1978-001-00</t>
  </si>
  <si>
    <t>ZIMMER BIOMET</t>
  </si>
  <si>
    <t>SLING ORTH LG UNV 19.5X10.25IN ARM ELEVR</t>
  </si>
  <si>
    <t>91896-05</t>
  </si>
  <si>
    <t>MUNTERS</t>
  </si>
  <si>
    <t>FILTER UNIT, MICROPOROUS</t>
  </si>
  <si>
    <t>OZ</t>
  </si>
  <si>
    <t>32 OZ = 1 BT</t>
  </si>
  <si>
    <t>77776-578</t>
  </si>
  <si>
    <t>EYE WASH SOLUTION 32OZ FOR USE WITH NSN 4240-01-310-0636</t>
  </si>
  <si>
    <t>280 EA =1 PG</t>
  </si>
  <si>
    <t>WIPES DISPOSABLE KIMTECH SCIENCE KIMWIPE 11X22 280S</t>
  </si>
  <si>
    <t>LEICA MICROSYSTEMS</t>
  </si>
  <si>
    <t xml:space="preserve">CONTAINER PRE-FILLED 10% NEUTRAL BUFFERED FORMALIN 60/30ML POLYSTYRENE W/NO LEAK </t>
  </si>
  <si>
    <t>10EA = 1PG</t>
  </si>
  <si>
    <t>PO-2550(10)</t>
  </si>
  <si>
    <t>REHABMART LLC</t>
  </si>
  <si>
    <t>RESTRAINT LIMB 10 PAIRS</t>
  </si>
  <si>
    <t>21-7-033</t>
  </si>
  <si>
    <t>EASTERN MEDICAL PLASTICS</t>
  </si>
  <si>
    <t>BOTTLE SPRAY PLASTIC 8 OZ 240 ML I.S. PERINEAL CARE OF OB/GYN 50S</t>
  </si>
  <si>
    <r>
      <t>Estimated Demand Quantity</t>
    </r>
    <r>
      <rPr>
        <b/>
        <sz val="11"/>
        <color rgb="FFFF0000"/>
        <rFont val="Calibri"/>
        <family val="2"/>
        <scheme val="minor"/>
      </rPr>
      <t xml:space="preserve"> (Yr 1)</t>
    </r>
  </si>
  <si>
    <t>1057-965-018</t>
  </si>
  <si>
    <r>
      <t>Estimated Demand Quantity</t>
    </r>
    <r>
      <rPr>
        <b/>
        <sz val="11"/>
        <color rgb="FFFF0000"/>
        <rFont val="Calibri"/>
        <family val="2"/>
        <scheme val="minor"/>
      </rPr>
      <t xml:space="preserve"> </t>
    </r>
  </si>
  <si>
    <t>Estimated Demand         (5-Years)</t>
  </si>
  <si>
    <r>
      <t xml:space="preserve">Manufacturer                      </t>
    </r>
    <r>
      <rPr>
        <b/>
        <sz val="11"/>
        <color rgb="FFFF0000"/>
        <rFont val="Calibri"/>
        <family val="2"/>
        <scheme val="minor"/>
      </rPr>
      <t>(reference)</t>
    </r>
  </si>
  <si>
    <r>
      <t xml:space="preserve">Part Number             </t>
    </r>
    <r>
      <rPr>
        <b/>
        <sz val="11"/>
        <color rgb="FFFF0000"/>
        <rFont val="Calibri"/>
        <family val="2"/>
        <scheme val="minor"/>
      </rPr>
      <t>(reference)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</si>
</sst>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000000"/>
    <numFmt numFmtId="165" formatCode="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>
      <alignment vertical="top"/>
    </xf>
    <xf numFmtId="0" fontId="4" fillId="4" borderId="0" applyNumberFormat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4" fontId="0" fillId="0" borderId="1" xfId="0" applyNumberForma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1" fillId="2" borderId="1" xfId="7" applyFont="1" applyFill="1" applyBorder="1" applyAlignment="1">
      <alignment wrapText="1"/>
    </xf>
    <xf numFmtId="0" fontId="1" fillId="2" borderId="1" xfId="7" applyFont="1" applyFill="1" applyBorder="1" applyAlignment="1">
      <alignment horizontal="left" wrapText="1"/>
    </xf>
    <xf numFmtId="1" fontId="1" fillId="2" borderId="1" xfId="7" applyNumberFormat="1" applyFont="1" applyFill="1" applyBorder="1" applyAlignment="1">
      <alignment horizontal="left" wrapText="1"/>
    </xf>
    <xf numFmtId="165" fontId="1" fillId="2" borderId="1" xfId="7" applyNumberFormat="1" applyFont="1" applyFill="1" applyBorder="1" applyAlignment="1">
      <alignment horizontal="left" wrapText="1"/>
    </xf>
    <xf numFmtId="1" fontId="0" fillId="2" borderId="1" xfId="7" applyNumberFormat="1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5" fontId="0" fillId="0" borderId="1" xfId="0" applyNumberFormat="1" applyBorder="1" applyAlignment="1">
      <alignment horizontal="left" wrapText="1"/>
    </xf>
    <xf numFmtId="164" fontId="0" fillId="0" borderId="0" xfId="0" applyNumberFormat="1" applyAlignment="1">
      <alignment wrapText="1"/>
    </xf>
    <xf numFmtId="0" fontId="7" fillId="5" borderId="2" xfId="0" applyFont="1" applyFill="1" applyBorder="1" applyAlignment="1">
      <alignment horizontal="center" wrapText="1"/>
    </xf>
    <xf numFmtId="1" fontId="7" fillId="5" borderId="2" xfId="0" applyNumberFormat="1" applyFont="1" applyFill="1" applyBorder="1" applyAlignment="1">
      <alignment horizontal="center" wrapText="1"/>
    </xf>
    <xf numFmtId="44" fontId="7" fillId="5" borderId="2" xfId="1" applyFont="1" applyFill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wrapText="1"/>
    </xf>
    <xf numFmtId="0" fontId="0" fillId="3" borderId="2" xfId="0" applyFill="1" applyBorder="1"/>
    <xf numFmtId="1" fontId="0" fillId="0" borderId="2" xfId="0" applyNumberFormat="1" applyBorder="1"/>
    <xf numFmtId="44" fontId="0" fillId="3" borderId="2" xfId="1" applyFont="1" applyFill="1" applyBorder="1"/>
    <xf numFmtId="44" fontId="0" fillId="0" borderId="2" xfId="1" applyFont="1" applyBorder="1"/>
    <xf numFmtId="1" fontId="7" fillId="0" borderId="2" xfId="0" applyNumberFormat="1" applyFont="1" applyBorder="1"/>
    <xf numFmtId="44" fontId="7" fillId="0" borderId="2" xfId="1" applyFont="1" applyBorder="1"/>
    <xf numFmtId="0" fontId="7" fillId="5" borderId="2" xfId="0" applyFont="1" applyFill="1" applyBorder="1" applyAlignment="1" applyProtection="1">
      <alignment horizontal="center" wrapText="1"/>
      <protection locked="0"/>
    </xf>
    <xf numFmtId="0" fontId="0" fillId="3" borderId="2" xfId="0" applyFill="1" applyBorder="1" applyProtection="1">
      <protection locked="0"/>
    </xf>
    <xf numFmtId="0" fontId="0" fillId="0" borderId="2" xfId="0" applyBorder="1" applyProtection="1">
      <protection locked="0"/>
    </xf>
    <xf numFmtId="44" fontId="7" fillId="5" borderId="2" xfId="1" applyFont="1" applyFill="1" applyBorder="1" applyAlignment="1" applyProtection="1">
      <alignment horizontal="center" wrapText="1"/>
      <protection locked="0"/>
    </xf>
    <xf numFmtId="44" fontId="0" fillId="3" borderId="2" xfId="1" applyFont="1" applyFill="1" applyBorder="1" applyProtection="1">
      <protection locked="0"/>
    </xf>
    <xf numFmtId="44" fontId="0" fillId="0" borderId="2" xfId="1" applyFont="1" applyBorder="1" applyProtection="1">
      <protection locked="0"/>
    </xf>
    <xf numFmtId="44" fontId="7" fillId="0" borderId="2" xfId="1" applyFont="1" applyBorder="1" applyProtection="1">
      <protection locked="0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6" fillId="3" borderId="2" xfId="0" applyFont="1" applyFill="1" applyBorder="1"/>
    <xf numFmtId="1" fontId="6" fillId="0" borderId="2" xfId="0" applyNumberFormat="1" applyFont="1" applyBorder="1"/>
    <xf numFmtId="44" fontId="6" fillId="3" borderId="2" xfId="1" applyFont="1" applyFill="1" applyBorder="1"/>
    <xf numFmtId="44" fontId="6" fillId="0" borderId="2" xfId="1" applyFont="1" applyBorder="1"/>
    <xf numFmtId="0" fontId="6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7" fillId="5" borderId="2" xfId="0" applyNumberFormat="1" applyFont="1" applyFill="1" applyBorder="1" applyAlignment="1">
      <alignment horizontal="right" wrapText="1"/>
    </xf>
    <xf numFmtId="49" fontId="0" fillId="0" borderId="2" xfId="0" applyNumberFormat="1" applyBorder="1" applyAlignment="1">
      <alignment horizontal="right"/>
    </xf>
    <xf numFmtId="49" fontId="6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0" fillId="0" borderId="2" xfId="0" applyFill="1" applyBorder="1" applyAlignment="1">
      <alignment horizontal="left"/>
    </xf>
  </cellXfs>
  <cellStyles count="8">
    <cellStyle name="Currency" xfId="1" builtinId="4"/>
    <cellStyle name="Good" xfId="7" builtinId="26"/>
    <cellStyle name="Normal" xfId="0" builtinId="0"/>
    <cellStyle name="Normal 2 3" xfId="2" xr:uid="{73644908-DF7D-41EA-9BB7-9F4D0DDABABC}"/>
    <cellStyle name="Normal 2 5" xfId="6" xr:uid="{AD8129BC-C72D-494D-AA37-C9A045E15397}"/>
    <cellStyle name="Normal 3 2" xfId="5" xr:uid="{E4892CB7-6276-4AC1-A6FC-0BF09BCD4967}"/>
    <cellStyle name="Normal 5" xfId="4" xr:uid="{C111602D-F52B-4736-8408-09D2A376CBB3}"/>
    <cellStyle name="Normal 6 2" xfId="3" xr:uid="{5EBC2EDE-4A23-47FF-BB37-5135304E867A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629861</xdr:colOff>
      <xdr:row>3</xdr:row>
      <xdr:rowOff>231032</xdr:rowOff>
    </xdr:from>
    <xdr:ext cx="1782924" cy="90059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1659EF1-367D-A2B3-75E8-5E53240C8C46}"/>
            </a:ext>
          </a:extLst>
        </xdr:cNvPr>
        <xdr:cNvSpPr/>
      </xdr:nvSpPr>
      <xdr:spPr>
        <a:xfrm rot="18338666">
          <a:off x="430048" y="5349209"/>
          <a:ext cx="9005914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Informational Use Only</a:t>
          </a:r>
        </a:p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Not Rated </a:t>
          </a:r>
        </a:p>
      </xdr:txBody>
    </xdr:sp>
    <xdr:clientData/>
  </xdr:oneCellAnchor>
  <xdr:oneCellAnchor>
    <xdr:from>
      <xdr:col>5</xdr:col>
      <xdr:colOff>103909</xdr:colOff>
      <xdr:row>40</xdr:row>
      <xdr:rowOff>86591</xdr:rowOff>
    </xdr:from>
    <xdr:ext cx="1782924" cy="900591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F801FD-8D76-4208-BBEC-0478E0605B54}"/>
            </a:ext>
          </a:extLst>
        </xdr:cNvPr>
        <xdr:cNvSpPr/>
      </xdr:nvSpPr>
      <xdr:spPr>
        <a:xfrm rot="18338666">
          <a:off x="77278" y="24254768"/>
          <a:ext cx="9005914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Informational Use Only</a:t>
          </a:r>
        </a:p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Not Rated </a:t>
          </a:r>
        </a:p>
      </xdr:txBody>
    </xdr:sp>
    <xdr:clientData/>
  </xdr:oneCellAnchor>
  <xdr:oneCellAnchor>
    <xdr:from>
      <xdr:col>4</xdr:col>
      <xdr:colOff>398318</xdr:colOff>
      <xdr:row>75</xdr:row>
      <xdr:rowOff>17320</xdr:rowOff>
    </xdr:from>
    <xdr:ext cx="1782924" cy="9005914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08EBA1D-E816-462D-B790-22384FA35CE9}"/>
            </a:ext>
          </a:extLst>
        </xdr:cNvPr>
        <xdr:cNvSpPr/>
      </xdr:nvSpPr>
      <xdr:spPr>
        <a:xfrm rot="18338666">
          <a:off x="-338359" y="39234997"/>
          <a:ext cx="9005914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Informational Use Only</a:t>
          </a:r>
        </a:p>
        <a:p>
          <a:pPr algn="ctr"/>
          <a:r>
            <a:rPr lang="en-U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5"/>
              </a:solidFill>
              <a:effectLst>
                <a:outerShdw blurRad="12700" dist="38100" dir="2700000" algn="tl" rotWithShape="0">
                  <a:schemeClr val="accent5">
                    <a:lumMod val="60000"/>
                    <a:lumOff val="40000"/>
                  </a:schemeClr>
                </a:outerShdw>
              </a:effectLst>
            </a:rPr>
            <a:t>Not Rated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3249-C754-4CF8-B462-68C53BF5EBC8}">
  <dimension ref="A1:M88"/>
  <sheetViews>
    <sheetView tabSelected="1" zoomScale="70" zoomScaleNormal="70" workbookViewId="0">
      <selection activeCell="G1" sqref="G1"/>
    </sheetView>
  </sheetViews>
  <sheetFormatPr defaultColWidth="8.7109375" defaultRowHeight="15" x14ac:dyDescent="0.25"/>
  <cols>
    <col min="1" max="1" width="12" style="23" bestFit="1" customWidth="1"/>
    <col min="2" max="2" width="31.7109375" style="22" bestFit="1" customWidth="1"/>
    <col min="3" max="3" width="8.7109375" style="22"/>
    <col min="4" max="4" width="12.42578125" style="47" bestFit="1" customWidth="1"/>
    <col min="5" max="5" width="31.5703125" style="23" bestFit="1" customWidth="1"/>
    <col min="6" max="6" width="66.5703125" style="22" customWidth="1"/>
    <col min="7" max="7" width="16.28515625" style="22" bestFit="1" customWidth="1"/>
    <col min="8" max="8" width="8" style="22" bestFit="1" customWidth="1"/>
    <col min="9" max="9" width="3.7109375" style="22" bestFit="1" customWidth="1"/>
    <col min="10" max="10" width="14.85546875" style="26" customWidth="1"/>
    <col min="11" max="11" width="12.42578125" style="28" customWidth="1"/>
    <col min="12" max="12" width="18" style="22" customWidth="1"/>
    <col min="13" max="13" width="10.5703125" style="22" customWidth="1"/>
    <col min="14" max="16384" width="8.7109375" style="22"/>
  </cols>
  <sheetData>
    <row r="1" spans="1:13" ht="45" x14ac:dyDescent="0.25">
      <c r="A1" s="19" t="s">
        <v>1</v>
      </c>
      <c r="B1" s="19" t="s">
        <v>7</v>
      </c>
      <c r="C1" s="19" t="s">
        <v>226</v>
      </c>
      <c r="D1" s="46" t="s">
        <v>8</v>
      </c>
      <c r="E1" s="19" t="s">
        <v>2</v>
      </c>
      <c r="F1" s="19" t="s">
        <v>3</v>
      </c>
      <c r="G1" s="19" t="s">
        <v>4</v>
      </c>
      <c r="H1" s="19" t="s">
        <v>225</v>
      </c>
      <c r="I1" s="19" t="s">
        <v>5</v>
      </c>
      <c r="J1" s="20" t="s">
        <v>496</v>
      </c>
      <c r="K1" s="21" t="s">
        <v>228</v>
      </c>
      <c r="L1" s="19" t="s">
        <v>229</v>
      </c>
      <c r="M1" s="19"/>
    </row>
    <row r="2" spans="1:13" ht="45" x14ac:dyDescent="0.25">
      <c r="A2" s="23">
        <v>1</v>
      </c>
      <c r="B2" s="22" t="s">
        <v>9</v>
      </c>
      <c r="C2" s="22">
        <v>6530</v>
      </c>
      <c r="D2" s="47">
        <v>13049762</v>
      </c>
      <c r="E2" s="23" t="s">
        <v>219</v>
      </c>
      <c r="F2" s="24" t="s">
        <v>10</v>
      </c>
      <c r="G2" s="25"/>
      <c r="H2" s="22">
        <v>8890000</v>
      </c>
      <c r="I2" s="22" t="s">
        <v>211</v>
      </c>
      <c r="J2" s="26">
        <v>1270000.0003810001</v>
      </c>
      <c r="K2" s="27"/>
      <c r="L2" s="28">
        <f>SUM(J2*K2)</f>
        <v>0</v>
      </c>
    </row>
    <row r="3" spans="1:13" s="38" customFormat="1" x14ac:dyDescent="0.25">
      <c r="A3" s="44">
        <v>2</v>
      </c>
      <c r="B3" s="38" t="s">
        <v>11</v>
      </c>
      <c r="C3" s="38">
        <v>6640</v>
      </c>
      <c r="D3" s="48">
        <v>16935717</v>
      </c>
      <c r="E3" s="44" t="s">
        <v>12</v>
      </c>
      <c r="F3" s="39" t="s">
        <v>13</v>
      </c>
      <c r="G3" s="40"/>
      <c r="H3" s="38">
        <v>252</v>
      </c>
      <c r="I3" s="38" t="s">
        <v>212</v>
      </c>
      <c r="J3" s="41">
        <v>36.000000010800001</v>
      </c>
      <c r="K3" s="42"/>
      <c r="L3" s="43">
        <f t="shared" ref="L3:L66" si="0">SUM(J3*K3)</f>
        <v>0</v>
      </c>
    </row>
    <row r="4" spans="1:13" ht="30" x14ac:dyDescent="0.25">
      <c r="A4" s="23">
        <v>3</v>
      </c>
      <c r="B4" s="22" t="s">
        <v>14</v>
      </c>
      <c r="C4" s="22">
        <v>6530</v>
      </c>
      <c r="D4" s="47">
        <v>1428775</v>
      </c>
      <c r="E4" s="23">
        <v>336</v>
      </c>
      <c r="F4" s="24" t="s">
        <v>15</v>
      </c>
      <c r="G4" s="25"/>
      <c r="H4" s="22">
        <v>973</v>
      </c>
      <c r="I4" s="22" t="s">
        <v>211</v>
      </c>
      <c r="J4" s="26">
        <v>139.00000004170002</v>
      </c>
      <c r="K4" s="27"/>
      <c r="L4" s="28">
        <f t="shared" si="0"/>
        <v>0</v>
      </c>
    </row>
    <row r="5" spans="1:13" ht="30" x14ac:dyDescent="0.25">
      <c r="A5" s="23">
        <v>4</v>
      </c>
      <c r="B5" s="22" t="s">
        <v>16</v>
      </c>
      <c r="C5" s="22">
        <v>6520</v>
      </c>
      <c r="D5" s="47">
        <v>12794149</v>
      </c>
      <c r="E5" s="23" t="s">
        <v>17</v>
      </c>
      <c r="F5" s="24" t="s">
        <v>18</v>
      </c>
      <c r="G5" s="25"/>
      <c r="H5" s="22">
        <v>168</v>
      </c>
      <c r="I5" s="22" t="s">
        <v>211</v>
      </c>
      <c r="J5" s="26">
        <v>24.000000007200001</v>
      </c>
      <c r="K5" s="27"/>
      <c r="L5" s="28">
        <f t="shared" si="0"/>
        <v>0</v>
      </c>
    </row>
    <row r="6" spans="1:13" x14ac:dyDescent="0.25">
      <c r="A6" s="23">
        <v>5</v>
      </c>
      <c r="B6" s="22" t="s">
        <v>19</v>
      </c>
      <c r="C6" s="22">
        <v>6635</v>
      </c>
      <c r="D6" s="47">
        <v>9670500</v>
      </c>
      <c r="E6" s="23" t="s">
        <v>20</v>
      </c>
      <c r="F6" s="24" t="s">
        <v>21</v>
      </c>
      <c r="G6" s="25"/>
      <c r="H6" s="22">
        <v>574</v>
      </c>
      <c r="I6" s="22" t="s">
        <v>213</v>
      </c>
      <c r="J6" s="26">
        <v>82.000000024600013</v>
      </c>
      <c r="K6" s="27"/>
      <c r="L6" s="28">
        <f t="shared" si="0"/>
        <v>0</v>
      </c>
    </row>
    <row r="7" spans="1:13" x14ac:dyDescent="0.25">
      <c r="A7" s="23">
        <v>6</v>
      </c>
      <c r="B7" s="22" t="s">
        <v>22</v>
      </c>
      <c r="C7" s="22">
        <v>6640</v>
      </c>
      <c r="D7" s="47">
        <v>16781647</v>
      </c>
      <c r="E7" s="23" t="s">
        <v>23</v>
      </c>
      <c r="F7" s="24" t="s">
        <v>24</v>
      </c>
      <c r="G7" s="25"/>
      <c r="H7" s="22">
        <v>483</v>
      </c>
      <c r="I7" s="22" t="s">
        <v>211</v>
      </c>
      <c r="J7" s="26">
        <v>69.0000000207</v>
      </c>
      <c r="K7" s="27"/>
      <c r="L7" s="28">
        <f t="shared" si="0"/>
        <v>0</v>
      </c>
    </row>
    <row r="8" spans="1:13" x14ac:dyDescent="0.25">
      <c r="A8" s="23">
        <v>7</v>
      </c>
      <c r="B8" s="22" t="s">
        <v>19</v>
      </c>
      <c r="C8" s="22">
        <v>6640</v>
      </c>
      <c r="D8" s="47">
        <v>9670501</v>
      </c>
      <c r="E8" s="23" t="s">
        <v>222</v>
      </c>
      <c r="F8" s="24" t="s">
        <v>25</v>
      </c>
      <c r="G8" s="25"/>
      <c r="H8" s="22">
        <v>644</v>
      </c>
      <c r="I8" s="22" t="s">
        <v>211</v>
      </c>
      <c r="J8" s="26">
        <v>92.000000027600009</v>
      </c>
      <c r="K8" s="27"/>
      <c r="L8" s="28">
        <f t="shared" si="0"/>
        <v>0</v>
      </c>
    </row>
    <row r="9" spans="1:13" ht="30" x14ac:dyDescent="0.25">
      <c r="A9" s="23">
        <v>8</v>
      </c>
      <c r="B9" s="22" t="s">
        <v>27</v>
      </c>
      <c r="C9" s="22">
        <v>6640</v>
      </c>
      <c r="D9" s="47">
        <v>15090679</v>
      </c>
      <c r="E9" s="23">
        <v>364815</v>
      </c>
      <c r="F9" s="24" t="s">
        <v>28</v>
      </c>
      <c r="G9" s="25"/>
      <c r="H9" s="22">
        <v>203</v>
      </c>
      <c r="I9" s="22" t="s">
        <v>211</v>
      </c>
      <c r="J9" s="26">
        <v>29.000000008700002</v>
      </c>
      <c r="K9" s="27"/>
      <c r="L9" s="28">
        <f t="shared" si="0"/>
        <v>0</v>
      </c>
    </row>
    <row r="10" spans="1:13" x14ac:dyDescent="0.25">
      <c r="A10" s="23">
        <v>9</v>
      </c>
      <c r="B10" s="22" t="s">
        <v>29</v>
      </c>
      <c r="C10" s="22">
        <v>6640</v>
      </c>
      <c r="D10" s="47">
        <v>16091715</v>
      </c>
      <c r="E10" s="23">
        <v>454209</v>
      </c>
      <c r="F10" s="24" t="s">
        <v>30</v>
      </c>
      <c r="G10" s="25"/>
      <c r="H10" s="22">
        <v>119</v>
      </c>
      <c r="I10" s="22" t="s">
        <v>211</v>
      </c>
      <c r="J10" s="26">
        <v>17.000000005100002</v>
      </c>
      <c r="K10" s="27"/>
      <c r="L10" s="28">
        <f t="shared" si="0"/>
        <v>0</v>
      </c>
    </row>
    <row r="11" spans="1:13" x14ac:dyDescent="0.25">
      <c r="A11" s="23">
        <v>10</v>
      </c>
      <c r="B11" s="22" t="s">
        <v>22</v>
      </c>
      <c r="C11" s="22">
        <v>6640</v>
      </c>
      <c r="D11" s="47">
        <v>16779591</v>
      </c>
      <c r="E11" s="23" t="s">
        <v>31</v>
      </c>
      <c r="F11" s="24" t="s">
        <v>32</v>
      </c>
      <c r="G11" s="25"/>
      <c r="H11" s="22">
        <v>525</v>
      </c>
      <c r="I11" s="22" t="s">
        <v>211</v>
      </c>
      <c r="J11" s="26">
        <v>75.000000022500004</v>
      </c>
      <c r="K11" s="27"/>
      <c r="L11" s="28">
        <f t="shared" si="0"/>
        <v>0</v>
      </c>
    </row>
    <row r="12" spans="1:13" x14ac:dyDescent="0.25">
      <c r="A12" s="23">
        <v>11</v>
      </c>
      <c r="B12" s="22" t="s">
        <v>33</v>
      </c>
      <c r="C12" s="22">
        <v>6640</v>
      </c>
      <c r="D12" s="47">
        <v>15021866</v>
      </c>
      <c r="E12" s="23" t="s">
        <v>34</v>
      </c>
      <c r="F12" s="24" t="s">
        <v>35</v>
      </c>
      <c r="G12" s="25"/>
      <c r="H12" s="22">
        <v>175</v>
      </c>
      <c r="I12" s="22" t="s">
        <v>211</v>
      </c>
      <c r="J12" s="26">
        <v>25.000000007500002</v>
      </c>
      <c r="K12" s="27"/>
      <c r="L12" s="28">
        <f t="shared" si="0"/>
        <v>0</v>
      </c>
    </row>
    <row r="13" spans="1:13" ht="30" x14ac:dyDescent="0.25">
      <c r="A13" s="23">
        <v>12</v>
      </c>
      <c r="B13" s="22" t="s">
        <v>36</v>
      </c>
      <c r="C13" s="22">
        <v>6640</v>
      </c>
      <c r="D13" s="47">
        <v>14907587</v>
      </c>
      <c r="E13" s="23" t="s">
        <v>37</v>
      </c>
      <c r="F13" s="24" t="s">
        <v>38</v>
      </c>
      <c r="G13" s="25"/>
      <c r="H13" s="22">
        <v>553</v>
      </c>
      <c r="I13" s="22" t="s">
        <v>214</v>
      </c>
      <c r="J13" s="26">
        <v>79.000000023700011</v>
      </c>
      <c r="K13" s="27"/>
      <c r="L13" s="28">
        <f t="shared" si="0"/>
        <v>0</v>
      </c>
    </row>
    <row r="14" spans="1:13" ht="30" x14ac:dyDescent="0.25">
      <c r="A14" s="23">
        <v>13</v>
      </c>
      <c r="B14" s="22" t="s">
        <v>39</v>
      </c>
      <c r="C14" s="22">
        <v>6640</v>
      </c>
      <c r="D14" s="47">
        <v>16510648</v>
      </c>
      <c r="E14" s="23">
        <v>44005</v>
      </c>
      <c r="F14" s="24" t="s">
        <v>40</v>
      </c>
      <c r="G14" s="25"/>
      <c r="H14" s="22">
        <v>119</v>
      </c>
      <c r="I14" s="22" t="s">
        <v>211</v>
      </c>
      <c r="J14" s="26">
        <v>17.000000005100002</v>
      </c>
      <c r="K14" s="27"/>
      <c r="L14" s="28">
        <f t="shared" si="0"/>
        <v>0</v>
      </c>
    </row>
    <row r="15" spans="1:13" x14ac:dyDescent="0.25">
      <c r="A15" s="23">
        <v>14</v>
      </c>
      <c r="B15" s="22" t="s">
        <v>41</v>
      </c>
      <c r="C15" s="22">
        <v>6530</v>
      </c>
      <c r="D15" s="47">
        <v>13667671</v>
      </c>
      <c r="E15" s="23">
        <v>1343</v>
      </c>
      <c r="F15" s="24" t="s">
        <v>42</v>
      </c>
      <c r="G15" s="25"/>
      <c r="H15" s="22">
        <v>595</v>
      </c>
      <c r="I15" s="22" t="s">
        <v>211</v>
      </c>
      <c r="J15" s="26">
        <v>85.0000000255</v>
      </c>
      <c r="K15" s="27"/>
      <c r="L15" s="28">
        <f t="shared" si="0"/>
        <v>0</v>
      </c>
    </row>
    <row r="16" spans="1:13" x14ac:dyDescent="0.25">
      <c r="A16" s="23">
        <v>15</v>
      </c>
      <c r="B16" s="22" t="s">
        <v>43</v>
      </c>
      <c r="C16" s="22">
        <v>6632</v>
      </c>
      <c r="D16" s="47">
        <v>16757582</v>
      </c>
      <c r="E16" s="23">
        <v>5170486190</v>
      </c>
      <c r="F16" s="24" t="s">
        <v>44</v>
      </c>
      <c r="G16" s="25"/>
      <c r="H16" s="22">
        <v>420</v>
      </c>
      <c r="I16" s="22" t="s">
        <v>215</v>
      </c>
      <c r="J16" s="26">
        <v>60.000000018000001</v>
      </c>
      <c r="K16" s="27"/>
      <c r="L16" s="28">
        <f t="shared" si="0"/>
        <v>0</v>
      </c>
    </row>
    <row r="17" spans="1:12" x14ac:dyDescent="0.25">
      <c r="A17" s="23">
        <v>16</v>
      </c>
      <c r="B17" s="22" t="s">
        <v>45</v>
      </c>
      <c r="C17" s="22">
        <v>6630</v>
      </c>
      <c r="D17" s="47">
        <v>10685210</v>
      </c>
      <c r="E17" s="23" t="s">
        <v>223</v>
      </c>
      <c r="F17" s="24" t="s">
        <v>46</v>
      </c>
      <c r="G17" s="25"/>
      <c r="H17" s="22">
        <v>126</v>
      </c>
      <c r="I17" s="22" t="s">
        <v>211</v>
      </c>
      <c r="J17" s="26">
        <v>18.0000000054</v>
      </c>
      <c r="K17" s="27"/>
      <c r="L17" s="28">
        <f t="shared" si="0"/>
        <v>0</v>
      </c>
    </row>
    <row r="18" spans="1:12" x14ac:dyDescent="0.25">
      <c r="A18" s="23">
        <v>17</v>
      </c>
      <c r="B18" s="22" t="s">
        <v>47</v>
      </c>
      <c r="C18" s="22">
        <v>6910</v>
      </c>
      <c r="D18" s="47">
        <v>17082080</v>
      </c>
      <c r="E18" s="23" t="s">
        <v>48</v>
      </c>
      <c r="F18" s="24" t="s">
        <v>49</v>
      </c>
      <c r="G18" s="25"/>
      <c r="H18" s="22">
        <v>469</v>
      </c>
      <c r="I18" s="22" t="s">
        <v>211</v>
      </c>
      <c r="J18" s="26">
        <v>67.000000020100003</v>
      </c>
      <c r="K18" s="27"/>
      <c r="L18" s="28">
        <f t="shared" si="0"/>
        <v>0</v>
      </c>
    </row>
    <row r="19" spans="1:12" x14ac:dyDescent="0.25">
      <c r="A19" s="23">
        <v>18</v>
      </c>
      <c r="B19" s="22" t="s">
        <v>50</v>
      </c>
      <c r="C19" s="22">
        <v>6530</v>
      </c>
      <c r="D19" s="47">
        <v>15483558</v>
      </c>
      <c r="E19" s="23" t="s">
        <v>51</v>
      </c>
      <c r="F19" s="24" t="s">
        <v>52</v>
      </c>
      <c r="G19" s="25"/>
      <c r="H19" s="22">
        <v>364</v>
      </c>
      <c r="I19" s="22" t="s">
        <v>211</v>
      </c>
      <c r="J19" s="26">
        <v>52.000000015600001</v>
      </c>
      <c r="K19" s="27"/>
      <c r="L19" s="28">
        <f t="shared" si="0"/>
        <v>0</v>
      </c>
    </row>
    <row r="20" spans="1:12" x14ac:dyDescent="0.25">
      <c r="A20" s="23">
        <v>19</v>
      </c>
      <c r="B20" s="22" t="s">
        <v>53</v>
      </c>
      <c r="C20" s="22">
        <v>6640</v>
      </c>
      <c r="D20" s="47">
        <v>16567672</v>
      </c>
      <c r="E20" s="45" t="s">
        <v>495</v>
      </c>
      <c r="F20" s="24" t="s">
        <v>54</v>
      </c>
      <c r="G20" s="25"/>
      <c r="H20" s="22">
        <v>84</v>
      </c>
      <c r="I20" s="22" t="s">
        <v>211</v>
      </c>
      <c r="J20" s="26">
        <v>12.0000000036</v>
      </c>
      <c r="K20" s="27"/>
      <c r="L20" s="28">
        <f t="shared" si="0"/>
        <v>0</v>
      </c>
    </row>
    <row r="21" spans="1:12" x14ac:dyDescent="0.25">
      <c r="A21" s="23">
        <v>20</v>
      </c>
      <c r="B21" s="22" t="s">
        <v>55</v>
      </c>
      <c r="C21" s="22">
        <v>6530</v>
      </c>
      <c r="D21" s="47">
        <v>15725414</v>
      </c>
      <c r="E21" s="23" t="s">
        <v>56</v>
      </c>
      <c r="F21" s="24" t="s">
        <v>57</v>
      </c>
      <c r="G21" s="25"/>
      <c r="H21" s="22">
        <v>448</v>
      </c>
      <c r="I21" s="22" t="s">
        <v>211</v>
      </c>
      <c r="J21" s="26">
        <v>64.000000019200002</v>
      </c>
      <c r="K21" s="27"/>
      <c r="L21" s="28">
        <f t="shared" si="0"/>
        <v>0</v>
      </c>
    </row>
    <row r="22" spans="1:12" x14ac:dyDescent="0.25">
      <c r="A22" s="23">
        <v>21</v>
      </c>
      <c r="B22" s="22" t="s">
        <v>58</v>
      </c>
      <c r="C22" s="22">
        <v>6640</v>
      </c>
      <c r="D22" s="47">
        <v>12042654</v>
      </c>
      <c r="E22" s="23" t="s">
        <v>59</v>
      </c>
      <c r="F22" s="24" t="s">
        <v>60</v>
      </c>
      <c r="G22" s="25"/>
      <c r="H22" s="22">
        <v>266</v>
      </c>
      <c r="I22" s="22" t="s">
        <v>216</v>
      </c>
      <c r="J22" s="26">
        <v>38.000000011400004</v>
      </c>
      <c r="K22" s="27"/>
      <c r="L22" s="28">
        <f t="shared" si="0"/>
        <v>0</v>
      </c>
    </row>
    <row r="23" spans="1:12" x14ac:dyDescent="0.25">
      <c r="A23" s="23">
        <v>22</v>
      </c>
      <c r="B23" s="22" t="s">
        <v>61</v>
      </c>
      <c r="C23" s="22">
        <v>6630</v>
      </c>
      <c r="D23" s="47">
        <v>121893126</v>
      </c>
      <c r="E23" s="23">
        <v>6728521</v>
      </c>
      <c r="F23" s="24" t="s">
        <v>62</v>
      </c>
      <c r="G23" s="25"/>
      <c r="H23" s="22">
        <v>2016</v>
      </c>
      <c r="I23" s="22" t="s">
        <v>211</v>
      </c>
      <c r="J23" s="26">
        <v>288.00000008640001</v>
      </c>
      <c r="K23" s="27"/>
      <c r="L23" s="28">
        <f t="shared" si="0"/>
        <v>0</v>
      </c>
    </row>
    <row r="24" spans="1:12" ht="30" x14ac:dyDescent="0.25">
      <c r="A24" s="23">
        <v>23</v>
      </c>
      <c r="B24" s="22" t="s">
        <v>27</v>
      </c>
      <c r="C24" s="22">
        <v>6632</v>
      </c>
      <c r="D24" s="47">
        <v>13780273</v>
      </c>
      <c r="E24" s="23" t="s">
        <v>63</v>
      </c>
      <c r="F24" s="24" t="s">
        <v>64</v>
      </c>
      <c r="G24" s="25"/>
      <c r="H24" s="22">
        <v>147</v>
      </c>
      <c r="I24" s="22" t="s">
        <v>211</v>
      </c>
      <c r="J24" s="26">
        <v>21.000000006300002</v>
      </c>
      <c r="K24" s="27"/>
      <c r="L24" s="28">
        <f t="shared" si="0"/>
        <v>0</v>
      </c>
    </row>
    <row r="25" spans="1:12" x14ac:dyDescent="0.25">
      <c r="A25" s="23">
        <v>24</v>
      </c>
      <c r="B25" s="22" t="s">
        <v>26</v>
      </c>
      <c r="C25" s="22">
        <v>6530</v>
      </c>
      <c r="D25" s="47">
        <v>16214282</v>
      </c>
      <c r="E25" s="23" t="s">
        <v>65</v>
      </c>
      <c r="F25" s="24" t="s">
        <v>66</v>
      </c>
      <c r="G25" s="25"/>
      <c r="H25" s="22">
        <v>483</v>
      </c>
      <c r="I25" s="22" t="s">
        <v>215</v>
      </c>
      <c r="J25" s="26">
        <v>69.0000000207</v>
      </c>
      <c r="K25" s="27"/>
      <c r="L25" s="28">
        <f t="shared" si="0"/>
        <v>0</v>
      </c>
    </row>
    <row r="26" spans="1:12" x14ac:dyDescent="0.25">
      <c r="A26" s="23">
        <v>25</v>
      </c>
      <c r="B26" s="22" t="s">
        <v>67</v>
      </c>
      <c r="C26" s="22">
        <v>6520</v>
      </c>
      <c r="D26" s="47">
        <v>16120605</v>
      </c>
      <c r="E26" s="23" t="s">
        <v>224</v>
      </c>
      <c r="F26" s="24" t="s">
        <v>68</v>
      </c>
      <c r="G26" s="25"/>
      <c r="H26" s="22">
        <v>154</v>
      </c>
      <c r="I26" s="22" t="s">
        <v>215</v>
      </c>
      <c r="J26" s="26">
        <v>22.000000006600001</v>
      </c>
      <c r="K26" s="27"/>
      <c r="L26" s="28">
        <f t="shared" si="0"/>
        <v>0</v>
      </c>
    </row>
    <row r="27" spans="1:12" s="38" customFormat="1" x14ac:dyDescent="0.25">
      <c r="A27" s="44">
        <v>26</v>
      </c>
      <c r="B27" s="38" t="s">
        <v>69</v>
      </c>
      <c r="C27" s="38">
        <v>6630</v>
      </c>
      <c r="D27" s="48">
        <v>13628299</v>
      </c>
      <c r="E27" s="44" t="s">
        <v>70</v>
      </c>
      <c r="F27" s="39" t="s">
        <v>71</v>
      </c>
      <c r="G27" s="40"/>
      <c r="H27" s="38">
        <v>84</v>
      </c>
      <c r="I27" s="38" t="s">
        <v>211</v>
      </c>
      <c r="J27" s="41">
        <v>12.0000000036</v>
      </c>
      <c r="K27" s="42"/>
      <c r="L27" s="43">
        <f t="shared" si="0"/>
        <v>0</v>
      </c>
    </row>
    <row r="28" spans="1:12" s="38" customFormat="1" x14ac:dyDescent="0.25">
      <c r="A28" s="44">
        <v>27</v>
      </c>
      <c r="B28" s="38" t="s">
        <v>209</v>
      </c>
      <c r="C28" s="38">
        <v>6630</v>
      </c>
      <c r="D28" s="48">
        <v>123855777</v>
      </c>
      <c r="E28" s="44">
        <v>264843</v>
      </c>
      <c r="F28" s="39" t="s">
        <v>210</v>
      </c>
      <c r="G28" s="40"/>
      <c r="H28" s="38">
        <v>35</v>
      </c>
      <c r="I28" s="38" t="s">
        <v>0</v>
      </c>
      <c r="J28" s="41">
        <v>5.0000000015000001</v>
      </c>
      <c r="K28" s="42"/>
      <c r="L28" s="43">
        <f t="shared" si="0"/>
        <v>0</v>
      </c>
    </row>
    <row r="29" spans="1:12" x14ac:dyDescent="0.25">
      <c r="A29" s="23">
        <v>28</v>
      </c>
      <c r="B29" s="22" t="s">
        <v>72</v>
      </c>
      <c r="C29" s="22">
        <v>6520</v>
      </c>
      <c r="D29" s="47">
        <v>16553427</v>
      </c>
      <c r="E29" s="23" t="s">
        <v>73</v>
      </c>
      <c r="F29" s="24" t="s">
        <v>74</v>
      </c>
      <c r="G29" s="25"/>
      <c r="H29" s="22">
        <v>77</v>
      </c>
      <c r="I29" s="22" t="s">
        <v>215</v>
      </c>
      <c r="J29" s="26">
        <v>11.0000000033</v>
      </c>
      <c r="K29" s="27"/>
      <c r="L29" s="28">
        <f t="shared" si="0"/>
        <v>0</v>
      </c>
    </row>
    <row r="30" spans="1:12" s="38" customFormat="1" x14ac:dyDescent="0.25">
      <c r="A30" s="44">
        <v>29</v>
      </c>
      <c r="B30" s="38" t="s">
        <v>61</v>
      </c>
      <c r="C30" s="38">
        <v>6630</v>
      </c>
      <c r="D30" s="48">
        <v>121893125</v>
      </c>
      <c r="E30" s="44">
        <v>6728511</v>
      </c>
      <c r="F30" s="39" t="s">
        <v>75</v>
      </c>
      <c r="G30" s="40"/>
      <c r="H30" s="38">
        <v>539</v>
      </c>
      <c r="I30" s="38" t="s">
        <v>215</v>
      </c>
      <c r="J30" s="41">
        <v>77.0000000231</v>
      </c>
      <c r="K30" s="42"/>
      <c r="L30" s="43">
        <f t="shared" si="0"/>
        <v>0</v>
      </c>
    </row>
    <row r="31" spans="1:12" x14ac:dyDescent="0.25">
      <c r="A31" s="23">
        <v>30</v>
      </c>
      <c r="B31" s="22" t="s">
        <v>76</v>
      </c>
      <c r="C31" s="22">
        <v>6530</v>
      </c>
      <c r="D31" s="47">
        <v>16548492</v>
      </c>
      <c r="E31" s="23" t="s">
        <v>77</v>
      </c>
      <c r="F31" s="24" t="s">
        <v>78</v>
      </c>
      <c r="G31" s="25"/>
      <c r="H31" s="22">
        <v>224</v>
      </c>
      <c r="I31" s="22" t="s">
        <v>211</v>
      </c>
      <c r="J31" s="26">
        <v>32.000000009600001</v>
      </c>
      <c r="K31" s="27"/>
      <c r="L31" s="28">
        <f t="shared" si="0"/>
        <v>0</v>
      </c>
    </row>
    <row r="32" spans="1:12" x14ac:dyDescent="0.25">
      <c r="A32" s="23">
        <v>31</v>
      </c>
      <c r="B32" s="22" t="s">
        <v>79</v>
      </c>
      <c r="C32" s="22">
        <v>6532</v>
      </c>
      <c r="D32" s="47">
        <v>16528496</v>
      </c>
      <c r="E32" s="23" t="s">
        <v>80</v>
      </c>
      <c r="F32" s="24" t="s">
        <v>81</v>
      </c>
      <c r="G32" s="25"/>
      <c r="H32" s="22">
        <v>413</v>
      </c>
      <c r="I32" s="22" t="s">
        <v>211</v>
      </c>
      <c r="J32" s="26">
        <v>59.000000017700003</v>
      </c>
      <c r="K32" s="27"/>
      <c r="L32" s="28">
        <f t="shared" si="0"/>
        <v>0</v>
      </c>
    </row>
    <row r="33" spans="1:12" x14ac:dyDescent="0.25">
      <c r="A33" s="23">
        <v>32</v>
      </c>
      <c r="B33" s="22" t="s">
        <v>82</v>
      </c>
      <c r="C33" s="22">
        <v>6640</v>
      </c>
      <c r="D33" s="47">
        <v>16043258</v>
      </c>
      <c r="E33" s="23" t="s">
        <v>83</v>
      </c>
      <c r="F33" s="24" t="s">
        <v>84</v>
      </c>
      <c r="G33" s="25"/>
      <c r="H33" s="22">
        <v>448</v>
      </c>
      <c r="I33" s="22" t="s">
        <v>211</v>
      </c>
      <c r="J33" s="26">
        <v>64.000000019200002</v>
      </c>
      <c r="K33" s="27"/>
      <c r="L33" s="28">
        <f t="shared" si="0"/>
        <v>0</v>
      </c>
    </row>
    <row r="34" spans="1:12" x14ac:dyDescent="0.25">
      <c r="A34" s="23">
        <v>33</v>
      </c>
      <c r="B34" s="22" t="s">
        <v>26</v>
      </c>
      <c r="C34" s="22">
        <v>6530</v>
      </c>
      <c r="D34" s="47">
        <v>15727520</v>
      </c>
      <c r="E34" s="23" t="s">
        <v>85</v>
      </c>
      <c r="F34" s="24" t="s">
        <v>86</v>
      </c>
      <c r="G34" s="25"/>
      <c r="H34" s="22">
        <v>245</v>
      </c>
      <c r="I34" s="22" t="s">
        <v>211</v>
      </c>
      <c r="J34" s="26">
        <v>35.000000010500003</v>
      </c>
      <c r="K34" s="27"/>
      <c r="L34" s="28">
        <f t="shared" si="0"/>
        <v>0</v>
      </c>
    </row>
    <row r="35" spans="1:12" s="38" customFormat="1" x14ac:dyDescent="0.25">
      <c r="A35" s="44">
        <v>34</v>
      </c>
      <c r="B35" s="38" t="s">
        <v>87</v>
      </c>
      <c r="C35" s="38">
        <v>6532</v>
      </c>
      <c r="D35" s="48">
        <v>17065142</v>
      </c>
      <c r="E35" s="44" t="s">
        <v>88</v>
      </c>
      <c r="F35" s="39" t="s">
        <v>89</v>
      </c>
      <c r="G35" s="40"/>
      <c r="H35" s="38">
        <v>476</v>
      </c>
      <c r="I35" s="38" t="s">
        <v>211</v>
      </c>
      <c r="J35" s="41">
        <v>68.000000020400009</v>
      </c>
      <c r="K35" s="42"/>
      <c r="L35" s="43">
        <f t="shared" si="0"/>
        <v>0</v>
      </c>
    </row>
    <row r="36" spans="1:12" x14ac:dyDescent="0.25">
      <c r="A36" s="23">
        <v>35</v>
      </c>
      <c r="B36" s="22" t="s">
        <v>90</v>
      </c>
      <c r="C36" s="22">
        <v>6532</v>
      </c>
      <c r="D36" s="47">
        <v>15879792</v>
      </c>
      <c r="E36" s="23">
        <v>72311</v>
      </c>
      <c r="F36" s="24" t="s">
        <v>91</v>
      </c>
      <c r="G36" s="25"/>
      <c r="H36" s="22">
        <v>63</v>
      </c>
      <c r="I36" s="22" t="s">
        <v>211</v>
      </c>
      <c r="J36" s="26">
        <v>9.0000000027000002</v>
      </c>
      <c r="K36" s="27"/>
      <c r="L36" s="28">
        <f t="shared" si="0"/>
        <v>0</v>
      </c>
    </row>
    <row r="37" spans="1:12" x14ac:dyDescent="0.25">
      <c r="A37" s="23">
        <v>36</v>
      </c>
      <c r="B37" s="22" t="s">
        <v>92</v>
      </c>
      <c r="C37" s="22">
        <v>6640</v>
      </c>
      <c r="D37" s="47">
        <v>17187221</v>
      </c>
      <c r="E37" s="23">
        <v>141102</v>
      </c>
      <c r="F37" s="24" t="s">
        <v>93</v>
      </c>
      <c r="G37" s="25"/>
      <c r="H37" s="22">
        <v>259</v>
      </c>
      <c r="I37" s="22" t="s">
        <v>211</v>
      </c>
      <c r="J37" s="26">
        <v>37.000000011100006</v>
      </c>
      <c r="K37" s="27"/>
      <c r="L37" s="28">
        <f t="shared" si="0"/>
        <v>0</v>
      </c>
    </row>
    <row r="38" spans="1:12" x14ac:dyDescent="0.25">
      <c r="A38" s="23">
        <v>37</v>
      </c>
      <c r="B38" s="22" t="s">
        <v>79</v>
      </c>
      <c r="C38" s="22">
        <v>6532</v>
      </c>
      <c r="D38" s="47">
        <v>16656728</v>
      </c>
      <c r="E38" s="23" t="s">
        <v>94</v>
      </c>
      <c r="F38" s="24" t="s">
        <v>95</v>
      </c>
      <c r="G38" s="25"/>
      <c r="H38" s="22">
        <v>210</v>
      </c>
      <c r="I38" s="22" t="s">
        <v>212</v>
      </c>
      <c r="J38" s="26">
        <v>30.000000009000001</v>
      </c>
      <c r="K38" s="27"/>
      <c r="L38" s="28">
        <f t="shared" si="0"/>
        <v>0</v>
      </c>
    </row>
    <row r="39" spans="1:12" x14ac:dyDescent="0.25">
      <c r="A39" s="23">
        <v>38</v>
      </c>
      <c r="B39" s="22" t="s">
        <v>96</v>
      </c>
      <c r="C39" s="22">
        <v>6530</v>
      </c>
      <c r="D39" s="47">
        <v>200077100</v>
      </c>
      <c r="E39" s="23">
        <v>124352</v>
      </c>
      <c r="F39" s="24" t="s">
        <v>97</v>
      </c>
      <c r="G39" s="25"/>
      <c r="H39" s="22">
        <v>154</v>
      </c>
      <c r="I39" s="22" t="s">
        <v>215</v>
      </c>
      <c r="J39" s="26">
        <v>22.000000006600001</v>
      </c>
      <c r="K39" s="27"/>
      <c r="L39" s="28">
        <f t="shared" si="0"/>
        <v>0</v>
      </c>
    </row>
    <row r="40" spans="1:12" x14ac:dyDescent="0.25">
      <c r="A40" s="23">
        <v>39</v>
      </c>
      <c r="B40" s="22" t="s">
        <v>98</v>
      </c>
      <c r="C40" s="22">
        <v>6515</v>
      </c>
      <c r="D40" s="47">
        <v>10129987</v>
      </c>
      <c r="E40" s="23">
        <v>9100</v>
      </c>
      <c r="F40" s="24" t="s">
        <v>99</v>
      </c>
      <c r="G40" s="25"/>
      <c r="H40" s="22">
        <v>56</v>
      </c>
      <c r="I40" s="22" t="s">
        <v>211</v>
      </c>
      <c r="J40" s="26">
        <v>8.0000000024000002</v>
      </c>
      <c r="K40" s="27"/>
      <c r="L40" s="28">
        <f t="shared" si="0"/>
        <v>0</v>
      </c>
    </row>
    <row r="41" spans="1:12" x14ac:dyDescent="0.25">
      <c r="A41" s="23">
        <v>40</v>
      </c>
      <c r="B41" s="22" t="s">
        <v>206</v>
      </c>
      <c r="C41" s="22">
        <v>6910</v>
      </c>
      <c r="D41" s="47">
        <v>13804892</v>
      </c>
      <c r="E41" s="23" t="s">
        <v>207</v>
      </c>
      <c r="F41" s="24" t="s">
        <v>208</v>
      </c>
      <c r="G41" s="25"/>
      <c r="H41" s="22">
        <v>35</v>
      </c>
      <c r="I41" s="22" t="s">
        <v>0</v>
      </c>
      <c r="J41" s="26">
        <v>5.0000000015000001</v>
      </c>
      <c r="K41" s="27"/>
      <c r="L41" s="28">
        <f t="shared" si="0"/>
        <v>0</v>
      </c>
    </row>
    <row r="42" spans="1:12" x14ac:dyDescent="0.25">
      <c r="A42" s="23">
        <v>41</v>
      </c>
      <c r="B42" s="22" t="s">
        <v>100</v>
      </c>
      <c r="C42" s="22">
        <v>6680</v>
      </c>
      <c r="D42" s="47">
        <v>12346789</v>
      </c>
      <c r="E42" s="23" t="s">
        <v>101</v>
      </c>
      <c r="F42" s="24" t="s">
        <v>102</v>
      </c>
      <c r="G42" s="25"/>
      <c r="H42" s="22">
        <v>518</v>
      </c>
      <c r="I42" s="22" t="s">
        <v>0</v>
      </c>
      <c r="J42" s="26">
        <v>74.000000022200012</v>
      </c>
      <c r="K42" s="27"/>
      <c r="L42" s="28">
        <f t="shared" si="0"/>
        <v>0</v>
      </c>
    </row>
    <row r="43" spans="1:12" ht="30" x14ac:dyDescent="0.25">
      <c r="A43" s="23">
        <v>42</v>
      </c>
      <c r="B43" s="22" t="s">
        <v>103</v>
      </c>
      <c r="C43" s="22">
        <v>6530</v>
      </c>
      <c r="D43" s="47">
        <v>16202668</v>
      </c>
      <c r="E43" s="23" t="s">
        <v>104</v>
      </c>
      <c r="F43" s="24" t="s">
        <v>105</v>
      </c>
      <c r="G43" s="25"/>
      <c r="H43" s="22">
        <v>133</v>
      </c>
      <c r="I43" s="22" t="s">
        <v>215</v>
      </c>
      <c r="J43" s="26">
        <v>19.000000005700002</v>
      </c>
      <c r="K43" s="27"/>
      <c r="L43" s="28">
        <f t="shared" si="0"/>
        <v>0</v>
      </c>
    </row>
    <row r="44" spans="1:12" x14ac:dyDescent="0.25">
      <c r="A44" s="23">
        <v>43</v>
      </c>
      <c r="B44" s="22" t="s">
        <v>106</v>
      </c>
      <c r="C44" s="22">
        <v>6910</v>
      </c>
      <c r="D44" s="47">
        <v>17029065</v>
      </c>
      <c r="E44" s="23" t="s">
        <v>107</v>
      </c>
      <c r="F44" s="24" t="s">
        <v>108</v>
      </c>
      <c r="G44" s="25"/>
      <c r="H44" s="22">
        <v>105</v>
      </c>
      <c r="I44" s="22" t="s">
        <v>211</v>
      </c>
      <c r="J44" s="26">
        <v>15.0000000045</v>
      </c>
      <c r="K44" s="27"/>
      <c r="L44" s="28">
        <f t="shared" si="0"/>
        <v>0</v>
      </c>
    </row>
    <row r="45" spans="1:12" ht="30" x14ac:dyDescent="0.25">
      <c r="A45" s="23">
        <v>44</v>
      </c>
      <c r="B45" s="22" t="s">
        <v>109</v>
      </c>
      <c r="C45" s="22">
        <v>6640</v>
      </c>
      <c r="D45" s="47">
        <v>11079169</v>
      </c>
      <c r="E45" s="23" t="s">
        <v>220</v>
      </c>
      <c r="F45" s="24" t="s">
        <v>110</v>
      </c>
      <c r="G45" s="25"/>
      <c r="H45" s="22">
        <v>259</v>
      </c>
      <c r="I45" s="22" t="s">
        <v>0</v>
      </c>
      <c r="J45" s="26">
        <v>37.000000011100006</v>
      </c>
      <c r="K45" s="27"/>
      <c r="L45" s="28">
        <f t="shared" si="0"/>
        <v>0</v>
      </c>
    </row>
    <row r="46" spans="1:12" x14ac:dyDescent="0.25">
      <c r="A46" s="23">
        <v>45</v>
      </c>
      <c r="B46" s="22" t="s">
        <v>111</v>
      </c>
      <c r="C46" s="22">
        <v>6632</v>
      </c>
      <c r="D46" s="47">
        <v>16901933</v>
      </c>
      <c r="E46" s="23" t="s">
        <v>221</v>
      </c>
      <c r="F46" s="24" t="s">
        <v>112</v>
      </c>
      <c r="G46" s="25"/>
      <c r="H46" s="22">
        <v>455</v>
      </c>
      <c r="I46" s="22" t="s">
        <v>217</v>
      </c>
      <c r="J46" s="26">
        <v>65.000000019500007</v>
      </c>
      <c r="K46" s="27"/>
      <c r="L46" s="28">
        <f t="shared" si="0"/>
        <v>0</v>
      </c>
    </row>
    <row r="47" spans="1:12" s="38" customFormat="1" x14ac:dyDescent="0.25">
      <c r="A47" s="44">
        <v>46</v>
      </c>
      <c r="B47" s="38" t="s">
        <v>113</v>
      </c>
      <c r="C47" s="38">
        <v>6630</v>
      </c>
      <c r="D47" s="48">
        <v>123892674</v>
      </c>
      <c r="E47" s="44">
        <v>8249700</v>
      </c>
      <c r="F47" s="39" t="s">
        <v>114</v>
      </c>
      <c r="G47" s="40"/>
      <c r="H47" s="38">
        <v>1113</v>
      </c>
      <c r="I47" s="38" t="s">
        <v>0</v>
      </c>
      <c r="J47" s="41">
        <v>159.00000004770001</v>
      </c>
      <c r="K47" s="42"/>
      <c r="L47" s="43">
        <f t="shared" si="0"/>
        <v>0</v>
      </c>
    </row>
    <row r="48" spans="1:12" x14ac:dyDescent="0.25">
      <c r="A48" s="23">
        <v>47</v>
      </c>
      <c r="B48" s="22" t="s">
        <v>115</v>
      </c>
      <c r="C48" s="22">
        <v>6520</v>
      </c>
      <c r="D48" s="47">
        <v>7219355</v>
      </c>
      <c r="E48" s="23" t="s">
        <v>116</v>
      </c>
      <c r="F48" s="24" t="s">
        <v>117</v>
      </c>
      <c r="G48" s="25"/>
      <c r="H48" s="22">
        <v>147</v>
      </c>
      <c r="I48" s="22" t="s">
        <v>211</v>
      </c>
      <c r="J48" s="26">
        <v>21.000000006300002</v>
      </c>
      <c r="K48" s="27"/>
      <c r="L48" s="28">
        <f t="shared" si="0"/>
        <v>0</v>
      </c>
    </row>
    <row r="49" spans="1:12" x14ac:dyDescent="0.25">
      <c r="A49" s="23">
        <v>48</v>
      </c>
      <c r="B49" s="22" t="s">
        <v>204</v>
      </c>
      <c r="C49" s="22">
        <v>6630</v>
      </c>
      <c r="D49" s="47">
        <v>123618517</v>
      </c>
      <c r="E49" s="23">
        <v>65550</v>
      </c>
      <c r="F49" s="24" t="s">
        <v>205</v>
      </c>
      <c r="G49" s="25"/>
      <c r="H49" s="22">
        <v>63</v>
      </c>
      <c r="I49" s="22" t="s">
        <v>0</v>
      </c>
      <c r="J49" s="26">
        <v>9.0000000027000002</v>
      </c>
      <c r="K49" s="27"/>
      <c r="L49" s="28">
        <f t="shared" si="0"/>
        <v>0</v>
      </c>
    </row>
    <row r="50" spans="1:12" ht="30" x14ac:dyDescent="0.25">
      <c r="A50" s="23">
        <v>49</v>
      </c>
      <c r="B50" s="22" t="s">
        <v>118</v>
      </c>
      <c r="C50" s="22">
        <v>6530</v>
      </c>
      <c r="D50" s="47">
        <v>13386094</v>
      </c>
      <c r="E50" s="23">
        <v>404</v>
      </c>
      <c r="F50" s="24" t="s">
        <v>119</v>
      </c>
      <c r="G50" s="25"/>
      <c r="H50" s="22">
        <v>462</v>
      </c>
      <c r="I50" s="22" t="s">
        <v>0</v>
      </c>
      <c r="J50" s="26">
        <v>66.000000019800012</v>
      </c>
      <c r="K50" s="27"/>
      <c r="L50" s="28">
        <f t="shared" si="0"/>
        <v>0</v>
      </c>
    </row>
    <row r="51" spans="1:12" x14ac:dyDescent="0.25">
      <c r="A51" s="23">
        <v>50</v>
      </c>
      <c r="B51" s="22" t="s">
        <v>106</v>
      </c>
      <c r="C51" s="22">
        <v>6910</v>
      </c>
      <c r="D51" s="47">
        <v>17029061</v>
      </c>
      <c r="E51" s="23" t="s">
        <v>120</v>
      </c>
      <c r="F51" s="24" t="s">
        <v>121</v>
      </c>
      <c r="G51" s="25"/>
      <c r="H51" s="22">
        <v>84</v>
      </c>
      <c r="I51" s="22" t="s">
        <v>211</v>
      </c>
      <c r="J51" s="26">
        <v>12.0000000036</v>
      </c>
      <c r="K51" s="27"/>
      <c r="L51" s="28">
        <f t="shared" si="0"/>
        <v>0</v>
      </c>
    </row>
    <row r="52" spans="1:12" x14ac:dyDescent="0.25">
      <c r="A52" s="23">
        <v>51</v>
      </c>
      <c r="B52" s="22" t="s">
        <v>122</v>
      </c>
      <c r="C52" s="22">
        <v>6530</v>
      </c>
      <c r="D52" s="47">
        <v>15615453</v>
      </c>
      <c r="E52" s="23" t="s">
        <v>123</v>
      </c>
      <c r="F52" s="24" t="s">
        <v>124</v>
      </c>
      <c r="G52" s="25"/>
      <c r="H52" s="22">
        <v>378</v>
      </c>
      <c r="I52" s="22" t="s">
        <v>218</v>
      </c>
      <c r="J52" s="26">
        <v>54.000000016200005</v>
      </c>
      <c r="K52" s="27"/>
      <c r="L52" s="28">
        <f t="shared" si="0"/>
        <v>0</v>
      </c>
    </row>
    <row r="53" spans="1:12" x14ac:dyDescent="0.25">
      <c r="A53" s="23">
        <v>52</v>
      </c>
      <c r="B53" s="22" t="s">
        <v>125</v>
      </c>
      <c r="C53" s="22">
        <v>6640</v>
      </c>
      <c r="D53" s="47">
        <v>14594425</v>
      </c>
      <c r="E53" s="23" t="s">
        <v>126</v>
      </c>
      <c r="F53" s="24" t="s">
        <v>127</v>
      </c>
      <c r="G53" s="25"/>
      <c r="H53" s="22">
        <v>469</v>
      </c>
      <c r="I53" s="22" t="s">
        <v>0</v>
      </c>
      <c r="J53" s="26">
        <v>67.000000020100003</v>
      </c>
      <c r="K53" s="27"/>
      <c r="L53" s="28">
        <f t="shared" si="0"/>
        <v>0</v>
      </c>
    </row>
    <row r="54" spans="1:12" x14ac:dyDescent="0.25">
      <c r="A54" s="23">
        <v>53</v>
      </c>
      <c r="B54" s="22" t="s">
        <v>106</v>
      </c>
      <c r="C54" s="22">
        <v>6910</v>
      </c>
      <c r="D54" s="47">
        <v>17029081</v>
      </c>
      <c r="E54" s="23" t="s">
        <v>128</v>
      </c>
      <c r="F54" s="24" t="s">
        <v>129</v>
      </c>
      <c r="G54" s="25"/>
      <c r="H54" s="22">
        <v>98</v>
      </c>
      <c r="I54" s="22" t="s">
        <v>211</v>
      </c>
      <c r="J54" s="26">
        <v>14.0000000042</v>
      </c>
      <c r="K54" s="27"/>
      <c r="L54" s="28">
        <f t="shared" si="0"/>
        <v>0</v>
      </c>
    </row>
    <row r="55" spans="1:12" s="38" customFormat="1" x14ac:dyDescent="0.25">
      <c r="A55" s="44">
        <v>54</v>
      </c>
      <c r="B55" s="38" t="s">
        <v>130</v>
      </c>
      <c r="C55" s="38">
        <v>6630</v>
      </c>
      <c r="D55" s="48">
        <v>8495288</v>
      </c>
      <c r="E55" s="44" t="s">
        <v>131</v>
      </c>
      <c r="F55" s="39" t="s">
        <v>132</v>
      </c>
      <c r="G55" s="40"/>
      <c r="H55" s="38">
        <v>301</v>
      </c>
      <c r="I55" s="38" t="s">
        <v>218</v>
      </c>
      <c r="J55" s="41">
        <v>43.000000012900003</v>
      </c>
      <c r="K55" s="42"/>
      <c r="L55" s="43">
        <f t="shared" si="0"/>
        <v>0</v>
      </c>
    </row>
    <row r="56" spans="1:12" ht="30" x14ac:dyDescent="0.25">
      <c r="A56" s="23">
        <v>55</v>
      </c>
      <c r="B56" s="22" t="s">
        <v>133</v>
      </c>
      <c r="C56" s="22">
        <v>6530</v>
      </c>
      <c r="D56" s="47">
        <v>15495301</v>
      </c>
      <c r="E56" s="23">
        <v>44455</v>
      </c>
      <c r="F56" s="24" t="s">
        <v>134</v>
      </c>
      <c r="G56" s="25"/>
      <c r="H56" s="22">
        <v>266</v>
      </c>
      <c r="I56" s="22" t="s">
        <v>0</v>
      </c>
      <c r="J56" s="26">
        <v>38.000000011400004</v>
      </c>
      <c r="K56" s="27"/>
      <c r="L56" s="28">
        <f t="shared" si="0"/>
        <v>0</v>
      </c>
    </row>
    <row r="57" spans="1:12" ht="30" x14ac:dyDescent="0.25">
      <c r="A57" s="23">
        <v>56</v>
      </c>
      <c r="B57" s="22" t="s">
        <v>135</v>
      </c>
      <c r="C57" s="22">
        <v>6530</v>
      </c>
      <c r="D57" s="47">
        <v>15771091</v>
      </c>
      <c r="E57" s="23" t="s">
        <v>136</v>
      </c>
      <c r="F57" s="24" t="s">
        <v>137</v>
      </c>
      <c r="G57" s="25"/>
      <c r="H57" s="22">
        <v>63</v>
      </c>
      <c r="I57" s="22" t="s">
        <v>0</v>
      </c>
      <c r="J57" s="26">
        <v>9.0000000027000002</v>
      </c>
      <c r="K57" s="27"/>
      <c r="L57" s="28">
        <f t="shared" si="0"/>
        <v>0</v>
      </c>
    </row>
    <row r="58" spans="1:12" x14ac:dyDescent="0.25">
      <c r="A58" s="23">
        <v>57</v>
      </c>
      <c r="B58" s="22" t="s">
        <v>138</v>
      </c>
      <c r="C58" s="22">
        <v>6530</v>
      </c>
      <c r="D58" s="47">
        <v>11688096</v>
      </c>
      <c r="E58" s="23">
        <v>23087</v>
      </c>
      <c r="F58" s="24" t="s">
        <v>139</v>
      </c>
      <c r="G58" s="25"/>
      <c r="H58" s="22">
        <v>280</v>
      </c>
      <c r="I58" s="22" t="s">
        <v>0</v>
      </c>
      <c r="J58" s="26">
        <v>40.000000012000001</v>
      </c>
      <c r="K58" s="27"/>
      <c r="L58" s="28">
        <f t="shared" si="0"/>
        <v>0</v>
      </c>
    </row>
    <row r="59" spans="1:12" ht="30" x14ac:dyDescent="0.25">
      <c r="A59" s="23">
        <v>58</v>
      </c>
      <c r="B59" s="22" t="s">
        <v>140</v>
      </c>
      <c r="C59" s="22">
        <v>6530</v>
      </c>
      <c r="D59" s="47">
        <v>15660689</v>
      </c>
      <c r="E59" s="23" t="s">
        <v>141</v>
      </c>
      <c r="F59" s="24" t="s">
        <v>142</v>
      </c>
      <c r="G59" s="25"/>
      <c r="H59" s="22">
        <v>308</v>
      </c>
      <c r="I59" s="22" t="s">
        <v>0</v>
      </c>
      <c r="J59" s="26">
        <v>44.000000013200001</v>
      </c>
      <c r="K59" s="27"/>
      <c r="L59" s="28">
        <f t="shared" si="0"/>
        <v>0</v>
      </c>
    </row>
    <row r="60" spans="1:12" ht="45" x14ac:dyDescent="0.25">
      <c r="A60" s="23">
        <v>59</v>
      </c>
      <c r="B60" s="22" t="s">
        <v>143</v>
      </c>
      <c r="C60" s="22">
        <v>6630</v>
      </c>
      <c r="D60" s="47">
        <v>16222805</v>
      </c>
      <c r="E60" s="23" t="s">
        <v>144</v>
      </c>
      <c r="F60" s="24" t="s">
        <v>145</v>
      </c>
      <c r="G60" s="25"/>
      <c r="H60" s="22">
        <v>168</v>
      </c>
      <c r="I60" s="22" t="s">
        <v>217</v>
      </c>
      <c r="J60" s="26">
        <v>24.000000007200001</v>
      </c>
      <c r="K60" s="27"/>
      <c r="L60" s="28">
        <f t="shared" si="0"/>
        <v>0</v>
      </c>
    </row>
    <row r="61" spans="1:12" x14ac:dyDescent="0.25">
      <c r="A61" s="23">
        <v>60</v>
      </c>
      <c r="B61" s="22" t="s">
        <v>146</v>
      </c>
      <c r="C61" s="22">
        <v>6525</v>
      </c>
      <c r="D61" s="47">
        <v>5293346</v>
      </c>
      <c r="E61" s="23">
        <v>8303883</v>
      </c>
      <c r="F61" s="24" t="s">
        <v>147</v>
      </c>
      <c r="G61" s="25"/>
      <c r="H61" s="22">
        <v>322</v>
      </c>
      <c r="I61" s="22" t="s">
        <v>211</v>
      </c>
      <c r="J61" s="26">
        <v>46.000000013800005</v>
      </c>
      <c r="K61" s="27"/>
      <c r="L61" s="28">
        <f t="shared" si="0"/>
        <v>0</v>
      </c>
    </row>
    <row r="62" spans="1:12" x14ac:dyDescent="0.25">
      <c r="A62" s="23">
        <v>61</v>
      </c>
      <c r="B62" s="22" t="s">
        <v>148</v>
      </c>
      <c r="C62" s="22">
        <v>6630</v>
      </c>
      <c r="D62" s="47">
        <v>2449984</v>
      </c>
      <c r="E62" s="23" t="s">
        <v>149</v>
      </c>
      <c r="F62" s="24" t="s">
        <v>150</v>
      </c>
      <c r="G62" s="25"/>
      <c r="H62" s="22">
        <v>245</v>
      </c>
      <c r="I62" s="22" t="s">
        <v>0</v>
      </c>
      <c r="J62" s="26">
        <v>35.000000010500003</v>
      </c>
      <c r="K62" s="27"/>
      <c r="L62" s="28">
        <f t="shared" si="0"/>
        <v>0</v>
      </c>
    </row>
    <row r="63" spans="1:12" ht="30" x14ac:dyDescent="0.25">
      <c r="A63" s="23">
        <v>62</v>
      </c>
      <c r="B63" s="22" t="s">
        <v>151</v>
      </c>
      <c r="C63" s="22">
        <v>6640</v>
      </c>
      <c r="D63" s="47">
        <v>8891834</v>
      </c>
      <c r="E63" s="23" t="s">
        <v>152</v>
      </c>
      <c r="F63" s="24" t="s">
        <v>153</v>
      </c>
      <c r="G63" s="25"/>
      <c r="H63" s="22">
        <v>119</v>
      </c>
      <c r="I63" s="22" t="s">
        <v>0</v>
      </c>
      <c r="J63" s="26">
        <v>17.000000005100002</v>
      </c>
      <c r="K63" s="27"/>
      <c r="L63" s="28">
        <f t="shared" si="0"/>
        <v>0</v>
      </c>
    </row>
    <row r="64" spans="1:12" x14ac:dyDescent="0.25">
      <c r="A64" s="23">
        <v>63</v>
      </c>
      <c r="B64" s="22" t="s">
        <v>36</v>
      </c>
      <c r="C64" s="22">
        <v>6630</v>
      </c>
      <c r="D64" s="47">
        <v>16905334</v>
      </c>
      <c r="E64" s="23" t="s">
        <v>154</v>
      </c>
      <c r="F64" s="24" t="s">
        <v>155</v>
      </c>
      <c r="G64" s="25"/>
      <c r="H64" s="22">
        <v>294</v>
      </c>
      <c r="I64" s="22" t="s">
        <v>0</v>
      </c>
      <c r="J64" s="26">
        <v>42.000000012600005</v>
      </c>
      <c r="K64" s="27"/>
      <c r="L64" s="28">
        <f t="shared" si="0"/>
        <v>0</v>
      </c>
    </row>
    <row r="65" spans="1:12" x14ac:dyDescent="0.25">
      <c r="A65" s="23">
        <v>64</v>
      </c>
      <c r="B65" s="22" t="s">
        <v>156</v>
      </c>
      <c r="C65" s="22">
        <v>6910</v>
      </c>
      <c r="D65" s="47">
        <v>17080577</v>
      </c>
      <c r="E65" s="23">
        <v>1068125</v>
      </c>
      <c r="F65" s="24" t="s">
        <v>157</v>
      </c>
      <c r="G65" s="25"/>
      <c r="H65" s="22">
        <v>280</v>
      </c>
      <c r="I65" s="22" t="s">
        <v>218</v>
      </c>
      <c r="J65" s="26">
        <v>40.000000012000001</v>
      </c>
      <c r="K65" s="27"/>
      <c r="L65" s="28">
        <f t="shared" si="0"/>
        <v>0</v>
      </c>
    </row>
    <row r="66" spans="1:12" ht="30" x14ac:dyDescent="0.25">
      <c r="A66" s="23">
        <v>65</v>
      </c>
      <c r="B66" s="22" t="s">
        <v>39</v>
      </c>
      <c r="C66" s="22">
        <v>6640</v>
      </c>
      <c r="D66" s="47">
        <v>14723855</v>
      </c>
      <c r="E66" s="23">
        <v>44003</v>
      </c>
      <c r="F66" s="24" t="s">
        <v>159</v>
      </c>
      <c r="G66" s="25"/>
      <c r="H66" s="22">
        <v>140</v>
      </c>
      <c r="I66" s="22" t="s">
        <v>0</v>
      </c>
      <c r="J66" s="26">
        <v>20.000000006</v>
      </c>
      <c r="K66" s="27"/>
      <c r="L66" s="28">
        <f t="shared" si="0"/>
        <v>0</v>
      </c>
    </row>
    <row r="67" spans="1:12" x14ac:dyDescent="0.25">
      <c r="A67" s="23">
        <v>66</v>
      </c>
      <c r="B67" s="22" t="s">
        <v>6</v>
      </c>
      <c r="C67" s="22">
        <v>6530</v>
      </c>
      <c r="D67" s="47">
        <v>14598422</v>
      </c>
      <c r="E67" s="23">
        <v>7000126342</v>
      </c>
      <c r="F67" s="24" t="s">
        <v>160</v>
      </c>
      <c r="G67" s="25"/>
      <c r="H67" s="22">
        <v>70</v>
      </c>
      <c r="I67" s="22" t="s">
        <v>0</v>
      </c>
      <c r="J67" s="26">
        <v>10.000000003</v>
      </c>
      <c r="K67" s="27"/>
      <c r="L67" s="28">
        <f t="shared" ref="L67:L86" si="1">SUM(J67*K67)</f>
        <v>0</v>
      </c>
    </row>
    <row r="68" spans="1:12" s="38" customFormat="1" x14ac:dyDescent="0.25">
      <c r="A68" s="44">
        <v>67</v>
      </c>
      <c r="B68" s="38" t="s">
        <v>6</v>
      </c>
      <c r="C68" s="38">
        <v>6530</v>
      </c>
      <c r="D68" s="48">
        <v>14598422</v>
      </c>
      <c r="E68" s="44">
        <v>7000126342</v>
      </c>
      <c r="F68" s="39" t="s">
        <v>160</v>
      </c>
      <c r="G68" s="40"/>
      <c r="H68" s="38">
        <v>70</v>
      </c>
      <c r="I68" s="38" t="s">
        <v>0</v>
      </c>
      <c r="J68" s="41">
        <v>10.000000003</v>
      </c>
      <c r="K68" s="42"/>
      <c r="L68" s="43">
        <f t="shared" si="1"/>
        <v>0</v>
      </c>
    </row>
    <row r="69" spans="1:12" x14ac:dyDescent="0.25">
      <c r="A69" s="23">
        <v>68</v>
      </c>
      <c r="B69" s="22" t="s">
        <v>161</v>
      </c>
      <c r="C69" s="22">
        <v>6530</v>
      </c>
      <c r="D69" s="47">
        <v>11310051</v>
      </c>
      <c r="E69" s="23">
        <v>528890000</v>
      </c>
      <c r="F69" s="24" t="s">
        <v>162</v>
      </c>
      <c r="G69" s="25"/>
      <c r="H69" s="22">
        <v>49</v>
      </c>
      <c r="I69" s="22" t="s">
        <v>0</v>
      </c>
      <c r="J69" s="26">
        <v>7.0000000021000002</v>
      </c>
      <c r="K69" s="27"/>
      <c r="L69" s="28">
        <f t="shared" si="1"/>
        <v>0</v>
      </c>
    </row>
    <row r="70" spans="1:12" s="38" customFormat="1" x14ac:dyDescent="0.25">
      <c r="A70" s="44">
        <v>69</v>
      </c>
      <c r="B70" s="38" t="s">
        <v>163</v>
      </c>
      <c r="C70" s="38">
        <v>6640</v>
      </c>
      <c r="D70" s="48">
        <v>16702305</v>
      </c>
      <c r="E70" s="44" t="s">
        <v>164</v>
      </c>
      <c r="F70" s="39" t="s">
        <v>165</v>
      </c>
      <c r="G70" s="40"/>
      <c r="H70" s="38">
        <v>126</v>
      </c>
      <c r="I70" s="38" t="s">
        <v>0</v>
      </c>
      <c r="J70" s="41">
        <v>18.0000000054</v>
      </c>
      <c r="K70" s="42"/>
      <c r="L70" s="43">
        <f t="shared" si="1"/>
        <v>0</v>
      </c>
    </row>
    <row r="71" spans="1:12" ht="45" x14ac:dyDescent="0.25">
      <c r="A71" s="23">
        <v>70</v>
      </c>
      <c r="B71" s="22" t="s">
        <v>36</v>
      </c>
      <c r="C71" s="22">
        <v>6630</v>
      </c>
      <c r="D71" s="47">
        <v>16411591</v>
      </c>
      <c r="E71" s="23">
        <v>2569600</v>
      </c>
      <c r="F71" s="24" t="s">
        <v>166</v>
      </c>
      <c r="G71" s="25"/>
      <c r="H71" s="22">
        <v>119</v>
      </c>
      <c r="I71" s="22" t="s">
        <v>0</v>
      </c>
      <c r="J71" s="26">
        <v>17.000000005100002</v>
      </c>
      <c r="K71" s="27"/>
      <c r="L71" s="28">
        <f t="shared" si="1"/>
        <v>0</v>
      </c>
    </row>
    <row r="72" spans="1:12" x14ac:dyDescent="0.25">
      <c r="A72" s="23">
        <v>71</v>
      </c>
      <c r="B72" s="22" t="s">
        <v>167</v>
      </c>
      <c r="C72" s="22">
        <v>6520</v>
      </c>
      <c r="D72" s="47">
        <v>16033451</v>
      </c>
      <c r="E72" s="23" t="s">
        <v>168</v>
      </c>
      <c r="F72" s="24" t="s">
        <v>169</v>
      </c>
      <c r="G72" s="25"/>
      <c r="H72" s="22">
        <v>189</v>
      </c>
      <c r="I72" s="22" t="s">
        <v>0</v>
      </c>
      <c r="J72" s="26">
        <v>27.000000008100002</v>
      </c>
      <c r="K72" s="27"/>
      <c r="L72" s="28">
        <f t="shared" si="1"/>
        <v>0</v>
      </c>
    </row>
    <row r="73" spans="1:12" ht="30" x14ac:dyDescent="0.25">
      <c r="A73" s="23">
        <v>72</v>
      </c>
      <c r="B73" s="22" t="s">
        <v>170</v>
      </c>
      <c r="C73" s="22">
        <v>6630</v>
      </c>
      <c r="D73" s="47">
        <v>11885368</v>
      </c>
      <c r="E73" s="23" t="s">
        <v>171</v>
      </c>
      <c r="F73" s="24" t="s">
        <v>172</v>
      </c>
      <c r="G73" s="25"/>
      <c r="H73" s="22">
        <v>140</v>
      </c>
      <c r="I73" s="22" t="s">
        <v>0</v>
      </c>
      <c r="J73" s="26">
        <v>20.000000006</v>
      </c>
      <c r="K73" s="27"/>
      <c r="L73" s="28">
        <f t="shared" si="1"/>
        <v>0</v>
      </c>
    </row>
    <row r="74" spans="1:12" x14ac:dyDescent="0.25">
      <c r="A74" s="23">
        <v>73</v>
      </c>
      <c r="B74" s="22" t="s">
        <v>173</v>
      </c>
      <c r="C74" s="22">
        <v>6630</v>
      </c>
      <c r="D74" s="47">
        <v>14989908</v>
      </c>
      <c r="E74" s="23" t="s">
        <v>174</v>
      </c>
      <c r="F74" s="24" t="s">
        <v>175</v>
      </c>
      <c r="G74" s="25"/>
      <c r="H74" s="22">
        <v>42</v>
      </c>
      <c r="I74" s="22" t="s">
        <v>217</v>
      </c>
      <c r="J74" s="26">
        <v>6.0000000018000001</v>
      </c>
      <c r="K74" s="27"/>
      <c r="L74" s="28">
        <f t="shared" si="1"/>
        <v>0</v>
      </c>
    </row>
    <row r="75" spans="1:12" s="38" customFormat="1" x14ac:dyDescent="0.25">
      <c r="A75" s="44">
        <v>74</v>
      </c>
      <c r="B75" s="38" t="s">
        <v>61</v>
      </c>
      <c r="C75" s="38">
        <v>6630</v>
      </c>
      <c r="D75" s="48">
        <v>14824375</v>
      </c>
      <c r="E75" s="44">
        <v>6406080</v>
      </c>
      <c r="F75" s="39" t="s">
        <v>176</v>
      </c>
      <c r="G75" s="40"/>
      <c r="H75" s="38">
        <v>98</v>
      </c>
      <c r="I75" s="38" t="s">
        <v>0</v>
      </c>
      <c r="J75" s="41">
        <v>14.0000000042</v>
      </c>
      <c r="K75" s="42"/>
      <c r="L75" s="43">
        <f t="shared" si="1"/>
        <v>0</v>
      </c>
    </row>
    <row r="76" spans="1:12" x14ac:dyDescent="0.25">
      <c r="A76" s="23">
        <v>75</v>
      </c>
      <c r="B76" s="22" t="s">
        <v>158</v>
      </c>
      <c r="C76" s="22">
        <v>6630</v>
      </c>
      <c r="D76" s="47">
        <v>16704967</v>
      </c>
      <c r="E76" s="23" t="s">
        <v>177</v>
      </c>
      <c r="F76" s="24" t="s">
        <v>178</v>
      </c>
      <c r="G76" s="25"/>
      <c r="H76" s="22">
        <v>91</v>
      </c>
      <c r="I76" s="22" t="s">
        <v>0</v>
      </c>
      <c r="J76" s="26">
        <v>13.0000000039</v>
      </c>
      <c r="K76" s="27"/>
      <c r="L76" s="28">
        <f t="shared" si="1"/>
        <v>0</v>
      </c>
    </row>
    <row r="77" spans="1:12" x14ac:dyDescent="0.25">
      <c r="A77" s="23">
        <v>76</v>
      </c>
      <c r="B77" s="22" t="s">
        <v>106</v>
      </c>
      <c r="C77" s="22">
        <v>6910</v>
      </c>
      <c r="D77" s="47">
        <v>16565343</v>
      </c>
      <c r="E77" s="23" t="s">
        <v>179</v>
      </c>
      <c r="F77" s="24" t="s">
        <v>180</v>
      </c>
      <c r="G77" s="25"/>
      <c r="H77" s="22">
        <v>112</v>
      </c>
      <c r="I77" s="22" t="s">
        <v>0</v>
      </c>
      <c r="J77" s="26">
        <v>16.0000000048</v>
      </c>
      <c r="K77" s="27"/>
      <c r="L77" s="28">
        <f t="shared" si="1"/>
        <v>0</v>
      </c>
    </row>
    <row r="78" spans="1:12" x14ac:dyDescent="0.25">
      <c r="A78" s="23">
        <v>77</v>
      </c>
      <c r="B78" s="22" t="s">
        <v>181</v>
      </c>
      <c r="C78" s="22">
        <v>6135</v>
      </c>
      <c r="D78" s="47">
        <v>16529622</v>
      </c>
      <c r="E78" s="23" t="s">
        <v>182</v>
      </c>
      <c r="F78" s="24" t="s">
        <v>183</v>
      </c>
      <c r="G78" s="25"/>
      <c r="H78" s="22">
        <v>56</v>
      </c>
      <c r="I78" s="22" t="s">
        <v>0</v>
      </c>
      <c r="J78" s="26">
        <v>8.0000000024000002</v>
      </c>
      <c r="K78" s="27"/>
      <c r="L78" s="28">
        <f t="shared" si="1"/>
        <v>0</v>
      </c>
    </row>
    <row r="79" spans="1:12" x14ac:dyDescent="0.25">
      <c r="A79" s="23">
        <v>78</v>
      </c>
      <c r="B79" s="22" t="s">
        <v>184</v>
      </c>
      <c r="C79" s="22">
        <v>4110</v>
      </c>
      <c r="D79" s="47">
        <v>16296841</v>
      </c>
      <c r="E79" s="23" t="s">
        <v>185</v>
      </c>
      <c r="F79" s="24" t="s">
        <v>186</v>
      </c>
      <c r="G79" s="25"/>
      <c r="H79" s="22">
        <v>98</v>
      </c>
      <c r="I79" s="22" t="s">
        <v>0</v>
      </c>
      <c r="J79" s="26">
        <v>14.0000000042</v>
      </c>
      <c r="K79" s="27"/>
      <c r="L79" s="28">
        <f t="shared" si="1"/>
        <v>0</v>
      </c>
    </row>
    <row r="80" spans="1:12" ht="30" x14ac:dyDescent="0.25">
      <c r="A80" s="23">
        <v>79</v>
      </c>
      <c r="B80" s="22" t="s">
        <v>106</v>
      </c>
      <c r="C80" s="22">
        <v>6910</v>
      </c>
      <c r="D80" s="47">
        <v>17028864</v>
      </c>
      <c r="E80" s="23" t="s">
        <v>187</v>
      </c>
      <c r="F80" s="24" t="s">
        <v>188</v>
      </c>
      <c r="G80" s="25"/>
      <c r="H80" s="22">
        <v>77</v>
      </c>
      <c r="I80" s="22" t="s">
        <v>0</v>
      </c>
      <c r="J80" s="26">
        <v>11.0000000033</v>
      </c>
      <c r="K80" s="27"/>
      <c r="L80" s="28">
        <f t="shared" si="1"/>
        <v>0</v>
      </c>
    </row>
    <row r="81" spans="1:12" x14ac:dyDescent="0.25">
      <c r="A81" s="23">
        <v>80</v>
      </c>
      <c r="B81" s="22" t="s">
        <v>106</v>
      </c>
      <c r="C81" s="22">
        <v>6910</v>
      </c>
      <c r="D81" s="47">
        <v>16933677</v>
      </c>
      <c r="E81" s="23" t="s">
        <v>189</v>
      </c>
      <c r="F81" s="24" t="s">
        <v>190</v>
      </c>
      <c r="G81" s="25"/>
      <c r="H81" s="22">
        <v>77</v>
      </c>
      <c r="I81" s="22" t="s">
        <v>217</v>
      </c>
      <c r="J81" s="26">
        <v>11.0000000033</v>
      </c>
      <c r="K81" s="27"/>
      <c r="L81" s="28">
        <f t="shared" si="1"/>
        <v>0</v>
      </c>
    </row>
    <row r="82" spans="1:12" x14ac:dyDescent="0.25">
      <c r="A82" s="23">
        <v>81</v>
      </c>
      <c r="B82" s="22" t="s">
        <v>191</v>
      </c>
      <c r="C82" s="22">
        <v>6530</v>
      </c>
      <c r="D82" s="47">
        <v>14645951</v>
      </c>
      <c r="E82" s="23" t="s">
        <v>192</v>
      </c>
      <c r="F82" s="24" t="s">
        <v>193</v>
      </c>
      <c r="G82" s="25"/>
      <c r="H82" s="22">
        <v>56</v>
      </c>
      <c r="I82" s="22" t="s">
        <v>0</v>
      </c>
      <c r="J82" s="26">
        <v>8.0000000024000002</v>
      </c>
      <c r="K82" s="27"/>
      <c r="L82" s="28">
        <f t="shared" si="1"/>
        <v>0</v>
      </c>
    </row>
    <row r="83" spans="1:12" x14ac:dyDescent="0.25">
      <c r="A83" s="23">
        <v>82</v>
      </c>
      <c r="B83" s="22" t="s">
        <v>194</v>
      </c>
      <c r="C83" s="22">
        <v>6665</v>
      </c>
      <c r="D83" s="47">
        <v>12302652</v>
      </c>
      <c r="E83" s="23" t="s">
        <v>195</v>
      </c>
      <c r="F83" s="24" t="s">
        <v>196</v>
      </c>
      <c r="G83" s="25"/>
      <c r="H83" s="22">
        <v>35</v>
      </c>
      <c r="I83" s="22" t="s">
        <v>0</v>
      </c>
      <c r="J83" s="26">
        <v>5.0000000015000001</v>
      </c>
      <c r="K83" s="27"/>
      <c r="L83" s="28">
        <f t="shared" si="1"/>
        <v>0</v>
      </c>
    </row>
    <row r="84" spans="1:12" ht="30" x14ac:dyDescent="0.25">
      <c r="A84" s="23">
        <v>83</v>
      </c>
      <c r="B84" s="22" t="s">
        <v>197</v>
      </c>
      <c r="C84" s="22">
        <v>6910</v>
      </c>
      <c r="D84" s="47">
        <v>16948333</v>
      </c>
      <c r="E84" s="23" t="s">
        <v>198</v>
      </c>
      <c r="F84" s="24" t="s">
        <v>199</v>
      </c>
      <c r="G84" s="25"/>
      <c r="H84" s="22">
        <v>49</v>
      </c>
      <c r="I84" s="22" t="s">
        <v>217</v>
      </c>
      <c r="J84" s="26">
        <v>7.0000000021000002</v>
      </c>
      <c r="K84" s="27"/>
      <c r="L84" s="28">
        <f t="shared" si="1"/>
        <v>0</v>
      </c>
    </row>
    <row r="85" spans="1:12" x14ac:dyDescent="0.25">
      <c r="A85" s="23">
        <v>84</v>
      </c>
      <c r="B85" s="22" t="s">
        <v>61</v>
      </c>
      <c r="C85" s="22">
        <v>6630</v>
      </c>
      <c r="D85" s="47">
        <v>14824377</v>
      </c>
      <c r="E85" s="23">
        <v>6406120</v>
      </c>
      <c r="F85" s="24" t="s">
        <v>200</v>
      </c>
      <c r="G85" s="25"/>
      <c r="H85" s="22">
        <v>84</v>
      </c>
      <c r="I85" s="22" t="s">
        <v>0</v>
      </c>
      <c r="J85" s="26">
        <v>12.0000000036</v>
      </c>
      <c r="K85" s="27"/>
      <c r="L85" s="28">
        <f t="shared" si="1"/>
        <v>0</v>
      </c>
    </row>
    <row r="86" spans="1:12" x14ac:dyDescent="0.25">
      <c r="A86" s="23">
        <v>85</v>
      </c>
      <c r="B86" s="22" t="s">
        <v>201</v>
      </c>
      <c r="C86" s="22">
        <v>6680</v>
      </c>
      <c r="D86" s="47">
        <v>14723554</v>
      </c>
      <c r="E86" s="23" t="s">
        <v>202</v>
      </c>
      <c r="F86" s="24" t="s">
        <v>203</v>
      </c>
      <c r="G86" s="25"/>
      <c r="H86" s="22">
        <v>77</v>
      </c>
      <c r="I86" s="22" t="s">
        <v>0</v>
      </c>
      <c r="J86" s="26">
        <v>11.0000000033</v>
      </c>
      <c r="K86" s="27"/>
      <c r="L86" s="28">
        <f t="shared" si="1"/>
        <v>0</v>
      </c>
    </row>
    <row r="88" spans="1:12" x14ac:dyDescent="0.25">
      <c r="J88" s="29" t="s">
        <v>227</v>
      </c>
      <c r="K88" s="30"/>
      <c r="L88" s="30"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23D2-86EC-4900-A5C7-380E4AC1848E}">
  <dimension ref="A1:L78"/>
  <sheetViews>
    <sheetView zoomScale="70" zoomScaleNormal="70" workbookViewId="0">
      <selection activeCell="F12" sqref="F12"/>
    </sheetView>
  </sheetViews>
  <sheetFormatPr defaultColWidth="8.7109375" defaultRowHeight="15" x14ac:dyDescent="0.25"/>
  <cols>
    <col min="1" max="1" width="11.42578125" style="23" bestFit="1" customWidth="1"/>
    <col min="2" max="2" width="31.7109375" style="22" bestFit="1" customWidth="1"/>
    <col min="3" max="3" width="8.7109375" style="23"/>
    <col min="4" max="4" width="16.28515625" style="22" customWidth="1"/>
    <col min="5" max="5" width="27.140625" style="49" bestFit="1" customWidth="1"/>
    <col min="6" max="6" width="66.5703125" style="22" customWidth="1"/>
    <col min="7" max="7" width="16.28515625" style="33" bestFit="1" customWidth="1"/>
    <col min="8" max="8" width="16.7109375" style="22" customWidth="1"/>
    <col min="9" max="9" width="4.42578125" style="22" bestFit="1" customWidth="1"/>
    <col min="10" max="10" width="14.85546875" style="26" customWidth="1"/>
    <col min="11" max="11" width="12.42578125" style="36" customWidth="1"/>
    <col min="12" max="12" width="18" style="22" customWidth="1"/>
    <col min="13" max="16384" width="8.7109375" style="22"/>
  </cols>
  <sheetData>
    <row r="1" spans="1:12" ht="45" x14ac:dyDescent="0.25">
      <c r="A1" s="19" t="s">
        <v>1</v>
      </c>
      <c r="B1" s="19" t="s">
        <v>498</v>
      </c>
      <c r="C1" s="19" t="s">
        <v>226</v>
      </c>
      <c r="D1" s="19" t="s">
        <v>8</v>
      </c>
      <c r="E1" s="19" t="s">
        <v>499</v>
      </c>
      <c r="F1" s="19" t="s">
        <v>3</v>
      </c>
      <c r="G1" s="31" t="s">
        <v>4</v>
      </c>
      <c r="H1" s="19" t="s">
        <v>497</v>
      </c>
      <c r="I1" s="19" t="s">
        <v>5</v>
      </c>
      <c r="J1" s="20" t="s">
        <v>494</v>
      </c>
      <c r="K1" s="34" t="s">
        <v>228</v>
      </c>
      <c r="L1" s="19" t="s">
        <v>229</v>
      </c>
    </row>
    <row r="2" spans="1:12" ht="45" x14ac:dyDescent="0.25">
      <c r="A2" s="23">
        <v>1</v>
      </c>
      <c r="B2" s="22" t="s">
        <v>9</v>
      </c>
      <c r="C2" s="23">
        <v>6530</v>
      </c>
      <c r="D2" s="22">
        <v>13049762</v>
      </c>
      <c r="E2" s="49" t="s">
        <v>219</v>
      </c>
      <c r="F2" s="24" t="s">
        <v>10</v>
      </c>
      <c r="G2" s="32"/>
      <c r="H2" s="22">
        <v>8890000</v>
      </c>
      <c r="I2" s="22" t="s">
        <v>211</v>
      </c>
      <c r="J2" s="26">
        <v>1270000.0003810001</v>
      </c>
      <c r="K2" s="35"/>
      <c r="L2" s="28">
        <f>SUM(J2*K2)</f>
        <v>0</v>
      </c>
    </row>
    <row r="3" spans="1:12" ht="30" x14ac:dyDescent="0.25">
      <c r="A3" s="23">
        <v>2</v>
      </c>
      <c r="B3" s="22" t="s">
        <v>14</v>
      </c>
      <c r="C3" s="23">
        <v>6530</v>
      </c>
      <c r="D3" s="22">
        <v>1428775</v>
      </c>
      <c r="E3" s="49">
        <v>336</v>
      </c>
      <c r="F3" s="24" t="s">
        <v>15</v>
      </c>
      <c r="G3" s="32"/>
      <c r="H3" s="22">
        <v>973</v>
      </c>
      <c r="I3" s="22" t="s">
        <v>211</v>
      </c>
      <c r="J3" s="26">
        <v>139.00000004170002</v>
      </c>
      <c r="K3" s="35"/>
      <c r="L3" s="28">
        <f t="shared" ref="L3:L59" si="0">SUM(J3*K3)</f>
        <v>0</v>
      </c>
    </row>
    <row r="4" spans="1:12" ht="30" x14ac:dyDescent="0.25">
      <c r="A4" s="23">
        <v>3</v>
      </c>
      <c r="B4" s="22" t="s">
        <v>16</v>
      </c>
      <c r="C4" s="23">
        <v>6520</v>
      </c>
      <c r="D4" s="22">
        <v>12794149</v>
      </c>
      <c r="E4" s="49" t="s">
        <v>17</v>
      </c>
      <c r="F4" s="24" t="s">
        <v>18</v>
      </c>
      <c r="G4" s="32"/>
      <c r="H4" s="22">
        <v>168</v>
      </c>
      <c r="I4" s="22" t="s">
        <v>211</v>
      </c>
      <c r="J4" s="26">
        <v>24.000000007200001</v>
      </c>
      <c r="K4" s="35"/>
      <c r="L4" s="28">
        <f t="shared" si="0"/>
        <v>0</v>
      </c>
    </row>
    <row r="5" spans="1:12" x14ac:dyDescent="0.25">
      <c r="A5" s="23">
        <v>4</v>
      </c>
      <c r="B5" s="22" t="s">
        <v>19</v>
      </c>
      <c r="C5" s="23">
        <v>6635</v>
      </c>
      <c r="D5" s="22">
        <v>9670500</v>
      </c>
      <c r="E5" s="49" t="s">
        <v>20</v>
      </c>
      <c r="F5" s="24" t="s">
        <v>21</v>
      </c>
      <c r="G5" s="32"/>
      <c r="H5" s="22">
        <v>574</v>
      </c>
      <c r="I5" s="22" t="s">
        <v>213</v>
      </c>
      <c r="J5" s="26">
        <v>82.000000024600013</v>
      </c>
      <c r="K5" s="35"/>
      <c r="L5" s="28">
        <f t="shared" si="0"/>
        <v>0</v>
      </c>
    </row>
    <row r="6" spans="1:12" x14ac:dyDescent="0.25">
      <c r="A6" s="23">
        <v>5</v>
      </c>
      <c r="B6" s="22" t="s">
        <v>22</v>
      </c>
      <c r="C6" s="23">
        <v>6640</v>
      </c>
      <c r="D6" s="22">
        <v>16781647</v>
      </c>
      <c r="E6" s="49" t="s">
        <v>23</v>
      </c>
      <c r="F6" s="24" t="s">
        <v>24</v>
      </c>
      <c r="G6" s="32"/>
      <c r="H6" s="22">
        <v>483</v>
      </c>
      <c r="I6" s="22" t="s">
        <v>211</v>
      </c>
      <c r="J6" s="26">
        <v>69.0000000207</v>
      </c>
      <c r="K6" s="35"/>
      <c r="L6" s="28">
        <f t="shared" si="0"/>
        <v>0</v>
      </c>
    </row>
    <row r="7" spans="1:12" x14ac:dyDescent="0.25">
      <c r="A7" s="23">
        <v>6</v>
      </c>
      <c r="B7" s="22" t="s">
        <v>19</v>
      </c>
      <c r="C7" s="23">
        <v>6640</v>
      </c>
      <c r="D7" s="22">
        <v>9670501</v>
      </c>
      <c r="E7" s="51" t="s">
        <v>222</v>
      </c>
      <c r="F7" s="24" t="s">
        <v>25</v>
      </c>
      <c r="G7" s="32"/>
      <c r="H7" s="22">
        <v>644</v>
      </c>
      <c r="I7" s="22" t="s">
        <v>211</v>
      </c>
      <c r="J7" s="26">
        <v>92.000000027600009</v>
      </c>
      <c r="K7" s="35"/>
      <c r="L7" s="28">
        <f t="shared" si="0"/>
        <v>0</v>
      </c>
    </row>
    <row r="8" spans="1:12" ht="30" x14ac:dyDescent="0.25">
      <c r="A8" s="23">
        <v>7</v>
      </c>
      <c r="B8" s="22" t="s">
        <v>27</v>
      </c>
      <c r="C8" s="23">
        <v>6640</v>
      </c>
      <c r="D8" s="22">
        <v>15090679</v>
      </c>
      <c r="E8" s="49">
        <v>364815</v>
      </c>
      <c r="F8" s="24" t="s">
        <v>28</v>
      </c>
      <c r="G8" s="32"/>
      <c r="H8" s="22">
        <v>203</v>
      </c>
      <c r="I8" s="22" t="s">
        <v>211</v>
      </c>
      <c r="J8" s="26">
        <v>29.000000008700002</v>
      </c>
      <c r="K8" s="35"/>
      <c r="L8" s="28">
        <f t="shared" si="0"/>
        <v>0</v>
      </c>
    </row>
    <row r="9" spans="1:12" x14ac:dyDescent="0.25">
      <c r="A9" s="23">
        <v>8</v>
      </c>
      <c r="B9" s="22" t="s">
        <v>29</v>
      </c>
      <c r="C9" s="23">
        <v>6640</v>
      </c>
      <c r="D9" s="22">
        <v>16091715</v>
      </c>
      <c r="E9" s="49">
        <v>454209</v>
      </c>
      <c r="F9" s="24" t="s">
        <v>30</v>
      </c>
      <c r="G9" s="32"/>
      <c r="H9" s="22">
        <v>119</v>
      </c>
      <c r="I9" s="22" t="s">
        <v>211</v>
      </c>
      <c r="J9" s="26">
        <v>17.000000005100002</v>
      </c>
      <c r="K9" s="35"/>
      <c r="L9" s="28">
        <f t="shared" si="0"/>
        <v>0</v>
      </c>
    </row>
    <row r="10" spans="1:12" x14ac:dyDescent="0.25">
      <c r="A10" s="23">
        <v>9</v>
      </c>
      <c r="B10" s="22" t="s">
        <v>22</v>
      </c>
      <c r="C10" s="23">
        <v>6640</v>
      </c>
      <c r="D10" s="22">
        <v>16779591</v>
      </c>
      <c r="E10" s="49" t="s">
        <v>31</v>
      </c>
      <c r="F10" s="24" t="s">
        <v>32</v>
      </c>
      <c r="G10" s="32"/>
      <c r="H10" s="22">
        <v>525</v>
      </c>
      <c r="I10" s="22" t="s">
        <v>211</v>
      </c>
      <c r="J10" s="26">
        <v>75.000000022500004</v>
      </c>
      <c r="K10" s="35"/>
      <c r="L10" s="28">
        <f t="shared" si="0"/>
        <v>0</v>
      </c>
    </row>
    <row r="11" spans="1:12" x14ac:dyDescent="0.25">
      <c r="A11" s="23">
        <v>10</v>
      </c>
      <c r="B11" s="22" t="s">
        <v>33</v>
      </c>
      <c r="C11" s="23">
        <v>6640</v>
      </c>
      <c r="D11" s="22">
        <v>15021866</v>
      </c>
      <c r="E11" s="49" t="s">
        <v>34</v>
      </c>
      <c r="F11" s="24" t="s">
        <v>35</v>
      </c>
      <c r="G11" s="32"/>
      <c r="H11" s="22">
        <v>175</v>
      </c>
      <c r="I11" s="22" t="s">
        <v>211</v>
      </c>
      <c r="J11" s="26">
        <v>25.000000007500002</v>
      </c>
      <c r="K11" s="35"/>
      <c r="L11" s="28">
        <f t="shared" si="0"/>
        <v>0</v>
      </c>
    </row>
    <row r="12" spans="1:12" ht="30" x14ac:dyDescent="0.25">
      <c r="A12" s="23">
        <v>11</v>
      </c>
      <c r="B12" s="22" t="s">
        <v>36</v>
      </c>
      <c r="C12" s="23">
        <v>6640</v>
      </c>
      <c r="D12" s="22">
        <v>14907587</v>
      </c>
      <c r="E12" s="49" t="s">
        <v>37</v>
      </c>
      <c r="F12" s="24" t="s">
        <v>38</v>
      </c>
      <c r="G12" s="32"/>
      <c r="H12" s="22">
        <v>553</v>
      </c>
      <c r="I12" s="22" t="s">
        <v>214</v>
      </c>
      <c r="J12" s="26">
        <v>79.000000023700011</v>
      </c>
      <c r="K12" s="35"/>
      <c r="L12" s="28">
        <f t="shared" si="0"/>
        <v>0</v>
      </c>
    </row>
    <row r="13" spans="1:12" ht="30" x14ac:dyDescent="0.25">
      <c r="A13" s="23">
        <v>12</v>
      </c>
      <c r="B13" s="22" t="s">
        <v>39</v>
      </c>
      <c r="C13" s="23">
        <v>6640</v>
      </c>
      <c r="D13" s="22">
        <v>16510648</v>
      </c>
      <c r="E13" s="49">
        <v>44005</v>
      </c>
      <c r="F13" s="24" t="s">
        <v>40</v>
      </c>
      <c r="G13" s="32"/>
      <c r="H13" s="22">
        <v>119</v>
      </c>
      <c r="I13" s="22" t="s">
        <v>211</v>
      </c>
      <c r="J13" s="26">
        <v>17.000000005100002</v>
      </c>
      <c r="K13" s="35"/>
      <c r="L13" s="28">
        <f t="shared" si="0"/>
        <v>0</v>
      </c>
    </row>
    <row r="14" spans="1:12" x14ac:dyDescent="0.25">
      <c r="A14" s="23">
        <v>13</v>
      </c>
      <c r="B14" s="22" t="s">
        <v>41</v>
      </c>
      <c r="C14" s="23">
        <v>6530</v>
      </c>
      <c r="D14" s="22">
        <v>13667671</v>
      </c>
      <c r="E14" s="49">
        <v>1343</v>
      </c>
      <c r="F14" s="24" t="s">
        <v>42</v>
      </c>
      <c r="G14" s="32"/>
      <c r="H14" s="22">
        <v>595</v>
      </c>
      <c r="I14" s="22" t="s">
        <v>211</v>
      </c>
      <c r="J14" s="26">
        <v>85.0000000255</v>
      </c>
      <c r="K14" s="35"/>
      <c r="L14" s="28">
        <f t="shared" si="0"/>
        <v>0</v>
      </c>
    </row>
    <row r="15" spans="1:12" x14ac:dyDescent="0.25">
      <c r="A15" s="23">
        <v>14</v>
      </c>
      <c r="B15" s="22" t="s">
        <v>43</v>
      </c>
      <c r="C15" s="23">
        <v>6632</v>
      </c>
      <c r="D15" s="22">
        <v>16757582</v>
      </c>
      <c r="E15" s="49">
        <v>5170486190</v>
      </c>
      <c r="F15" s="24" t="s">
        <v>44</v>
      </c>
      <c r="G15" s="32"/>
      <c r="H15" s="22">
        <v>420</v>
      </c>
      <c r="I15" s="22" t="s">
        <v>215</v>
      </c>
      <c r="J15" s="26">
        <v>60.000000018000001</v>
      </c>
      <c r="K15" s="35"/>
      <c r="L15" s="28">
        <f t="shared" si="0"/>
        <v>0</v>
      </c>
    </row>
    <row r="16" spans="1:12" x14ac:dyDescent="0.25">
      <c r="A16" s="23">
        <v>15</v>
      </c>
      <c r="B16" s="22" t="s">
        <v>45</v>
      </c>
      <c r="C16" s="23">
        <v>6630</v>
      </c>
      <c r="D16" s="22">
        <v>10685210</v>
      </c>
      <c r="E16" s="49" t="s">
        <v>223</v>
      </c>
      <c r="F16" s="24" t="s">
        <v>46</v>
      </c>
      <c r="G16" s="32"/>
      <c r="H16" s="22">
        <v>126</v>
      </c>
      <c r="I16" s="22" t="s">
        <v>211</v>
      </c>
      <c r="J16" s="26">
        <v>18.0000000054</v>
      </c>
      <c r="K16" s="35"/>
      <c r="L16" s="28">
        <f t="shared" si="0"/>
        <v>0</v>
      </c>
    </row>
    <row r="17" spans="1:12" x14ac:dyDescent="0.25">
      <c r="A17" s="23">
        <v>16</v>
      </c>
      <c r="B17" s="22" t="s">
        <v>47</v>
      </c>
      <c r="C17" s="23">
        <v>6910</v>
      </c>
      <c r="D17" s="22">
        <v>17082080</v>
      </c>
      <c r="E17" s="49" t="s">
        <v>48</v>
      </c>
      <c r="F17" s="24" t="s">
        <v>49</v>
      </c>
      <c r="G17" s="32"/>
      <c r="H17" s="22">
        <v>469</v>
      </c>
      <c r="I17" s="22" t="s">
        <v>211</v>
      </c>
      <c r="J17" s="26">
        <v>67.000000020100003</v>
      </c>
      <c r="K17" s="35"/>
      <c r="L17" s="28">
        <f t="shared" si="0"/>
        <v>0</v>
      </c>
    </row>
    <row r="18" spans="1:12" x14ac:dyDescent="0.25">
      <c r="A18" s="23">
        <v>17</v>
      </c>
      <c r="B18" s="22" t="s">
        <v>50</v>
      </c>
      <c r="C18" s="23">
        <v>6530</v>
      </c>
      <c r="D18" s="22">
        <v>15483558</v>
      </c>
      <c r="E18" s="49" t="s">
        <v>51</v>
      </c>
      <c r="F18" s="24" t="s">
        <v>52</v>
      </c>
      <c r="G18" s="32"/>
      <c r="H18" s="22">
        <v>364</v>
      </c>
      <c r="I18" s="22" t="s">
        <v>211</v>
      </c>
      <c r="J18" s="26">
        <v>52.000000015600001</v>
      </c>
      <c r="K18" s="35"/>
      <c r="L18" s="28">
        <f t="shared" si="0"/>
        <v>0</v>
      </c>
    </row>
    <row r="19" spans="1:12" x14ac:dyDescent="0.25">
      <c r="A19" s="23">
        <v>18</v>
      </c>
      <c r="B19" s="22" t="s">
        <v>53</v>
      </c>
      <c r="C19" s="23">
        <v>6640</v>
      </c>
      <c r="D19" s="22">
        <v>16567672</v>
      </c>
      <c r="E19" s="50" t="s">
        <v>495</v>
      </c>
      <c r="F19" s="24" t="s">
        <v>54</v>
      </c>
      <c r="G19" s="32"/>
      <c r="H19" s="22">
        <v>84</v>
      </c>
      <c r="I19" s="22" t="s">
        <v>211</v>
      </c>
      <c r="J19" s="26">
        <v>12.0000000036</v>
      </c>
      <c r="K19" s="35"/>
      <c r="L19" s="28">
        <f t="shared" si="0"/>
        <v>0</v>
      </c>
    </row>
    <row r="20" spans="1:12" x14ac:dyDescent="0.25">
      <c r="A20" s="23">
        <v>19</v>
      </c>
      <c r="B20" s="22" t="s">
        <v>55</v>
      </c>
      <c r="C20" s="23">
        <v>6530</v>
      </c>
      <c r="D20" s="22">
        <v>15725414</v>
      </c>
      <c r="E20" s="49" t="s">
        <v>56</v>
      </c>
      <c r="F20" s="24" t="s">
        <v>57</v>
      </c>
      <c r="G20" s="32"/>
      <c r="H20" s="22">
        <v>448</v>
      </c>
      <c r="I20" s="22" t="s">
        <v>211</v>
      </c>
      <c r="J20" s="26">
        <v>64.000000019200002</v>
      </c>
      <c r="K20" s="35"/>
      <c r="L20" s="28">
        <f t="shared" si="0"/>
        <v>0</v>
      </c>
    </row>
    <row r="21" spans="1:12" x14ac:dyDescent="0.25">
      <c r="A21" s="23">
        <v>20</v>
      </c>
      <c r="B21" s="22" t="s">
        <v>58</v>
      </c>
      <c r="C21" s="23">
        <v>6640</v>
      </c>
      <c r="D21" s="22">
        <v>12042654</v>
      </c>
      <c r="E21" s="49" t="s">
        <v>59</v>
      </c>
      <c r="F21" s="24" t="s">
        <v>60</v>
      </c>
      <c r="G21" s="32"/>
      <c r="H21" s="22">
        <v>266</v>
      </c>
      <c r="I21" s="22" t="s">
        <v>216</v>
      </c>
      <c r="J21" s="26">
        <v>38.000000011400004</v>
      </c>
      <c r="K21" s="35"/>
      <c r="L21" s="28">
        <f t="shared" si="0"/>
        <v>0</v>
      </c>
    </row>
    <row r="22" spans="1:12" x14ac:dyDescent="0.25">
      <c r="A22" s="23">
        <v>21</v>
      </c>
      <c r="B22" s="22" t="s">
        <v>61</v>
      </c>
      <c r="C22" s="23">
        <v>6630</v>
      </c>
      <c r="D22" s="22">
        <v>121893126</v>
      </c>
      <c r="E22" s="49">
        <v>6728521</v>
      </c>
      <c r="F22" s="24" t="s">
        <v>62</v>
      </c>
      <c r="G22" s="32"/>
      <c r="H22" s="22">
        <v>2016</v>
      </c>
      <c r="I22" s="22" t="s">
        <v>211</v>
      </c>
      <c r="J22" s="26">
        <v>288.00000008640001</v>
      </c>
      <c r="K22" s="35"/>
      <c r="L22" s="28">
        <f t="shared" si="0"/>
        <v>0</v>
      </c>
    </row>
    <row r="23" spans="1:12" ht="30" x14ac:dyDescent="0.25">
      <c r="A23" s="23">
        <v>22</v>
      </c>
      <c r="B23" s="22" t="s">
        <v>27</v>
      </c>
      <c r="C23" s="23">
        <v>6632</v>
      </c>
      <c r="D23" s="22">
        <v>13780273</v>
      </c>
      <c r="E23" s="49" t="s">
        <v>63</v>
      </c>
      <c r="F23" s="24" t="s">
        <v>64</v>
      </c>
      <c r="G23" s="32"/>
      <c r="H23" s="22">
        <v>147</v>
      </c>
      <c r="I23" s="22" t="s">
        <v>211</v>
      </c>
      <c r="J23" s="26">
        <v>21.000000006300002</v>
      </c>
      <c r="K23" s="35"/>
      <c r="L23" s="28">
        <f t="shared" si="0"/>
        <v>0</v>
      </c>
    </row>
    <row r="24" spans="1:12" x14ac:dyDescent="0.25">
      <c r="A24" s="23">
        <v>23</v>
      </c>
      <c r="B24" s="22" t="s">
        <v>26</v>
      </c>
      <c r="C24" s="23">
        <v>6530</v>
      </c>
      <c r="D24" s="22">
        <v>16214282</v>
      </c>
      <c r="E24" s="49" t="s">
        <v>65</v>
      </c>
      <c r="F24" s="24" t="s">
        <v>66</v>
      </c>
      <c r="G24" s="32"/>
      <c r="H24" s="22">
        <v>483</v>
      </c>
      <c r="I24" s="22" t="s">
        <v>215</v>
      </c>
      <c r="J24" s="26">
        <v>69.0000000207</v>
      </c>
      <c r="K24" s="35"/>
      <c r="L24" s="28">
        <f t="shared" si="0"/>
        <v>0</v>
      </c>
    </row>
    <row r="25" spans="1:12" x14ac:dyDescent="0.25">
      <c r="A25" s="23">
        <v>24</v>
      </c>
      <c r="B25" s="22" t="s">
        <v>67</v>
      </c>
      <c r="C25" s="23">
        <v>6520</v>
      </c>
      <c r="D25" s="22">
        <v>16120605</v>
      </c>
      <c r="E25" s="49" t="s">
        <v>224</v>
      </c>
      <c r="F25" s="24" t="s">
        <v>68</v>
      </c>
      <c r="G25" s="32"/>
      <c r="H25" s="22">
        <v>154</v>
      </c>
      <c r="I25" s="22" t="s">
        <v>215</v>
      </c>
      <c r="J25" s="26">
        <v>22.000000006600001</v>
      </c>
      <c r="K25" s="35"/>
      <c r="L25" s="28">
        <f t="shared" si="0"/>
        <v>0</v>
      </c>
    </row>
    <row r="26" spans="1:12" x14ac:dyDescent="0.25">
      <c r="A26" s="23">
        <v>25</v>
      </c>
      <c r="B26" s="22" t="s">
        <v>72</v>
      </c>
      <c r="C26" s="23">
        <v>6520</v>
      </c>
      <c r="D26" s="22">
        <v>16553427</v>
      </c>
      <c r="E26" s="49" t="s">
        <v>73</v>
      </c>
      <c r="F26" s="24" t="s">
        <v>74</v>
      </c>
      <c r="G26" s="32"/>
      <c r="H26" s="22">
        <v>77</v>
      </c>
      <c r="I26" s="22" t="s">
        <v>215</v>
      </c>
      <c r="J26" s="26">
        <v>11.0000000033</v>
      </c>
      <c r="K26" s="35"/>
      <c r="L26" s="28">
        <f t="shared" si="0"/>
        <v>0</v>
      </c>
    </row>
    <row r="27" spans="1:12" x14ac:dyDescent="0.25">
      <c r="A27" s="23">
        <v>26</v>
      </c>
      <c r="B27" s="22" t="s">
        <v>76</v>
      </c>
      <c r="C27" s="23">
        <v>6530</v>
      </c>
      <c r="D27" s="22">
        <v>16548492</v>
      </c>
      <c r="E27" s="49" t="s">
        <v>77</v>
      </c>
      <c r="F27" s="24" t="s">
        <v>78</v>
      </c>
      <c r="G27" s="32"/>
      <c r="H27" s="22">
        <v>224</v>
      </c>
      <c r="I27" s="22" t="s">
        <v>211</v>
      </c>
      <c r="J27" s="26">
        <v>32.000000009600001</v>
      </c>
      <c r="K27" s="35"/>
      <c r="L27" s="28">
        <f t="shared" si="0"/>
        <v>0</v>
      </c>
    </row>
    <row r="28" spans="1:12" x14ac:dyDescent="0.25">
      <c r="A28" s="23">
        <v>27</v>
      </c>
      <c r="B28" s="22" t="s">
        <v>79</v>
      </c>
      <c r="C28" s="23">
        <v>6532</v>
      </c>
      <c r="D28" s="22">
        <v>16528496</v>
      </c>
      <c r="E28" s="49" t="s">
        <v>80</v>
      </c>
      <c r="F28" s="24" t="s">
        <v>81</v>
      </c>
      <c r="G28" s="32"/>
      <c r="H28" s="22">
        <v>413</v>
      </c>
      <c r="I28" s="22" t="s">
        <v>211</v>
      </c>
      <c r="J28" s="26">
        <v>59.000000017700003</v>
      </c>
      <c r="K28" s="35"/>
      <c r="L28" s="28">
        <f t="shared" si="0"/>
        <v>0</v>
      </c>
    </row>
    <row r="29" spans="1:12" x14ac:dyDescent="0.25">
      <c r="A29" s="23">
        <v>28</v>
      </c>
      <c r="B29" s="22" t="s">
        <v>82</v>
      </c>
      <c r="C29" s="23">
        <v>6640</v>
      </c>
      <c r="D29" s="22">
        <v>16043258</v>
      </c>
      <c r="E29" s="49" t="s">
        <v>83</v>
      </c>
      <c r="F29" s="24" t="s">
        <v>84</v>
      </c>
      <c r="G29" s="32"/>
      <c r="H29" s="22">
        <v>448</v>
      </c>
      <c r="I29" s="22" t="s">
        <v>211</v>
      </c>
      <c r="J29" s="26">
        <v>64.000000019200002</v>
      </c>
      <c r="K29" s="35"/>
      <c r="L29" s="28">
        <f t="shared" si="0"/>
        <v>0</v>
      </c>
    </row>
    <row r="30" spans="1:12" x14ac:dyDescent="0.25">
      <c r="A30" s="23">
        <v>29</v>
      </c>
      <c r="B30" s="22" t="s">
        <v>26</v>
      </c>
      <c r="C30" s="23">
        <v>6530</v>
      </c>
      <c r="D30" s="22">
        <v>15727520</v>
      </c>
      <c r="E30" s="49" t="s">
        <v>85</v>
      </c>
      <c r="F30" s="24" t="s">
        <v>86</v>
      </c>
      <c r="G30" s="32"/>
      <c r="H30" s="22">
        <v>245</v>
      </c>
      <c r="I30" s="22" t="s">
        <v>211</v>
      </c>
      <c r="J30" s="26">
        <v>35.000000010500003</v>
      </c>
      <c r="K30" s="35"/>
      <c r="L30" s="28">
        <f t="shared" si="0"/>
        <v>0</v>
      </c>
    </row>
    <row r="31" spans="1:12" x14ac:dyDescent="0.25">
      <c r="A31" s="23">
        <v>30</v>
      </c>
      <c r="B31" s="22" t="s">
        <v>90</v>
      </c>
      <c r="C31" s="23">
        <v>6532</v>
      </c>
      <c r="D31" s="22">
        <v>15879792</v>
      </c>
      <c r="E31" s="49">
        <v>72311</v>
      </c>
      <c r="F31" s="24" t="s">
        <v>91</v>
      </c>
      <c r="G31" s="32"/>
      <c r="H31" s="22">
        <v>63</v>
      </c>
      <c r="I31" s="22" t="s">
        <v>211</v>
      </c>
      <c r="J31" s="26">
        <v>9.0000000027000002</v>
      </c>
      <c r="K31" s="35"/>
      <c r="L31" s="28">
        <f t="shared" si="0"/>
        <v>0</v>
      </c>
    </row>
    <row r="32" spans="1:12" x14ac:dyDescent="0.25">
      <c r="A32" s="23">
        <v>31</v>
      </c>
      <c r="B32" s="22" t="s">
        <v>92</v>
      </c>
      <c r="C32" s="23">
        <v>6640</v>
      </c>
      <c r="D32" s="22">
        <v>17187221</v>
      </c>
      <c r="E32" s="49">
        <v>141102</v>
      </c>
      <c r="F32" s="24" t="s">
        <v>93</v>
      </c>
      <c r="G32" s="32"/>
      <c r="H32" s="22">
        <v>259</v>
      </c>
      <c r="I32" s="22" t="s">
        <v>211</v>
      </c>
      <c r="J32" s="26">
        <v>37.000000011100006</v>
      </c>
      <c r="K32" s="35"/>
      <c r="L32" s="28">
        <f t="shared" si="0"/>
        <v>0</v>
      </c>
    </row>
    <row r="33" spans="1:12" x14ac:dyDescent="0.25">
      <c r="A33" s="23">
        <v>32</v>
      </c>
      <c r="B33" s="22" t="s">
        <v>79</v>
      </c>
      <c r="C33" s="23">
        <v>6532</v>
      </c>
      <c r="D33" s="22">
        <v>16656728</v>
      </c>
      <c r="E33" s="49" t="s">
        <v>94</v>
      </c>
      <c r="F33" s="24" t="s">
        <v>95</v>
      </c>
      <c r="G33" s="32"/>
      <c r="H33" s="22">
        <v>210</v>
      </c>
      <c r="I33" s="22" t="s">
        <v>212</v>
      </c>
      <c r="J33" s="26">
        <v>30.000000009000001</v>
      </c>
      <c r="K33" s="35"/>
      <c r="L33" s="28">
        <f t="shared" si="0"/>
        <v>0</v>
      </c>
    </row>
    <row r="34" spans="1:12" x14ac:dyDescent="0.25">
      <c r="A34" s="23">
        <v>33</v>
      </c>
      <c r="B34" s="22" t="s">
        <v>96</v>
      </c>
      <c r="C34" s="23">
        <v>6530</v>
      </c>
      <c r="D34" s="22">
        <v>200077100</v>
      </c>
      <c r="E34" s="49">
        <v>124352</v>
      </c>
      <c r="F34" s="24" t="s">
        <v>97</v>
      </c>
      <c r="G34" s="32"/>
      <c r="H34" s="22">
        <v>154</v>
      </c>
      <c r="I34" s="22" t="s">
        <v>215</v>
      </c>
      <c r="J34" s="26">
        <v>22.000000006600001</v>
      </c>
      <c r="K34" s="35"/>
      <c r="L34" s="28">
        <f t="shared" si="0"/>
        <v>0</v>
      </c>
    </row>
    <row r="35" spans="1:12" x14ac:dyDescent="0.25">
      <c r="A35" s="23">
        <v>34</v>
      </c>
      <c r="B35" s="22" t="s">
        <v>98</v>
      </c>
      <c r="C35" s="23">
        <v>6515</v>
      </c>
      <c r="D35" s="22">
        <v>10129987</v>
      </c>
      <c r="E35" s="49">
        <v>9100</v>
      </c>
      <c r="F35" s="24" t="s">
        <v>99</v>
      </c>
      <c r="G35" s="32"/>
      <c r="H35" s="22">
        <v>56</v>
      </c>
      <c r="I35" s="22" t="s">
        <v>211</v>
      </c>
      <c r="J35" s="26">
        <v>8.0000000024000002</v>
      </c>
      <c r="K35" s="35"/>
      <c r="L35" s="28">
        <f t="shared" si="0"/>
        <v>0</v>
      </c>
    </row>
    <row r="36" spans="1:12" x14ac:dyDescent="0.25">
      <c r="A36" s="23">
        <v>35</v>
      </c>
      <c r="B36" s="22" t="s">
        <v>206</v>
      </c>
      <c r="C36" s="23">
        <v>6910</v>
      </c>
      <c r="D36" s="22">
        <v>13804892</v>
      </c>
      <c r="E36" s="49" t="s">
        <v>207</v>
      </c>
      <c r="F36" s="24" t="s">
        <v>208</v>
      </c>
      <c r="G36" s="32"/>
      <c r="H36" s="22">
        <v>35</v>
      </c>
      <c r="I36" s="22" t="s">
        <v>0</v>
      </c>
      <c r="J36" s="26">
        <v>5.0000000015000001</v>
      </c>
      <c r="K36" s="35"/>
      <c r="L36" s="28">
        <f t="shared" si="0"/>
        <v>0</v>
      </c>
    </row>
    <row r="37" spans="1:12" x14ac:dyDescent="0.25">
      <c r="A37" s="23">
        <v>36</v>
      </c>
      <c r="B37" s="22" t="s">
        <v>100</v>
      </c>
      <c r="C37" s="23">
        <v>6680</v>
      </c>
      <c r="D37" s="22">
        <v>12346789</v>
      </c>
      <c r="E37" s="49" t="s">
        <v>101</v>
      </c>
      <c r="F37" s="24" t="s">
        <v>102</v>
      </c>
      <c r="G37" s="32"/>
      <c r="H37" s="22">
        <v>518</v>
      </c>
      <c r="I37" s="22" t="s">
        <v>0</v>
      </c>
      <c r="J37" s="26">
        <v>74.000000022200012</v>
      </c>
      <c r="K37" s="35"/>
      <c r="L37" s="28">
        <f t="shared" si="0"/>
        <v>0</v>
      </c>
    </row>
    <row r="38" spans="1:12" ht="30" x14ac:dyDescent="0.25">
      <c r="A38" s="23">
        <v>37</v>
      </c>
      <c r="B38" s="22" t="s">
        <v>103</v>
      </c>
      <c r="C38" s="23">
        <v>6530</v>
      </c>
      <c r="D38" s="22">
        <v>16202668</v>
      </c>
      <c r="E38" s="49" t="s">
        <v>104</v>
      </c>
      <c r="F38" s="24" t="s">
        <v>105</v>
      </c>
      <c r="G38" s="32"/>
      <c r="H38" s="22">
        <v>133</v>
      </c>
      <c r="I38" s="22" t="s">
        <v>215</v>
      </c>
      <c r="J38" s="26">
        <v>19.000000005700002</v>
      </c>
      <c r="K38" s="35"/>
      <c r="L38" s="28">
        <f t="shared" si="0"/>
        <v>0</v>
      </c>
    </row>
    <row r="39" spans="1:12" x14ac:dyDescent="0.25">
      <c r="A39" s="23">
        <v>38</v>
      </c>
      <c r="B39" s="22" t="s">
        <v>106</v>
      </c>
      <c r="C39" s="23">
        <v>6910</v>
      </c>
      <c r="D39" s="22">
        <v>17029065</v>
      </c>
      <c r="E39" s="49" t="s">
        <v>107</v>
      </c>
      <c r="F39" s="24" t="s">
        <v>108</v>
      </c>
      <c r="G39" s="32"/>
      <c r="H39" s="22">
        <v>105</v>
      </c>
      <c r="I39" s="22" t="s">
        <v>211</v>
      </c>
      <c r="J39" s="26">
        <v>15.0000000045</v>
      </c>
      <c r="K39" s="35"/>
      <c r="L39" s="28">
        <f t="shared" si="0"/>
        <v>0</v>
      </c>
    </row>
    <row r="40" spans="1:12" ht="30" x14ac:dyDescent="0.25">
      <c r="A40" s="23">
        <v>39</v>
      </c>
      <c r="B40" s="22" t="s">
        <v>109</v>
      </c>
      <c r="C40" s="23">
        <v>6640</v>
      </c>
      <c r="D40" s="22">
        <v>11079169</v>
      </c>
      <c r="E40" s="49" t="s">
        <v>220</v>
      </c>
      <c r="F40" s="24" t="s">
        <v>110</v>
      </c>
      <c r="G40" s="32"/>
      <c r="H40" s="22">
        <v>259</v>
      </c>
      <c r="I40" s="22" t="s">
        <v>0</v>
      </c>
      <c r="J40" s="26">
        <v>37.000000011100006</v>
      </c>
      <c r="K40" s="35"/>
      <c r="L40" s="28">
        <f t="shared" si="0"/>
        <v>0</v>
      </c>
    </row>
    <row r="41" spans="1:12" x14ac:dyDescent="0.25">
      <c r="A41" s="23">
        <v>40</v>
      </c>
      <c r="B41" s="22" t="s">
        <v>111</v>
      </c>
      <c r="C41" s="23">
        <v>6632</v>
      </c>
      <c r="D41" s="22">
        <v>16901933</v>
      </c>
      <c r="E41" s="49" t="s">
        <v>221</v>
      </c>
      <c r="F41" s="24" t="s">
        <v>112</v>
      </c>
      <c r="G41" s="32"/>
      <c r="H41" s="22">
        <v>455</v>
      </c>
      <c r="I41" s="22" t="s">
        <v>217</v>
      </c>
      <c r="J41" s="26">
        <v>65.000000019500007</v>
      </c>
      <c r="K41" s="35"/>
      <c r="L41" s="28">
        <f t="shared" si="0"/>
        <v>0</v>
      </c>
    </row>
    <row r="42" spans="1:12" x14ac:dyDescent="0.25">
      <c r="A42" s="23">
        <v>41</v>
      </c>
      <c r="B42" s="22" t="s">
        <v>115</v>
      </c>
      <c r="C42" s="23">
        <v>6520</v>
      </c>
      <c r="D42" s="22">
        <v>7219355</v>
      </c>
      <c r="E42" s="49" t="s">
        <v>116</v>
      </c>
      <c r="F42" s="24" t="s">
        <v>117</v>
      </c>
      <c r="G42" s="32"/>
      <c r="H42" s="22">
        <v>147</v>
      </c>
      <c r="I42" s="22" t="s">
        <v>211</v>
      </c>
      <c r="J42" s="26">
        <v>21.000000006300002</v>
      </c>
      <c r="K42" s="35"/>
      <c r="L42" s="28">
        <f t="shared" si="0"/>
        <v>0</v>
      </c>
    </row>
    <row r="43" spans="1:12" x14ac:dyDescent="0.25">
      <c r="A43" s="23">
        <v>42</v>
      </c>
      <c r="B43" s="22" t="s">
        <v>204</v>
      </c>
      <c r="C43" s="23">
        <v>6630</v>
      </c>
      <c r="D43" s="22">
        <v>123618517</v>
      </c>
      <c r="E43" s="49">
        <v>65550</v>
      </c>
      <c r="F43" s="24" t="s">
        <v>205</v>
      </c>
      <c r="G43" s="32"/>
      <c r="H43" s="22">
        <v>63</v>
      </c>
      <c r="I43" s="22" t="s">
        <v>0</v>
      </c>
      <c r="J43" s="26">
        <v>9.0000000027000002</v>
      </c>
      <c r="K43" s="35"/>
      <c r="L43" s="28">
        <f t="shared" si="0"/>
        <v>0</v>
      </c>
    </row>
    <row r="44" spans="1:12" ht="30" x14ac:dyDescent="0.25">
      <c r="A44" s="23">
        <v>43</v>
      </c>
      <c r="B44" s="22" t="s">
        <v>118</v>
      </c>
      <c r="C44" s="23">
        <v>6530</v>
      </c>
      <c r="D44" s="22">
        <v>13386094</v>
      </c>
      <c r="E44" s="49">
        <v>404</v>
      </c>
      <c r="F44" s="24" t="s">
        <v>119</v>
      </c>
      <c r="G44" s="32"/>
      <c r="H44" s="22">
        <v>462</v>
      </c>
      <c r="I44" s="22" t="s">
        <v>0</v>
      </c>
      <c r="J44" s="26">
        <v>66.000000019800012</v>
      </c>
      <c r="K44" s="35"/>
      <c r="L44" s="28">
        <f t="shared" si="0"/>
        <v>0</v>
      </c>
    </row>
    <row r="45" spans="1:12" x14ac:dyDescent="0.25">
      <c r="A45" s="23">
        <v>44</v>
      </c>
      <c r="B45" s="22" t="s">
        <v>106</v>
      </c>
      <c r="C45" s="23">
        <v>6910</v>
      </c>
      <c r="D45" s="22">
        <v>17029061</v>
      </c>
      <c r="E45" s="49" t="s">
        <v>120</v>
      </c>
      <c r="F45" s="24" t="s">
        <v>121</v>
      </c>
      <c r="G45" s="32"/>
      <c r="H45" s="22">
        <v>84</v>
      </c>
      <c r="I45" s="22" t="s">
        <v>211</v>
      </c>
      <c r="J45" s="26">
        <v>12.0000000036</v>
      </c>
      <c r="K45" s="35"/>
      <c r="L45" s="28">
        <f t="shared" si="0"/>
        <v>0</v>
      </c>
    </row>
    <row r="46" spans="1:12" x14ac:dyDescent="0.25">
      <c r="A46" s="23">
        <v>45</v>
      </c>
      <c r="B46" s="22" t="s">
        <v>122</v>
      </c>
      <c r="C46" s="23">
        <v>6530</v>
      </c>
      <c r="D46" s="22">
        <v>15615453</v>
      </c>
      <c r="E46" s="49" t="s">
        <v>123</v>
      </c>
      <c r="F46" s="24" t="s">
        <v>124</v>
      </c>
      <c r="G46" s="32"/>
      <c r="H46" s="22">
        <v>378</v>
      </c>
      <c r="I46" s="22" t="s">
        <v>218</v>
      </c>
      <c r="J46" s="26">
        <v>54.000000016200005</v>
      </c>
      <c r="K46" s="35"/>
      <c r="L46" s="28">
        <f t="shared" si="0"/>
        <v>0</v>
      </c>
    </row>
    <row r="47" spans="1:12" x14ac:dyDescent="0.25">
      <c r="A47" s="23">
        <v>46</v>
      </c>
      <c r="B47" s="22" t="s">
        <v>125</v>
      </c>
      <c r="C47" s="23">
        <v>6640</v>
      </c>
      <c r="D47" s="22">
        <v>14594425</v>
      </c>
      <c r="E47" s="49" t="s">
        <v>126</v>
      </c>
      <c r="F47" s="24" t="s">
        <v>127</v>
      </c>
      <c r="G47" s="32"/>
      <c r="H47" s="22">
        <v>469</v>
      </c>
      <c r="I47" s="22" t="s">
        <v>0</v>
      </c>
      <c r="J47" s="26">
        <v>67.000000020100003</v>
      </c>
      <c r="K47" s="35"/>
      <c r="L47" s="28">
        <f t="shared" si="0"/>
        <v>0</v>
      </c>
    </row>
    <row r="48" spans="1:12" x14ac:dyDescent="0.25">
      <c r="A48" s="23">
        <v>47</v>
      </c>
      <c r="B48" s="22" t="s">
        <v>106</v>
      </c>
      <c r="C48" s="23">
        <v>6910</v>
      </c>
      <c r="D48" s="22">
        <v>17029081</v>
      </c>
      <c r="E48" s="49" t="s">
        <v>128</v>
      </c>
      <c r="F48" s="24" t="s">
        <v>129</v>
      </c>
      <c r="G48" s="32"/>
      <c r="H48" s="22">
        <v>98</v>
      </c>
      <c r="I48" s="22" t="s">
        <v>211</v>
      </c>
      <c r="J48" s="26">
        <v>14.0000000042</v>
      </c>
      <c r="K48" s="35"/>
      <c r="L48" s="28">
        <f t="shared" si="0"/>
        <v>0</v>
      </c>
    </row>
    <row r="49" spans="1:12" ht="30" x14ac:dyDescent="0.25">
      <c r="A49" s="23">
        <v>48</v>
      </c>
      <c r="B49" s="22" t="s">
        <v>133</v>
      </c>
      <c r="C49" s="23">
        <v>6530</v>
      </c>
      <c r="D49" s="22">
        <v>15495301</v>
      </c>
      <c r="E49" s="49">
        <v>44455</v>
      </c>
      <c r="F49" s="24" t="s">
        <v>134</v>
      </c>
      <c r="G49" s="32"/>
      <c r="H49" s="22">
        <v>266</v>
      </c>
      <c r="I49" s="22" t="s">
        <v>0</v>
      </c>
      <c r="J49" s="26">
        <v>38.000000011400004</v>
      </c>
      <c r="K49" s="35"/>
      <c r="L49" s="28">
        <f t="shared" si="0"/>
        <v>0</v>
      </c>
    </row>
    <row r="50" spans="1:12" ht="30" x14ac:dyDescent="0.25">
      <c r="A50" s="23">
        <v>49</v>
      </c>
      <c r="B50" s="22" t="s">
        <v>135</v>
      </c>
      <c r="C50" s="23">
        <v>6530</v>
      </c>
      <c r="D50" s="22">
        <v>15771091</v>
      </c>
      <c r="E50" s="49" t="s">
        <v>136</v>
      </c>
      <c r="F50" s="24" t="s">
        <v>137</v>
      </c>
      <c r="G50" s="32"/>
      <c r="H50" s="22">
        <v>63</v>
      </c>
      <c r="I50" s="22" t="s">
        <v>0</v>
      </c>
      <c r="J50" s="26">
        <v>9.0000000027000002</v>
      </c>
      <c r="K50" s="35"/>
      <c r="L50" s="28">
        <f t="shared" si="0"/>
        <v>0</v>
      </c>
    </row>
    <row r="51" spans="1:12" x14ac:dyDescent="0.25">
      <c r="A51" s="23">
        <v>50</v>
      </c>
      <c r="B51" s="22" t="s">
        <v>138</v>
      </c>
      <c r="C51" s="23">
        <v>6530</v>
      </c>
      <c r="D51" s="22">
        <v>11688096</v>
      </c>
      <c r="E51" s="49">
        <v>23087</v>
      </c>
      <c r="F51" s="24" t="s">
        <v>139</v>
      </c>
      <c r="G51" s="32"/>
      <c r="H51" s="22">
        <v>280</v>
      </c>
      <c r="I51" s="22" t="s">
        <v>0</v>
      </c>
      <c r="J51" s="26">
        <v>40.000000012000001</v>
      </c>
      <c r="K51" s="35"/>
      <c r="L51" s="28">
        <f t="shared" si="0"/>
        <v>0</v>
      </c>
    </row>
    <row r="52" spans="1:12" ht="30" x14ac:dyDescent="0.25">
      <c r="A52" s="23">
        <v>51</v>
      </c>
      <c r="B52" s="22" t="s">
        <v>140</v>
      </c>
      <c r="C52" s="23">
        <v>6530</v>
      </c>
      <c r="D52" s="22">
        <v>15660689</v>
      </c>
      <c r="E52" s="49" t="s">
        <v>141</v>
      </c>
      <c r="F52" s="24" t="s">
        <v>142</v>
      </c>
      <c r="G52" s="32"/>
      <c r="H52" s="22">
        <v>308</v>
      </c>
      <c r="I52" s="22" t="s">
        <v>0</v>
      </c>
      <c r="J52" s="26">
        <v>44.000000013200001</v>
      </c>
      <c r="K52" s="35"/>
      <c r="L52" s="28">
        <f t="shared" si="0"/>
        <v>0</v>
      </c>
    </row>
    <row r="53" spans="1:12" ht="45" x14ac:dyDescent="0.25">
      <c r="A53" s="23">
        <v>52</v>
      </c>
      <c r="B53" s="22" t="s">
        <v>143</v>
      </c>
      <c r="C53" s="23">
        <v>6630</v>
      </c>
      <c r="D53" s="22">
        <v>16222805</v>
      </c>
      <c r="E53" s="49" t="s">
        <v>144</v>
      </c>
      <c r="F53" s="24" t="s">
        <v>145</v>
      </c>
      <c r="G53" s="32"/>
      <c r="H53" s="22">
        <v>168</v>
      </c>
      <c r="I53" s="22" t="s">
        <v>217</v>
      </c>
      <c r="J53" s="26">
        <v>24.000000007200001</v>
      </c>
      <c r="K53" s="35"/>
      <c r="L53" s="28">
        <f t="shared" si="0"/>
        <v>0</v>
      </c>
    </row>
    <row r="54" spans="1:12" x14ac:dyDescent="0.25">
      <c r="A54" s="23">
        <v>53</v>
      </c>
      <c r="B54" s="22" t="s">
        <v>146</v>
      </c>
      <c r="C54" s="23">
        <v>6525</v>
      </c>
      <c r="D54" s="22">
        <v>5293346</v>
      </c>
      <c r="E54" s="49">
        <v>8303883</v>
      </c>
      <c r="F54" s="24" t="s">
        <v>147</v>
      </c>
      <c r="G54" s="32"/>
      <c r="H54" s="22">
        <v>322</v>
      </c>
      <c r="I54" s="22" t="s">
        <v>211</v>
      </c>
      <c r="J54" s="26">
        <v>46.000000013800005</v>
      </c>
      <c r="K54" s="35"/>
      <c r="L54" s="28">
        <f t="shared" si="0"/>
        <v>0</v>
      </c>
    </row>
    <row r="55" spans="1:12" x14ac:dyDescent="0.25">
      <c r="A55" s="23">
        <v>54</v>
      </c>
      <c r="B55" s="22" t="s">
        <v>148</v>
      </c>
      <c r="C55" s="23">
        <v>6630</v>
      </c>
      <c r="D55" s="22">
        <v>2449984</v>
      </c>
      <c r="E55" s="49" t="s">
        <v>149</v>
      </c>
      <c r="F55" s="24" t="s">
        <v>150</v>
      </c>
      <c r="G55" s="32"/>
      <c r="H55" s="22">
        <v>245</v>
      </c>
      <c r="I55" s="22" t="s">
        <v>0</v>
      </c>
      <c r="J55" s="26">
        <v>35.000000010500003</v>
      </c>
      <c r="K55" s="35"/>
      <c r="L55" s="28">
        <f t="shared" si="0"/>
        <v>0</v>
      </c>
    </row>
    <row r="56" spans="1:12" ht="30" x14ac:dyDescent="0.25">
      <c r="A56" s="23">
        <v>55</v>
      </c>
      <c r="B56" s="22" t="s">
        <v>151</v>
      </c>
      <c r="C56" s="23">
        <v>6640</v>
      </c>
      <c r="D56" s="22">
        <v>8891834</v>
      </c>
      <c r="E56" s="49" t="s">
        <v>152</v>
      </c>
      <c r="F56" s="24" t="s">
        <v>153</v>
      </c>
      <c r="G56" s="32"/>
      <c r="H56" s="22">
        <v>119</v>
      </c>
      <c r="I56" s="22" t="s">
        <v>0</v>
      </c>
      <c r="J56" s="26">
        <v>17.000000005100002</v>
      </c>
      <c r="K56" s="35"/>
      <c r="L56" s="28">
        <f t="shared" si="0"/>
        <v>0</v>
      </c>
    </row>
    <row r="57" spans="1:12" x14ac:dyDescent="0.25">
      <c r="A57" s="23">
        <v>56</v>
      </c>
      <c r="B57" s="22" t="s">
        <v>36</v>
      </c>
      <c r="C57" s="23">
        <v>6630</v>
      </c>
      <c r="D57" s="22">
        <v>16905334</v>
      </c>
      <c r="E57" s="49" t="s">
        <v>154</v>
      </c>
      <c r="F57" s="24" t="s">
        <v>155</v>
      </c>
      <c r="G57" s="32"/>
      <c r="H57" s="22">
        <v>294</v>
      </c>
      <c r="I57" s="22" t="s">
        <v>0</v>
      </c>
      <c r="J57" s="26">
        <v>42.000000012600005</v>
      </c>
      <c r="K57" s="35"/>
      <c r="L57" s="28">
        <f t="shared" si="0"/>
        <v>0</v>
      </c>
    </row>
    <row r="58" spans="1:12" x14ac:dyDescent="0.25">
      <c r="A58" s="23">
        <v>57</v>
      </c>
      <c r="B58" s="22" t="s">
        <v>156</v>
      </c>
      <c r="C58" s="23">
        <v>6910</v>
      </c>
      <c r="D58" s="22">
        <v>17080577</v>
      </c>
      <c r="E58" s="49">
        <v>1068125</v>
      </c>
      <c r="F58" s="24" t="s">
        <v>157</v>
      </c>
      <c r="G58" s="32"/>
      <c r="H58" s="22">
        <v>280</v>
      </c>
      <c r="I58" s="22" t="s">
        <v>218</v>
      </c>
      <c r="J58" s="26">
        <v>40.000000012000001</v>
      </c>
      <c r="K58" s="35"/>
      <c r="L58" s="28">
        <f t="shared" si="0"/>
        <v>0</v>
      </c>
    </row>
    <row r="59" spans="1:12" ht="30" x14ac:dyDescent="0.25">
      <c r="A59" s="23">
        <v>58</v>
      </c>
      <c r="B59" s="22" t="s">
        <v>39</v>
      </c>
      <c r="C59" s="23">
        <v>6640</v>
      </c>
      <c r="D59" s="22">
        <v>14723855</v>
      </c>
      <c r="E59" s="49">
        <v>44003</v>
      </c>
      <c r="F59" s="24" t="s">
        <v>159</v>
      </c>
      <c r="G59" s="32"/>
      <c r="H59" s="22">
        <v>140</v>
      </c>
      <c r="I59" s="22" t="s">
        <v>0</v>
      </c>
      <c r="J59" s="26">
        <v>20.000000006</v>
      </c>
      <c r="K59" s="35"/>
      <c r="L59" s="28">
        <f t="shared" si="0"/>
        <v>0</v>
      </c>
    </row>
    <row r="60" spans="1:12" x14ac:dyDescent="0.25">
      <c r="A60" s="23">
        <v>59</v>
      </c>
      <c r="B60" s="22" t="s">
        <v>6</v>
      </c>
      <c r="C60" s="23">
        <v>6530</v>
      </c>
      <c r="D60" s="22">
        <v>14598422</v>
      </c>
      <c r="E60" s="49">
        <v>7000126342</v>
      </c>
      <c r="F60" s="24" t="s">
        <v>160</v>
      </c>
      <c r="G60" s="32"/>
      <c r="H60" s="22">
        <v>70</v>
      </c>
      <c r="I60" s="22" t="s">
        <v>0</v>
      </c>
      <c r="J60" s="26">
        <v>10.000000003</v>
      </c>
      <c r="K60" s="35"/>
      <c r="L60" s="28">
        <f t="shared" ref="L60:L76" si="1">SUM(J60*K60)</f>
        <v>0</v>
      </c>
    </row>
    <row r="61" spans="1:12" x14ac:dyDescent="0.25">
      <c r="A61" s="23">
        <v>60</v>
      </c>
      <c r="B61" s="22" t="s">
        <v>161</v>
      </c>
      <c r="C61" s="23">
        <v>6530</v>
      </c>
      <c r="D61" s="22">
        <v>11310051</v>
      </c>
      <c r="E61" s="49">
        <v>528890000</v>
      </c>
      <c r="F61" s="24" t="s">
        <v>162</v>
      </c>
      <c r="G61" s="32"/>
      <c r="H61" s="22">
        <v>49</v>
      </c>
      <c r="I61" s="22" t="s">
        <v>0</v>
      </c>
      <c r="J61" s="26">
        <v>7.0000000021000002</v>
      </c>
      <c r="K61" s="35"/>
      <c r="L61" s="28">
        <f t="shared" si="1"/>
        <v>0</v>
      </c>
    </row>
    <row r="62" spans="1:12" ht="45" x14ac:dyDescent="0.25">
      <c r="A62" s="23">
        <v>61</v>
      </c>
      <c r="B62" s="22" t="s">
        <v>36</v>
      </c>
      <c r="C62" s="23">
        <v>6630</v>
      </c>
      <c r="D62" s="22">
        <v>16411591</v>
      </c>
      <c r="E62" s="49">
        <v>2569600</v>
      </c>
      <c r="F62" s="24" t="s">
        <v>166</v>
      </c>
      <c r="G62" s="32"/>
      <c r="H62" s="22">
        <v>119</v>
      </c>
      <c r="I62" s="22" t="s">
        <v>0</v>
      </c>
      <c r="J62" s="26">
        <v>17.000000005100002</v>
      </c>
      <c r="K62" s="35"/>
      <c r="L62" s="28">
        <f t="shared" si="1"/>
        <v>0</v>
      </c>
    </row>
    <row r="63" spans="1:12" x14ac:dyDescent="0.25">
      <c r="A63" s="23">
        <v>62</v>
      </c>
      <c r="B63" s="22" t="s">
        <v>167</v>
      </c>
      <c r="C63" s="23">
        <v>6520</v>
      </c>
      <c r="D63" s="22">
        <v>16033451</v>
      </c>
      <c r="E63" s="49" t="s">
        <v>168</v>
      </c>
      <c r="F63" s="24" t="s">
        <v>169</v>
      </c>
      <c r="G63" s="32"/>
      <c r="H63" s="22">
        <v>189</v>
      </c>
      <c r="I63" s="22" t="s">
        <v>0</v>
      </c>
      <c r="J63" s="26">
        <v>27.000000008100002</v>
      </c>
      <c r="K63" s="35"/>
      <c r="L63" s="28">
        <f t="shared" si="1"/>
        <v>0</v>
      </c>
    </row>
    <row r="64" spans="1:12" ht="30" x14ac:dyDescent="0.25">
      <c r="A64" s="23">
        <v>63</v>
      </c>
      <c r="B64" s="22" t="s">
        <v>170</v>
      </c>
      <c r="C64" s="23">
        <v>6630</v>
      </c>
      <c r="D64" s="22">
        <v>11885368</v>
      </c>
      <c r="E64" s="49" t="s">
        <v>171</v>
      </c>
      <c r="F64" s="24" t="s">
        <v>172</v>
      </c>
      <c r="G64" s="32"/>
      <c r="H64" s="22">
        <v>140</v>
      </c>
      <c r="I64" s="22" t="s">
        <v>0</v>
      </c>
      <c r="J64" s="26">
        <v>20.000000006</v>
      </c>
      <c r="K64" s="35"/>
      <c r="L64" s="28">
        <f t="shared" si="1"/>
        <v>0</v>
      </c>
    </row>
    <row r="65" spans="1:12" x14ac:dyDescent="0.25">
      <c r="A65" s="23">
        <v>64</v>
      </c>
      <c r="B65" s="22" t="s">
        <v>173</v>
      </c>
      <c r="C65" s="23">
        <v>6630</v>
      </c>
      <c r="D65" s="22">
        <v>14989908</v>
      </c>
      <c r="E65" s="49" t="s">
        <v>174</v>
      </c>
      <c r="F65" s="24" t="s">
        <v>175</v>
      </c>
      <c r="G65" s="32"/>
      <c r="H65" s="22">
        <v>42</v>
      </c>
      <c r="I65" s="22" t="s">
        <v>217</v>
      </c>
      <c r="J65" s="26">
        <v>6.0000000018000001</v>
      </c>
      <c r="K65" s="35"/>
      <c r="L65" s="28">
        <f t="shared" si="1"/>
        <v>0</v>
      </c>
    </row>
    <row r="66" spans="1:12" x14ac:dyDescent="0.25">
      <c r="A66" s="23">
        <v>65</v>
      </c>
      <c r="B66" s="22" t="s">
        <v>158</v>
      </c>
      <c r="C66" s="23">
        <v>6630</v>
      </c>
      <c r="D66" s="22">
        <v>16704967</v>
      </c>
      <c r="E66" s="49" t="s">
        <v>177</v>
      </c>
      <c r="F66" s="24" t="s">
        <v>178</v>
      </c>
      <c r="G66" s="32"/>
      <c r="H66" s="22">
        <v>91</v>
      </c>
      <c r="I66" s="22" t="s">
        <v>0</v>
      </c>
      <c r="J66" s="26">
        <v>13.0000000039</v>
      </c>
      <c r="K66" s="35"/>
      <c r="L66" s="28">
        <f t="shared" si="1"/>
        <v>0</v>
      </c>
    </row>
    <row r="67" spans="1:12" x14ac:dyDescent="0.25">
      <c r="A67" s="23">
        <v>66</v>
      </c>
      <c r="B67" s="22" t="s">
        <v>106</v>
      </c>
      <c r="C67" s="23">
        <v>6910</v>
      </c>
      <c r="D67" s="22">
        <v>16565343</v>
      </c>
      <c r="E67" s="49" t="s">
        <v>179</v>
      </c>
      <c r="F67" s="24" t="s">
        <v>180</v>
      </c>
      <c r="G67" s="32"/>
      <c r="H67" s="22">
        <v>112</v>
      </c>
      <c r="I67" s="22" t="s">
        <v>0</v>
      </c>
      <c r="J67" s="26">
        <v>16.0000000048</v>
      </c>
      <c r="K67" s="35"/>
      <c r="L67" s="28">
        <f t="shared" si="1"/>
        <v>0</v>
      </c>
    </row>
    <row r="68" spans="1:12" x14ac:dyDescent="0.25">
      <c r="A68" s="23">
        <v>67</v>
      </c>
      <c r="B68" s="22" t="s">
        <v>181</v>
      </c>
      <c r="C68" s="23">
        <v>6135</v>
      </c>
      <c r="D68" s="22">
        <v>16529622</v>
      </c>
      <c r="E68" s="49" t="s">
        <v>182</v>
      </c>
      <c r="F68" s="24" t="s">
        <v>183</v>
      </c>
      <c r="G68" s="32"/>
      <c r="H68" s="22">
        <v>56</v>
      </c>
      <c r="I68" s="22" t="s">
        <v>0</v>
      </c>
      <c r="J68" s="26">
        <v>8.0000000024000002</v>
      </c>
      <c r="K68" s="35"/>
      <c r="L68" s="28">
        <f t="shared" si="1"/>
        <v>0</v>
      </c>
    </row>
    <row r="69" spans="1:12" x14ac:dyDescent="0.25">
      <c r="A69" s="23">
        <v>68</v>
      </c>
      <c r="B69" s="22" t="s">
        <v>184</v>
      </c>
      <c r="C69" s="23">
        <v>4110</v>
      </c>
      <c r="D69" s="22">
        <v>16296841</v>
      </c>
      <c r="E69" s="49" t="s">
        <v>185</v>
      </c>
      <c r="F69" s="24" t="s">
        <v>186</v>
      </c>
      <c r="G69" s="32"/>
      <c r="H69" s="22">
        <v>98</v>
      </c>
      <c r="I69" s="22" t="s">
        <v>0</v>
      </c>
      <c r="J69" s="26">
        <v>14.0000000042</v>
      </c>
      <c r="K69" s="35"/>
      <c r="L69" s="28">
        <f t="shared" si="1"/>
        <v>0</v>
      </c>
    </row>
    <row r="70" spans="1:12" ht="30" x14ac:dyDescent="0.25">
      <c r="A70" s="23">
        <v>69</v>
      </c>
      <c r="B70" s="22" t="s">
        <v>106</v>
      </c>
      <c r="C70" s="23">
        <v>6910</v>
      </c>
      <c r="D70" s="22">
        <v>17028864</v>
      </c>
      <c r="E70" s="49" t="s">
        <v>187</v>
      </c>
      <c r="F70" s="24" t="s">
        <v>188</v>
      </c>
      <c r="G70" s="32"/>
      <c r="H70" s="22">
        <v>77</v>
      </c>
      <c r="I70" s="22" t="s">
        <v>0</v>
      </c>
      <c r="J70" s="26">
        <v>11.0000000033</v>
      </c>
      <c r="K70" s="35"/>
      <c r="L70" s="28">
        <f t="shared" si="1"/>
        <v>0</v>
      </c>
    </row>
    <row r="71" spans="1:12" x14ac:dyDescent="0.25">
      <c r="A71" s="23">
        <v>70</v>
      </c>
      <c r="B71" s="22" t="s">
        <v>106</v>
      </c>
      <c r="C71" s="23">
        <v>6910</v>
      </c>
      <c r="D71" s="22">
        <v>16933677</v>
      </c>
      <c r="E71" s="49" t="s">
        <v>189</v>
      </c>
      <c r="F71" s="24" t="s">
        <v>190</v>
      </c>
      <c r="G71" s="32"/>
      <c r="H71" s="22">
        <v>77</v>
      </c>
      <c r="I71" s="22" t="s">
        <v>217</v>
      </c>
      <c r="J71" s="26">
        <v>11.0000000033</v>
      </c>
      <c r="K71" s="35"/>
      <c r="L71" s="28">
        <f t="shared" si="1"/>
        <v>0</v>
      </c>
    </row>
    <row r="72" spans="1:12" x14ac:dyDescent="0.25">
      <c r="A72" s="23">
        <v>71</v>
      </c>
      <c r="B72" s="22" t="s">
        <v>191</v>
      </c>
      <c r="C72" s="23">
        <v>6530</v>
      </c>
      <c r="D72" s="22">
        <v>14645951</v>
      </c>
      <c r="E72" s="49" t="s">
        <v>192</v>
      </c>
      <c r="F72" s="24" t="s">
        <v>193</v>
      </c>
      <c r="G72" s="32"/>
      <c r="H72" s="22">
        <v>56</v>
      </c>
      <c r="I72" s="22" t="s">
        <v>0</v>
      </c>
      <c r="J72" s="26">
        <v>8.0000000024000002</v>
      </c>
      <c r="K72" s="35"/>
      <c r="L72" s="28">
        <f t="shared" si="1"/>
        <v>0</v>
      </c>
    </row>
    <row r="73" spans="1:12" x14ac:dyDescent="0.25">
      <c r="A73" s="23">
        <v>72</v>
      </c>
      <c r="B73" s="22" t="s">
        <v>194</v>
      </c>
      <c r="C73" s="23">
        <v>6665</v>
      </c>
      <c r="D73" s="22">
        <v>12302652</v>
      </c>
      <c r="E73" s="49" t="s">
        <v>195</v>
      </c>
      <c r="F73" s="24" t="s">
        <v>196</v>
      </c>
      <c r="G73" s="32"/>
      <c r="H73" s="22">
        <v>35</v>
      </c>
      <c r="I73" s="22" t="s">
        <v>0</v>
      </c>
      <c r="J73" s="26">
        <v>5.0000000015000001</v>
      </c>
      <c r="K73" s="35"/>
      <c r="L73" s="28">
        <f t="shared" si="1"/>
        <v>0</v>
      </c>
    </row>
    <row r="74" spans="1:12" ht="30" x14ac:dyDescent="0.25">
      <c r="A74" s="23">
        <v>73</v>
      </c>
      <c r="B74" s="22" t="s">
        <v>197</v>
      </c>
      <c r="C74" s="23">
        <v>6910</v>
      </c>
      <c r="D74" s="22">
        <v>16948333</v>
      </c>
      <c r="E74" s="49" t="s">
        <v>198</v>
      </c>
      <c r="F74" s="24" t="s">
        <v>199</v>
      </c>
      <c r="G74" s="32"/>
      <c r="H74" s="22">
        <v>49</v>
      </c>
      <c r="I74" s="22" t="s">
        <v>217</v>
      </c>
      <c r="J74" s="26">
        <v>7.0000000021000002</v>
      </c>
      <c r="K74" s="35"/>
      <c r="L74" s="28">
        <f t="shared" si="1"/>
        <v>0</v>
      </c>
    </row>
    <row r="75" spans="1:12" x14ac:dyDescent="0.25">
      <c r="A75" s="23">
        <v>74</v>
      </c>
      <c r="B75" s="22" t="s">
        <v>61</v>
      </c>
      <c r="C75" s="23">
        <v>6630</v>
      </c>
      <c r="D75" s="22">
        <v>14824377</v>
      </c>
      <c r="E75" s="49">
        <v>6406120</v>
      </c>
      <c r="F75" s="24" t="s">
        <v>200</v>
      </c>
      <c r="G75" s="32"/>
      <c r="H75" s="22">
        <v>84</v>
      </c>
      <c r="I75" s="22" t="s">
        <v>0</v>
      </c>
      <c r="J75" s="26">
        <v>12.0000000036</v>
      </c>
      <c r="K75" s="35"/>
      <c r="L75" s="28">
        <f t="shared" si="1"/>
        <v>0</v>
      </c>
    </row>
    <row r="76" spans="1:12" x14ac:dyDescent="0.25">
      <c r="A76" s="23">
        <v>75</v>
      </c>
      <c r="B76" s="22" t="s">
        <v>201</v>
      </c>
      <c r="C76" s="23">
        <v>6680</v>
      </c>
      <c r="D76" s="22">
        <v>14723554</v>
      </c>
      <c r="E76" s="49" t="s">
        <v>202</v>
      </c>
      <c r="F76" s="24" t="s">
        <v>203</v>
      </c>
      <c r="G76" s="32"/>
      <c r="H76" s="22">
        <v>77</v>
      </c>
      <c r="I76" s="22" t="s">
        <v>0</v>
      </c>
      <c r="J76" s="26">
        <v>11.0000000033</v>
      </c>
      <c r="K76" s="35"/>
      <c r="L76" s="28">
        <f t="shared" si="1"/>
        <v>0</v>
      </c>
    </row>
    <row r="78" spans="1:12" x14ac:dyDescent="0.25">
      <c r="J78" s="29" t="s">
        <v>227</v>
      </c>
      <c r="K78" s="37"/>
      <c r="L78" s="30">
        <v>0</v>
      </c>
    </row>
  </sheetData>
  <sheetProtection algorithmName="SHA-512" hashValue="tq32LerOr0tK65IzTpibftvbq3xu+3q4kuPzDPbb7SbaUiiKQhl9WQGTnAN7LSN8Hp1vbWk5lRKBTeZ4lNLRCg==" saltValue="iz5uBgnuDhFPuKm83IFO+Q==" spinCount="100000" sheet="1" objects="1" scenarios="1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2EE-E78B-4B71-9AAA-BE1A2D7B6783}">
  <dimension ref="A1:I101"/>
  <sheetViews>
    <sheetView topLeftCell="A58" zoomScaleNormal="100" workbookViewId="0">
      <selection activeCell="G13" sqref="G13"/>
    </sheetView>
  </sheetViews>
  <sheetFormatPr defaultColWidth="9.140625" defaultRowHeight="15" x14ac:dyDescent="0.25"/>
  <cols>
    <col min="1" max="1" width="6.85546875" style="4" bestFit="1" customWidth="1"/>
    <col min="2" max="2" width="13.42578125" style="18" bestFit="1" customWidth="1"/>
    <col min="3" max="3" width="12.140625" style="4" customWidth="1"/>
    <col min="4" max="5" width="10.5703125" style="4" customWidth="1"/>
    <col min="6" max="6" width="12.85546875" style="4" customWidth="1"/>
    <col min="7" max="8" width="28.140625" style="4" customWidth="1"/>
    <col min="9" max="9" width="31.42578125" style="4" customWidth="1"/>
    <col min="10" max="16384" width="9.140625" style="4"/>
  </cols>
  <sheetData>
    <row r="1" spans="1:9" ht="43.5" customHeight="1" x14ac:dyDescent="0.25">
      <c r="A1" s="1" t="s">
        <v>230</v>
      </c>
      <c r="B1" s="2" t="s">
        <v>8</v>
      </c>
      <c r="C1" s="1" t="s">
        <v>231</v>
      </c>
      <c r="D1" s="1" t="s">
        <v>232</v>
      </c>
      <c r="E1" s="1" t="s">
        <v>233</v>
      </c>
      <c r="F1" s="1" t="s">
        <v>234</v>
      </c>
      <c r="G1" s="3" t="s">
        <v>2</v>
      </c>
      <c r="H1" s="3" t="s">
        <v>7</v>
      </c>
      <c r="I1" s="3" t="s">
        <v>3</v>
      </c>
    </row>
    <row r="2" spans="1:9" ht="45" x14ac:dyDescent="0.25">
      <c r="A2" s="5">
        <v>6530</v>
      </c>
      <c r="B2" s="6">
        <v>13807309</v>
      </c>
      <c r="C2" s="5">
        <v>274</v>
      </c>
      <c r="D2" s="7">
        <v>2999</v>
      </c>
      <c r="E2" s="8" t="s">
        <v>0</v>
      </c>
      <c r="F2" s="8" t="s">
        <v>235</v>
      </c>
      <c r="G2" s="9" t="s">
        <v>236</v>
      </c>
      <c r="H2" s="9" t="s">
        <v>237</v>
      </c>
      <c r="I2" s="9" t="s">
        <v>238</v>
      </c>
    </row>
    <row r="3" spans="1:9" ht="30" x14ac:dyDescent="0.25">
      <c r="A3" s="5">
        <v>6530</v>
      </c>
      <c r="B3" s="6">
        <v>15195786</v>
      </c>
      <c r="C3" s="5">
        <v>103</v>
      </c>
      <c r="D3" s="7">
        <v>5500</v>
      </c>
      <c r="E3" s="8" t="s">
        <v>211</v>
      </c>
      <c r="F3" s="8" t="s">
        <v>239</v>
      </c>
      <c r="G3" s="10" t="s">
        <v>240</v>
      </c>
      <c r="H3" s="10" t="s">
        <v>241</v>
      </c>
      <c r="I3" s="9" t="s">
        <v>242</v>
      </c>
    </row>
    <row r="4" spans="1:9" ht="45" x14ac:dyDescent="0.25">
      <c r="A4" s="5">
        <v>6530</v>
      </c>
      <c r="B4" s="6">
        <v>12761366</v>
      </c>
      <c r="C4" s="5">
        <v>50</v>
      </c>
      <c r="D4" s="5">
        <v>87</v>
      </c>
      <c r="E4" s="8" t="s">
        <v>211</v>
      </c>
      <c r="F4" s="8" t="s">
        <v>235</v>
      </c>
      <c r="G4" s="11" t="s">
        <v>243</v>
      </c>
      <c r="H4" s="11" t="s">
        <v>98</v>
      </c>
      <c r="I4" s="11" t="s">
        <v>244</v>
      </c>
    </row>
    <row r="5" spans="1:9" ht="30" x14ac:dyDescent="0.25">
      <c r="A5" s="5">
        <v>6530</v>
      </c>
      <c r="B5" s="6">
        <v>16111153</v>
      </c>
      <c r="C5" s="5">
        <v>32</v>
      </c>
      <c r="D5" s="5">
        <v>61</v>
      </c>
      <c r="E5" s="8" t="s">
        <v>0</v>
      </c>
      <c r="F5" s="8" t="s">
        <v>235</v>
      </c>
      <c r="G5" s="11" t="s">
        <v>245</v>
      </c>
      <c r="H5" s="11" t="s">
        <v>246</v>
      </c>
      <c r="I5" s="11" t="s">
        <v>247</v>
      </c>
    </row>
    <row r="6" spans="1:9" ht="105" x14ac:dyDescent="0.25">
      <c r="A6" s="5">
        <v>6530</v>
      </c>
      <c r="B6" s="6">
        <v>8651950</v>
      </c>
      <c r="C6" s="5">
        <v>21</v>
      </c>
      <c r="D6" s="7">
        <v>540</v>
      </c>
      <c r="E6" s="8" t="s">
        <v>211</v>
      </c>
      <c r="F6" s="8" t="s">
        <v>248</v>
      </c>
      <c r="G6" s="11" t="s">
        <v>249</v>
      </c>
      <c r="H6" s="11" t="s">
        <v>250</v>
      </c>
      <c r="I6" s="11" t="s">
        <v>251</v>
      </c>
    </row>
    <row r="7" spans="1:9" ht="30" x14ac:dyDescent="0.25">
      <c r="A7" s="5">
        <v>6530</v>
      </c>
      <c r="B7" s="6">
        <v>15480262</v>
      </c>
      <c r="C7" s="5">
        <v>38</v>
      </c>
      <c r="D7" s="5">
        <v>330</v>
      </c>
      <c r="E7" s="8" t="s">
        <v>0</v>
      </c>
      <c r="F7" s="8" t="s">
        <v>235</v>
      </c>
      <c r="G7" s="11" t="s">
        <v>252</v>
      </c>
      <c r="H7" s="11" t="s">
        <v>253</v>
      </c>
      <c r="I7" s="11" t="s">
        <v>254</v>
      </c>
    </row>
    <row r="8" spans="1:9" x14ac:dyDescent="0.25">
      <c r="A8" s="5">
        <v>6530</v>
      </c>
      <c r="B8" s="6">
        <v>16189373</v>
      </c>
      <c r="C8" s="5">
        <v>42</v>
      </c>
      <c r="D8" s="7">
        <v>1590</v>
      </c>
      <c r="E8" s="8" t="s">
        <v>211</v>
      </c>
      <c r="F8" s="8" t="s">
        <v>255</v>
      </c>
      <c r="G8" s="12">
        <v>8134675</v>
      </c>
      <c r="H8" s="11" t="s">
        <v>256</v>
      </c>
      <c r="I8" s="11" t="s">
        <v>257</v>
      </c>
    </row>
    <row r="9" spans="1:9" ht="30" x14ac:dyDescent="0.25">
      <c r="A9" s="5">
        <v>6630</v>
      </c>
      <c r="B9" s="6">
        <v>16707480</v>
      </c>
      <c r="C9" s="5">
        <v>29</v>
      </c>
      <c r="D9" s="5">
        <v>63</v>
      </c>
      <c r="E9" s="8" t="s">
        <v>0</v>
      </c>
      <c r="F9" s="8" t="s">
        <v>235</v>
      </c>
      <c r="G9" s="11" t="s">
        <v>258</v>
      </c>
      <c r="H9" s="11" t="s">
        <v>259</v>
      </c>
      <c r="I9" s="11" t="s">
        <v>260</v>
      </c>
    </row>
    <row r="10" spans="1:9" ht="60" x14ac:dyDescent="0.25">
      <c r="A10" s="5">
        <v>6530</v>
      </c>
      <c r="B10" s="6">
        <v>11075798</v>
      </c>
      <c r="C10" s="5">
        <v>24</v>
      </c>
      <c r="D10" s="7">
        <v>13600</v>
      </c>
      <c r="E10" s="8" t="s">
        <v>211</v>
      </c>
      <c r="F10" s="8" t="s">
        <v>261</v>
      </c>
      <c r="G10" s="11" t="s">
        <v>262</v>
      </c>
      <c r="H10" s="11" t="s">
        <v>263</v>
      </c>
      <c r="I10" s="11" t="s">
        <v>264</v>
      </c>
    </row>
    <row r="11" spans="1:9" ht="60" x14ac:dyDescent="0.25">
      <c r="A11" s="1">
        <v>6530</v>
      </c>
      <c r="B11" s="6">
        <v>13077434</v>
      </c>
      <c r="C11" s="5">
        <v>18</v>
      </c>
      <c r="D11" s="7">
        <v>67000</v>
      </c>
      <c r="E11" s="8" t="s">
        <v>211</v>
      </c>
      <c r="F11" s="8" t="s">
        <v>265</v>
      </c>
      <c r="G11" s="11" t="s">
        <v>266</v>
      </c>
      <c r="H11" s="11" t="s">
        <v>266</v>
      </c>
      <c r="I11" s="11" t="s">
        <v>267</v>
      </c>
    </row>
    <row r="12" spans="1:9" ht="30" x14ac:dyDescent="0.25">
      <c r="A12" s="5">
        <v>6530</v>
      </c>
      <c r="B12" s="6">
        <v>13511698</v>
      </c>
      <c r="C12" s="5">
        <v>17</v>
      </c>
      <c r="D12" s="7">
        <v>33000</v>
      </c>
      <c r="E12" s="8" t="s">
        <v>211</v>
      </c>
      <c r="F12" s="8" t="s">
        <v>265</v>
      </c>
      <c r="G12" s="1" t="s">
        <v>268</v>
      </c>
      <c r="H12" s="1" t="s">
        <v>27</v>
      </c>
      <c r="I12" s="1" t="s">
        <v>269</v>
      </c>
    </row>
    <row r="13" spans="1:9" ht="75" x14ac:dyDescent="0.25">
      <c r="A13" s="5">
        <v>6640</v>
      </c>
      <c r="B13" s="6">
        <v>13450909</v>
      </c>
      <c r="C13" s="5">
        <v>15</v>
      </c>
      <c r="D13" s="7">
        <v>25200</v>
      </c>
      <c r="E13" s="8" t="s">
        <v>211</v>
      </c>
      <c r="F13" s="8" t="s">
        <v>270</v>
      </c>
      <c r="G13" s="11" t="s">
        <v>271</v>
      </c>
      <c r="H13" s="11" t="s">
        <v>272</v>
      </c>
      <c r="I13" s="11" t="s">
        <v>273</v>
      </c>
    </row>
    <row r="14" spans="1:9" ht="60" x14ac:dyDescent="0.25">
      <c r="A14" s="5">
        <v>6530</v>
      </c>
      <c r="B14" s="6">
        <v>13077433</v>
      </c>
      <c r="C14" s="5">
        <v>15</v>
      </c>
      <c r="D14" s="7">
        <v>62000</v>
      </c>
      <c r="E14" s="8" t="s">
        <v>211</v>
      </c>
      <c r="F14" s="8" t="s">
        <v>265</v>
      </c>
      <c r="G14" s="11" t="s">
        <v>274</v>
      </c>
      <c r="H14" s="11" t="s">
        <v>275</v>
      </c>
      <c r="I14" s="11" t="s">
        <v>276</v>
      </c>
    </row>
    <row r="15" spans="1:9" ht="45" x14ac:dyDescent="0.25">
      <c r="A15" s="5">
        <v>6532</v>
      </c>
      <c r="B15" s="6">
        <v>13277237</v>
      </c>
      <c r="C15" s="5">
        <v>14</v>
      </c>
      <c r="D15" s="7">
        <v>40000</v>
      </c>
      <c r="E15" s="8" t="s">
        <v>211</v>
      </c>
      <c r="F15" s="8" t="s">
        <v>277</v>
      </c>
      <c r="G15" s="11" t="s">
        <v>278</v>
      </c>
      <c r="H15" s="11" t="s">
        <v>26</v>
      </c>
      <c r="I15" s="11" t="s">
        <v>279</v>
      </c>
    </row>
    <row r="16" spans="1:9" ht="30" x14ac:dyDescent="0.25">
      <c r="A16" s="5">
        <v>6630</v>
      </c>
      <c r="B16" s="6">
        <v>16806773</v>
      </c>
      <c r="C16" s="5">
        <v>15</v>
      </c>
      <c r="D16" s="5">
        <v>55</v>
      </c>
      <c r="E16" s="8" t="s">
        <v>0</v>
      </c>
      <c r="F16" s="8" t="s">
        <v>235</v>
      </c>
      <c r="G16" s="11" t="s">
        <v>280</v>
      </c>
      <c r="H16" s="11" t="s">
        <v>158</v>
      </c>
      <c r="I16" s="11" t="s">
        <v>281</v>
      </c>
    </row>
    <row r="17" spans="1:9" ht="30" x14ac:dyDescent="0.25">
      <c r="A17" s="5">
        <v>6530</v>
      </c>
      <c r="B17" s="6">
        <v>16309998</v>
      </c>
      <c r="C17" s="5">
        <v>4</v>
      </c>
      <c r="D17" s="5">
        <v>150</v>
      </c>
      <c r="E17" s="8" t="s">
        <v>0</v>
      </c>
      <c r="F17" s="8" t="s">
        <v>235</v>
      </c>
      <c r="G17" s="12">
        <v>8442</v>
      </c>
      <c r="H17" s="11" t="s">
        <v>282</v>
      </c>
      <c r="I17" s="11" t="s">
        <v>283</v>
      </c>
    </row>
    <row r="18" spans="1:9" ht="30" x14ac:dyDescent="0.25">
      <c r="A18" s="1">
        <v>6530</v>
      </c>
      <c r="B18" s="6">
        <v>15480940</v>
      </c>
      <c r="C18" s="5">
        <v>31</v>
      </c>
      <c r="D18" s="5">
        <v>67</v>
      </c>
      <c r="E18" s="8" t="s">
        <v>0</v>
      </c>
      <c r="F18" s="8" t="s">
        <v>235</v>
      </c>
      <c r="G18" s="11" t="s">
        <v>284</v>
      </c>
      <c r="H18" s="11" t="s">
        <v>285</v>
      </c>
      <c r="I18" s="11" t="s">
        <v>286</v>
      </c>
    </row>
    <row r="19" spans="1:9" ht="30" x14ac:dyDescent="0.25">
      <c r="A19" s="5">
        <v>6530</v>
      </c>
      <c r="B19" s="6">
        <v>6600034</v>
      </c>
      <c r="C19" s="5">
        <v>21</v>
      </c>
      <c r="D19" s="5">
        <v>94</v>
      </c>
      <c r="E19" s="8" t="s">
        <v>287</v>
      </c>
      <c r="F19" s="8" t="s">
        <v>235</v>
      </c>
      <c r="G19" s="13">
        <v>6530006600034</v>
      </c>
      <c r="H19" s="11" t="s">
        <v>288</v>
      </c>
      <c r="I19" s="11" t="s">
        <v>289</v>
      </c>
    </row>
    <row r="20" spans="1:9" ht="45" x14ac:dyDescent="0.25">
      <c r="A20" s="1">
        <v>6530</v>
      </c>
      <c r="B20" s="6">
        <v>14604782</v>
      </c>
      <c r="C20" s="5">
        <v>21</v>
      </c>
      <c r="D20" s="7">
        <v>1325</v>
      </c>
      <c r="E20" s="8" t="s">
        <v>212</v>
      </c>
      <c r="F20" s="8" t="s">
        <v>290</v>
      </c>
      <c r="G20" s="11" t="s">
        <v>291</v>
      </c>
      <c r="H20" s="11" t="s">
        <v>292</v>
      </c>
      <c r="I20" s="11" t="s">
        <v>293</v>
      </c>
    </row>
    <row r="21" spans="1:9" ht="45" x14ac:dyDescent="0.25">
      <c r="A21" s="1">
        <v>6530</v>
      </c>
      <c r="B21" s="6">
        <v>70</v>
      </c>
      <c r="C21" s="5">
        <v>12</v>
      </c>
      <c r="D21" s="5">
        <v>505000</v>
      </c>
      <c r="E21" s="8" t="s">
        <v>211</v>
      </c>
      <c r="F21" s="8" t="s">
        <v>294</v>
      </c>
      <c r="G21" s="14">
        <v>2301</v>
      </c>
      <c r="H21" s="1" t="s">
        <v>263</v>
      </c>
      <c r="I21" s="1" t="s">
        <v>295</v>
      </c>
    </row>
    <row r="22" spans="1:9" ht="45" x14ac:dyDescent="0.25">
      <c r="A22" s="1">
        <v>6530</v>
      </c>
      <c r="B22" s="6">
        <v>16540062</v>
      </c>
      <c r="C22" s="5">
        <v>12</v>
      </c>
      <c r="D22" s="5">
        <v>41</v>
      </c>
      <c r="E22" s="8" t="s">
        <v>0</v>
      </c>
      <c r="F22" s="8" t="s">
        <v>235</v>
      </c>
      <c r="G22" s="14" t="s">
        <v>296</v>
      </c>
      <c r="H22" s="1" t="s">
        <v>297</v>
      </c>
      <c r="I22" s="1" t="s">
        <v>298</v>
      </c>
    </row>
    <row r="23" spans="1:9" ht="45" x14ac:dyDescent="0.25">
      <c r="A23" s="1">
        <v>6640</v>
      </c>
      <c r="B23" s="6">
        <v>13585340</v>
      </c>
      <c r="C23" s="5">
        <v>11</v>
      </c>
      <c r="D23" s="5">
        <v>51</v>
      </c>
      <c r="E23" s="8" t="s">
        <v>0</v>
      </c>
      <c r="F23" s="8" t="s">
        <v>235</v>
      </c>
      <c r="G23" s="14" t="s">
        <v>299</v>
      </c>
      <c r="H23" s="1" t="s">
        <v>36</v>
      </c>
      <c r="I23" s="1" t="s">
        <v>300</v>
      </c>
    </row>
    <row r="24" spans="1:9" ht="45" x14ac:dyDescent="0.25">
      <c r="A24" s="1">
        <v>6530</v>
      </c>
      <c r="B24" s="6">
        <v>14193379</v>
      </c>
      <c r="C24" s="5">
        <v>8</v>
      </c>
      <c r="D24" s="5">
        <v>23</v>
      </c>
      <c r="E24" s="8" t="s">
        <v>218</v>
      </c>
      <c r="F24" s="8" t="s">
        <v>235</v>
      </c>
      <c r="G24" s="15">
        <v>140</v>
      </c>
      <c r="H24" s="1" t="s">
        <v>118</v>
      </c>
      <c r="I24" s="1" t="s">
        <v>301</v>
      </c>
    </row>
    <row r="25" spans="1:9" ht="30" x14ac:dyDescent="0.25">
      <c r="A25" s="1">
        <v>6530</v>
      </c>
      <c r="B25" s="6">
        <v>16007741</v>
      </c>
      <c r="C25" s="5">
        <v>7</v>
      </c>
      <c r="D25" s="5">
        <v>74</v>
      </c>
      <c r="E25" s="8" t="s">
        <v>0</v>
      </c>
      <c r="F25" s="8" t="s">
        <v>235</v>
      </c>
      <c r="G25" s="15" t="s">
        <v>302</v>
      </c>
      <c r="H25" s="1" t="s">
        <v>303</v>
      </c>
      <c r="I25" s="1" t="s">
        <v>304</v>
      </c>
    </row>
    <row r="26" spans="1:9" ht="30" x14ac:dyDescent="0.25">
      <c r="A26" s="5">
        <v>6630</v>
      </c>
      <c r="B26" s="6">
        <v>123892674</v>
      </c>
      <c r="C26" s="5">
        <v>159</v>
      </c>
      <c r="D26" s="5">
        <v>196</v>
      </c>
      <c r="E26" s="8" t="s">
        <v>0</v>
      </c>
      <c r="F26" s="8" t="s">
        <v>235</v>
      </c>
      <c r="G26" s="12">
        <v>8249700</v>
      </c>
      <c r="H26" s="11" t="s">
        <v>113</v>
      </c>
      <c r="I26" s="11" t="s">
        <v>114</v>
      </c>
    </row>
    <row r="27" spans="1:9" ht="30" x14ac:dyDescent="0.25">
      <c r="A27" s="5">
        <v>6640</v>
      </c>
      <c r="B27" s="6">
        <v>124058582</v>
      </c>
      <c r="C27" s="5">
        <v>92</v>
      </c>
      <c r="D27" s="5">
        <v>174</v>
      </c>
      <c r="E27" s="1" t="s">
        <v>0</v>
      </c>
      <c r="F27" s="1" t="s">
        <v>235</v>
      </c>
      <c r="G27" s="11" t="s">
        <v>305</v>
      </c>
      <c r="H27" s="11" t="s">
        <v>306</v>
      </c>
      <c r="I27" s="11" t="s">
        <v>307</v>
      </c>
    </row>
    <row r="28" spans="1:9" ht="30" x14ac:dyDescent="0.25">
      <c r="A28" s="5">
        <v>6630</v>
      </c>
      <c r="B28" s="6">
        <v>16905334</v>
      </c>
      <c r="C28" s="5">
        <v>42</v>
      </c>
      <c r="D28" s="5">
        <v>61</v>
      </c>
      <c r="E28" s="8" t="s">
        <v>0</v>
      </c>
      <c r="F28" s="8" t="s">
        <v>235</v>
      </c>
      <c r="G28" s="11" t="s">
        <v>154</v>
      </c>
      <c r="H28" s="11" t="s">
        <v>36</v>
      </c>
      <c r="I28" s="11" t="s">
        <v>155</v>
      </c>
    </row>
    <row r="29" spans="1:9" ht="75" x14ac:dyDescent="0.25">
      <c r="A29" s="5">
        <v>6630</v>
      </c>
      <c r="B29" s="6">
        <v>13884098</v>
      </c>
      <c r="C29" s="5">
        <v>11</v>
      </c>
      <c r="D29" s="7">
        <v>3500</v>
      </c>
      <c r="E29" s="1" t="s">
        <v>214</v>
      </c>
      <c r="F29" s="1" t="s">
        <v>308</v>
      </c>
      <c r="G29" s="11" t="s">
        <v>309</v>
      </c>
      <c r="H29" s="11" t="s">
        <v>69</v>
      </c>
      <c r="I29" s="11" t="s">
        <v>310</v>
      </c>
    </row>
    <row r="30" spans="1:9" ht="30" x14ac:dyDescent="0.25">
      <c r="A30" s="5">
        <v>6910</v>
      </c>
      <c r="B30" s="6">
        <v>17028871</v>
      </c>
      <c r="C30" s="5">
        <v>13</v>
      </c>
      <c r="D30" s="5">
        <v>18</v>
      </c>
      <c r="E30" s="8" t="s">
        <v>0</v>
      </c>
      <c r="F30" s="8" t="s">
        <v>235</v>
      </c>
      <c r="G30" s="11" t="s">
        <v>311</v>
      </c>
      <c r="H30" s="11" t="s">
        <v>106</v>
      </c>
      <c r="I30" s="11" t="s">
        <v>312</v>
      </c>
    </row>
    <row r="31" spans="1:9" ht="30" x14ac:dyDescent="0.25">
      <c r="A31" s="5">
        <v>6910</v>
      </c>
      <c r="B31" s="6">
        <v>17029081</v>
      </c>
      <c r="C31" s="5">
        <v>14</v>
      </c>
      <c r="D31" s="5">
        <v>123</v>
      </c>
      <c r="E31" s="8" t="s">
        <v>211</v>
      </c>
      <c r="F31" s="8" t="s">
        <v>313</v>
      </c>
      <c r="G31" s="11" t="s">
        <v>128</v>
      </c>
      <c r="H31" s="11" t="s">
        <v>106</v>
      </c>
      <c r="I31" s="11" t="s">
        <v>129</v>
      </c>
    </row>
    <row r="32" spans="1:9" ht="30" x14ac:dyDescent="0.25">
      <c r="A32" s="5">
        <v>6910</v>
      </c>
      <c r="B32" s="6">
        <v>16908679</v>
      </c>
      <c r="C32" s="5">
        <v>16</v>
      </c>
      <c r="D32" s="5">
        <v>1408</v>
      </c>
      <c r="E32" s="8" t="s">
        <v>211</v>
      </c>
      <c r="F32" s="8" t="s">
        <v>314</v>
      </c>
      <c r="G32" s="11" t="s">
        <v>315</v>
      </c>
      <c r="H32" s="11" t="s">
        <v>316</v>
      </c>
      <c r="I32" s="11" t="s">
        <v>317</v>
      </c>
    </row>
    <row r="33" spans="1:9" ht="45" x14ac:dyDescent="0.25">
      <c r="A33" s="5">
        <v>6630</v>
      </c>
      <c r="B33" s="6">
        <v>15905210</v>
      </c>
      <c r="C33" s="5">
        <v>4</v>
      </c>
      <c r="D33" s="5">
        <v>6</v>
      </c>
      <c r="E33" s="8" t="s">
        <v>0</v>
      </c>
      <c r="F33" s="8" t="s">
        <v>235</v>
      </c>
      <c r="G33" s="11" t="s">
        <v>318</v>
      </c>
      <c r="H33" s="11" t="s">
        <v>36</v>
      </c>
      <c r="I33" s="11" t="s">
        <v>319</v>
      </c>
    </row>
    <row r="34" spans="1:9" ht="45" x14ac:dyDescent="0.25">
      <c r="A34" s="1">
        <v>6520</v>
      </c>
      <c r="B34" s="6">
        <v>15877708</v>
      </c>
      <c r="C34" s="5">
        <v>12</v>
      </c>
      <c r="D34" s="7">
        <v>15000</v>
      </c>
      <c r="E34" s="8" t="s">
        <v>320</v>
      </c>
      <c r="F34" s="8" t="s">
        <v>321</v>
      </c>
      <c r="G34" s="11" t="s">
        <v>322</v>
      </c>
      <c r="H34" s="11" t="s">
        <v>323</v>
      </c>
      <c r="I34" s="11" t="s">
        <v>324</v>
      </c>
    </row>
    <row r="35" spans="1:9" ht="30" x14ac:dyDescent="0.25">
      <c r="A35" s="1">
        <v>6630</v>
      </c>
      <c r="B35" s="6">
        <v>14829263</v>
      </c>
      <c r="C35" s="5">
        <v>18</v>
      </c>
      <c r="D35" s="5">
        <v>21</v>
      </c>
      <c r="E35" s="8" t="s">
        <v>0</v>
      </c>
      <c r="F35" s="8" t="s">
        <v>235</v>
      </c>
      <c r="G35" s="11" t="s">
        <v>325</v>
      </c>
      <c r="H35" s="11" t="s">
        <v>325</v>
      </c>
      <c r="I35" s="11" t="s">
        <v>326</v>
      </c>
    </row>
    <row r="36" spans="1:9" ht="45" x14ac:dyDescent="0.25">
      <c r="A36" s="1">
        <v>6520</v>
      </c>
      <c r="B36" s="6">
        <v>15617615</v>
      </c>
      <c r="C36" s="5">
        <v>10</v>
      </c>
      <c r="D36" s="5">
        <v>420</v>
      </c>
      <c r="E36" s="8" t="s">
        <v>211</v>
      </c>
      <c r="F36" s="8" t="s">
        <v>327</v>
      </c>
      <c r="G36" s="12">
        <v>413</v>
      </c>
      <c r="H36" s="11" t="s">
        <v>328</v>
      </c>
      <c r="I36" s="11" t="s">
        <v>329</v>
      </c>
    </row>
    <row r="37" spans="1:9" ht="30" x14ac:dyDescent="0.25">
      <c r="A37" s="1">
        <v>6910</v>
      </c>
      <c r="B37" s="2">
        <v>16959363</v>
      </c>
      <c r="C37" s="1">
        <v>5</v>
      </c>
      <c r="D37" s="1">
        <v>39</v>
      </c>
      <c r="E37" s="1" t="s">
        <v>0</v>
      </c>
      <c r="F37" s="1" t="s">
        <v>235</v>
      </c>
      <c r="G37" s="1" t="s">
        <v>330</v>
      </c>
      <c r="H37" s="1" t="s">
        <v>316</v>
      </c>
      <c r="I37" s="1" t="s">
        <v>331</v>
      </c>
    </row>
    <row r="38" spans="1:9" ht="30" x14ac:dyDescent="0.25">
      <c r="A38" s="1">
        <v>6640</v>
      </c>
      <c r="B38" s="2">
        <v>14925120</v>
      </c>
      <c r="C38" s="1">
        <v>10</v>
      </c>
      <c r="D38" s="1">
        <v>50</v>
      </c>
      <c r="E38" s="1" t="s">
        <v>0</v>
      </c>
      <c r="F38" s="1" t="s">
        <v>235</v>
      </c>
      <c r="G38" s="1" t="s">
        <v>332</v>
      </c>
      <c r="H38" s="1" t="s">
        <v>19</v>
      </c>
      <c r="I38" s="1" t="s">
        <v>333</v>
      </c>
    </row>
    <row r="39" spans="1:9" ht="45" x14ac:dyDescent="0.25">
      <c r="A39" s="1">
        <v>6630</v>
      </c>
      <c r="B39" s="2">
        <v>15264098</v>
      </c>
      <c r="C39" s="1">
        <v>12</v>
      </c>
      <c r="D39" s="1">
        <v>52</v>
      </c>
      <c r="E39" s="1" t="s">
        <v>0</v>
      </c>
      <c r="F39" s="1" t="s">
        <v>235</v>
      </c>
      <c r="G39" s="1" t="s">
        <v>334</v>
      </c>
      <c r="H39" s="1" t="s">
        <v>335</v>
      </c>
      <c r="I39" s="1" t="s">
        <v>336</v>
      </c>
    </row>
    <row r="40" spans="1:9" ht="30" x14ac:dyDescent="0.25">
      <c r="A40" s="1">
        <v>6630</v>
      </c>
      <c r="B40" s="2">
        <v>14824383</v>
      </c>
      <c r="C40" s="1">
        <v>11</v>
      </c>
      <c r="D40" s="1">
        <v>11</v>
      </c>
      <c r="E40" s="1" t="s">
        <v>0</v>
      </c>
      <c r="F40" s="1" t="s">
        <v>235</v>
      </c>
      <c r="G40" s="1" t="s">
        <v>337</v>
      </c>
      <c r="H40" s="1" t="s">
        <v>338</v>
      </c>
      <c r="I40" s="1" t="s">
        <v>339</v>
      </c>
    </row>
    <row r="41" spans="1:9" ht="30" x14ac:dyDescent="0.25">
      <c r="A41" s="1">
        <v>6640</v>
      </c>
      <c r="B41" s="2">
        <v>1979878</v>
      </c>
      <c r="C41" s="1">
        <v>52</v>
      </c>
      <c r="D41" s="1">
        <v>2115</v>
      </c>
      <c r="E41" s="1" t="s">
        <v>0</v>
      </c>
      <c r="F41" s="1" t="s">
        <v>235</v>
      </c>
      <c r="G41" s="1" t="s">
        <v>340</v>
      </c>
      <c r="H41" s="1" t="s">
        <v>341</v>
      </c>
      <c r="I41" s="1" t="s">
        <v>342</v>
      </c>
    </row>
    <row r="42" spans="1:9" ht="45" x14ac:dyDescent="0.25">
      <c r="A42" s="1">
        <v>6530</v>
      </c>
      <c r="B42" s="2">
        <v>2998353</v>
      </c>
      <c r="C42" s="1">
        <v>43</v>
      </c>
      <c r="D42" s="1">
        <v>210</v>
      </c>
      <c r="E42" s="1" t="s">
        <v>0</v>
      </c>
      <c r="F42" s="1" t="s">
        <v>235</v>
      </c>
      <c r="G42" s="1" t="s">
        <v>343</v>
      </c>
      <c r="H42" s="1" t="s">
        <v>344</v>
      </c>
      <c r="I42" s="1" t="s">
        <v>345</v>
      </c>
    </row>
    <row r="43" spans="1:9" ht="75" x14ac:dyDescent="0.25">
      <c r="A43" s="1">
        <v>6530</v>
      </c>
      <c r="B43" s="2">
        <v>8368134</v>
      </c>
      <c r="C43" s="1">
        <v>43</v>
      </c>
      <c r="D43" s="1">
        <v>106</v>
      </c>
      <c r="E43" s="1" t="s">
        <v>211</v>
      </c>
      <c r="F43" s="1" t="s">
        <v>235</v>
      </c>
      <c r="G43" s="1" t="s">
        <v>346</v>
      </c>
      <c r="H43" s="1" t="s">
        <v>26</v>
      </c>
      <c r="I43" s="1" t="s">
        <v>347</v>
      </c>
    </row>
    <row r="44" spans="1:9" ht="60" x14ac:dyDescent="0.25">
      <c r="A44" s="1">
        <v>6640</v>
      </c>
      <c r="B44" s="2">
        <v>12042654</v>
      </c>
      <c r="C44" s="1">
        <v>34</v>
      </c>
      <c r="D44" s="1">
        <v>5832</v>
      </c>
      <c r="E44" s="1" t="s">
        <v>348</v>
      </c>
      <c r="F44" s="1" t="s">
        <v>349</v>
      </c>
      <c r="G44" s="1" t="s">
        <v>350</v>
      </c>
      <c r="H44" s="1" t="s">
        <v>351</v>
      </c>
      <c r="I44" s="1" t="s">
        <v>352</v>
      </c>
    </row>
    <row r="45" spans="1:9" ht="30" x14ac:dyDescent="0.25">
      <c r="A45" s="1">
        <v>6530</v>
      </c>
      <c r="B45" s="2">
        <v>16456923</v>
      </c>
      <c r="C45" s="1">
        <v>33</v>
      </c>
      <c r="D45" s="1">
        <v>358</v>
      </c>
      <c r="E45" s="1" t="s">
        <v>0</v>
      </c>
      <c r="F45" s="1" t="s">
        <v>235</v>
      </c>
      <c r="G45" s="1" t="s">
        <v>353</v>
      </c>
      <c r="H45" s="1" t="s">
        <v>354</v>
      </c>
      <c r="I45" s="1" t="s">
        <v>355</v>
      </c>
    </row>
    <row r="46" spans="1:9" ht="30" x14ac:dyDescent="0.25">
      <c r="A46" s="1">
        <v>6640</v>
      </c>
      <c r="B46" s="2">
        <v>13785773</v>
      </c>
      <c r="C46" s="1">
        <v>28</v>
      </c>
      <c r="D46" s="1">
        <v>45000</v>
      </c>
      <c r="E46" s="1" t="s">
        <v>0</v>
      </c>
      <c r="F46" s="1" t="s">
        <v>265</v>
      </c>
      <c r="G46" s="1" t="s">
        <v>356</v>
      </c>
      <c r="H46" s="1" t="s">
        <v>357</v>
      </c>
      <c r="I46" s="1" t="s">
        <v>358</v>
      </c>
    </row>
    <row r="47" spans="1:9" ht="30" x14ac:dyDescent="0.25">
      <c r="A47" s="1">
        <v>6640</v>
      </c>
      <c r="B47" s="2">
        <v>14546834</v>
      </c>
      <c r="C47" s="1">
        <v>27</v>
      </c>
      <c r="D47" s="1">
        <v>5600</v>
      </c>
      <c r="E47" s="1" t="s">
        <v>0</v>
      </c>
      <c r="F47" s="1" t="s">
        <v>359</v>
      </c>
      <c r="G47" s="1" t="s">
        <v>360</v>
      </c>
      <c r="H47" s="1" t="s">
        <v>361</v>
      </c>
      <c r="I47" s="1" t="s">
        <v>362</v>
      </c>
    </row>
    <row r="48" spans="1:9" ht="30" x14ac:dyDescent="0.25">
      <c r="A48" s="1">
        <v>6530</v>
      </c>
      <c r="B48" s="2">
        <v>15971084</v>
      </c>
      <c r="C48" s="1">
        <v>27</v>
      </c>
      <c r="D48" s="1">
        <v>11200</v>
      </c>
      <c r="E48" s="1" t="s">
        <v>0</v>
      </c>
      <c r="F48" s="1" t="s">
        <v>363</v>
      </c>
      <c r="G48" s="1" t="s">
        <v>364</v>
      </c>
      <c r="H48" s="1" t="s">
        <v>98</v>
      </c>
      <c r="I48" s="1" t="s">
        <v>365</v>
      </c>
    </row>
    <row r="49" spans="1:9" ht="30" x14ac:dyDescent="0.25">
      <c r="A49" s="1">
        <v>6520</v>
      </c>
      <c r="B49" s="2">
        <v>15182825</v>
      </c>
      <c r="C49" s="1">
        <v>25</v>
      </c>
      <c r="D49" s="1">
        <v>107</v>
      </c>
      <c r="E49" s="1" t="s">
        <v>0</v>
      </c>
      <c r="F49" s="1" t="s">
        <v>235</v>
      </c>
      <c r="G49" s="16">
        <v>63779</v>
      </c>
      <c r="H49" s="1" t="s">
        <v>366</v>
      </c>
      <c r="I49" s="1" t="s">
        <v>367</v>
      </c>
    </row>
    <row r="50" spans="1:9" ht="30" x14ac:dyDescent="0.25">
      <c r="A50" s="1">
        <v>6640</v>
      </c>
      <c r="B50" s="2">
        <v>16145312</v>
      </c>
      <c r="C50" s="1">
        <v>24</v>
      </c>
      <c r="D50" s="1">
        <v>114</v>
      </c>
      <c r="E50" s="1" t="s">
        <v>0</v>
      </c>
      <c r="F50" s="1" t="s">
        <v>313</v>
      </c>
      <c r="G50" s="16">
        <v>419510</v>
      </c>
      <c r="H50" s="1" t="s">
        <v>156</v>
      </c>
      <c r="I50" s="1" t="s">
        <v>368</v>
      </c>
    </row>
    <row r="51" spans="1:9" x14ac:dyDescent="0.25">
      <c r="A51" s="1">
        <v>6640</v>
      </c>
      <c r="B51" s="2">
        <v>11250056</v>
      </c>
      <c r="C51" s="1">
        <v>22</v>
      </c>
      <c r="D51" s="1">
        <v>1104</v>
      </c>
      <c r="E51" s="1" t="s">
        <v>0</v>
      </c>
      <c r="F51" s="1" t="s">
        <v>369</v>
      </c>
      <c r="G51" s="1" t="s">
        <v>370</v>
      </c>
      <c r="H51" s="1" t="s">
        <v>371</v>
      </c>
      <c r="I51" s="1" t="s">
        <v>372</v>
      </c>
    </row>
    <row r="52" spans="1:9" ht="30" x14ac:dyDescent="0.25">
      <c r="A52" s="1">
        <v>6530</v>
      </c>
      <c r="B52" s="2">
        <v>12125343</v>
      </c>
      <c r="C52" s="1">
        <v>22</v>
      </c>
      <c r="D52" s="1">
        <v>816</v>
      </c>
      <c r="E52" s="1" t="s">
        <v>0</v>
      </c>
      <c r="F52" s="1" t="s">
        <v>373</v>
      </c>
      <c r="G52" s="1" t="s">
        <v>374</v>
      </c>
      <c r="H52" s="1" t="s">
        <v>98</v>
      </c>
      <c r="I52" s="1" t="s">
        <v>375</v>
      </c>
    </row>
    <row r="53" spans="1:9" ht="45" x14ac:dyDescent="0.25">
      <c r="A53" s="1">
        <v>6530</v>
      </c>
      <c r="B53" s="2">
        <v>15615482</v>
      </c>
      <c r="C53" s="1">
        <v>22</v>
      </c>
      <c r="D53" s="1">
        <v>111</v>
      </c>
      <c r="E53" s="1" t="s">
        <v>0</v>
      </c>
      <c r="F53" s="1" t="s">
        <v>235</v>
      </c>
      <c r="G53" s="1" t="s">
        <v>376</v>
      </c>
      <c r="H53" s="1" t="s">
        <v>377</v>
      </c>
      <c r="I53" s="1" t="s">
        <v>378</v>
      </c>
    </row>
    <row r="54" spans="1:9" ht="30" x14ac:dyDescent="0.25">
      <c r="A54" s="1">
        <v>6640</v>
      </c>
      <c r="B54" s="2">
        <v>1655726</v>
      </c>
      <c r="C54" s="1">
        <v>20</v>
      </c>
      <c r="D54" s="1">
        <v>279</v>
      </c>
      <c r="E54" s="1" t="s">
        <v>0</v>
      </c>
      <c r="F54" s="1" t="s">
        <v>235</v>
      </c>
      <c r="G54" s="16">
        <v>187620000</v>
      </c>
      <c r="H54" s="1" t="s">
        <v>379</v>
      </c>
      <c r="I54" s="1" t="s">
        <v>380</v>
      </c>
    </row>
    <row r="55" spans="1:9" ht="45" x14ac:dyDescent="0.25">
      <c r="A55" s="1">
        <v>6640</v>
      </c>
      <c r="B55" s="2">
        <v>14856075</v>
      </c>
      <c r="C55" s="1">
        <v>20</v>
      </c>
      <c r="D55" s="1">
        <v>630</v>
      </c>
      <c r="E55" s="1" t="s">
        <v>0</v>
      </c>
      <c r="F55" s="1" t="s">
        <v>255</v>
      </c>
      <c r="G55" s="1" t="s">
        <v>381</v>
      </c>
      <c r="H55" s="1" t="s">
        <v>382</v>
      </c>
      <c r="I55" s="1" t="s">
        <v>383</v>
      </c>
    </row>
    <row r="56" spans="1:9" ht="30" x14ac:dyDescent="0.25">
      <c r="A56" s="1">
        <v>6640</v>
      </c>
      <c r="B56" s="2">
        <v>10707877</v>
      </c>
      <c r="C56" s="1">
        <v>19</v>
      </c>
      <c r="D56" s="1">
        <v>50</v>
      </c>
      <c r="E56" s="1" t="s">
        <v>0</v>
      </c>
      <c r="F56" s="1" t="s">
        <v>235</v>
      </c>
      <c r="G56" s="16">
        <v>90700</v>
      </c>
      <c r="H56" s="1" t="s">
        <v>36</v>
      </c>
      <c r="I56" s="1" t="s">
        <v>384</v>
      </c>
    </row>
    <row r="57" spans="1:9" ht="30" x14ac:dyDescent="0.25">
      <c r="A57" s="1">
        <v>6640</v>
      </c>
      <c r="B57" s="2">
        <v>15888402</v>
      </c>
      <c r="C57" s="1">
        <v>18</v>
      </c>
      <c r="D57" s="1">
        <v>34</v>
      </c>
      <c r="E57" s="1" t="s">
        <v>0</v>
      </c>
      <c r="F57" s="1" t="s">
        <v>235</v>
      </c>
      <c r="G57" s="16" t="s">
        <v>385</v>
      </c>
      <c r="H57" s="1" t="s">
        <v>386</v>
      </c>
      <c r="I57" s="1" t="s">
        <v>387</v>
      </c>
    </row>
    <row r="58" spans="1:9" ht="30" x14ac:dyDescent="0.25">
      <c r="A58" s="1">
        <v>6530</v>
      </c>
      <c r="B58" s="2">
        <v>10324089</v>
      </c>
      <c r="C58" s="1">
        <v>17</v>
      </c>
      <c r="D58" s="1">
        <v>26</v>
      </c>
      <c r="E58" s="1" t="s">
        <v>211</v>
      </c>
      <c r="F58" s="1" t="s">
        <v>235</v>
      </c>
      <c r="G58" s="16">
        <v>9355</v>
      </c>
      <c r="H58" s="1" t="s">
        <v>98</v>
      </c>
      <c r="I58" s="1" t="s">
        <v>388</v>
      </c>
    </row>
    <row r="59" spans="1:9" ht="30" x14ac:dyDescent="0.25">
      <c r="A59" s="1">
        <v>6640</v>
      </c>
      <c r="B59" s="2">
        <v>13382744</v>
      </c>
      <c r="C59" s="1">
        <v>16</v>
      </c>
      <c r="D59" s="1">
        <v>1600</v>
      </c>
      <c r="E59" s="1" t="s">
        <v>0</v>
      </c>
      <c r="F59" s="1" t="s">
        <v>359</v>
      </c>
      <c r="G59" s="1" t="s">
        <v>389</v>
      </c>
      <c r="H59" s="1" t="s">
        <v>338</v>
      </c>
      <c r="I59" s="1" t="s">
        <v>390</v>
      </c>
    </row>
    <row r="60" spans="1:9" ht="30" x14ac:dyDescent="0.25">
      <c r="A60" s="1">
        <v>6140</v>
      </c>
      <c r="B60" s="2">
        <v>15009672</v>
      </c>
      <c r="C60" s="1">
        <v>15</v>
      </c>
      <c r="D60" s="1">
        <v>312</v>
      </c>
      <c r="E60" s="1" t="s">
        <v>0</v>
      </c>
      <c r="F60" s="1" t="s">
        <v>235</v>
      </c>
      <c r="G60" s="1" t="s">
        <v>391</v>
      </c>
      <c r="H60" s="1" t="s">
        <v>392</v>
      </c>
      <c r="I60" s="1" t="s">
        <v>393</v>
      </c>
    </row>
    <row r="61" spans="1:9" ht="30" x14ac:dyDescent="0.25">
      <c r="A61" s="1">
        <v>6630</v>
      </c>
      <c r="B61" s="2">
        <v>15997617</v>
      </c>
      <c r="C61" s="1">
        <v>19</v>
      </c>
      <c r="D61" s="1">
        <v>19</v>
      </c>
      <c r="E61" s="1" t="s">
        <v>0</v>
      </c>
      <c r="F61" s="1" t="s">
        <v>235</v>
      </c>
      <c r="G61" s="1" t="s">
        <v>394</v>
      </c>
      <c r="H61" s="1" t="s">
        <v>170</v>
      </c>
      <c r="I61" s="1" t="s">
        <v>395</v>
      </c>
    </row>
    <row r="62" spans="1:9" ht="45" x14ac:dyDescent="0.25">
      <c r="A62" s="1">
        <v>6630</v>
      </c>
      <c r="B62" s="2">
        <v>14824378</v>
      </c>
      <c r="C62" s="1">
        <v>15</v>
      </c>
      <c r="D62" s="1">
        <v>15</v>
      </c>
      <c r="E62" s="1" t="s">
        <v>0</v>
      </c>
      <c r="F62" s="1" t="s">
        <v>235</v>
      </c>
      <c r="G62" s="16">
        <v>6406150</v>
      </c>
      <c r="H62" s="1" t="s">
        <v>396</v>
      </c>
      <c r="I62" s="1" t="s">
        <v>397</v>
      </c>
    </row>
    <row r="63" spans="1:9" x14ac:dyDescent="0.25">
      <c r="A63" s="1">
        <v>6630</v>
      </c>
      <c r="B63" s="2">
        <v>15035934</v>
      </c>
      <c r="C63" s="1">
        <v>15</v>
      </c>
      <c r="D63" s="1">
        <v>1500</v>
      </c>
      <c r="E63" s="1" t="s">
        <v>0</v>
      </c>
      <c r="F63" s="1" t="s">
        <v>359</v>
      </c>
      <c r="G63" s="16">
        <v>100735</v>
      </c>
      <c r="H63" s="1" t="s">
        <v>36</v>
      </c>
      <c r="I63" s="1" t="s">
        <v>398</v>
      </c>
    </row>
    <row r="64" spans="1:9" ht="45" x14ac:dyDescent="0.25">
      <c r="A64" s="1">
        <v>6630</v>
      </c>
      <c r="B64" s="2">
        <v>14824379</v>
      </c>
      <c r="C64" s="1">
        <v>11</v>
      </c>
      <c r="D64" s="1">
        <v>11</v>
      </c>
      <c r="E64" s="1" t="s">
        <v>0</v>
      </c>
      <c r="F64" s="1" t="s">
        <v>235</v>
      </c>
      <c r="G64" s="1" t="s">
        <v>399</v>
      </c>
      <c r="H64" s="1" t="s">
        <v>400</v>
      </c>
      <c r="I64" s="1" t="s">
        <v>401</v>
      </c>
    </row>
    <row r="65" spans="1:9" ht="30" x14ac:dyDescent="0.25">
      <c r="A65" s="1">
        <v>6630</v>
      </c>
      <c r="B65" s="2">
        <v>14989902</v>
      </c>
      <c r="C65" s="1">
        <v>11</v>
      </c>
      <c r="D65" s="1">
        <v>12</v>
      </c>
      <c r="E65" s="1" t="s">
        <v>0</v>
      </c>
      <c r="F65" s="1" t="s">
        <v>235</v>
      </c>
      <c r="G65" s="1" t="s">
        <v>402</v>
      </c>
      <c r="H65" s="1" t="s">
        <v>173</v>
      </c>
      <c r="I65" s="1" t="s">
        <v>403</v>
      </c>
    </row>
    <row r="66" spans="1:9" ht="30" x14ac:dyDescent="0.25">
      <c r="A66" s="1">
        <v>6630</v>
      </c>
      <c r="B66" s="2">
        <v>15242547</v>
      </c>
      <c r="C66" s="1">
        <v>11</v>
      </c>
      <c r="D66" s="1">
        <v>32</v>
      </c>
      <c r="E66" s="1" t="s">
        <v>0</v>
      </c>
      <c r="F66" s="1" t="s">
        <v>235</v>
      </c>
      <c r="G66" s="1" t="s">
        <v>404</v>
      </c>
      <c r="H66" s="1" t="s">
        <v>386</v>
      </c>
      <c r="I66" s="1" t="s">
        <v>405</v>
      </c>
    </row>
    <row r="67" spans="1:9" ht="30" x14ac:dyDescent="0.25">
      <c r="A67" s="1">
        <v>6640</v>
      </c>
      <c r="B67" s="2">
        <v>16501144</v>
      </c>
      <c r="C67" s="1">
        <v>28</v>
      </c>
      <c r="D67" s="1">
        <v>28</v>
      </c>
      <c r="E67" s="1" t="s">
        <v>0</v>
      </c>
      <c r="F67" s="1" t="s">
        <v>235</v>
      </c>
      <c r="G67" s="1" t="s">
        <v>406</v>
      </c>
      <c r="H67" s="1" t="s">
        <v>386</v>
      </c>
      <c r="I67" s="1" t="s">
        <v>387</v>
      </c>
    </row>
    <row r="68" spans="1:9" ht="30" x14ac:dyDescent="0.25">
      <c r="A68" s="1">
        <v>6640</v>
      </c>
      <c r="B68" s="2">
        <v>16501146</v>
      </c>
      <c r="C68" s="1">
        <v>9</v>
      </c>
      <c r="D68" s="1">
        <v>21</v>
      </c>
      <c r="E68" s="1" t="s">
        <v>0</v>
      </c>
      <c r="F68" s="1" t="s">
        <v>235</v>
      </c>
      <c r="G68" s="1" t="s">
        <v>407</v>
      </c>
      <c r="H68" s="1" t="s">
        <v>386</v>
      </c>
      <c r="I68" s="1" t="s">
        <v>387</v>
      </c>
    </row>
    <row r="69" spans="1:9" ht="30" x14ac:dyDescent="0.25">
      <c r="A69" s="1">
        <v>6910</v>
      </c>
      <c r="B69" s="2">
        <v>17029059</v>
      </c>
      <c r="C69" s="1">
        <v>11</v>
      </c>
      <c r="D69" s="1">
        <v>24</v>
      </c>
      <c r="E69" s="1" t="s">
        <v>0</v>
      </c>
      <c r="F69" s="1" t="s">
        <v>314</v>
      </c>
      <c r="G69" s="1" t="s">
        <v>408</v>
      </c>
      <c r="H69" s="1" t="s">
        <v>106</v>
      </c>
      <c r="I69" s="1" t="s">
        <v>409</v>
      </c>
    </row>
    <row r="70" spans="1:9" ht="30" x14ac:dyDescent="0.25">
      <c r="A70" s="1">
        <v>6910</v>
      </c>
      <c r="B70" s="2">
        <v>17029060</v>
      </c>
      <c r="C70" s="1">
        <v>11</v>
      </c>
      <c r="D70" s="1">
        <v>13</v>
      </c>
      <c r="E70" s="1" t="s">
        <v>0</v>
      </c>
      <c r="F70" s="1" t="s">
        <v>235</v>
      </c>
      <c r="G70" s="1" t="s">
        <v>410</v>
      </c>
      <c r="H70" s="1" t="s">
        <v>106</v>
      </c>
      <c r="I70" s="1" t="s">
        <v>411</v>
      </c>
    </row>
    <row r="71" spans="1:9" ht="30" x14ac:dyDescent="0.25">
      <c r="A71" s="1">
        <v>6910</v>
      </c>
      <c r="B71" s="2">
        <v>17028573</v>
      </c>
      <c r="C71" s="1">
        <v>9</v>
      </c>
      <c r="D71" s="1">
        <v>9</v>
      </c>
      <c r="E71" s="1" t="s">
        <v>217</v>
      </c>
      <c r="F71" s="1" t="s">
        <v>235</v>
      </c>
      <c r="G71" s="1" t="s">
        <v>412</v>
      </c>
      <c r="H71" s="1" t="s">
        <v>106</v>
      </c>
      <c r="I71" s="1" t="s">
        <v>413</v>
      </c>
    </row>
    <row r="72" spans="1:9" ht="30" x14ac:dyDescent="0.25">
      <c r="A72" s="1">
        <v>6910</v>
      </c>
      <c r="B72" s="2">
        <v>16825211</v>
      </c>
      <c r="C72" s="1">
        <v>7</v>
      </c>
      <c r="D72" s="1">
        <v>12</v>
      </c>
      <c r="E72" s="1" t="s">
        <v>217</v>
      </c>
      <c r="F72" s="1" t="s">
        <v>235</v>
      </c>
      <c r="G72" s="1" t="s">
        <v>414</v>
      </c>
      <c r="H72" s="1" t="s">
        <v>181</v>
      </c>
      <c r="I72" s="1" t="s">
        <v>415</v>
      </c>
    </row>
    <row r="73" spans="1:9" ht="30" x14ac:dyDescent="0.25">
      <c r="A73" s="1">
        <v>6910</v>
      </c>
      <c r="B73" s="2">
        <v>17028533</v>
      </c>
      <c r="C73" s="1">
        <v>6</v>
      </c>
      <c r="D73" s="1">
        <v>28</v>
      </c>
      <c r="E73" s="1" t="s">
        <v>0</v>
      </c>
      <c r="F73" s="1" t="s">
        <v>416</v>
      </c>
      <c r="G73" s="1" t="s">
        <v>417</v>
      </c>
      <c r="H73" s="1" t="s">
        <v>106</v>
      </c>
      <c r="I73" s="1" t="s">
        <v>418</v>
      </c>
    </row>
    <row r="74" spans="1:9" x14ac:dyDescent="0.25">
      <c r="A74" s="1">
        <v>6632</v>
      </c>
      <c r="B74" s="2">
        <v>15654774</v>
      </c>
      <c r="C74" s="1">
        <v>35</v>
      </c>
      <c r="D74" s="1">
        <v>596</v>
      </c>
      <c r="E74" s="1" t="s">
        <v>0</v>
      </c>
      <c r="F74" s="1" t="s">
        <v>314</v>
      </c>
      <c r="G74" s="1" t="s">
        <v>419</v>
      </c>
      <c r="H74" s="1" t="s">
        <v>420</v>
      </c>
      <c r="I74" s="1" t="s">
        <v>421</v>
      </c>
    </row>
    <row r="75" spans="1:9" ht="60" x14ac:dyDescent="0.25">
      <c r="A75" s="1">
        <v>6632</v>
      </c>
      <c r="B75" s="2">
        <v>15853010</v>
      </c>
      <c r="C75" s="1">
        <v>5</v>
      </c>
      <c r="D75" s="1">
        <v>1400</v>
      </c>
      <c r="E75" s="1" t="s">
        <v>0</v>
      </c>
      <c r="F75" s="1" t="s">
        <v>422</v>
      </c>
      <c r="G75" s="16">
        <v>1083</v>
      </c>
      <c r="H75" s="1" t="s">
        <v>423</v>
      </c>
      <c r="I75" s="1" t="s">
        <v>424</v>
      </c>
    </row>
    <row r="76" spans="1:9" ht="30" x14ac:dyDescent="0.25">
      <c r="A76" s="1">
        <v>6520</v>
      </c>
      <c r="B76" s="2">
        <v>15207333</v>
      </c>
      <c r="C76" s="1">
        <v>18</v>
      </c>
      <c r="D76" s="1">
        <v>253</v>
      </c>
      <c r="E76" s="1" t="s">
        <v>0</v>
      </c>
      <c r="F76" s="1" t="s">
        <v>235</v>
      </c>
      <c r="G76" s="16">
        <v>2810083</v>
      </c>
      <c r="H76" s="1" t="s">
        <v>72</v>
      </c>
      <c r="I76" s="1" t="s">
        <v>425</v>
      </c>
    </row>
    <row r="77" spans="1:9" ht="30" x14ac:dyDescent="0.25">
      <c r="A77" s="1">
        <v>6520</v>
      </c>
      <c r="B77" s="2">
        <v>16736253</v>
      </c>
      <c r="C77" s="1">
        <v>15</v>
      </c>
      <c r="D77" s="1">
        <v>4080</v>
      </c>
      <c r="E77" s="1" t="s">
        <v>0</v>
      </c>
      <c r="F77" s="1" t="s">
        <v>426</v>
      </c>
      <c r="G77" s="1" t="s">
        <v>427</v>
      </c>
      <c r="H77" s="1" t="s">
        <v>72</v>
      </c>
      <c r="I77" s="1" t="s">
        <v>428</v>
      </c>
    </row>
    <row r="78" spans="1:9" ht="30" x14ac:dyDescent="0.25">
      <c r="A78" s="1">
        <v>6520</v>
      </c>
      <c r="B78" s="2">
        <v>9269041</v>
      </c>
      <c r="C78" s="1">
        <v>11</v>
      </c>
      <c r="D78" s="1">
        <v>3500</v>
      </c>
      <c r="E78" s="1" t="s">
        <v>0</v>
      </c>
      <c r="F78" s="1" t="s">
        <v>359</v>
      </c>
      <c r="G78" s="1" t="s">
        <v>429</v>
      </c>
      <c r="H78" s="1" t="s">
        <v>430</v>
      </c>
      <c r="I78" s="1" t="s">
        <v>431</v>
      </c>
    </row>
    <row r="79" spans="1:9" ht="30" x14ac:dyDescent="0.25">
      <c r="A79" s="1">
        <v>6520</v>
      </c>
      <c r="B79" s="2">
        <v>16730710</v>
      </c>
      <c r="C79" s="1">
        <v>10</v>
      </c>
      <c r="D79" s="1">
        <v>51</v>
      </c>
      <c r="E79" s="1" t="s">
        <v>0</v>
      </c>
      <c r="F79" s="1" t="s">
        <v>235</v>
      </c>
      <c r="G79" s="1" t="s">
        <v>432</v>
      </c>
      <c r="H79" s="1" t="s">
        <v>433</v>
      </c>
      <c r="I79" s="1" t="s">
        <v>434</v>
      </c>
    </row>
    <row r="80" spans="1:9" x14ac:dyDescent="0.25">
      <c r="A80" s="1">
        <v>6520</v>
      </c>
      <c r="B80" s="2">
        <v>16422309</v>
      </c>
      <c r="C80" s="1">
        <v>9</v>
      </c>
      <c r="D80" s="1">
        <v>17</v>
      </c>
      <c r="E80" s="1" t="s">
        <v>0</v>
      </c>
      <c r="F80" s="1" t="s">
        <v>435</v>
      </c>
      <c r="G80" s="1" t="s">
        <v>436</v>
      </c>
      <c r="H80" s="1" t="s">
        <v>437</v>
      </c>
      <c r="I80" s="1" t="s">
        <v>438</v>
      </c>
    </row>
    <row r="81" spans="1:9" ht="30" x14ac:dyDescent="0.25">
      <c r="A81" s="1">
        <v>6532</v>
      </c>
      <c r="B81" s="2">
        <v>15389085</v>
      </c>
      <c r="C81" s="1">
        <v>15</v>
      </c>
      <c r="D81" s="1">
        <v>5000</v>
      </c>
      <c r="E81" s="1" t="s">
        <v>287</v>
      </c>
      <c r="F81" s="1" t="s">
        <v>439</v>
      </c>
      <c r="G81" s="16">
        <v>4854</v>
      </c>
      <c r="H81" s="1" t="s">
        <v>98</v>
      </c>
      <c r="I81" s="1" t="s">
        <v>440</v>
      </c>
    </row>
    <row r="82" spans="1:9" ht="30" x14ac:dyDescent="0.25">
      <c r="A82" s="1">
        <v>6532</v>
      </c>
      <c r="B82" s="2">
        <v>10745602</v>
      </c>
      <c r="C82" s="1">
        <v>11</v>
      </c>
      <c r="D82" s="1">
        <v>2400</v>
      </c>
      <c r="E82" s="1" t="s">
        <v>0</v>
      </c>
      <c r="F82" s="1" t="s">
        <v>441</v>
      </c>
      <c r="G82" s="1" t="s">
        <v>442</v>
      </c>
      <c r="H82" s="1" t="s">
        <v>26</v>
      </c>
      <c r="I82" s="1" t="s">
        <v>443</v>
      </c>
    </row>
    <row r="83" spans="1:9" ht="30" x14ac:dyDescent="0.25">
      <c r="A83" s="1">
        <v>6532</v>
      </c>
      <c r="B83" s="2">
        <v>13195121</v>
      </c>
      <c r="C83" s="1">
        <v>6</v>
      </c>
      <c r="D83" s="1">
        <v>1120</v>
      </c>
      <c r="E83" s="1" t="s">
        <v>0</v>
      </c>
      <c r="F83" s="1" t="s">
        <v>444</v>
      </c>
      <c r="G83" s="1" t="s">
        <v>445</v>
      </c>
      <c r="H83" s="1" t="s">
        <v>26</v>
      </c>
      <c r="I83" s="1" t="s">
        <v>446</v>
      </c>
    </row>
    <row r="84" spans="1:9" ht="30" x14ac:dyDescent="0.25">
      <c r="A84" s="1">
        <v>6532</v>
      </c>
      <c r="B84" s="2">
        <v>14878727</v>
      </c>
      <c r="C84" s="1">
        <v>6</v>
      </c>
      <c r="D84" s="1">
        <v>600</v>
      </c>
      <c r="E84" s="1" t="s">
        <v>0</v>
      </c>
      <c r="F84" s="1" t="s">
        <v>363</v>
      </c>
      <c r="G84" s="1" t="s">
        <v>447</v>
      </c>
      <c r="H84" s="1" t="s">
        <v>26</v>
      </c>
      <c r="I84" s="1" t="s">
        <v>448</v>
      </c>
    </row>
    <row r="85" spans="1:9" ht="30" x14ac:dyDescent="0.25">
      <c r="A85" s="1">
        <v>6532</v>
      </c>
      <c r="B85" s="2">
        <v>15888167</v>
      </c>
      <c r="C85" s="1">
        <v>6</v>
      </c>
      <c r="D85" s="1">
        <v>1300</v>
      </c>
      <c r="E85" s="1" t="s">
        <v>0</v>
      </c>
      <c r="F85" s="1" t="s">
        <v>277</v>
      </c>
      <c r="G85" s="16">
        <v>1003250</v>
      </c>
      <c r="H85" s="1" t="s">
        <v>98</v>
      </c>
      <c r="I85" s="1" t="s">
        <v>449</v>
      </c>
    </row>
    <row r="86" spans="1:9" ht="30" x14ac:dyDescent="0.25">
      <c r="A86" s="1">
        <v>6525</v>
      </c>
      <c r="B86" s="2">
        <v>6047925</v>
      </c>
      <c r="C86" s="1">
        <v>12</v>
      </c>
      <c r="D86" s="1">
        <v>24</v>
      </c>
      <c r="E86" s="1" t="s">
        <v>0</v>
      </c>
      <c r="F86" s="1" t="s">
        <v>450</v>
      </c>
      <c r="G86" s="16">
        <v>136521</v>
      </c>
      <c r="H86" s="1" t="s">
        <v>451</v>
      </c>
      <c r="I86" s="1" t="s">
        <v>452</v>
      </c>
    </row>
    <row r="87" spans="1:9" ht="30" x14ac:dyDescent="0.25">
      <c r="A87" s="1">
        <v>6530</v>
      </c>
      <c r="B87" s="2">
        <v>16540062</v>
      </c>
      <c r="C87" s="1">
        <v>15</v>
      </c>
      <c r="D87" s="1">
        <v>48</v>
      </c>
      <c r="E87" s="1" t="s">
        <v>0</v>
      </c>
      <c r="F87" s="1" t="s">
        <v>235</v>
      </c>
      <c r="G87" s="1" t="s">
        <v>296</v>
      </c>
      <c r="H87" s="1" t="s">
        <v>453</v>
      </c>
      <c r="I87" s="1" t="s">
        <v>454</v>
      </c>
    </row>
    <row r="88" spans="1:9" ht="30" x14ac:dyDescent="0.25">
      <c r="A88" s="1">
        <v>6532</v>
      </c>
      <c r="B88" s="2">
        <v>811804</v>
      </c>
      <c r="C88" s="1">
        <v>14</v>
      </c>
      <c r="D88" s="1">
        <v>172</v>
      </c>
      <c r="E88" s="1" t="s">
        <v>0</v>
      </c>
      <c r="F88" s="1" t="s">
        <v>235</v>
      </c>
      <c r="G88" s="1" t="s">
        <v>455</v>
      </c>
      <c r="H88" s="1" t="s">
        <v>456</v>
      </c>
      <c r="I88" s="1" t="s">
        <v>457</v>
      </c>
    </row>
    <row r="89" spans="1:9" ht="45" x14ac:dyDescent="0.25">
      <c r="A89" s="1">
        <v>6640</v>
      </c>
      <c r="B89" s="2">
        <v>14907584</v>
      </c>
      <c r="C89" s="1">
        <v>14</v>
      </c>
      <c r="D89" s="1">
        <v>46</v>
      </c>
      <c r="E89" s="1" t="s">
        <v>0</v>
      </c>
      <c r="F89" s="1" t="s">
        <v>235</v>
      </c>
      <c r="G89" s="1" t="s">
        <v>458</v>
      </c>
      <c r="H89" s="1" t="s">
        <v>36</v>
      </c>
      <c r="I89" s="1" t="s">
        <v>459</v>
      </c>
    </row>
    <row r="90" spans="1:9" ht="30" x14ac:dyDescent="0.25">
      <c r="A90" s="1">
        <v>6530</v>
      </c>
      <c r="B90" s="2">
        <v>15859769</v>
      </c>
      <c r="C90" s="1">
        <v>14</v>
      </c>
      <c r="D90" s="1">
        <v>504</v>
      </c>
      <c r="E90" s="1" t="s">
        <v>0</v>
      </c>
      <c r="F90" s="1" t="s">
        <v>460</v>
      </c>
      <c r="G90" s="1" t="s">
        <v>461</v>
      </c>
      <c r="H90" s="1" t="s">
        <v>462</v>
      </c>
      <c r="I90" s="1" t="s">
        <v>463</v>
      </c>
    </row>
    <row r="91" spans="1:9" ht="30" x14ac:dyDescent="0.25">
      <c r="A91" s="1">
        <v>6640</v>
      </c>
      <c r="B91" s="2">
        <v>10202755</v>
      </c>
      <c r="C91" s="1">
        <v>13</v>
      </c>
      <c r="D91" s="1">
        <v>850</v>
      </c>
      <c r="E91" s="1" t="s">
        <v>0</v>
      </c>
      <c r="F91" s="1" t="s">
        <v>363</v>
      </c>
      <c r="G91" s="1" t="s">
        <v>464</v>
      </c>
      <c r="H91" s="1" t="s">
        <v>430</v>
      </c>
      <c r="I91" s="1" t="s">
        <v>465</v>
      </c>
    </row>
    <row r="92" spans="1:9" ht="30" x14ac:dyDescent="0.25">
      <c r="A92" s="1">
        <v>6530</v>
      </c>
      <c r="B92" s="2">
        <v>11732453</v>
      </c>
      <c r="C92" s="1">
        <v>13</v>
      </c>
      <c r="D92" s="1">
        <v>2100</v>
      </c>
      <c r="E92" s="1" t="s">
        <v>0</v>
      </c>
      <c r="F92" s="1" t="s">
        <v>363</v>
      </c>
      <c r="G92" s="16">
        <v>842802</v>
      </c>
      <c r="H92" s="1" t="s">
        <v>466</v>
      </c>
      <c r="I92" s="1" t="s">
        <v>467</v>
      </c>
    </row>
    <row r="93" spans="1:9" ht="30" x14ac:dyDescent="0.25">
      <c r="A93" s="1">
        <v>6640</v>
      </c>
      <c r="B93" s="2">
        <v>14975789</v>
      </c>
      <c r="C93" s="1">
        <v>13</v>
      </c>
      <c r="D93" s="1">
        <v>13</v>
      </c>
      <c r="E93" s="1" t="s">
        <v>0</v>
      </c>
      <c r="F93" s="1" t="s">
        <v>235</v>
      </c>
      <c r="G93" s="16">
        <v>6406130</v>
      </c>
      <c r="H93" s="1" t="s">
        <v>468</v>
      </c>
      <c r="I93" s="1" t="s">
        <v>469</v>
      </c>
    </row>
    <row r="94" spans="1:9" ht="30" x14ac:dyDescent="0.25">
      <c r="A94" s="1">
        <v>6530</v>
      </c>
      <c r="B94" s="2">
        <v>16534261</v>
      </c>
      <c r="C94" s="1">
        <v>13</v>
      </c>
      <c r="D94" s="1">
        <v>720</v>
      </c>
      <c r="E94" s="1" t="s">
        <v>0</v>
      </c>
      <c r="F94" s="1" t="s">
        <v>470</v>
      </c>
      <c r="G94" s="1" t="s">
        <v>471</v>
      </c>
      <c r="H94" s="1" t="s">
        <v>98</v>
      </c>
      <c r="I94" s="1" t="s">
        <v>472</v>
      </c>
    </row>
    <row r="95" spans="1:9" ht="30" x14ac:dyDescent="0.25">
      <c r="A95" s="1">
        <v>6530</v>
      </c>
      <c r="B95" s="2">
        <v>12581602</v>
      </c>
      <c r="C95" s="1">
        <v>12</v>
      </c>
      <c r="D95" s="1">
        <v>94</v>
      </c>
      <c r="E95" s="1" t="s">
        <v>0</v>
      </c>
      <c r="F95" s="1" t="s">
        <v>235</v>
      </c>
      <c r="G95" s="1" t="s">
        <v>473</v>
      </c>
      <c r="H95" s="1" t="s">
        <v>474</v>
      </c>
      <c r="I95" s="1" t="s">
        <v>475</v>
      </c>
    </row>
    <row r="96" spans="1:9" ht="30" x14ac:dyDescent="0.25">
      <c r="A96" s="1">
        <v>6640</v>
      </c>
      <c r="B96" s="2">
        <v>14369837</v>
      </c>
      <c r="C96" s="1">
        <v>12</v>
      </c>
      <c r="D96" s="1">
        <v>15</v>
      </c>
      <c r="E96" s="1" t="s">
        <v>0</v>
      </c>
      <c r="F96" s="1" t="s">
        <v>235</v>
      </c>
      <c r="G96" s="1" t="s">
        <v>476</v>
      </c>
      <c r="H96" s="1" t="s">
        <v>477</v>
      </c>
      <c r="I96" s="1" t="s">
        <v>478</v>
      </c>
    </row>
    <row r="97" spans="1:9" ht="30" x14ac:dyDescent="0.25">
      <c r="A97" s="1">
        <v>6640</v>
      </c>
      <c r="B97" s="2">
        <v>15303012</v>
      </c>
      <c r="C97" s="1">
        <v>12</v>
      </c>
      <c r="D97" s="1">
        <v>1376</v>
      </c>
      <c r="E97" s="1" t="s">
        <v>479</v>
      </c>
      <c r="F97" s="1" t="s">
        <v>480</v>
      </c>
      <c r="G97" s="1" t="s">
        <v>481</v>
      </c>
      <c r="H97" s="1" t="s">
        <v>430</v>
      </c>
      <c r="I97" s="1" t="s">
        <v>482</v>
      </c>
    </row>
    <row r="98" spans="1:9" ht="30" x14ac:dyDescent="0.25">
      <c r="A98" s="1">
        <v>6640</v>
      </c>
      <c r="B98" s="2">
        <v>15340792</v>
      </c>
      <c r="C98" s="1">
        <v>12</v>
      </c>
      <c r="D98" s="1">
        <v>173600</v>
      </c>
      <c r="E98" s="1" t="s">
        <v>0</v>
      </c>
      <c r="F98" s="1" t="s">
        <v>483</v>
      </c>
      <c r="G98" s="16">
        <v>2097000</v>
      </c>
      <c r="H98" s="1" t="s">
        <v>36</v>
      </c>
      <c r="I98" s="1" t="s">
        <v>484</v>
      </c>
    </row>
    <row r="99" spans="1:9" ht="60" x14ac:dyDescent="0.25">
      <c r="A99" s="1">
        <v>6640</v>
      </c>
      <c r="B99" s="2">
        <v>15543502</v>
      </c>
      <c r="C99" s="1">
        <v>12</v>
      </c>
      <c r="D99" s="1">
        <v>750</v>
      </c>
      <c r="E99" s="1" t="s">
        <v>0</v>
      </c>
      <c r="F99" s="1" t="s">
        <v>363</v>
      </c>
      <c r="G99" s="17">
        <v>810</v>
      </c>
      <c r="H99" s="1" t="s">
        <v>485</v>
      </c>
      <c r="I99" s="1" t="s">
        <v>486</v>
      </c>
    </row>
    <row r="100" spans="1:9" x14ac:dyDescent="0.25">
      <c r="A100" s="1">
        <v>6530</v>
      </c>
      <c r="B100" s="2">
        <v>16167269</v>
      </c>
      <c r="C100" s="1">
        <v>12</v>
      </c>
      <c r="D100" s="1">
        <v>280</v>
      </c>
      <c r="E100" s="1" t="s">
        <v>287</v>
      </c>
      <c r="F100" s="1" t="s">
        <v>487</v>
      </c>
      <c r="G100" s="1" t="s">
        <v>488</v>
      </c>
      <c r="H100" s="1" t="s">
        <v>489</v>
      </c>
      <c r="I100" s="1" t="s">
        <v>490</v>
      </c>
    </row>
    <row r="101" spans="1:9" ht="45" x14ac:dyDescent="0.25">
      <c r="A101" s="1">
        <v>6530</v>
      </c>
      <c r="B101" s="2">
        <v>10306882</v>
      </c>
      <c r="C101" s="1">
        <v>11</v>
      </c>
      <c r="D101" s="1">
        <v>1500</v>
      </c>
      <c r="E101" s="1" t="s">
        <v>0</v>
      </c>
      <c r="F101" s="1" t="s">
        <v>363</v>
      </c>
      <c r="G101" s="1" t="s">
        <v>491</v>
      </c>
      <c r="H101" s="1" t="s">
        <v>492</v>
      </c>
      <c r="I101" s="1" t="s">
        <v>493</v>
      </c>
    </row>
  </sheetData>
  <sheetProtection algorithmName="SHA-512" hashValue="TIaQoSEi5DCqQbHxgSCocMibiN/W+twBoghjzgBhBMX9T36uAkUh+QpFUxOguYuToBDslndmGxO6V5g+vfj+dw==" saltValue="FJewhwPJlhENTf622umlrQ==" spinCount="100000" sheet="1" objects="1" scenarios="1"/>
  <pageMargins left="0.7" right="0.7" top="0.75" bottom="0.75" header="0.3" footer="0.3"/>
  <pageSetup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Evaluation List (PEL)</vt:lpstr>
      <vt:lpstr>PEL AMENDMENT 0003</vt:lpstr>
      <vt:lpstr>Supplemental Product Catalog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Gessner, Aria M CIV DLA TROOP SUPPORT (USA)</dc:creator>
  <cp:lastModifiedBy>Turner, Yasmeen H CIV DLA TROOP SUPPORT (USA)</cp:lastModifiedBy>
  <dcterms:created xsi:type="dcterms:W3CDTF">2020-07-30T14:57:49Z</dcterms:created>
  <dcterms:modified xsi:type="dcterms:W3CDTF">2026-04-02T15:39:36Z</dcterms:modified>
</cp:coreProperties>
</file>