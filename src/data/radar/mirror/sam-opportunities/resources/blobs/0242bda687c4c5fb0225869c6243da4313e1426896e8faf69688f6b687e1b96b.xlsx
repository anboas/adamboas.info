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unah-ann.pilakows\OneDrive - US Navy-flankspeed\SW Personal Files\Shaunah\26-R-2436 FACILITY INVESTMENT\4 CD\WORKING FILES TECH\Completed\"/>
    </mc:Choice>
  </mc:AlternateContent>
  <xr:revisionPtr revIDLastSave="0" documentId="13_ncr:1_{C63C2336-3A71-4FDA-B4E8-A6AE4DC7A87B}" xr6:coauthVersionLast="47" xr6:coauthVersionMax="47" xr10:uidLastSave="{00000000-0000-0000-0000-000000000000}"/>
  <bookViews>
    <workbookView xWindow="-57720" yWindow="90" windowWidth="29040" windowHeight="15510" firstSheet="1" activeTab="5" xr2:uid="{00000000-000D-0000-FFFF-FFFF00000000}"/>
  </bookViews>
  <sheets>
    <sheet name="ELIN-Base Period Rec" sheetId="2" r:id="rId1"/>
    <sheet name="ELIN-Base Period-Non" sheetId="8" r:id="rId2"/>
    <sheet name="ELIN-1st Opt Period-Rec" sheetId="11" r:id="rId3"/>
    <sheet name="ELIN-1ST Opt Period-Non" sheetId="12" r:id="rId4"/>
    <sheet name="ELIN-2nd Opt Period-Rec" sheetId="20" r:id="rId5"/>
    <sheet name="ELIN-2nd Opt Period-Non" sheetId="21" r:id="rId6"/>
    <sheet name="ELIN-3rd Opt Period-Rec" sheetId="22" r:id="rId7"/>
    <sheet name="ELIN-3rd Opt Period-Non" sheetId="23" r:id="rId8"/>
    <sheet name="ELIN-4th Opt Period-Rec" sheetId="24" r:id="rId9"/>
    <sheet name="ELIN-4th Opt Period-Non" sheetId="25" r:id="rId10"/>
    <sheet name="ELIN-Opt To Extend-Rec" sheetId="28" r:id="rId11"/>
    <sheet name="ELIN-Opt to Extend-Non" sheetId="27" r:id="rId12"/>
    <sheet name="NAVFAC UOMs" sheetId="7" r:id="rId13"/>
  </sheets>
  <definedNames>
    <definedName name="_xlnm.Print_Area" localSheetId="2">'ELIN-1st Opt Period-Rec'!$A$1:$G$21</definedName>
    <definedName name="_xlnm.Print_Area" localSheetId="4">'ELIN-2nd Opt Period-Rec'!$A$1:$G$21</definedName>
    <definedName name="_xlnm.Print_Area" localSheetId="6">'ELIN-3rd Opt Period-Rec'!$A$1:$G$22</definedName>
    <definedName name="_xlnm.Print_Area" localSheetId="8">'ELIN-4th Opt Period-Rec'!$A$1:$G$21</definedName>
    <definedName name="_xlnm.Print_Area" localSheetId="0">'ELIN-Base Period Rec'!$A$1:$G$22</definedName>
    <definedName name="_xlnm.Print_Area" localSheetId="10">'ELIN-Opt To Extend-Rec'!$A$1:$G$21</definedName>
    <definedName name="_xlnm.Print_Titles" localSheetId="4">'ELIN-2nd Opt Period-Rec'!$10:$10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1" l="1"/>
  <c r="F10" i="12"/>
  <c r="E20" i="28"/>
  <c r="F20" i="28" s="1"/>
  <c r="E19" i="28"/>
  <c r="F19" i="28" s="1"/>
  <c r="E18" i="28"/>
  <c r="F18" i="28" s="1"/>
  <c r="F17" i="28"/>
  <c r="E17" i="28"/>
  <c r="E16" i="28"/>
  <c r="F16" i="28" s="1"/>
  <c r="E15" i="28"/>
  <c r="F15" i="28" s="1"/>
  <c r="E14" i="28"/>
  <c r="F14" i="28" s="1"/>
  <c r="E13" i="28"/>
  <c r="F13" i="28" s="1"/>
  <c r="E20" i="24"/>
  <c r="F20" i="24" s="1"/>
  <c r="E19" i="24"/>
  <c r="F19" i="24" s="1"/>
  <c r="E18" i="24"/>
  <c r="F18" i="24" s="1"/>
  <c r="E17" i="24"/>
  <c r="F17" i="24" s="1"/>
  <c r="E16" i="24"/>
  <c r="F16" i="24" s="1"/>
  <c r="E15" i="24"/>
  <c r="F15" i="24" s="1"/>
  <c r="E14" i="24"/>
  <c r="F14" i="24" s="1"/>
  <c r="E13" i="24"/>
  <c r="F13" i="24" s="1"/>
  <c r="E20" i="22"/>
  <c r="F20" i="22" s="1"/>
  <c r="E19" i="22"/>
  <c r="F19" i="22" s="1"/>
  <c r="E18" i="22"/>
  <c r="F18" i="22" s="1"/>
  <c r="E17" i="22"/>
  <c r="F17" i="22" s="1"/>
  <c r="E16" i="22"/>
  <c r="F16" i="22" s="1"/>
  <c r="E15" i="22"/>
  <c r="F15" i="22" s="1"/>
  <c r="E14" i="22"/>
  <c r="F14" i="22" s="1"/>
  <c r="E13" i="22"/>
  <c r="F13" i="22" s="1"/>
  <c r="E19" i="20"/>
  <c r="F19" i="20" s="1"/>
  <c r="E18" i="20"/>
  <c r="F18" i="20" s="1"/>
  <c r="E17" i="20"/>
  <c r="F17" i="20" s="1"/>
  <c r="E16" i="20"/>
  <c r="F16" i="20" s="1"/>
  <c r="E15" i="20"/>
  <c r="F15" i="20" s="1"/>
  <c r="E14" i="20"/>
  <c r="F14" i="20" s="1"/>
  <c r="E13" i="20"/>
  <c r="F13" i="20" s="1"/>
  <c r="E12" i="20"/>
  <c r="F12" i="20" s="1"/>
  <c r="E19" i="11"/>
  <c r="F19" i="11" s="1"/>
  <c r="E18" i="11"/>
  <c r="F18" i="11" s="1"/>
  <c r="E17" i="11"/>
  <c r="F17" i="11" s="1"/>
  <c r="E16" i="11"/>
  <c r="F16" i="11" s="1"/>
  <c r="E15" i="11"/>
  <c r="F15" i="11" s="1"/>
  <c r="E14" i="11"/>
  <c r="F14" i="11" s="1"/>
  <c r="E13" i="11"/>
  <c r="F13" i="11" s="1"/>
  <c r="E12" i="11"/>
  <c r="F12" i="11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0" i="8"/>
  <c r="G10" i="8" s="1"/>
  <c r="G11" i="8"/>
  <c r="F21" i="24" l="1"/>
  <c r="F21" i="22"/>
  <c r="G12" i="8"/>
  <c r="F20" i="11"/>
  <c r="F21" i="28"/>
  <c r="F20" i="20"/>
  <c r="E12" i="2" l="1"/>
  <c r="F12" i="2" s="1"/>
  <c r="F20" i="2" s="1"/>
  <c r="F10" i="23" l="1"/>
  <c r="G10" i="23" s="1"/>
  <c r="G11" i="27"/>
  <c r="G11" i="25"/>
  <c r="G11" i="23"/>
  <c r="G11" i="21"/>
  <c r="G12" i="21" s="1"/>
  <c r="G11" i="12"/>
  <c r="G10" i="12"/>
  <c r="G12" i="12" s="1"/>
  <c r="G12" i="23" l="1"/>
  <c r="F10" i="27"/>
  <c r="G10" i="27" s="1"/>
  <c r="G12" i="27" s="1"/>
  <c r="F10" i="25"/>
  <c r="G10" i="25" s="1"/>
  <c r="G12" i="25" s="1"/>
</calcChain>
</file>

<file path=xl/sharedStrings.xml><?xml version="1.0" encoding="utf-8"?>
<sst xmlns="http://schemas.openxmlformats.org/spreadsheetml/2006/main" count="666" uniqueCount="425">
  <si>
    <t>A001</t>
  </si>
  <si>
    <t>Unit</t>
  </si>
  <si>
    <t>Description Extended</t>
  </si>
  <si>
    <t>AC</t>
  </si>
  <si>
    <t>Acre</t>
  </si>
  <si>
    <t>FR</t>
  </si>
  <si>
    <t>Frame</t>
  </si>
  <si>
    <t>PD</t>
  </si>
  <si>
    <t>Pad</t>
  </si>
  <si>
    <t>AM</t>
  </si>
  <si>
    <t>Ampoule</t>
  </si>
  <si>
    <t>FT</t>
  </si>
  <si>
    <t>Foot</t>
  </si>
  <si>
    <t>PG</t>
  </si>
  <si>
    <t>Package</t>
  </si>
  <si>
    <t>AT</t>
  </si>
  <si>
    <t>Assortment</t>
  </si>
  <si>
    <t>FV</t>
  </si>
  <si>
    <t>Five</t>
  </si>
  <si>
    <t>PI</t>
  </si>
  <si>
    <t>Pillow</t>
  </si>
  <si>
    <t>AY</t>
  </si>
  <si>
    <t>Assembly</t>
  </si>
  <si>
    <t>FY</t>
  </si>
  <si>
    <t>Fifty</t>
  </si>
  <si>
    <t>PM</t>
  </si>
  <si>
    <t>Plate</t>
  </si>
  <si>
    <t>BA</t>
  </si>
  <si>
    <t>Ball</t>
  </si>
  <si>
    <t>GG</t>
  </si>
  <si>
    <t>Great Gross</t>
  </si>
  <si>
    <t>PR</t>
  </si>
  <si>
    <t>Pair</t>
  </si>
  <si>
    <t>BD</t>
  </si>
  <si>
    <t>Bundle</t>
  </si>
  <si>
    <t>GI</t>
  </si>
  <si>
    <t>Gill</t>
  </si>
  <si>
    <t>PT</t>
  </si>
  <si>
    <t>Pint</t>
  </si>
  <si>
    <t>BE</t>
  </si>
  <si>
    <t>Bale</t>
  </si>
  <si>
    <t>GL</t>
  </si>
  <si>
    <t>Gallon</t>
  </si>
  <si>
    <t>PX</t>
  </si>
  <si>
    <t>Pellet</t>
  </si>
  <si>
    <t>BF</t>
  </si>
  <si>
    <t>Board Foot</t>
  </si>
  <si>
    <t>GM</t>
  </si>
  <si>
    <t>Gram</t>
  </si>
  <si>
    <t>PZ</t>
  </si>
  <si>
    <t>Packet</t>
  </si>
  <si>
    <t>BG</t>
  </si>
  <si>
    <t>Bag</t>
  </si>
  <si>
    <t>GN</t>
  </si>
  <si>
    <t>Grain</t>
  </si>
  <si>
    <t>QT</t>
  </si>
  <si>
    <t>Quart</t>
  </si>
  <si>
    <t>BK</t>
  </si>
  <si>
    <t>Book</t>
  </si>
  <si>
    <t>GP</t>
  </si>
  <si>
    <t>Group</t>
  </si>
  <si>
    <t>RA</t>
  </si>
  <si>
    <t>Ration</t>
  </si>
  <si>
    <t>BL</t>
  </si>
  <si>
    <t>Barrel</t>
  </si>
  <si>
    <t>GR</t>
  </si>
  <si>
    <t>Gross</t>
  </si>
  <si>
    <t>RD</t>
  </si>
  <si>
    <t>Round</t>
  </si>
  <si>
    <t>BO</t>
  </si>
  <si>
    <t>Bolt</t>
  </si>
  <si>
    <t>HD</t>
  </si>
  <si>
    <t>Hundred</t>
  </si>
  <si>
    <t>RL</t>
  </si>
  <si>
    <t>Reel</t>
  </si>
  <si>
    <t>BQ</t>
  </si>
  <si>
    <t>Briquet</t>
  </si>
  <si>
    <t>HF</t>
  </si>
  <si>
    <t>Hundred Feet</t>
  </si>
  <si>
    <t>RM</t>
  </si>
  <si>
    <t>Ream</t>
  </si>
  <si>
    <t>BR</t>
  </si>
  <si>
    <t>Bar</t>
  </si>
  <si>
    <t>HK</t>
  </si>
  <si>
    <t>Hank</t>
  </si>
  <si>
    <t>RO</t>
  </si>
  <si>
    <t>Roll</t>
  </si>
  <si>
    <t>BT</t>
  </si>
  <si>
    <t>Bottle</t>
  </si>
  <si>
    <t>HP</t>
  </si>
  <si>
    <t>Hundred Pounds</t>
  </si>
  <si>
    <t>RX</t>
  </si>
  <si>
    <t>Thousand Rounds</t>
  </si>
  <si>
    <t>BX</t>
  </si>
  <si>
    <t>Box</t>
  </si>
  <si>
    <t>HR</t>
  </si>
  <si>
    <t>Hours</t>
  </si>
  <si>
    <t>SB</t>
  </si>
  <si>
    <t>Square Mile</t>
  </si>
  <si>
    <t>CA</t>
  </si>
  <si>
    <t>Cartridge</t>
  </si>
  <si>
    <t>HS</t>
  </si>
  <si>
    <t>Hundred Square Feet</t>
  </si>
  <si>
    <t>SC</t>
  </si>
  <si>
    <t>Square Centimeters</t>
  </si>
  <si>
    <t>CB</t>
  </si>
  <si>
    <t>Carboy</t>
  </si>
  <si>
    <t>HW</t>
  </si>
  <si>
    <t>Hundred Weight</t>
  </si>
  <si>
    <t>SD</t>
  </si>
  <si>
    <t>Skid</t>
  </si>
  <si>
    <t>CC</t>
  </si>
  <si>
    <t>Cubic Centimeter</t>
  </si>
  <si>
    <t>HY</t>
  </si>
  <si>
    <t>Hundred Yards</t>
  </si>
  <si>
    <t>SE</t>
  </si>
  <si>
    <t>Set</t>
  </si>
  <si>
    <t>CD</t>
  </si>
  <si>
    <t>Cubic Yard</t>
  </si>
  <si>
    <t>IN</t>
  </si>
  <si>
    <t>Inch</t>
  </si>
  <si>
    <t>SF</t>
  </si>
  <si>
    <t>Square Foot</t>
  </si>
  <si>
    <t>CE</t>
  </si>
  <si>
    <t>Cone</t>
  </si>
  <si>
    <t>JR</t>
  </si>
  <si>
    <t>Jar</t>
  </si>
  <si>
    <t>SH</t>
  </si>
  <si>
    <t>Sheet</t>
  </si>
  <si>
    <t>CF</t>
  </si>
  <si>
    <t>Cubic Foot</t>
  </si>
  <si>
    <t>KG</t>
  </si>
  <si>
    <t>Kilogram</t>
  </si>
  <si>
    <t>SI</t>
  </si>
  <si>
    <t>Square Inch</t>
  </si>
  <si>
    <t>CG</t>
  </si>
  <si>
    <t>Centigram</t>
  </si>
  <si>
    <t>KM</t>
  </si>
  <si>
    <t>Kilometer</t>
  </si>
  <si>
    <t>SK</t>
  </si>
  <si>
    <t>Skein</t>
  </si>
  <si>
    <t>CI</t>
  </si>
  <si>
    <t>Cubic Inch</t>
  </si>
  <si>
    <t>KR</t>
  </si>
  <si>
    <t>Carat</t>
  </si>
  <si>
    <t>SL</t>
  </si>
  <si>
    <t>Spool</t>
  </si>
  <si>
    <t>CK</t>
  </si>
  <si>
    <t>Cake</t>
  </si>
  <si>
    <t>KT</t>
  </si>
  <si>
    <t>Kit</t>
  </si>
  <si>
    <t>SM</t>
  </si>
  <si>
    <t>Square Meter</t>
  </si>
  <si>
    <t>CL</t>
  </si>
  <si>
    <t>Coil</t>
  </si>
  <si>
    <t>LB</t>
  </si>
  <si>
    <t>Pound</t>
  </si>
  <si>
    <t>SO</t>
  </si>
  <si>
    <t>Shot</t>
  </si>
  <si>
    <t>CM</t>
  </si>
  <si>
    <t>Centimeter</t>
  </si>
  <si>
    <t>LF</t>
  </si>
  <si>
    <t>Linear Foot</t>
  </si>
  <si>
    <t>SP</t>
  </si>
  <si>
    <t>Strip</t>
  </si>
  <si>
    <t>CN</t>
  </si>
  <si>
    <t>Can</t>
  </si>
  <si>
    <t>LG</t>
  </si>
  <si>
    <t>Length</t>
  </si>
  <si>
    <t>SQ</t>
  </si>
  <si>
    <t>Square</t>
  </si>
  <si>
    <t>CO</t>
  </si>
  <si>
    <t>Container</t>
  </si>
  <si>
    <t>LH</t>
  </si>
  <si>
    <t>Labor Hours</t>
  </si>
  <si>
    <t>SX</t>
  </si>
  <si>
    <t>Stick</t>
  </si>
  <si>
    <t>CU</t>
  </si>
  <si>
    <t>Curie</t>
  </si>
  <si>
    <t>LI</t>
  </si>
  <si>
    <t>Liter</t>
  </si>
  <si>
    <t>SY</t>
  </si>
  <si>
    <t>Square Yard</t>
  </si>
  <si>
    <t>CY</t>
  </si>
  <si>
    <t>Cylinder</t>
  </si>
  <si>
    <t>LM</t>
  </si>
  <si>
    <t>Linear Meter</t>
  </si>
  <si>
    <t>TC</t>
  </si>
  <si>
    <t>Truckload</t>
  </si>
  <si>
    <t>CZ</t>
  </si>
  <si>
    <t>Cubic Meter</t>
  </si>
  <si>
    <t>LO</t>
  </si>
  <si>
    <t>Lot</t>
  </si>
  <si>
    <t>TD</t>
  </si>
  <si>
    <t>Twenty-Four</t>
  </si>
  <si>
    <t>DA</t>
  </si>
  <si>
    <t>Days</t>
  </si>
  <si>
    <t>LS</t>
  </si>
  <si>
    <t>Lump Sum</t>
  </si>
  <si>
    <t>TE</t>
  </si>
  <si>
    <t>Ten</t>
  </si>
  <si>
    <t>DC</t>
  </si>
  <si>
    <t>Decagram</t>
  </si>
  <si>
    <t>LY</t>
  </si>
  <si>
    <t>Linear Yard</t>
  </si>
  <si>
    <t>TF</t>
  </si>
  <si>
    <t>Twenty-Five</t>
  </si>
  <si>
    <t>DE</t>
  </si>
  <si>
    <t>Decimeter</t>
  </si>
  <si>
    <t>MC</t>
  </si>
  <si>
    <t>Thousand Cubic Feet</t>
  </si>
  <si>
    <t>TG</t>
  </si>
  <si>
    <t>Gross Ton</t>
  </si>
  <si>
    <t>DG</t>
  </si>
  <si>
    <t>Decigram</t>
  </si>
  <si>
    <t>ME</t>
  </si>
  <si>
    <t>Meal</t>
  </si>
  <si>
    <t>TN</t>
  </si>
  <si>
    <t>Ton</t>
  </si>
  <si>
    <t>DL</t>
  </si>
  <si>
    <t>Deciliter</t>
  </si>
  <si>
    <t>MF</t>
  </si>
  <si>
    <t>Thousand Feet</t>
  </si>
  <si>
    <t>TO</t>
  </si>
  <si>
    <t>Troy Ounce</t>
  </si>
  <si>
    <t>DM</t>
  </si>
  <si>
    <t>Dram</t>
  </si>
  <si>
    <t>MG</t>
  </si>
  <si>
    <t>Milligram</t>
  </si>
  <si>
    <t>TS</t>
  </si>
  <si>
    <t>Thirty-Six</t>
  </si>
  <si>
    <t>DO</t>
  </si>
  <si>
    <t>Dollars</t>
  </si>
  <si>
    <t>MI</t>
  </si>
  <si>
    <t>Mile</t>
  </si>
  <si>
    <t>TT</t>
  </si>
  <si>
    <t>Tablet</t>
  </si>
  <si>
    <t>DR</t>
  </si>
  <si>
    <t>Drum</t>
  </si>
  <si>
    <t>ML</t>
  </si>
  <si>
    <t>Milliliter</t>
  </si>
  <si>
    <t>TU</t>
  </si>
  <si>
    <t>Tube</t>
  </si>
  <si>
    <t>DW</t>
  </si>
  <si>
    <t>Pennyweight</t>
  </si>
  <si>
    <t>MM</t>
  </si>
  <si>
    <t>Millimeter</t>
  </si>
  <si>
    <t>UN</t>
  </si>
  <si>
    <t>DZ</t>
  </si>
  <si>
    <t>Dozen</t>
  </si>
  <si>
    <t>MO</t>
  </si>
  <si>
    <t>Months</t>
  </si>
  <si>
    <t>US</t>
  </si>
  <si>
    <t>US U.S.P Unit</t>
  </si>
  <si>
    <t>EA</t>
  </si>
  <si>
    <t>Each</t>
  </si>
  <si>
    <t>MR</t>
  </si>
  <si>
    <t>Meter</t>
  </si>
  <si>
    <t>VI</t>
  </si>
  <si>
    <t>Vial</t>
  </si>
  <si>
    <t>EN</t>
  </si>
  <si>
    <t>Each Collection</t>
  </si>
  <si>
    <t>MX</t>
  </si>
  <si>
    <t>Thousand</t>
  </si>
  <si>
    <t>WK</t>
  </si>
  <si>
    <t>Week</t>
  </si>
  <si>
    <t>EX</t>
  </si>
  <si>
    <t>Exposure</t>
  </si>
  <si>
    <t>OT</t>
  </si>
  <si>
    <t>Outfit</t>
  </si>
  <si>
    <t>YD</t>
  </si>
  <si>
    <t>Yard</t>
  </si>
  <si>
    <t>FD</t>
  </si>
  <si>
    <t>Fold</t>
  </si>
  <si>
    <t>OZ</t>
  </si>
  <si>
    <t>Ounce</t>
  </si>
  <si>
    <t>YR</t>
  </si>
  <si>
    <t>Years</t>
  </si>
  <si>
    <t>Unit Price</t>
  </si>
  <si>
    <t>Total</t>
  </si>
  <si>
    <t>EXHIBIT LINE ITEM NUMBERS</t>
  </si>
  <si>
    <t>Estimated Quantity</t>
  </si>
  <si>
    <t>Extended Price</t>
  </si>
  <si>
    <t>A700</t>
  </si>
  <si>
    <t>A701</t>
  </si>
  <si>
    <t>Description</t>
  </si>
  <si>
    <t>EXHIBIT A - CLIN 9000</t>
  </si>
  <si>
    <t>PROVIDE PRICES FOR FACILITY INVESTMENT - FIRM FIXED PRICE - IN ACCORDANCE WITH SECTION C, SPEC ITEM 3</t>
  </si>
  <si>
    <t>Material Costs-  MUST BE NEGOTIATED BY KO.</t>
  </si>
  <si>
    <t>Unit Priced Labor Work -  MUST BE NEGOTIATED BY KO.</t>
  </si>
  <si>
    <t>B001</t>
  </si>
  <si>
    <t>B700</t>
  </si>
  <si>
    <t>B701</t>
  </si>
  <si>
    <t>PROVIDE PRICES FOR FACILITY INVESTMENT - INDEFINITE DELIVERY / INDEFINITE QUANTITY - IN ACCORDANCE WITH SECTION C, SPEC ITEM 4</t>
  </si>
  <si>
    <t>ELIN</t>
  </si>
  <si>
    <t>EXHIBIT B - CLIN 9001</t>
  </si>
  <si>
    <r>
      <t xml:space="preserve">Provide labor to perform all Unit Priced Labor work subject to the Service Contract Act per the scope and delivery schedule specified in the order.  </t>
    </r>
    <r>
      <rPr>
        <b/>
        <sz val="10"/>
        <rFont val="Times New Roman"/>
        <family val="1"/>
      </rPr>
      <t xml:space="preserve">
</t>
    </r>
  </si>
  <si>
    <t>EXHIBIT C - CLIN 9002</t>
  </si>
  <si>
    <t>EXHIBIT D - CLIN 9004</t>
  </si>
  <si>
    <t>EXHIBIT E - CLIN 9005</t>
  </si>
  <si>
    <t>E700</t>
  </si>
  <si>
    <t>E701</t>
  </si>
  <si>
    <t>E001</t>
  </si>
  <si>
    <t>D700</t>
  </si>
  <si>
    <t>D701</t>
  </si>
  <si>
    <t>ATTACHMENT J-0200000-09</t>
  </si>
  <si>
    <t>SOLICITATION/CONTRACT #N62478-26-R-2436</t>
  </si>
  <si>
    <t>ATTACHMENT J-0200000-10</t>
  </si>
  <si>
    <t>ATTACHMENT J-0200000-11</t>
  </si>
  <si>
    <t>ATTACHMENT J-0200000-12</t>
  </si>
  <si>
    <t>ATTACHMENT J-0200000-13</t>
  </si>
  <si>
    <t>ATTACHMENT J-0200000-14</t>
  </si>
  <si>
    <t>EXHIBIT E - CLIN 9006</t>
  </si>
  <si>
    <t>ELINs A001</t>
  </si>
  <si>
    <t>ELINs B001</t>
  </si>
  <si>
    <t>ELINs C001</t>
  </si>
  <si>
    <t>C001</t>
  </si>
  <si>
    <t>ELINs D001</t>
  </si>
  <si>
    <t>D001</t>
  </si>
  <si>
    <t xml:space="preserve">ELINs E001 </t>
  </si>
  <si>
    <t xml:space="preserve">ELINs F001 </t>
  </si>
  <si>
    <t>F001</t>
  </si>
  <si>
    <t>ELINs A700 through A701</t>
  </si>
  <si>
    <t>Unit of Measure</t>
  </si>
  <si>
    <t xml:space="preserve">Offeror Proposed Unit Price Enter proposed unit price in this column. Price will automatically copy to the UNIT PRICE cell rounded to two decimal places </t>
  </si>
  <si>
    <t xml:space="preserve">ELINs B700 through B701 </t>
  </si>
  <si>
    <t>ELINs E700 through E701</t>
  </si>
  <si>
    <t xml:space="preserve">ELINs D700 through D701 </t>
  </si>
  <si>
    <t>ELINs C700 through C701</t>
  </si>
  <si>
    <t xml:space="preserve">Description </t>
  </si>
  <si>
    <t xml:space="preserve">ELIN </t>
  </si>
  <si>
    <t>TOTAL NON-RECURRING EXHIBIT LINE ITEM NUMBER BASE YEAR - A700 THROUGH A701</t>
  </si>
  <si>
    <t xml:space="preserve">ELINs F700 through F701 </t>
  </si>
  <si>
    <t>Line Item 0001    Recurring Work Base Year</t>
  </si>
  <si>
    <t>Line Item 0002   Non-Recurring Work Base Year</t>
  </si>
  <si>
    <t>Line Item 0003 Recurring Work Option Year One</t>
  </si>
  <si>
    <t>Line Item 0004   Non-Recurring Work Option Year One</t>
  </si>
  <si>
    <t>Line Item 0005    Recurring Work Option Year Two</t>
  </si>
  <si>
    <t>C700</t>
  </si>
  <si>
    <t>C701</t>
  </si>
  <si>
    <t>Line Item 0006  Non-Recurring Work Option Year Two</t>
  </si>
  <si>
    <t>Line Item 0007   Recurring Work Option Year Three</t>
  </si>
  <si>
    <t>TOTAL NON-RECURRING EXHIBIT LINE ITEM NUMBER OPTION YEAR ONE - B700 THROUGH B701</t>
  </si>
  <si>
    <t>TOTAL NON-RECURRING EXHIBIT LINE ITEM NUMBER OPTION YEAR TWO - C700 THROUGH C701</t>
  </si>
  <si>
    <t>TOTAL RECURRING EXHIBIT LINE ITEM NUMBER BASE YEAR - A001</t>
  </si>
  <si>
    <t>TOTAL NON-RECURRING EXHIBIT LINE ITEM NUMBER OPTION YEAR THREE - D700 THROUGH D701</t>
  </si>
  <si>
    <t>Line Item 0008   Non-Recurring Option Year Three</t>
  </si>
  <si>
    <t>Line Item 0009 Recurring Work Option Year Four</t>
  </si>
  <si>
    <t>Line Item 00011   Recurring Work Option to Extend</t>
  </si>
  <si>
    <t xml:space="preserve">Line Item 00012   Non-Recurring Option To Extend </t>
  </si>
  <si>
    <t>F700</t>
  </si>
  <si>
    <t>F701</t>
  </si>
  <si>
    <r>
      <t>Provide all materials and equipment to perform Unit Priced Labor work per the scope and delivery schedule specified in the order. Use with ELIN D700.</t>
    </r>
    <r>
      <rPr>
        <b/>
        <sz val="10"/>
        <rFont val="Times New Roman"/>
        <family val="1"/>
      </rPr>
      <t xml:space="preserve">  </t>
    </r>
  </si>
  <si>
    <r>
      <t>Provide all materials and equipment to perform Unit Priced Labor work per the scope and delivery schedule specified in the order. Use with ELIN E700.</t>
    </r>
    <r>
      <rPr>
        <b/>
        <sz val="10"/>
        <rFont val="Times New Roman"/>
        <family val="1"/>
      </rPr>
      <t xml:space="preserve">  </t>
    </r>
  </si>
  <si>
    <r>
      <t>Provide all materials and equipment to perform Unit Priced Labor work per the scope and delivery schedule specified in the order. Use with ELIN F700.</t>
    </r>
    <r>
      <rPr>
        <b/>
        <sz val="10"/>
        <rFont val="Times New Roman"/>
        <family val="1"/>
      </rPr>
      <t xml:space="preserve">  </t>
    </r>
  </si>
  <si>
    <r>
      <t>Provide all materials and equipment to perform Unit Priced Labor work per the scope and delivery schedule specified in the order. Use with ELIN C700.</t>
    </r>
    <r>
      <rPr>
        <b/>
        <sz val="10"/>
        <rFont val="Times New Roman"/>
        <family val="1"/>
      </rPr>
      <t xml:space="preserve">  </t>
    </r>
  </si>
  <si>
    <r>
      <t>Provide all materials and equipment to perform Unit Priced Labor work per the scope and delivery schedule specified in the order. Use with ELIN B700.</t>
    </r>
    <r>
      <rPr>
        <b/>
        <sz val="10"/>
        <rFont val="Times New Roman"/>
        <family val="1"/>
      </rPr>
      <t xml:space="preserve">  </t>
    </r>
  </si>
  <si>
    <t xml:space="preserve">Provide all materials and equipment to perform Unit Priced Labor work per the scope and delivery schedule specified in the order. Use with ELIN A700. </t>
  </si>
  <si>
    <t>1502000 -Facility Investment</t>
  </si>
  <si>
    <t>TOTAL NON-RECURRING EXHIBIT LINE ITEM NUMBER OPTION TO EXTEND - F700 THROUGH F701</t>
  </si>
  <si>
    <t>TOTAL NON-RECURRING EXHIBIT LINE ITEM NUMBER OPTION YEAR FOUR - E700 THROUGH E701</t>
  </si>
  <si>
    <t>Line Item 00010   NON-RECURRING WORK PRICE - OPTION YEAR FOUR</t>
  </si>
  <si>
    <t>A001AA</t>
  </si>
  <si>
    <t>A001AB</t>
  </si>
  <si>
    <t>A001AC</t>
  </si>
  <si>
    <t>A001AD</t>
  </si>
  <si>
    <t>A001AE</t>
  </si>
  <si>
    <t>A001AF</t>
  </si>
  <si>
    <t>A001AG</t>
  </si>
  <si>
    <t>Service Orders, Spec Item 3.1</t>
  </si>
  <si>
    <t>Emergency Orders. Spec Item 3.1.1</t>
  </si>
  <si>
    <t>Urgent Orders, Spec Item 3.1.2</t>
  </si>
  <si>
    <t>Routine Service Orders, Spec Item 3.1.3</t>
  </si>
  <si>
    <t>Preventive Maintenance (PM) Program, Spec Item 3.2</t>
  </si>
  <si>
    <t>Integrated Maintenance Program, Spec Item 3.3</t>
  </si>
  <si>
    <t>Inspection, Testing and Certification Program, Spec Item 3.4</t>
  </si>
  <si>
    <t>A001AH</t>
  </si>
  <si>
    <t>Other Recurring Services Program, Spec Item 3.5</t>
  </si>
  <si>
    <t>TOTAL RECURRING EXHIBIT LINE ITEM NUMBER BASE YEAR - B001</t>
  </si>
  <si>
    <t>B001AA</t>
  </si>
  <si>
    <t>B001AB</t>
  </si>
  <si>
    <t>B001AC</t>
  </si>
  <si>
    <t>B001AD</t>
  </si>
  <si>
    <t>B001AE</t>
  </si>
  <si>
    <t>B001AF</t>
  </si>
  <si>
    <t>B001AG</t>
  </si>
  <si>
    <t>B001AH</t>
  </si>
  <si>
    <t>C001AA</t>
  </si>
  <si>
    <t>C001AB</t>
  </si>
  <si>
    <t>C001AC</t>
  </si>
  <si>
    <t>C001AD</t>
  </si>
  <si>
    <t>C001AE</t>
  </si>
  <si>
    <t>C001AF</t>
  </si>
  <si>
    <t>C001AG</t>
  </si>
  <si>
    <t>C001AH</t>
  </si>
  <si>
    <t>TOTAL RECURRING EXHIBIT LINE ITEM NUMBER BASE YEAR - C001</t>
  </si>
  <si>
    <t>D001AA</t>
  </si>
  <si>
    <t>D001AB</t>
  </si>
  <si>
    <t>D001AC</t>
  </si>
  <si>
    <t>D001AD</t>
  </si>
  <si>
    <t>D001AE</t>
  </si>
  <si>
    <t>D001AF</t>
  </si>
  <si>
    <t>D001AG</t>
  </si>
  <si>
    <t>D001AH</t>
  </si>
  <si>
    <t>TOTAL RECURRING EXHIBIT LINE ITEM NUMBER BASE YEAR - D001</t>
  </si>
  <si>
    <t>E001AA</t>
  </si>
  <si>
    <t>E001AB</t>
  </si>
  <si>
    <t>E001AC</t>
  </si>
  <si>
    <t>E001AD</t>
  </si>
  <si>
    <t>E001AE</t>
  </si>
  <si>
    <t>E001AF</t>
  </si>
  <si>
    <t>E001AG</t>
  </si>
  <si>
    <t>E001AH</t>
  </si>
  <si>
    <t>TOTAL RECURRING EXHIBIT LINE ITEM NUMBER BASE YEAR - E001</t>
  </si>
  <si>
    <t>F001AA</t>
  </si>
  <si>
    <t>F001AB</t>
  </si>
  <si>
    <t>F001AC</t>
  </si>
  <si>
    <t>F001AD</t>
  </si>
  <si>
    <t>F001AE</t>
  </si>
  <si>
    <t>F001AF</t>
  </si>
  <si>
    <t>F001AG</t>
  </si>
  <si>
    <t>F001AH</t>
  </si>
  <si>
    <t>TOTAL RECURRING EXHIBIT LINE ITEM NUMBER BASE YEAR - F001</t>
  </si>
  <si>
    <t>Offeror Proposed Unit Price Enter proposed unit price in this column. Price will automatically copy to the UNIT PRICE cell rounded to two decimal places</t>
  </si>
  <si>
    <t>OFFEROR PROPOSED            UNIT PRICE          Enter proposed unit price in this column. Price will automatically copy to the UNIT PRICE cell rounded to two decimal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</si>
</sst>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13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sz val="10"/>
      <name val="Arial"/>
      <family val="2"/>
    </font>
    <font>
      <b/>
      <u/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name val="Garamond"/>
      <family val="1"/>
    </font>
    <font>
      <sz val="11"/>
      <name val="Garamond"/>
      <family val="1"/>
    </font>
    <font>
      <sz val="10"/>
      <color indexed="8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2" fillId="0" borderId="0" xfId="0" applyFont="1" applyBorder="1"/>
    <xf numFmtId="3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3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5" fontId="6" fillId="0" borderId="1" xfId="0" applyNumberFormat="1" applyFont="1" applyBorder="1" applyAlignment="1">
      <alignment horizontal="right"/>
    </xf>
    <xf numFmtId="0" fontId="6" fillId="0" borderId="0" xfId="0" applyFont="1"/>
    <xf numFmtId="3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2" fillId="0" borderId="0" xfId="0" applyFont="1" applyFill="1"/>
    <xf numFmtId="0" fontId="6" fillId="0" borderId="1" xfId="0" applyFont="1" applyBorder="1"/>
    <xf numFmtId="0" fontId="2" fillId="0" borderId="1" xfId="0" applyFont="1" applyBorder="1"/>
    <xf numFmtId="165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3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164" fontId="2" fillId="0" borderId="1" xfId="0" applyNumberFormat="1" applyFont="1" applyBorder="1" applyAlignment="1" applyProtection="1">
      <alignment horizontal="right"/>
      <protection hidden="1"/>
    </xf>
    <xf numFmtId="0" fontId="0" fillId="0" borderId="20" xfId="0" applyBorder="1"/>
    <xf numFmtId="0" fontId="0" fillId="0" borderId="21" xfId="0" applyBorder="1"/>
    <xf numFmtId="44" fontId="2" fillId="2" borderId="21" xfId="1" applyFont="1" applyFill="1" applyBorder="1" applyAlignment="1" applyProtection="1">
      <protection locked="0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5" xfId="0" applyFont="1" applyBorder="1"/>
    <xf numFmtId="0" fontId="3" fillId="0" borderId="15" xfId="0" applyFont="1" applyBorder="1" applyAlignment="1">
      <alignment horizontal="left"/>
    </xf>
    <xf numFmtId="0" fontId="6" fillId="0" borderId="3" xfId="0" applyNumberFormat="1" applyFont="1" applyFill="1" applyBorder="1" applyAlignment="1">
      <alignment wrapText="1"/>
    </xf>
    <xf numFmtId="0" fontId="6" fillId="0" borderId="3" xfId="0" applyNumberFormat="1" applyFont="1" applyFill="1" applyBorder="1" applyAlignment="1">
      <alignment horizontal="center" wrapText="1"/>
    </xf>
    <xf numFmtId="0" fontId="6" fillId="0" borderId="3" xfId="0" applyFont="1" applyBorder="1" applyAlignment="1"/>
    <xf numFmtId="0" fontId="6" fillId="0" borderId="3" xfId="0" applyFont="1" applyBorder="1" applyAlignment="1">
      <alignment wrapText="1"/>
    </xf>
    <xf numFmtId="164" fontId="6" fillId="0" borderId="3" xfId="0" applyNumberFormat="1" applyFont="1" applyBorder="1" applyAlignment="1"/>
    <xf numFmtId="44" fontId="2" fillId="0" borderId="21" xfId="1" applyFont="1" applyFill="1" applyBorder="1" applyAlignment="1" applyProtection="1">
      <protection locked="0"/>
    </xf>
    <xf numFmtId="0" fontId="12" fillId="0" borderId="19" xfId="0" applyFont="1" applyFill="1" applyBorder="1" applyAlignment="1">
      <alignment horizontal="center" vertical="top"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44" fontId="2" fillId="0" borderId="1" xfId="1" applyFont="1" applyBorder="1"/>
    <xf numFmtId="44" fontId="6" fillId="0" borderId="1" xfId="1" applyFont="1" applyBorder="1" applyAlignment="1">
      <alignment horizontal="right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0" fillId="0" borderId="22" xfId="0" applyFont="1" applyBorder="1" applyAlignment="1">
      <alignment wrapText="1"/>
    </xf>
    <xf numFmtId="44" fontId="2" fillId="0" borderId="0" xfId="0" applyNumberFormat="1" applyFont="1"/>
    <xf numFmtId="0" fontId="2" fillId="0" borderId="0" xfId="0" applyFont="1" applyProtection="1"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3" fontId="5" fillId="0" borderId="0" xfId="0" applyNumberFormat="1" applyFont="1" applyBorder="1" applyAlignment="1" applyProtection="1">
      <alignment horizontal="center" vertical="center"/>
      <protection hidden="1"/>
    </xf>
    <xf numFmtId="164" fontId="5" fillId="0" borderId="0" xfId="0" applyNumberFormat="1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top"/>
      <protection hidden="1"/>
    </xf>
    <xf numFmtId="49" fontId="6" fillId="0" borderId="3" xfId="0" applyNumberFormat="1" applyFont="1" applyFill="1" applyBorder="1" applyAlignment="1" applyProtection="1">
      <alignment horizontal="center" wrapText="1"/>
      <protection hidden="1"/>
    </xf>
    <xf numFmtId="0" fontId="6" fillId="0" borderId="3" xfId="0" applyFont="1" applyFill="1" applyBorder="1" applyAlignment="1" applyProtection="1">
      <alignment horizontal="center" wrapText="1"/>
      <protection hidden="1"/>
    </xf>
    <xf numFmtId="0" fontId="6" fillId="0" borderId="3" xfId="0" applyNumberFormat="1" applyFont="1" applyFill="1" applyBorder="1" applyAlignment="1" applyProtection="1">
      <alignment horizontal="center" wrapText="1"/>
      <protection hidden="1"/>
    </xf>
    <xf numFmtId="0" fontId="6" fillId="0" borderId="3" xfId="1" applyNumberFormat="1" applyFont="1" applyFill="1" applyBorder="1" applyAlignment="1" applyProtection="1">
      <alignment horizontal="center" wrapText="1"/>
      <protection hidden="1"/>
    </xf>
    <xf numFmtId="44" fontId="6" fillId="0" borderId="10" xfId="1" applyFont="1" applyFill="1" applyBorder="1" applyAlignment="1" applyProtection="1">
      <alignment horizontal="center" wrapText="1"/>
      <protection hidden="1"/>
    </xf>
    <xf numFmtId="0" fontId="2" fillId="0" borderId="0" xfId="0" applyFont="1" applyFill="1" applyProtection="1">
      <protection hidden="1"/>
    </xf>
    <xf numFmtId="165" fontId="2" fillId="0" borderId="1" xfId="0" applyNumberFormat="1" applyFont="1" applyBorder="1" applyAlignment="1" applyProtection="1">
      <alignment horizontal="left" vertical="top" wrapText="1"/>
      <protection hidden="1"/>
    </xf>
    <xf numFmtId="0" fontId="2" fillId="0" borderId="1" xfId="0" applyFont="1" applyFill="1" applyBorder="1" applyAlignment="1" applyProtection="1">
      <alignment vertical="top" wrapText="1"/>
      <protection hidden="1"/>
    </xf>
    <xf numFmtId="0" fontId="2" fillId="0" borderId="1" xfId="0" applyFont="1" applyFill="1" applyBorder="1" applyAlignment="1" applyProtection="1">
      <alignment horizontal="right" wrapText="1"/>
      <protection hidden="1"/>
    </xf>
    <xf numFmtId="44" fontId="2" fillId="0" borderId="1" xfId="1" applyFont="1" applyBorder="1" applyAlignment="1" applyProtection="1">
      <alignment wrapText="1"/>
      <protection hidden="1"/>
    </xf>
    <xf numFmtId="7" fontId="2" fillId="0" borderId="1" xfId="1" applyNumberFormat="1" applyFont="1" applyFill="1" applyBorder="1" applyAlignment="1" applyProtection="1">
      <alignment wrapText="1"/>
      <protection hidden="1"/>
    </xf>
    <xf numFmtId="0" fontId="2" fillId="0" borderId="0" xfId="0" applyFont="1" applyAlignment="1" applyProtection="1">
      <alignment vertical="top" wrapText="1"/>
      <protection hidden="1"/>
    </xf>
    <xf numFmtId="3" fontId="2" fillId="0" borderId="1" xfId="0" applyNumberFormat="1" applyFont="1" applyFill="1" applyBorder="1" applyAlignment="1" applyProtection="1">
      <alignment horizontal="right" wrapText="1"/>
      <protection hidden="1"/>
    </xf>
    <xf numFmtId="0" fontId="2" fillId="0" borderId="1" xfId="0" applyFont="1" applyFill="1" applyBorder="1" applyAlignment="1" applyProtection="1">
      <alignment wrapText="1"/>
      <protection hidden="1"/>
    </xf>
    <xf numFmtId="49" fontId="2" fillId="0" borderId="1" xfId="0" applyNumberFormat="1" applyFont="1" applyBorder="1" applyAlignment="1" applyProtection="1">
      <alignment vertical="top" wrapText="1"/>
      <protection hidden="1"/>
    </xf>
    <xf numFmtId="7" fontId="6" fillId="0" borderId="1" xfId="1" applyNumberFormat="1" applyFont="1" applyFill="1" applyBorder="1" applyAlignment="1" applyProtection="1">
      <alignment vertical="top" wrapText="1"/>
      <protection hidden="1"/>
    </xf>
    <xf numFmtId="0" fontId="2" fillId="0" borderId="1" xfId="0" applyFont="1" applyBorder="1" applyAlignment="1" applyProtection="1">
      <alignment vertical="top" wrapText="1"/>
      <protection hidden="1"/>
    </xf>
    <xf numFmtId="0" fontId="2" fillId="0" borderId="0" xfId="0" applyFont="1" applyBorder="1" applyAlignment="1" applyProtection="1">
      <alignment vertical="top" wrapText="1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center"/>
      <protection hidden="1"/>
    </xf>
    <xf numFmtId="44" fontId="2" fillId="2" borderId="1" xfId="0" applyNumberFormat="1" applyFont="1" applyFill="1" applyBorder="1" applyAlignment="1" applyProtection="1">
      <alignment wrapText="1"/>
      <protection locked="0" hidden="1"/>
    </xf>
    <xf numFmtId="44" fontId="2" fillId="2" borderId="21" xfId="1" applyFont="1" applyFill="1" applyBorder="1" applyAlignment="1" applyProtection="1">
      <protection locked="0" hidden="1"/>
    </xf>
    <xf numFmtId="0" fontId="2" fillId="0" borderId="0" xfId="0" applyFont="1" applyBorder="1" applyProtection="1">
      <protection hidden="1"/>
    </xf>
    <xf numFmtId="0" fontId="6" fillId="0" borderId="3" xfId="0" applyFont="1" applyFill="1" applyBorder="1" applyAlignment="1" applyProtection="1">
      <alignment wrapText="1"/>
      <protection hidden="1"/>
    </xf>
    <xf numFmtId="0" fontId="6" fillId="0" borderId="3" xfId="0" applyNumberFormat="1" applyFont="1" applyFill="1" applyBorder="1" applyAlignment="1" applyProtection="1">
      <alignment wrapText="1"/>
      <protection hidden="1"/>
    </xf>
    <xf numFmtId="44" fontId="6" fillId="0" borderId="3" xfId="1" applyFont="1" applyFill="1" applyBorder="1" applyAlignment="1" applyProtection="1">
      <alignment horizontal="center" wrapText="1"/>
      <protection hidden="1"/>
    </xf>
    <xf numFmtId="0" fontId="2" fillId="0" borderId="0" xfId="0" applyFont="1" applyFill="1" applyBorder="1" applyProtection="1">
      <protection hidden="1"/>
    </xf>
    <xf numFmtId="0" fontId="6" fillId="0" borderId="3" xfId="0" applyFont="1" applyBorder="1" applyAlignment="1" applyProtection="1">
      <protection hidden="1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1" fillId="2" borderId="9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5" xfId="0" applyBorder="1" applyAlignment="1">
      <alignment horizontal="left" wrapText="1"/>
    </xf>
    <xf numFmtId="0" fontId="11" fillId="2" borderId="1" xfId="0" applyFont="1" applyFill="1" applyBorder="1" applyAlignment="1" applyProtection="1">
      <alignment horizontal="center" wrapText="1"/>
      <protection hidden="1"/>
    </xf>
    <xf numFmtId="0" fontId="6" fillId="0" borderId="22" xfId="0" applyFont="1" applyFill="1" applyBorder="1" applyAlignment="1" applyProtection="1">
      <alignment vertical="top" wrapText="1"/>
      <protection hidden="1"/>
    </xf>
    <xf numFmtId="0" fontId="6" fillId="0" borderId="23" xfId="0" applyFont="1" applyFill="1" applyBorder="1" applyAlignment="1" applyProtection="1">
      <alignment vertical="top" wrapText="1"/>
      <protection hidden="1"/>
    </xf>
    <xf numFmtId="0" fontId="6" fillId="0" borderId="24" xfId="0" applyFont="1" applyFill="1" applyBorder="1" applyAlignment="1" applyProtection="1">
      <alignment vertical="top" wrapText="1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left"/>
      <protection hidden="1"/>
    </xf>
    <xf numFmtId="0" fontId="2" fillId="0" borderId="8" xfId="0" applyFont="1" applyBorder="1" applyAlignment="1" applyProtection="1">
      <alignment horizontal="left"/>
      <protection hidden="1"/>
    </xf>
    <xf numFmtId="0" fontId="2" fillId="0" borderId="16" xfId="0" applyFont="1" applyBorder="1" applyAlignment="1" applyProtection="1">
      <alignment horizontal="left"/>
      <protection hidden="1"/>
    </xf>
    <xf numFmtId="0" fontId="2" fillId="0" borderId="14" xfId="0" applyFont="1" applyBorder="1" applyAlignment="1" applyProtection="1">
      <alignment horizontal="left" wrapText="1"/>
      <protection hidden="1"/>
    </xf>
    <xf numFmtId="0" fontId="2" fillId="0" borderId="0" xfId="0" applyFont="1" applyBorder="1" applyAlignment="1" applyProtection="1">
      <alignment horizontal="left" wrapText="1"/>
      <protection hidden="1"/>
    </xf>
    <xf numFmtId="0" fontId="2" fillId="0" borderId="15" xfId="0" applyFont="1" applyBorder="1" applyAlignment="1" applyProtection="1">
      <alignment horizontal="left" wrapText="1"/>
      <protection hidden="1"/>
    </xf>
    <xf numFmtId="0" fontId="6" fillId="0" borderId="14" xfId="0" applyFont="1" applyBorder="1" applyAlignment="1" applyProtection="1">
      <alignment horizontal="left"/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6" fillId="0" borderId="15" xfId="0" applyFont="1" applyBorder="1" applyAlignment="1" applyProtection="1">
      <alignment horizontal="left"/>
      <protection hidden="1"/>
    </xf>
    <xf numFmtId="0" fontId="2" fillId="0" borderId="10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11" fillId="2" borderId="17" xfId="0" applyFont="1" applyFill="1" applyBorder="1" applyAlignment="1">
      <alignment horizontal="center" vertical="top" wrapText="1"/>
    </xf>
    <xf numFmtId="0" fontId="12" fillId="2" borderId="18" xfId="0" applyFont="1" applyFill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12" fillId="2" borderId="19" xfId="0" applyFont="1" applyFill="1" applyBorder="1" applyAlignment="1">
      <alignment horizontal="center" vertical="top" wrapText="1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8" fillId="0" borderId="1" xfId="0" applyFont="1" applyFill="1" applyBorder="1" applyAlignment="1" applyProtection="1">
      <alignment horizontal="center"/>
      <protection locked="0" hidden="1"/>
    </xf>
    <xf numFmtId="0" fontId="8" fillId="0" borderId="1" xfId="0" applyFont="1" applyFill="1" applyBorder="1" applyAlignment="1" applyProtection="1">
      <alignment horizontal="left"/>
      <protection locked="0" hidden="1"/>
    </xf>
    <xf numFmtId="0" fontId="8" fillId="0" borderId="2" xfId="0" applyFont="1" applyFill="1" applyBorder="1" applyAlignment="1" applyProtection="1">
      <protection hidden="1"/>
    </xf>
    <xf numFmtId="0" fontId="8" fillId="0" borderId="1" xfId="0" applyFont="1" applyFill="1" applyBorder="1" applyAlignment="1" applyProtection="1">
      <alignment horizontal="center"/>
      <protection hidden="1"/>
    </xf>
    <xf numFmtId="0" fontId="8" fillId="0" borderId="1" xfId="0" applyFont="1" applyFill="1" applyBorder="1" applyAlignment="1" applyProtection="1">
      <protection hidden="1"/>
    </xf>
    <xf numFmtId="0" fontId="0" fillId="0" borderId="0" xfId="0" applyProtection="1">
      <protection hidden="1"/>
    </xf>
    <xf numFmtId="0" fontId="9" fillId="0" borderId="0" xfId="0" applyFont="1" applyFill="1" applyAlignment="1" applyProtection="1">
      <protection hidden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987425</xdr:colOff>
      <xdr:row>0</xdr:row>
      <xdr:rowOff>0</xdr:rowOff>
    </xdr:from>
    <xdr:to>
      <xdr:col>3</xdr:col>
      <xdr:colOff>644525</xdr:colOff>
      <xdr:row>0</xdr:row>
      <xdr:rowOff>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 txBox="1">
          <a:spLocks noChangeArrowheads="1"/>
        </xdr:cNvSpPr>
      </xdr:nvSpPr>
      <xdr:spPr bwMode="auto">
        <a:xfrm>
          <a:off x="1609725" y="0"/>
          <a:ext cx="3495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2061" name="Text Box 13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1242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193" name="Text Box 145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0</xdr:colOff>
      <xdr:row>402</xdr:row>
      <xdr:rowOff>19050</xdr:rowOff>
    </xdr:to>
    <xdr:sp macro="" textlink="">
      <xdr:nvSpPr>
        <xdr:cNvPr id="2198" name="Text Box 150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SpPr txBox="1">
          <a:spLocks noChangeArrowheads="1"/>
        </xdr:cNvSpPr>
      </xdr:nvSpPr>
      <xdr:spPr bwMode="auto">
        <a:xfrm>
          <a:off x="0" y="7265670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402</xdr:row>
      <xdr:rowOff>9525</xdr:rowOff>
    </xdr:from>
    <xdr:to>
      <xdr:col>0</xdr:col>
      <xdr:colOff>0</xdr:colOff>
      <xdr:row>405</xdr:row>
      <xdr:rowOff>57150</xdr:rowOff>
    </xdr:to>
    <xdr:sp macro="" textlink="">
      <xdr:nvSpPr>
        <xdr:cNvPr id="2199" name="Text Box 151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SpPr txBox="1">
          <a:spLocks noChangeArrowheads="1"/>
        </xdr:cNvSpPr>
      </xdr:nvSpPr>
      <xdr:spPr bwMode="auto">
        <a:xfrm>
          <a:off x="0" y="72666225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0" name="Text Box 152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1" name="Text Box 153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2" name="Text Box 154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3" name="Text Box 155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4" name="Text Box 156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5" name="Text Box 157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6" name="Text Box 158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7" name="Text Box 159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8" name="Text Box 160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09" name="Text Box 161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0" name="Text Box 162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1" name="Text Box 163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2" name="Text Box 164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3" name="Text Box 165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4" name="Text Box 166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5" name="Text Box 167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6" name="Text Box 168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7" name="Text Box 169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8" name="Text Box 170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19" name="Text Box 171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0" name="Text Box 172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1" name="Text Box 173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2" name="Text Box 174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3" name="Text Box 175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4" name="Text Box 176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5" name="Text Box 177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6" name="Text Box 178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7" name="Text Box 179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8" name="Text Box 180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29" name="Text Box 181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30" name="Text Box 182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31" name="Text Box 183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35" name="Text Box 187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36" name="Text Box 188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37" name="Text Box 189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38" name="Text Box 190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39" name="Text Box 191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0" name="Text Box 192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1" name="Text Box 193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2" name="Text Box 194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3" name="Text Box 195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4" name="Text Box 196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5" name="Text Box 197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6" name="Text Box 198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7" name="Text Box 199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8" name="Text Box 200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49" name="Text Box 201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sp macro="" textlink="">
      <xdr:nvSpPr>
        <xdr:cNvPr id="2250" name="Text Box 202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SpPr txBox="1">
          <a:spLocks noChangeArrowheads="1"/>
        </xdr:cNvSpPr>
      </xdr:nvSpPr>
      <xdr:spPr bwMode="auto">
        <a:xfrm>
          <a:off x="0" y="737901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168269</xdr:colOff>
      <xdr:row>0</xdr:row>
      <xdr:rowOff>0</xdr:rowOff>
    </xdr:to>
    <xdr:sp macro="" textlink="">
      <xdr:nvSpPr>
        <xdr:cNvPr id="2271" name="Text Box 223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2766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2273" name="Text Box 225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987425</xdr:colOff>
      <xdr:row>0</xdr:row>
      <xdr:rowOff>0</xdr:rowOff>
    </xdr:from>
    <xdr:to>
      <xdr:col>3</xdr:col>
      <xdr:colOff>644525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609725" y="0"/>
          <a:ext cx="3495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1242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0</xdr:colOff>
      <xdr:row>410</xdr:row>
      <xdr:rowOff>19050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0" y="71828025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410</xdr:row>
      <xdr:rowOff>9525</xdr:rowOff>
    </xdr:from>
    <xdr:to>
      <xdr:col>0</xdr:col>
      <xdr:colOff>0</xdr:colOff>
      <xdr:row>413</xdr:row>
      <xdr:rowOff>57150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0" y="71837550"/>
          <a:ext cx="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168269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3276600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445770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987425</xdr:colOff>
      <xdr:row>0</xdr:row>
      <xdr:rowOff>0</xdr:rowOff>
    </xdr:from>
    <xdr:to>
      <xdr:col>3</xdr:col>
      <xdr:colOff>644525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685925" y="0"/>
          <a:ext cx="36576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4664058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3273425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0</xdr:colOff>
      <xdr:row>410</xdr:row>
      <xdr:rowOff>19050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7319645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410</xdr:row>
      <xdr:rowOff>9525</xdr:rowOff>
    </xdr:from>
    <xdr:to>
      <xdr:col>0</xdr:col>
      <xdr:colOff>0</xdr:colOff>
      <xdr:row>413</xdr:row>
      <xdr:rowOff>57150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73205975"/>
          <a:ext cx="0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168269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3432169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4664058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987425</xdr:colOff>
      <xdr:row>0</xdr:row>
      <xdr:rowOff>0</xdr:rowOff>
    </xdr:from>
    <xdr:to>
      <xdr:col>3</xdr:col>
      <xdr:colOff>644525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1685925" y="0"/>
          <a:ext cx="36576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4664058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3273425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0</xdr:colOff>
      <xdr:row>411</xdr:row>
      <xdr:rowOff>19050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7319645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411</xdr:row>
      <xdr:rowOff>9525</xdr:rowOff>
    </xdr:from>
    <xdr:to>
      <xdr:col>0</xdr:col>
      <xdr:colOff>0</xdr:colOff>
      <xdr:row>414</xdr:row>
      <xdr:rowOff>57150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73205975"/>
          <a:ext cx="0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168269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3432169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4664058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987425</xdr:colOff>
      <xdr:row>0</xdr:row>
      <xdr:rowOff>0</xdr:rowOff>
    </xdr:from>
    <xdr:to>
      <xdr:col>3</xdr:col>
      <xdr:colOff>644525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685925" y="0"/>
          <a:ext cx="36576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4664058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3273425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0</xdr:colOff>
      <xdr:row>411</xdr:row>
      <xdr:rowOff>19050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73196450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411</xdr:row>
      <xdr:rowOff>9525</xdr:rowOff>
    </xdr:from>
    <xdr:to>
      <xdr:col>0</xdr:col>
      <xdr:colOff>0</xdr:colOff>
      <xdr:row>414</xdr:row>
      <xdr:rowOff>57150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73205975"/>
          <a:ext cx="0" cy="542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43521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168269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3432169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698500" y="0"/>
          <a:ext cx="4664058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987425</xdr:colOff>
      <xdr:row>0</xdr:row>
      <xdr:rowOff>0</xdr:rowOff>
    </xdr:from>
    <xdr:to>
      <xdr:col>3</xdr:col>
      <xdr:colOff>644525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611222D-E1E5-4338-BEDA-A9C7B3344C31}"/>
            </a:ext>
          </a:extLst>
        </xdr:cNvPr>
        <xdr:cNvSpPr txBox="1">
          <a:spLocks noChangeArrowheads="1"/>
        </xdr:cNvSpPr>
      </xdr:nvSpPr>
      <xdr:spPr bwMode="auto">
        <a:xfrm>
          <a:off x="1682750" y="0"/>
          <a:ext cx="36576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5B42980-7FF8-4BCD-8909-BBFA27D93193}"/>
            </a:ext>
          </a:extLst>
        </xdr:cNvPr>
        <xdr:cNvSpPr txBox="1">
          <a:spLocks noChangeArrowheads="1"/>
        </xdr:cNvSpPr>
      </xdr:nvSpPr>
      <xdr:spPr bwMode="auto">
        <a:xfrm>
          <a:off x="695325" y="0"/>
          <a:ext cx="4660883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PRICES TO MAINTAIN GROUNDS - FIRM FIXED PRICE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Items 3.1, 3.2, 3.3, and 3.4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 through A0015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0</xdr:rowOff>
    </xdr:to>
    <xdr:sp macro="" textlink="">
      <xdr:nvSpPr>
        <xdr:cNvPr id="4" name="Text Box 13">
          <a:extLst>
            <a:ext uri="{FF2B5EF4-FFF2-40B4-BE49-F238E27FC236}">
              <a16:creationId xmlns:a16="http://schemas.microsoft.com/office/drawing/2014/main" id="{9E62068F-DC02-402C-9598-301C079A1CB1}"/>
            </a:ext>
          </a:extLst>
        </xdr:cNvPr>
        <xdr:cNvSpPr txBox="1">
          <a:spLocks noChangeArrowheads="1"/>
        </xdr:cNvSpPr>
      </xdr:nvSpPr>
      <xdr:spPr bwMode="auto">
        <a:xfrm>
          <a:off x="695325" y="0"/>
          <a:ext cx="3273425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0001     Base Year - Firm Fixed Price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 through A0015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" name="Text Box 145">
          <a:extLst>
            <a:ext uri="{FF2B5EF4-FFF2-40B4-BE49-F238E27FC236}">
              <a16:creationId xmlns:a16="http://schemas.microsoft.com/office/drawing/2014/main" id="{73D17263-8213-4EA2-BFD9-BDF2866C0001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0</xdr:colOff>
      <xdr:row>411</xdr:row>
      <xdr:rowOff>19050</xdr:rowOff>
    </xdr:to>
    <xdr:sp macro="" textlink="">
      <xdr:nvSpPr>
        <xdr:cNvPr id="6" name="Text Box 150">
          <a:extLst>
            <a:ext uri="{FF2B5EF4-FFF2-40B4-BE49-F238E27FC236}">
              <a16:creationId xmlns:a16="http://schemas.microsoft.com/office/drawing/2014/main" id="{2E098769-BB77-4710-9068-0BDD74BFB4F5}"/>
            </a:ext>
          </a:extLst>
        </xdr:cNvPr>
        <xdr:cNvSpPr txBox="1">
          <a:spLocks noChangeArrowheads="1"/>
        </xdr:cNvSpPr>
      </xdr:nvSpPr>
      <xdr:spPr bwMode="auto">
        <a:xfrm>
          <a:off x="0" y="71828025"/>
          <a:ext cx="0" cy="19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411</xdr:row>
      <xdr:rowOff>9525</xdr:rowOff>
    </xdr:from>
    <xdr:to>
      <xdr:col>0</xdr:col>
      <xdr:colOff>0</xdr:colOff>
      <xdr:row>414</xdr:row>
      <xdr:rowOff>57150</xdr:rowOff>
    </xdr:to>
    <xdr:sp macro="" textlink="">
      <xdr:nvSpPr>
        <xdr:cNvPr id="7" name="Text Box 151">
          <a:extLst>
            <a:ext uri="{FF2B5EF4-FFF2-40B4-BE49-F238E27FC236}">
              <a16:creationId xmlns:a16="http://schemas.microsoft.com/office/drawing/2014/main" id="{392AF6EF-ACA9-4B14-8475-76FD2A80EE0E}"/>
            </a:ext>
          </a:extLst>
        </xdr:cNvPr>
        <xdr:cNvSpPr txBox="1">
          <a:spLocks noChangeArrowheads="1"/>
        </xdr:cNvSpPr>
      </xdr:nvSpPr>
      <xdr:spPr bwMode="auto">
        <a:xfrm>
          <a:off x="0" y="71834375"/>
          <a:ext cx="0" cy="53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Barbwire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8" name="Text Box 152">
          <a:extLst>
            <a:ext uri="{FF2B5EF4-FFF2-40B4-BE49-F238E27FC236}">
              <a16:creationId xmlns:a16="http://schemas.microsoft.com/office/drawing/2014/main" id="{2FE5AA4B-E55A-4CCE-9572-4B6AAF92B49D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9" name="Text Box 153">
          <a:extLst>
            <a:ext uri="{FF2B5EF4-FFF2-40B4-BE49-F238E27FC236}">
              <a16:creationId xmlns:a16="http://schemas.microsoft.com/office/drawing/2014/main" id="{619CEA94-01BC-43F2-B8C1-7EC10B84ED18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Ornamental Steel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0" name="Text Box 154">
          <a:extLst>
            <a:ext uri="{FF2B5EF4-FFF2-40B4-BE49-F238E27FC236}">
              <a16:creationId xmlns:a16="http://schemas.microsoft.com/office/drawing/2014/main" id="{54F245C1-F72A-40CA-8FC0-6D267225893B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1" name="Text Box 155">
          <a:extLst>
            <a:ext uri="{FF2B5EF4-FFF2-40B4-BE49-F238E27FC236}">
              <a16:creationId xmlns:a16="http://schemas.microsoft.com/office/drawing/2014/main" id="{309EAEBE-2235-4E33-AD4E-95E90461D97B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Reconditioning and Maintenance Service for Wood Fence.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2" name="Text Box 156">
          <a:extLst>
            <a:ext uri="{FF2B5EF4-FFF2-40B4-BE49-F238E27FC236}">
              <a16:creationId xmlns:a16="http://schemas.microsoft.com/office/drawing/2014/main" id="{DEE18EE7-96F4-44BD-A4FA-AF2A2E1DF323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REMOVAL AND DISPOSAL OF FENCE COMPLETE, FENCE POSTS, BARBWIRE, BARBED TAPE.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C.10.1.l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A001EW through A001FI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3" name="Text Box 157">
          <a:extLst>
            <a:ext uri="{FF2B5EF4-FFF2-40B4-BE49-F238E27FC236}">
              <a16:creationId xmlns:a16="http://schemas.microsoft.com/office/drawing/2014/main" id="{EDFC8267-F4DD-4420-ADF2-C1B71CBC6C21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4" name="Text Box 158">
          <a:extLst>
            <a:ext uri="{FF2B5EF4-FFF2-40B4-BE49-F238E27FC236}">
              <a16:creationId xmlns:a16="http://schemas.microsoft.com/office/drawing/2014/main" id="{C2A4C359-3A7A-47C6-9AB8-443EE4CBC08A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Including Fabric, Posts, Gates, Rails, Tension Wire, Barbwire/Barbed Tape.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5" name="Text Box 159">
          <a:extLst>
            <a:ext uri="{FF2B5EF4-FFF2-40B4-BE49-F238E27FC236}">
              <a16:creationId xmlns:a16="http://schemas.microsoft.com/office/drawing/2014/main" id="{2CD6FA1C-1540-4DD0-83A1-DD6AC17AB8B1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6" name="Text Box 160">
          <a:extLst>
            <a:ext uri="{FF2B5EF4-FFF2-40B4-BE49-F238E27FC236}">
              <a16:creationId xmlns:a16="http://schemas.microsoft.com/office/drawing/2014/main" id="{3B2EC92C-0FD5-45DB-A759-86D554A686A3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Chain link Fence Gates including tracks (not posts).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7" name="Text Box 161">
          <a:extLst>
            <a:ext uri="{FF2B5EF4-FFF2-40B4-BE49-F238E27FC236}">
              <a16:creationId xmlns:a16="http://schemas.microsoft.com/office/drawing/2014/main" id="{27A08A14-51FE-4A32-AB23-6AF0B4963838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8" name="Text Box 162">
          <a:extLst>
            <a:ext uri="{FF2B5EF4-FFF2-40B4-BE49-F238E27FC236}">
              <a16:creationId xmlns:a16="http://schemas.microsoft.com/office/drawing/2014/main" id="{986782AB-86E0-4251-8A0C-B9660376F071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Ornamental Steel Fence.  Including Posts and Gates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19" name="Text Box 163">
          <a:extLst>
            <a:ext uri="{FF2B5EF4-FFF2-40B4-BE49-F238E27FC236}">
              <a16:creationId xmlns:a16="http://schemas.microsoft.com/office/drawing/2014/main" id="{06B0623C-CE0C-4602-B246-732FFDEBAA77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0" name="Text Box 164">
          <a:extLst>
            <a:ext uri="{FF2B5EF4-FFF2-40B4-BE49-F238E27FC236}">
              <a16:creationId xmlns:a16="http://schemas.microsoft.com/office/drawing/2014/main" id="{00AF8B91-79AE-4907-AA7A-3DD040679E82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Wood Fence.  Including Posts and Gates.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1" name="Text Box 165">
          <a:extLst>
            <a:ext uri="{FF2B5EF4-FFF2-40B4-BE49-F238E27FC236}">
              <a16:creationId xmlns:a16="http://schemas.microsoft.com/office/drawing/2014/main" id="{D0995E84-C330-4AB2-B83C-F8F9618A184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2" name="Text Box 166">
          <a:extLst>
            <a:ext uri="{FF2B5EF4-FFF2-40B4-BE49-F238E27FC236}">
              <a16:creationId xmlns:a16="http://schemas.microsoft.com/office/drawing/2014/main" id="{8F1A1211-C371-4C4D-848E-FFD3DB985467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Removal Service for Barbwire Fence.  Including Posts and all wire.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3" name="Text Box 167">
          <a:extLst>
            <a:ext uri="{FF2B5EF4-FFF2-40B4-BE49-F238E27FC236}">
              <a16:creationId xmlns:a16="http://schemas.microsoft.com/office/drawing/2014/main" id="{23FD992D-CEF6-4BED-8D2F-FDC045A96359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4" name="Text Box 168">
          <a:extLst>
            <a:ext uri="{FF2B5EF4-FFF2-40B4-BE49-F238E27FC236}">
              <a16:creationId xmlns:a16="http://schemas.microsoft.com/office/drawing/2014/main" id="{BCB86EC1-DC9A-4887-909A-5F488943E0EA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5" name="Text Box 169">
          <a:extLst>
            <a:ext uri="{FF2B5EF4-FFF2-40B4-BE49-F238E27FC236}">
              <a16:creationId xmlns:a16="http://schemas.microsoft.com/office/drawing/2014/main" id="{7029AA20-3CB4-4809-8D20-8AAE6B6660D4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6" name="Text Box 170">
          <a:extLst>
            <a:ext uri="{FF2B5EF4-FFF2-40B4-BE49-F238E27FC236}">
              <a16:creationId xmlns:a16="http://schemas.microsoft.com/office/drawing/2014/main" id="{400092F8-BD63-41CB-AB14-95B9F39EF255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Post Cut-off Flush.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7" name="Text Box 171">
          <a:extLst>
            <a:ext uri="{FF2B5EF4-FFF2-40B4-BE49-F238E27FC236}">
              <a16:creationId xmlns:a16="http://schemas.microsoft.com/office/drawing/2014/main" id="{EE846A40-FC72-4ECD-821A-DF6C236BA946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8" name="Text Box 172">
          <a:extLst>
            <a:ext uri="{FF2B5EF4-FFF2-40B4-BE49-F238E27FC236}">
              <a16:creationId xmlns:a16="http://schemas.microsoft.com/office/drawing/2014/main" id="{73481A7F-E022-43BC-953F-F9CAC58DF9C2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Driven Post.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29" name="Text Box 173">
          <a:extLst>
            <a:ext uri="{FF2B5EF4-FFF2-40B4-BE49-F238E27FC236}">
              <a16:creationId xmlns:a16="http://schemas.microsoft.com/office/drawing/2014/main" id="{44ACE70E-90BE-41C6-92B3-39DA52D77A35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0" name="Text Box 174">
          <a:extLst>
            <a:ext uri="{FF2B5EF4-FFF2-40B4-BE49-F238E27FC236}">
              <a16:creationId xmlns:a16="http://schemas.microsoft.com/office/drawing/2014/main" id="{5FA64789-9BC8-406B-86F7-85CFE834B386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Provide Removal Service for Fence Posts.  Including Posts Footing with Braces and Supports as Required.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Posts Set in Concrete/Asphalt.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1" name="Text Box 175">
          <a:extLst>
            <a:ext uri="{FF2B5EF4-FFF2-40B4-BE49-F238E27FC236}">
              <a16:creationId xmlns:a16="http://schemas.microsoft.com/office/drawing/2014/main" id="{FDA11C3F-8C27-4389-A128-AFD693D03CCF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2" name="Text Box 176">
          <a:extLst>
            <a:ext uri="{FF2B5EF4-FFF2-40B4-BE49-F238E27FC236}">
              <a16:creationId xmlns:a16="http://schemas.microsoft.com/office/drawing/2014/main" id="{DDDC8407-4AE3-4F81-99CA-80565E55D814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Square Foot to Patch and Refinish Concrete or Asphalt Surface.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Surface Depth to Match Surrounding.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3" name="Text Box 177">
          <a:extLst>
            <a:ext uri="{FF2B5EF4-FFF2-40B4-BE49-F238E27FC236}">
              <a16:creationId xmlns:a16="http://schemas.microsoft.com/office/drawing/2014/main" id="{A44EF528-61BA-470A-B9B3-F3C73022DE9B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Single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4" name="Text Box 178">
          <a:extLst>
            <a:ext uri="{FF2B5EF4-FFF2-40B4-BE49-F238E27FC236}">
              <a16:creationId xmlns:a16="http://schemas.microsoft.com/office/drawing/2014/main" id="{36F69E08-E2AB-4982-B39B-DE6046C55F6C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Each to remove and Dispose of or Save and Store (for reuse) Barbwire Double (V) Arm Support.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5" name="Text Box 179">
          <a:extLst>
            <a:ext uri="{FF2B5EF4-FFF2-40B4-BE49-F238E27FC236}">
              <a16:creationId xmlns:a16="http://schemas.microsoft.com/office/drawing/2014/main" id="{8938BF33-1178-4FFA-A2B6-F38EA6E89BDD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3FB22E1B-B4B8-4762-8C9E-BD5782857636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7" name="Text Box 181">
          <a:extLst>
            <a:ext uri="{FF2B5EF4-FFF2-40B4-BE49-F238E27FC236}">
              <a16:creationId xmlns:a16="http://schemas.microsoft.com/office/drawing/2014/main" id="{08B78DE6-5ED3-46AF-B929-0B971A1F364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the Recycling of Removed Materials.  Based on a Percentage Added to Removal Item Ordered, ELIN A001EK to A001EW.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8" name="Text Box 182">
          <a:extLst>
            <a:ext uri="{FF2B5EF4-FFF2-40B4-BE49-F238E27FC236}">
              <a16:creationId xmlns:a16="http://schemas.microsoft.com/office/drawing/2014/main" id="{9EF46A37-EF5F-40C9-9581-303C9367D644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TO PERFORM EXPEDITED SERVICES.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C.10.2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A001FJ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39" name="Text Box 183">
          <a:extLst>
            <a:ext uri="{FF2B5EF4-FFF2-40B4-BE49-F238E27FC236}">
              <a16:creationId xmlns:a16="http://schemas.microsoft.com/office/drawing/2014/main" id="{1340919C-93BA-446C-B7FD-48C89AFB4835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Lump Sum Price for Expedited Maintenance and Repair Services.  Based on a Percentage Added to Task Order Total. Figured on a Quantity of 1,000.  The Quantity Provided is for Establishing the Percentage Rate Only.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0" name="Text Box 187">
          <a:extLst>
            <a:ext uri="{FF2B5EF4-FFF2-40B4-BE49-F238E27FC236}">
              <a16:creationId xmlns:a16="http://schemas.microsoft.com/office/drawing/2014/main" id="{D9107AAC-CE40-43D0-B8E5-254FF93B450D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1" name="Text Box 188">
          <a:extLst>
            <a:ext uri="{FF2B5EF4-FFF2-40B4-BE49-F238E27FC236}">
              <a16:creationId xmlns:a16="http://schemas.microsoft.com/office/drawing/2014/main" id="{AD8C2E22-C157-495B-B88F-6BB0E9CF8F62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SECTION J</a:t>
          </a: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EXHIBIT A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2" name="Text Box 189">
          <a:extLst>
            <a:ext uri="{FF2B5EF4-FFF2-40B4-BE49-F238E27FC236}">
              <a16:creationId xmlns:a16="http://schemas.microsoft.com/office/drawing/2014/main" id="{BC633F39-34F0-4676-B424-BF5D662C14D1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PROVIDE A UNIT PRICE FOR THE RENTAL OF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 ACCORDANCE WITH SECTION C, C.10.3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ELIN A001FK THROUGH A001FP</a:t>
          </a: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3" name="Text Box 190">
          <a:extLst>
            <a:ext uri="{FF2B5EF4-FFF2-40B4-BE49-F238E27FC236}">
              <a16:creationId xmlns:a16="http://schemas.microsoft.com/office/drawing/2014/main" id="{31164468-C84F-4473-B5E3-088755FC4FE5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4" name="Text Box 191">
          <a:extLst>
            <a:ext uri="{FF2B5EF4-FFF2-40B4-BE49-F238E27FC236}">
              <a16:creationId xmlns:a16="http://schemas.microsoft.com/office/drawing/2014/main" id="{436AECD7-8946-4D48-9599-7559BA68D199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6' Fence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5" name="Text Box 192">
          <a:extLst>
            <a:ext uri="{FF2B5EF4-FFF2-40B4-BE49-F238E27FC236}">
              <a16:creationId xmlns:a16="http://schemas.microsoft.com/office/drawing/2014/main" id="{8FE53C12-8FAD-479D-A440-DDE5EDFEFBE9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6" name="Text Box 193">
          <a:extLst>
            <a:ext uri="{FF2B5EF4-FFF2-40B4-BE49-F238E27FC236}">
              <a16:creationId xmlns:a16="http://schemas.microsoft.com/office/drawing/2014/main" id="{D0F62FA2-D2B0-49F7-951D-AFCB3CD22CBD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7" name="Text Box 194">
          <a:extLst>
            <a:ext uri="{FF2B5EF4-FFF2-40B4-BE49-F238E27FC236}">
              <a16:creationId xmlns:a16="http://schemas.microsoft.com/office/drawing/2014/main" id="{E7E66376-F478-4909-8066-38C398F8000B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8" name="Text Box 195">
          <a:extLst>
            <a:ext uri="{FF2B5EF4-FFF2-40B4-BE49-F238E27FC236}">
              <a16:creationId xmlns:a16="http://schemas.microsoft.com/office/drawing/2014/main" id="{7F6A1AA2-9990-402F-AF26-AF52D36BBC95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6' Height, 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49" name="Text Box 196">
          <a:extLst>
            <a:ext uri="{FF2B5EF4-FFF2-40B4-BE49-F238E27FC236}">
              <a16:creationId xmlns:a16="http://schemas.microsoft.com/office/drawing/2014/main" id="{9197E8CB-413E-48A1-94CE-040657C5F2D6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0" name="Text Box 197">
          <a:extLst>
            <a:ext uri="{FF2B5EF4-FFF2-40B4-BE49-F238E27FC236}">
              <a16:creationId xmlns:a16="http://schemas.microsoft.com/office/drawing/2014/main" id="{6175A765-4715-4F09-80D2-E9F6603F0D0E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1" name="Text Box 198">
          <a:extLst>
            <a:ext uri="{FF2B5EF4-FFF2-40B4-BE49-F238E27FC236}">
              <a16:creationId xmlns:a16="http://schemas.microsoft.com/office/drawing/2014/main" id="{05CBBE02-1724-4A9D-8718-EC9928EF73D1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Barbwire, 7' Fence Height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2" name="Text Box 199">
          <a:extLst>
            <a:ext uri="{FF2B5EF4-FFF2-40B4-BE49-F238E27FC236}">
              <a16:creationId xmlns:a16="http://schemas.microsoft.com/office/drawing/2014/main" id="{AA9C214C-FE22-497E-900E-0E31CBCCFB83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3" name="Text Box 200">
          <a:extLst>
            <a:ext uri="{FF2B5EF4-FFF2-40B4-BE49-F238E27FC236}">
              <a16:creationId xmlns:a16="http://schemas.microsoft.com/office/drawing/2014/main" id="{E489CB03-D762-4BFF-A2AB-8831E68123F0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Driven Posts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4" name="Text Box 201">
          <a:extLst>
            <a:ext uri="{FF2B5EF4-FFF2-40B4-BE49-F238E27FC236}">
              <a16:creationId xmlns:a16="http://schemas.microsoft.com/office/drawing/2014/main" id="{BBC1130C-7FDB-404F-892F-8EB6EE9A4033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Red Wood or Cedar Fence Including Dog Ear Fence Boards, Posts, Rails, Braces and all Hardware.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Fence Board Height of 6'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sp macro="" textlink="">
      <xdr:nvSpPr>
        <xdr:cNvPr id="55" name="Text Box 202">
          <a:extLst>
            <a:ext uri="{FF2B5EF4-FFF2-40B4-BE49-F238E27FC236}">
              <a16:creationId xmlns:a16="http://schemas.microsoft.com/office/drawing/2014/main" id="{E4B16F39-7691-46FC-8366-04C7A33DB6CC}"/>
            </a:ext>
          </a:extLst>
        </xdr:cNvPr>
        <xdr:cNvSpPr txBox="1">
          <a:spLocks noChangeArrowheads="1"/>
        </xdr:cNvSpPr>
      </xdr:nvSpPr>
      <xdr:spPr bwMode="auto">
        <a:xfrm>
          <a:off x="0" y="7296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Unit Price Per Linear Foot to Provide Temporary Chain link Fence.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12' Panel, With Barbwire, 7' Height,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Free-Standing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2</xdr:col>
      <xdr:colOff>168269</xdr:colOff>
      <xdr:row>0</xdr:row>
      <xdr:rowOff>0</xdr:rowOff>
    </xdr:to>
    <xdr:sp macro="" textlink="">
      <xdr:nvSpPr>
        <xdr:cNvPr id="56" name="Text Box 223">
          <a:extLst>
            <a:ext uri="{FF2B5EF4-FFF2-40B4-BE49-F238E27FC236}">
              <a16:creationId xmlns:a16="http://schemas.microsoft.com/office/drawing/2014/main" id="{C095F336-4A1A-420C-91EF-B6A8A78830F7}"/>
            </a:ext>
          </a:extLst>
        </xdr:cNvPr>
        <xdr:cNvSpPr txBox="1">
          <a:spLocks noChangeArrowheads="1"/>
        </xdr:cNvSpPr>
      </xdr:nvSpPr>
      <xdr:spPr bwMode="auto">
        <a:xfrm>
          <a:off x="695325" y="0"/>
          <a:ext cx="3432169" cy="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Item 0002     Base Year - Indefinite Quantity Work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ELIN A0016 through A0030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</xdr:col>
      <xdr:colOff>663558</xdr:colOff>
      <xdr:row>0</xdr:row>
      <xdr:rowOff>0</xdr:rowOff>
    </xdr:to>
    <xdr:sp macro="" textlink="">
      <xdr:nvSpPr>
        <xdr:cNvPr id="57" name="Text Box 225">
          <a:extLst>
            <a:ext uri="{FF2B5EF4-FFF2-40B4-BE49-F238E27FC236}">
              <a16:creationId xmlns:a16="http://schemas.microsoft.com/office/drawing/2014/main" id="{30525998-E593-4814-AC4E-3DEE2B9246E2}"/>
            </a:ext>
          </a:extLst>
        </xdr:cNvPr>
        <xdr:cNvSpPr txBox="1">
          <a:spLocks noChangeArrowheads="1"/>
        </xdr:cNvSpPr>
      </xdr:nvSpPr>
      <xdr:spPr bwMode="auto">
        <a:xfrm>
          <a:off x="695325" y="0"/>
          <a:ext cx="4660883" cy="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PROVIDE UNIT PRICES FOR INDEFINITE QUANTITY WORK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IN ACCORDANCE WITH SECTION C, Item 4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ELIN A0016 through A0030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4"/>
  <sheetViews>
    <sheetView zoomScale="120" zoomScaleNormal="120" workbookViewId="0">
      <selection activeCell="G12" sqref="G12"/>
    </sheetView>
  </sheetViews>
  <sheetFormatPr defaultColWidth="9.1796875" defaultRowHeight="13" x14ac:dyDescent="0.3"/>
  <cols>
    <col min="1" max="1" width="8" style="2" customWidth="1"/>
    <col min="2" max="2" width="46.7265625" style="2" customWidth="1"/>
    <col min="3" max="3" width="8.54296875" style="2" bestFit="1" customWidth="1"/>
    <col min="4" max="4" width="7.54296875" style="2" bestFit="1" customWidth="1"/>
    <col min="5" max="5" width="9.7265625" style="2" customWidth="1"/>
    <col min="6" max="6" width="15" style="2" customWidth="1"/>
    <col min="7" max="7" width="14.81640625" customWidth="1"/>
    <col min="8" max="16384" width="9.1796875" style="2"/>
  </cols>
  <sheetData>
    <row r="1" spans="1:7" ht="13" customHeight="1" x14ac:dyDescent="0.3">
      <c r="A1" s="41"/>
      <c r="B1" s="42"/>
      <c r="C1" s="42"/>
      <c r="D1" s="42"/>
      <c r="E1" s="42"/>
      <c r="F1" s="42"/>
      <c r="G1" s="119" t="s">
        <v>424</v>
      </c>
    </row>
    <row r="2" spans="1:7" x14ac:dyDescent="0.3">
      <c r="A2" s="122" t="s">
        <v>305</v>
      </c>
      <c r="B2" s="123"/>
      <c r="C2" s="123"/>
      <c r="D2" s="123"/>
      <c r="E2" s="123"/>
      <c r="F2" s="123"/>
      <c r="G2" s="120"/>
    </row>
    <row r="3" spans="1:7" x14ac:dyDescent="0.3">
      <c r="A3" s="122" t="s">
        <v>280</v>
      </c>
      <c r="B3" s="123"/>
      <c r="C3" s="123"/>
      <c r="D3" s="123"/>
      <c r="E3" s="123"/>
      <c r="F3" s="123"/>
      <c r="G3" s="120"/>
    </row>
    <row r="4" spans="1:7" x14ac:dyDescent="0.3">
      <c r="A4" s="122" t="s">
        <v>306</v>
      </c>
      <c r="B4" s="123"/>
      <c r="C4" s="123"/>
      <c r="D4" s="123"/>
      <c r="E4" s="123"/>
      <c r="F4" s="123"/>
      <c r="G4" s="120"/>
    </row>
    <row r="5" spans="1:7" x14ac:dyDescent="0.3">
      <c r="A5" s="122" t="s">
        <v>286</v>
      </c>
      <c r="B5" s="123"/>
      <c r="C5" s="123"/>
      <c r="D5" s="123"/>
      <c r="E5" s="123"/>
      <c r="F5" s="123"/>
      <c r="G5" s="120"/>
    </row>
    <row r="6" spans="1:7" x14ac:dyDescent="0.3">
      <c r="A6" s="112"/>
      <c r="B6" s="45"/>
      <c r="C6" s="44"/>
      <c r="D6" s="46"/>
      <c r="E6" s="46"/>
      <c r="F6" s="1"/>
      <c r="G6" s="120"/>
    </row>
    <row r="7" spans="1:7" x14ac:dyDescent="0.3">
      <c r="A7" s="124" t="s">
        <v>333</v>
      </c>
      <c r="B7" s="125"/>
      <c r="C7" s="125"/>
      <c r="D7" s="125"/>
      <c r="E7" s="125"/>
      <c r="F7" s="125"/>
      <c r="G7" s="120"/>
    </row>
    <row r="8" spans="1:7" ht="26.5" customHeight="1" x14ac:dyDescent="0.3">
      <c r="A8" s="126" t="s">
        <v>287</v>
      </c>
      <c r="B8" s="127"/>
      <c r="C8" s="127"/>
      <c r="D8" s="127"/>
      <c r="E8" s="127"/>
      <c r="F8" s="128"/>
      <c r="G8" s="120"/>
    </row>
    <row r="9" spans="1:7" s="36" customFormat="1" ht="13" customHeight="1" x14ac:dyDescent="0.3">
      <c r="A9" s="114" t="s">
        <v>313</v>
      </c>
      <c r="B9" s="115"/>
      <c r="C9" s="115"/>
      <c r="D9" s="115"/>
      <c r="E9" s="115"/>
      <c r="F9" s="115"/>
      <c r="G9" s="120"/>
    </row>
    <row r="10" spans="1:7" ht="39" x14ac:dyDescent="0.3">
      <c r="A10" s="65" t="s">
        <v>330</v>
      </c>
      <c r="B10" s="66" t="s">
        <v>285</v>
      </c>
      <c r="C10" s="59" t="s">
        <v>281</v>
      </c>
      <c r="D10" s="65" t="s">
        <v>323</v>
      </c>
      <c r="E10" s="67" t="s">
        <v>278</v>
      </c>
      <c r="F10" s="68" t="s">
        <v>279</v>
      </c>
      <c r="G10" s="121"/>
    </row>
    <row r="11" spans="1:7" ht="18" customHeight="1" thickBot="1" x14ac:dyDescent="0.35">
      <c r="A11" s="26" t="s">
        <v>0</v>
      </c>
      <c r="B11" s="28" t="s">
        <v>358</v>
      </c>
      <c r="C11" s="27"/>
      <c r="D11" s="29"/>
      <c r="E11" s="30"/>
      <c r="F11" s="31"/>
      <c r="G11" s="64"/>
    </row>
    <row r="12" spans="1:7" s="32" customFormat="1" x14ac:dyDescent="0.3">
      <c r="A12" s="40" t="s">
        <v>362</v>
      </c>
      <c r="B12" s="74" t="s">
        <v>369</v>
      </c>
      <c r="C12" s="24">
        <v>12</v>
      </c>
      <c r="D12" s="25" t="s">
        <v>250</v>
      </c>
      <c r="E12" s="49">
        <f>ROUND(G12,2)</f>
        <v>0</v>
      </c>
      <c r="F12" s="69">
        <f>ROUND(E12*C12,2)</f>
        <v>0</v>
      </c>
      <c r="G12" s="52"/>
    </row>
    <row r="13" spans="1:7" s="32" customFormat="1" x14ac:dyDescent="0.3">
      <c r="A13" s="40" t="s">
        <v>363</v>
      </c>
      <c r="B13" s="74" t="s">
        <v>370</v>
      </c>
      <c r="C13" s="24">
        <v>12</v>
      </c>
      <c r="D13" s="25" t="s">
        <v>250</v>
      </c>
      <c r="E13" s="49">
        <f t="shared" ref="E13:E18" si="0">ROUND(G13,2)</f>
        <v>0</v>
      </c>
      <c r="F13" s="69">
        <v>0</v>
      </c>
      <c r="G13" s="52"/>
    </row>
    <row r="14" spans="1:7" s="32" customFormat="1" x14ac:dyDescent="0.3">
      <c r="A14" s="40" t="s">
        <v>364</v>
      </c>
      <c r="B14" s="74" t="s">
        <v>371</v>
      </c>
      <c r="C14" s="24">
        <v>12</v>
      </c>
      <c r="D14" s="25" t="s">
        <v>250</v>
      </c>
      <c r="E14" s="49">
        <f t="shared" si="0"/>
        <v>0</v>
      </c>
      <c r="F14" s="69">
        <f t="shared" ref="F13:F18" si="1">ROUND(E14*C14,2)</f>
        <v>0</v>
      </c>
      <c r="G14" s="52"/>
    </row>
    <row r="15" spans="1:7" s="32" customFormat="1" x14ac:dyDescent="0.3">
      <c r="A15" s="40" t="s">
        <v>365</v>
      </c>
      <c r="B15" s="74" t="s">
        <v>372</v>
      </c>
      <c r="C15" s="24">
        <v>12</v>
      </c>
      <c r="D15" s="25" t="s">
        <v>250</v>
      </c>
      <c r="E15" s="49">
        <f t="shared" si="0"/>
        <v>0</v>
      </c>
      <c r="F15" s="69">
        <f t="shared" si="1"/>
        <v>0</v>
      </c>
      <c r="G15" s="52"/>
    </row>
    <row r="16" spans="1:7" s="32" customFormat="1" x14ac:dyDescent="0.3">
      <c r="A16" s="40" t="s">
        <v>366</v>
      </c>
      <c r="B16" s="74" t="s">
        <v>373</v>
      </c>
      <c r="C16" s="24">
        <v>12</v>
      </c>
      <c r="D16" s="25" t="s">
        <v>250</v>
      </c>
      <c r="E16" s="49">
        <f t="shared" si="0"/>
        <v>0</v>
      </c>
      <c r="F16" s="69">
        <f t="shared" si="1"/>
        <v>0</v>
      </c>
      <c r="G16" s="52"/>
    </row>
    <row r="17" spans="1:7" s="32" customFormat="1" x14ac:dyDescent="0.3">
      <c r="A17" s="40" t="s">
        <v>367</v>
      </c>
      <c r="B17" s="74" t="s">
        <v>374</v>
      </c>
      <c r="C17" s="24">
        <v>12</v>
      </c>
      <c r="D17" s="25" t="s">
        <v>250</v>
      </c>
      <c r="E17" s="49">
        <f t="shared" si="0"/>
        <v>0</v>
      </c>
      <c r="F17" s="69">
        <f t="shared" si="1"/>
        <v>0</v>
      </c>
      <c r="G17" s="52"/>
    </row>
    <row r="18" spans="1:7" s="32" customFormat="1" x14ac:dyDescent="0.3">
      <c r="A18" s="40" t="s">
        <v>368</v>
      </c>
      <c r="B18" s="74" t="s">
        <v>375</v>
      </c>
      <c r="C18" s="24">
        <v>12</v>
      </c>
      <c r="D18" s="25" t="s">
        <v>250</v>
      </c>
      <c r="E18" s="49">
        <f t="shared" si="0"/>
        <v>0</v>
      </c>
      <c r="F18" s="69">
        <f t="shared" si="1"/>
        <v>0</v>
      </c>
      <c r="G18" s="52"/>
    </row>
    <row r="19" spans="1:7" s="32" customFormat="1" x14ac:dyDescent="0.3">
      <c r="A19" s="40" t="s">
        <v>376</v>
      </c>
      <c r="B19" s="48" t="s">
        <v>377</v>
      </c>
      <c r="C19" s="24">
        <v>12</v>
      </c>
      <c r="D19" s="25" t="s">
        <v>250</v>
      </c>
      <c r="E19" s="49">
        <f t="shared" ref="E19" si="2">ROUND(G19,2)</f>
        <v>0</v>
      </c>
      <c r="F19" s="69">
        <f t="shared" ref="F19" si="3">ROUND(E19*C19,2)</f>
        <v>0</v>
      </c>
      <c r="G19" s="52"/>
    </row>
    <row r="20" spans="1:7" x14ac:dyDescent="0.3">
      <c r="A20" s="38"/>
      <c r="B20" s="116" t="s">
        <v>344</v>
      </c>
      <c r="C20" s="117"/>
      <c r="D20" s="117"/>
      <c r="E20" s="118"/>
      <c r="F20" s="70">
        <f>SUM(F12:F19)</f>
        <v>0</v>
      </c>
      <c r="G20" s="51"/>
    </row>
    <row r="21" spans="1:7" x14ac:dyDescent="0.3">
      <c r="B21" s="3"/>
      <c r="C21" s="4"/>
      <c r="D21" s="5"/>
      <c r="E21" s="6"/>
      <c r="F21" s="6"/>
    </row>
    <row r="22" spans="1:7" x14ac:dyDescent="0.3">
      <c r="B22" s="3"/>
      <c r="C22" s="4"/>
      <c r="D22" s="5"/>
      <c r="E22" s="6"/>
    </row>
    <row r="23" spans="1:7" x14ac:dyDescent="0.3">
      <c r="B23" s="3"/>
      <c r="C23" s="4"/>
      <c r="D23" s="5"/>
      <c r="E23" s="6"/>
      <c r="F23" s="6"/>
    </row>
    <row r="30" spans="1:7" x14ac:dyDescent="0.3">
      <c r="B30" s="3"/>
      <c r="C30" s="4"/>
      <c r="D30" s="5"/>
      <c r="E30" s="6"/>
      <c r="F30" s="6"/>
    </row>
    <row r="31" spans="1:7" x14ac:dyDescent="0.3">
      <c r="B31" s="3"/>
      <c r="C31" s="4"/>
      <c r="D31" s="5"/>
      <c r="E31" s="6"/>
    </row>
    <row r="39" spans="2:6" x14ac:dyDescent="0.3">
      <c r="B39" s="3"/>
      <c r="C39" s="4"/>
      <c r="D39" s="5"/>
      <c r="E39" s="6"/>
      <c r="F39" s="6"/>
    </row>
    <row r="40" spans="2:6" x14ac:dyDescent="0.3">
      <c r="B40" s="3"/>
      <c r="C40" s="4"/>
      <c r="D40" s="5"/>
      <c r="E40" s="6"/>
    </row>
    <row r="53" spans="2:6" x14ac:dyDescent="0.3">
      <c r="B53" s="12"/>
      <c r="C53" s="14"/>
      <c r="D53" s="15"/>
      <c r="E53" s="16"/>
      <c r="F53" s="16"/>
    </row>
    <row r="54" spans="2:6" x14ac:dyDescent="0.3">
      <c r="B54" s="13"/>
      <c r="C54" s="17"/>
      <c r="D54" s="18"/>
      <c r="E54" s="7"/>
      <c r="F54" s="7"/>
    </row>
    <row r="55" spans="2:6" x14ac:dyDescent="0.3">
      <c r="B55" s="8"/>
      <c r="C55" s="8"/>
      <c r="D55" s="8"/>
      <c r="E55" s="8"/>
      <c r="F55" s="8"/>
    </row>
    <row r="56" spans="2:6" x14ac:dyDescent="0.3">
      <c r="B56" s="73"/>
      <c r="C56" s="9"/>
      <c r="D56" s="10"/>
      <c r="E56" s="11"/>
      <c r="F56" s="11"/>
    </row>
    <row r="57" spans="2:6" x14ac:dyDescent="0.3">
      <c r="B57" s="73"/>
      <c r="C57" s="9"/>
      <c r="D57" s="10"/>
      <c r="E57" s="11"/>
      <c r="F57" s="8"/>
    </row>
    <row r="58" spans="2:6" x14ac:dyDescent="0.3">
      <c r="B58" s="8"/>
      <c r="C58" s="8"/>
      <c r="D58" s="8"/>
      <c r="E58" s="8"/>
      <c r="F58" s="8"/>
    </row>
    <row r="59" spans="2:6" x14ac:dyDescent="0.3">
      <c r="B59" s="8"/>
      <c r="C59" s="8"/>
      <c r="D59" s="8"/>
      <c r="E59" s="8"/>
      <c r="F59" s="8"/>
    </row>
    <row r="60" spans="2:6" x14ac:dyDescent="0.3">
      <c r="B60" s="8"/>
      <c r="C60" s="8"/>
      <c r="D60" s="8"/>
      <c r="E60" s="8"/>
      <c r="F60" s="8"/>
    </row>
    <row r="61" spans="2:6" x14ac:dyDescent="0.3">
      <c r="B61" s="8"/>
      <c r="C61" s="8"/>
      <c r="D61" s="8"/>
      <c r="E61" s="8"/>
      <c r="F61" s="8"/>
    </row>
    <row r="62" spans="2:6" x14ac:dyDescent="0.3">
      <c r="B62" s="8"/>
      <c r="C62" s="8"/>
      <c r="D62" s="8"/>
      <c r="E62" s="8"/>
      <c r="F62" s="8"/>
    </row>
    <row r="63" spans="2:6" x14ac:dyDescent="0.3">
      <c r="B63" s="8"/>
      <c r="C63" s="8"/>
      <c r="D63" s="8"/>
      <c r="E63" s="8"/>
      <c r="F63" s="8"/>
    </row>
    <row r="64" spans="2:6" x14ac:dyDescent="0.3">
      <c r="B64" s="8"/>
      <c r="C64" s="8"/>
      <c r="D64" s="8"/>
      <c r="E64" s="8"/>
      <c r="F64" s="8"/>
    </row>
    <row r="65" spans="2:6" x14ac:dyDescent="0.3">
      <c r="B65" s="3"/>
      <c r="C65" s="4"/>
      <c r="D65" s="5"/>
      <c r="E65" s="6"/>
      <c r="F65" s="6"/>
    </row>
    <row r="66" spans="2:6" x14ac:dyDescent="0.3">
      <c r="B66" s="3"/>
      <c r="C66" s="4"/>
      <c r="D66" s="5"/>
      <c r="E66" s="6"/>
    </row>
    <row r="74" spans="2:6" x14ac:dyDescent="0.3">
      <c r="B74" s="3"/>
      <c r="C74" s="4"/>
      <c r="D74" s="5"/>
      <c r="E74" s="6"/>
      <c r="F74" s="6"/>
    </row>
    <row r="75" spans="2:6" x14ac:dyDescent="0.3">
      <c r="B75" s="3"/>
      <c r="C75" s="4"/>
      <c r="D75" s="5"/>
      <c r="E75" s="6"/>
    </row>
    <row r="83" spans="2:6" x14ac:dyDescent="0.3">
      <c r="B83" s="3"/>
      <c r="C83" s="4"/>
      <c r="D83" s="5"/>
      <c r="E83" s="6"/>
      <c r="F83" s="6"/>
    </row>
    <row r="84" spans="2:6" x14ac:dyDescent="0.3">
      <c r="B84" s="3"/>
      <c r="C84" s="4"/>
      <c r="D84" s="5"/>
      <c r="E84" s="6"/>
    </row>
    <row r="92" spans="2:6" x14ac:dyDescent="0.3">
      <c r="B92" s="3"/>
      <c r="C92" s="4"/>
      <c r="D92" s="5"/>
      <c r="E92" s="6"/>
      <c r="F92" s="6"/>
    </row>
    <row r="93" spans="2:6" x14ac:dyDescent="0.3">
      <c r="B93" s="3"/>
      <c r="C93" s="4"/>
      <c r="D93" s="5"/>
      <c r="E93" s="6"/>
    </row>
    <row r="98" spans="2:6" x14ac:dyDescent="0.3">
      <c r="B98" s="8"/>
      <c r="C98" s="8"/>
      <c r="D98" s="8"/>
      <c r="E98" s="8"/>
      <c r="F98" s="8"/>
    </row>
    <row r="99" spans="2:6" x14ac:dyDescent="0.3">
      <c r="B99" s="8"/>
      <c r="C99" s="8"/>
      <c r="D99" s="8"/>
      <c r="E99" s="8"/>
      <c r="F99" s="8"/>
    </row>
    <row r="100" spans="2:6" x14ac:dyDescent="0.3">
      <c r="B100" s="8"/>
      <c r="C100" s="8"/>
      <c r="D100" s="8"/>
      <c r="E100" s="8"/>
      <c r="F100" s="8"/>
    </row>
    <row r="101" spans="2:6" x14ac:dyDescent="0.3">
      <c r="B101" s="8"/>
      <c r="C101" s="8"/>
      <c r="D101" s="8"/>
      <c r="E101" s="8"/>
      <c r="F101" s="8"/>
    </row>
    <row r="106" spans="2:6" x14ac:dyDescent="0.3">
      <c r="B106" s="12"/>
      <c r="C106" s="14"/>
      <c r="D106" s="15"/>
      <c r="E106" s="16"/>
      <c r="F106" s="16"/>
    </row>
    <row r="107" spans="2:6" x14ac:dyDescent="0.3">
      <c r="B107" s="13"/>
      <c r="C107" s="17"/>
      <c r="D107" s="18"/>
      <c r="E107" s="7"/>
      <c r="F107" s="7"/>
    </row>
    <row r="108" spans="2:6" x14ac:dyDescent="0.3">
      <c r="B108" s="8"/>
      <c r="C108" s="8"/>
      <c r="D108" s="8"/>
      <c r="E108" s="8"/>
      <c r="F108" s="8"/>
    </row>
    <row r="109" spans="2:6" x14ac:dyDescent="0.3">
      <c r="B109" s="3"/>
      <c r="C109" s="4"/>
      <c r="D109" s="5"/>
      <c r="E109" s="6"/>
      <c r="F109" s="6"/>
    </row>
    <row r="110" spans="2:6" x14ac:dyDescent="0.3">
      <c r="B110" s="3"/>
      <c r="C110" s="4"/>
      <c r="D110" s="5"/>
      <c r="E110" s="6"/>
    </row>
    <row r="119" spans="2:6" x14ac:dyDescent="0.3">
      <c r="B119" s="3"/>
      <c r="C119" s="4"/>
      <c r="D119" s="5"/>
      <c r="E119" s="6"/>
      <c r="F119" s="6"/>
    </row>
    <row r="120" spans="2:6" x14ac:dyDescent="0.3">
      <c r="B120" s="3"/>
      <c r="C120" s="4"/>
      <c r="D120" s="5"/>
      <c r="E120" s="6"/>
    </row>
    <row r="129" spans="2:6" x14ac:dyDescent="0.3">
      <c r="B129" s="3"/>
      <c r="C129" s="4"/>
      <c r="D129" s="5"/>
      <c r="E129" s="6"/>
      <c r="F129" s="6"/>
    </row>
    <row r="130" spans="2:6" x14ac:dyDescent="0.3">
      <c r="B130" s="3"/>
      <c r="C130" s="4"/>
      <c r="D130" s="5"/>
      <c r="E130" s="6"/>
    </row>
    <row r="138" spans="2:6" x14ac:dyDescent="0.3">
      <c r="B138" s="3"/>
      <c r="C138" s="4"/>
      <c r="D138" s="5"/>
      <c r="E138" s="6"/>
      <c r="F138" s="6"/>
    </row>
    <row r="139" spans="2:6" x14ac:dyDescent="0.3">
      <c r="B139" s="3"/>
      <c r="C139" s="4"/>
      <c r="D139" s="5"/>
      <c r="E139" s="6"/>
    </row>
    <row r="146" spans="2:6" x14ac:dyDescent="0.3">
      <c r="B146" s="8"/>
      <c r="C146" s="8"/>
      <c r="D146" s="8"/>
      <c r="E146" s="8"/>
      <c r="F146" s="8"/>
    </row>
    <row r="148" spans="2:6" x14ac:dyDescent="0.3">
      <c r="B148" s="3"/>
      <c r="C148" s="4"/>
      <c r="D148" s="5"/>
      <c r="E148" s="6"/>
      <c r="F148" s="6"/>
    </row>
    <row r="149" spans="2:6" x14ac:dyDescent="0.3">
      <c r="B149" s="3"/>
      <c r="C149" s="4"/>
      <c r="D149" s="5"/>
      <c r="E149" s="6"/>
    </row>
    <row r="159" spans="2:6" x14ac:dyDescent="0.3">
      <c r="B159" s="12"/>
      <c r="C159" s="14"/>
      <c r="D159" s="15"/>
      <c r="E159" s="16"/>
      <c r="F159" s="16"/>
    </row>
    <row r="160" spans="2:6" x14ac:dyDescent="0.3">
      <c r="B160" s="13"/>
      <c r="C160" s="17"/>
      <c r="D160" s="18"/>
      <c r="E160" s="7"/>
      <c r="F160" s="7"/>
    </row>
    <row r="162" spans="2:6" x14ac:dyDescent="0.3">
      <c r="B162" s="3"/>
      <c r="C162" s="4"/>
      <c r="D162" s="5"/>
      <c r="E162" s="6"/>
      <c r="F162" s="6"/>
    </row>
    <row r="163" spans="2:6" x14ac:dyDescent="0.3">
      <c r="B163" s="3"/>
      <c r="C163" s="4"/>
      <c r="D163" s="5"/>
      <c r="E163" s="6"/>
    </row>
    <row r="168" spans="2:6" x14ac:dyDescent="0.3">
      <c r="B168" s="13"/>
      <c r="C168" s="17"/>
      <c r="D168" s="18"/>
      <c r="E168" s="7"/>
      <c r="F168" s="7"/>
    </row>
    <row r="169" spans="2:6" x14ac:dyDescent="0.3">
      <c r="B169" s="8"/>
    </row>
    <row r="175" spans="2:6" x14ac:dyDescent="0.3">
      <c r="B175" s="3"/>
      <c r="C175" s="4"/>
      <c r="D175" s="5"/>
      <c r="E175" s="6"/>
      <c r="F175" s="6"/>
    </row>
    <row r="176" spans="2:6" x14ac:dyDescent="0.3">
      <c r="B176" s="3"/>
      <c r="C176" s="4"/>
      <c r="D176" s="5"/>
      <c r="E176" s="6"/>
    </row>
    <row r="177" spans="2:6" x14ac:dyDescent="0.3">
      <c r="B177" s="3"/>
      <c r="C177" s="4"/>
      <c r="D177" s="5"/>
      <c r="E177" s="6"/>
      <c r="F177" s="6"/>
    </row>
    <row r="180" spans="2:6" x14ac:dyDescent="0.3">
      <c r="B180" s="3"/>
      <c r="C180" s="4"/>
      <c r="D180" s="5"/>
      <c r="E180" s="6"/>
      <c r="F180" s="6"/>
    </row>
    <row r="181" spans="2:6" x14ac:dyDescent="0.3">
      <c r="B181" s="3"/>
      <c r="C181" s="4"/>
      <c r="D181" s="5"/>
      <c r="E181" s="6"/>
    </row>
    <row r="182" spans="2:6" x14ac:dyDescent="0.3">
      <c r="B182" s="3"/>
      <c r="C182" s="4"/>
      <c r="D182" s="5"/>
      <c r="E182" s="6"/>
      <c r="F182" s="6"/>
    </row>
    <row r="185" spans="2:6" x14ac:dyDescent="0.3">
      <c r="B185" s="3"/>
      <c r="C185" s="4"/>
      <c r="D185" s="5"/>
      <c r="E185" s="6"/>
      <c r="F185" s="6"/>
    </row>
    <row r="186" spans="2:6" x14ac:dyDescent="0.3">
      <c r="B186" s="3"/>
      <c r="C186" s="4"/>
      <c r="D186" s="5"/>
      <c r="E186" s="6"/>
    </row>
    <row r="187" spans="2:6" x14ac:dyDescent="0.3">
      <c r="B187" s="3"/>
      <c r="C187" s="4"/>
      <c r="D187" s="5"/>
      <c r="E187" s="6"/>
      <c r="F187" s="6"/>
    </row>
    <row r="189" spans="2:6" x14ac:dyDescent="0.3">
      <c r="B189" s="3"/>
      <c r="C189" s="4"/>
      <c r="D189" s="5"/>
      <c r="E189" s="6"/>
      <c r="F189" s="6"/>
    </row>
    <row r="190" spans="2:6" x14ac:dyDescent="0.3">
      <c r="B190" s="3"/>
      <c r="C190" s="4"/>
      <c r="D190" s="5"/>
      <c r="E190" s="6"/>
    </row>
    <row r="191" spans="2:6" x14ac:dyDescent="0.3">
      <c r="B191" s="3"/>
      <c r="C191" s="4"/>
      <c r="D191" s="5"/>
      <c r="E191" s="6"/>
      <c r="F191" s="6"/>
    </row>
    <row r="194" spans="2:6" x14ac:dyDescent="0.3">
      <c r="B194" s="3"/>
      <c r="C194" s="4"/>
      <c r="D194" s="5"/>
      <c r="E194" s="6"/>
      <c r="F194" s="6"/>
    </row>
    <row r="195" spans="2:6" x14ac:dyDescent="0.3">
      <c r="B195" s="3"/>
      <c r="C195" s="4"/>
      <c r="D195" s="5"/>
      <c r="E195" s="6"/>
    </row>
    <row r="196" spans="2:6" x14ac:dyDescent="0.3">
      <c r="B196" s="3"/>
      <c r="C196" s="4"/>
      <c r="D196" s="5"/>
      <c r="E196" s="6"/>
      <c r="F196" s="6"/>
    </row>
    <row r="198" spans="2:6" x14ac:dyDescent="0.3">
      <c r="B198" s="3"/>
      <c r="C198" s="4"/>
      <c r="D198" s="5"/>
      <c r="E198" s="6"/>
      <c r="F198" s="6"/>
    </row>
    <row r="199" spans="2:6" x14ac:dyDescent="0.3">
      <c r="B199" s="3"/>
      <c r="C199" s="4"/>
      <c r="D199" s="5"/>
      <c r="E199" s="6"/>
    </row>
    <row r="200" spans="2:6" x14ac:dyDescent="0.3">
      <c r="B200" s="3"/>
      <c r="C200" s="4"/>
      <c r="D200" s="5"/>
      <c r="E200" s="6"/>
      <c r="F200" s="6"/>
    </row>
    <row r="210" spans="2:6" x14ac:dyDescent="0.3">
      <c r="B210" s="12"/>
      <c r="C210" s="14"/>
      <c r="D210" s="15"/>
      <c r="E210" s="16"/>
      <c r="F210" s="16"/>
    </row>
    <row r="211" spans="2:6" x14ac:dyDescent="0.3">
      <c r="B211" s="13"/>
      <c r="C211" s="17"/>
      <c r="D211" s="18"/>
      <c r="E211" s="7"/>
      <c r="F211" s="7"/>
    </row>
    <row r="212" spans="2:6" x14ac:dyDescent="0.3">
      <c r="B212" s="13"/>
      <c r="C212" s="17"/>
      <c r="D212" s="18"/>
      <c r="E212" s="7"/>
      <c r="F212" s="7"/>
    </row>
    <row r="213" spans="2:6" x14ac:dyDescent="0.3">
      <c r="B213" s="3"/>
      <c r="C213" s="4"/>
      <c r="D213" s="5"/>
      <c r="E213" s="6"/>
      <c r="F213" s="6"/>
    </row>
    <row r="214" spans="2:6" x14ac:dyDescent="0.3">
      <c r="B214" s="3"/>
      <c r="C214" s="4"/>
      <c r="D214" s="5"/>
      <c r="E214" s="6"/>
    </row>
    <row r="215" spans="2:6" x14ac:dyDescent="0.3">
      <c r="B215" s="3"/>
      <c r="C215" s="4"/>
      <c r="D215" s="5"/>
      <c r="E215" s="6"/>
      <c r="F215" s="6"/>
    </row>
    <row r="217" spans="2:6" x14ac:dyDescent="0.3">
      <c r="B217" s="3"/>
      <c r="C217" s="4"/>
      <c r="D217" s="5"/>
      <c r="E217" s="6"/>
      <c r="F217" s="6"/>
    </row>
    <row r="218" spans="2:6" x14ac:dyDescent="0.3">
      <c r="B218" s="3"/>
      <c r="C218" s="4"/>
      <c r="D218" s="5"/>
      <c r="E218" s="6"/>
    </row>
    <row r="219" spans="2:6" x14ac:dyDescent="0.3">
      <c r="B219" s="3"/>
      <c r="C219" s="4"/>
      <c r="D219" s="5"/>
      <c r="E219" s="6"/>
      <c r="F219" s="6"/>
    </row>
    <row r="222" spans="2:6" x14ac:dyDescent="0.3">
      <c r="B222" s="3"/>
      <c r="C222" s="4"/>
      <c r="D222" s="5"/>
      <c r="E222" s="6"/>
      <c r="F222" s="6"/>
    </row>
    <row r="223" spans="2:6" x14ac:dyDescent="0.3">
      <c r="B223" s="3"/>
      <c r="C223" s="4"/>
      <c r="D223" s="5"/>
      <c r="E223" s="6"/>
    </row>
    <row r="224" spans="2:6" x14ac:dyDescent="0.3">
      <c r="B224" s="3"/>
      <c r="C224" s="4"/>
      <c r="D224" s="5"/>
      <c r="E224" s="6"/>
      <c r="F224" s="6"/>
    </row>
    <row r="225" spans="2:6" x14ac:dyDescent="0.3">
      <c r="B225" s="3"/>
      <c r="C225" s="4"/>
      <c r="D225" s="5"/>
      <c r="E225" s="6"/>
      <c r="F225" s="6"/>
    </row>
    <row r="233" spans="2:6" x14ac:dyDescent="0.3">
      <c r="B233" s="3"/>
      <c r="C233" s="4"/>
      <c r="D233" s="5"/>
      <c r="E233" s="6"/>
      <c r="F233" s="6"/>
    </row>
    <row r="234" spans="2:6" x14ac:dyDescent="0.3">
      <c r="B234" s="3"/>
      <c r="C234" s="4"/>
      <c r="D234" s="5"/>
      <c r="E234" s="6"/>
    </row>
    <row r="236" spans="2:6" x14ac:dyDescent="0.3">
      <c r="B236" s="3"/>
      <c r="C236" s="4"/>
      <c r="D236" s="5"/>
      <c r="E236" s="6"/>
      <c r="F236" s="6"/>
    </row>
    <row r="237" spans="2:6" x14ac:dyDescent="0.3">
      <c r="B237" s="3"/>
      <c r="C237" s="4"/>
      <c r="D237" s="5"/>
      <c r="E237" s="6"/>
    </row>
    <row r="238" spans="2:6" x14ac:dyDescent="0.3">
      <c r="B238" s="3"/>
      <c r="C238" s="4"/>
      <c r="D238" s="5"/>
      <c r="E238" s="6"/>
    </row>
    <row r="248" spans="2:6" x14ac:dyDescent="0.3">
      <c r="B248" s="3"/>
      <c r="C248" s="4"/>
      <c r="D248" s="5"/>
      <c r="E248" s="6"/>
      <c r="F248" s="6"/>
    </row>
    <row r="249" spans="2:6" x14ac:dyDescent="0.3">
      <c r="B249" s="3"/>
      <c r="C249" s="4"/>
      <c r="D249" s="5"/>
      <c r="E249" s="6"/>
      <c r="F249" s="6"/>
    </row>
    <row r="250" spans="2:6" x14ac:dyDescent="0.3">
      <c r="B250" s="3"/>
      <c r="C250" s="4"/>
      <c r="D250" s="5"/>
      <c r="E250" s="6"/>
      <c r="F250" s="6"/>
    </row>
    <row r="252" spans="2:6" x14ac:dyDescent="0.3">
      <c r="B252" s="3"/>
      <c r="C252" s="4"/>
      <c r="D252" s="5"/>
      <c r="E252" s="6"/>
      <c r="F252" s="6"/>
    </row>
    <row r="253" spans="2:6" x14ac:dyDescent="0.3">
      <c r="B253" s="3"/>
      <c r="C253" s="4"/>
      <c r="D253" s="5"/>
      <c r="E253" s="6"/>
    </row>
    <row r="261" spans="2:6" x14ac:dyDescent="0.3">
      <c r="B261" s="12"/>
      <c r="C261" s="14"/>
      <c r="D261" s="15"/>
      <c r="E261" s="16"/>
      <c r="F261" s="16"/>
    </row>
    <row r="262" spans="2:6" x14ac:dyDescent="0.3">
      <c r="B262" s="13"/>
      <c r="C262" s="17"/>
      <c r="D262" s="18"/>
      <c r="E262" s="7"/>
      <c r="F262" s="7"/>
    </row>
    <row r="263" spans="2:6" x14ac:dyDescent="0.3">
      <c r="B263" s="13"/>
      <c r="C263" s="17"/>
      <c r="D263" s="18"/>
      <c r="E263" s="7"/>
      <c r="F263" s="7"/>
    </row>
    <row r="264" spans="2:6" x14ac:dyDescent="0.3">
      <c r="B264" s="3"/>
      <c r="C264" s="4"/>
      <c r="D264" s="5"/>
      <c r="E264" s="6"/>
      <c r="F264" s="6"/>
    </row>
    <row r="265" spans="2:6" x14ac:dyDescent="0.3">
      <c r="B265" s="3"/>
      <c r="C265" s="4"/>
      <c r="D265" s="5"/>
      <c r="E265" s="6"/>
      <c r="F265" s="6"/>
    </row>
    <row r="266" spans="2:6" x14ac:dyDescent="0.3">
      <c r="B266" s="3"/>
      <c r="C266" s="4"/>
      <c r="D266" s="5"/>
      <c r="E266" s="6"/>
      <c r="F266" s="6"/>
    </row>
    <row r="268" spans="2:6" x14ac:dyDescent="0.3">
      <c r="B268" s="3"/>
      <c r="C268" s="4"/>
      <c r="D268" s="5"/>
      <c r="E268" s="6"/>
      <c r="F268" s="6"/>
    </row>
    <row r="269" spans="2:6" x14ac:dyDescent="0.3">
      <c r="B269" s="3"/>
      <c r="C269" s="4"/>
      <c r="D269" s="5"/>
      <c r="E269" s="6"/>
    </row>
    <row r="280" spans="2:6" x14ac:dyDescent="0.3">
      <c r="B280" s="3"/>
      <c r="C280" s="4"/>
      <c r="D280" s="5"/>
      <c r="E280" s="6"/>
      <c r="F280" s="6"/>
    </row>
    <row r="281" spans="2:6" x14ac:dyDescent="0.3">
      <c r="B281" s="3"/>
      <c r="C281" s="4"/>
      <c r="D281" s="5"/>
      <c r="E281" s="6"/>
    </row>
    <row r="286" spans="2:6" x14ac:dyDescent="0.3">
      <c r="B286" s="3"/>
      <c r="C286" s="4"/>
      <c r="D286" s="5"/>
      <c r="E286" s="6"/>
      <c r="F286" s="6"/>
    </row>
    <row r="287" spans="2:6" x14ac:dyDescent="0.3">
      <c r="B287" s="3"/>
      <c r="C287" s="4"/>
      <c r="D287" s="5"/>
      <c r="E287" s="6"/>
    </row>
    <row r="292" spans="2:6" x14ac:dyDescent="0.3">
      <c r="B292" s="3"/>
      <c r="C292" s="4"/>
      <c r="D292" s="5"/>
      <c r="E292" s="6"/>
      <c r="F292" s="6"/>
    </row>
    <row r="293" spans="2:6" x14ac:dyDescent="0.3">
      <c r="B293" s="3"/>
      <c r="C293" s="4"/>
      <c r="D293" s="5"/>
      <c r="E293" s="6"/>
    </row>
    <row r="297" spans="2:6" x14ac:dyDescent="0.3">
      <c r="B297" s="3"/>
      <c r="C297" s="4"/>
      <c r="D297" s="5"/>
      <c r="E297" s="6"/>
      <c r="F297" s="6"/>
    </row>
    <row r="298" spans="2:6" x14ac:dyDescent="0.3">
      <c r="B298" s="3"/>
      <c r="C298" s="4"/>
      <c r="D298" s="5"/>
      <c r="E298" s="6"/>
    </row>
    <row r="302" spans="2:6" x14ac:dyDescent="0.3">
      <c r="B302" s="3"/>
      <c r="C302" s="4"/>
      <c r="D302" s="5"/>
      <c r="E302" s="6"/>
      <c r="F302" s="6"/>
    </row>
    <row r="303" spans="2:6" x14ac:dyDescent="0.3">
      <c r="B303" s="3"/>
      <c r="C303" s="4"/>
      <c r="D303" s="5"/>
      <c r="E303" s="6"/>
    </row>
    <row r="306" spans="2:6" x14ac:dyDescent="0.3">
      <c r="B306" s="8"/>
      <c r="C306" s="8"/>
      <c r="D306" s="8"/>
      <c r="E306" s="8"/>
      <c r="F306" s="8"/>
    </row>
    <row r="307" spans="2:6" x14ac:dyDescent="0.3">
      <c r="B307" s="8"/>
      <c r="C307" s="8"/>
      <c r="D307" s="8"/>
      <c r="E307" s="8"/>
      <c r="F307" s="8"/>
    </row>
    <row r="308" spans="2:6" x14ac:dyDescent="0.3">
      <c r="B308" s="8"/>
      <c r="C308" s="8"/>
      <c r="D308" s="8"/>
      <c r="E308" s="8"/>
      <c r="F308" s="8"/>
    </row>
    <row r="309" spans="2:6" x14ac:dyDescent="0.3">
      <c r="B309" s="8"/>
      <c r="C309" s="8"/>
      <c r="D309" s="8"/>
      <c r="E309" s="8"/>
      <c r="F309" s="8"/>
    </row>
    <row r="310" spans="2:6" x14ac:dyDescent="0.3">
      <c r="B310" s="8"/>
      <c r="C310" s="8"/>
      <c r="D310" s="8"/>
      <c r="E310" s="8"/>
      <c r="F310" s="8"/>
    </row>
    <row r="311" spans="2:6" x14ac:dyDescent="0.3">
      <c r="B311" s="8"/>
      <c r="C311" s="8"/>
      <c r="D311" s="8"/>
      <c r="E311" s="8"/>
      <c r="F311" s="8"/>
    </row>
    <row r="312" spans="2:6" x14ac:dyDescent="0.3">
      <c r="B312" s="8"/>
      <c r="C312" s="8"/>
      <c r="D312" s="8"/>
      <c r="E312" s="8"/>
      <c r="F312" s="8"/>
    </row>
    <row r="313" spans="2:6" x14ac:dyDescent="0.3">
      <c r="B313" s="13"/>
      <c r="C313" s="17"/>
      <c r="D313" s="18"/>
      <c r="E313" s="7"/>
      <c r="F313" s="7"/>
    </row>
    <row r="314" spans="2:6" x14ac:dyDescent="0.3">
      <c r="B314" s="13"/>
      <c r="C314" s="17"/>
      <c r="D314" s="18"/>
      <c r="E314" s="7"/>
      <c r="F314" s="7"/>
    </row>
    <row r="316" spans="2:6" x14ac:dyDescent="0.3">
      <c r="B316" s="3"/>
      <c r="C316" s="4"/>
      <c r="D316" s="5"/>
      <c r="E316" s="6"/>
      <c r="F316" s="6"/>
    </row>
    <row r="317" spans="2:6" x14ac:dyDescent="0.3">
      <c r="B317" s="3"/>
      <c r="C317" s="4"/>
      <c r="D317" s="5"/>
      <c r="E317" s="6"/>
    </row>
    <row r="322" spans="2:6" x14ac:dyDescent="0.3">
      <c r="B322" s="3"/>
      <c r="C322" s="4"/>
      <c r="D322" s="5"/>
      <c r="E322" s="6"/>
      <c r="F322" s="6"/>
    </row>
    <row r="323" spans="2:6" x14ac:dyDescent="0.3">
      <c r="B323" s="3"/>
      <c r="C323" s="4"/>
      <c r="D323" s="5"/>
      <c r="E323" s="6"/>
    </row>
    <row r="328" spans="2:6" x14ac:dyDescent="0.3">
      <c r="B328" s="3"/>
      <c r="C328" s="4"/>
      <c r="D328" s="5"/>
      <c r="E328" s="6"/>
      <c r="F328" s="6"/>
    </row>
    <row r="329" spans="2:6" x14ac:dyDescent="0.3">
      <c r="B329" s="3"/>
      <c r="C329" s="4"/>
      <c r="D329" s="5"/>
      <c r="E329" s="6"/>
    </row>
    <row r="332" spans="2:6" x14ac:dyDescent="0.3">
      <c r="B332" s="8"/>
      <c r="C332" s="8"/>
      <c r="D332" s="8"/>
      <c r="E332" s="8"/>
      <c r="F332" s="8"/>
    </row>
    <row r="333" spans="2:6" x14ac:dyDescent="0.3">
      <c r="B333" s="8"/>
      <c r="C333" s="8"/>
      <c r="D333" s="8"/>
      <c r="E333" s="8"/>
      <c r="F333" s="8"/>
    </row>
    <row r="335" spans="2:6" x14ac:dyDescent="0.3">
      <c r="B335" s="3"/>
      <c r="C335" s="4"/>
      <c r="D335" s="5"/>
      <c r="E335" s="6"/>
      <c r="F335" s="6"/>
    </row>
    <row r="336" spans="2:6" x14ac:dyDescent="0.3">
      <c r="B336" s="3"/>
      <c r="C336" s="4"/>
      <c r="D336" s="5"/>
      <c r="E336" s="6"/>
    </row>
    <row r="342" spans="2:6" x14ac:dyDescent="0.3">
      <c r="B342" s="3"/>
      <c r="C342" s="4"/>
      <c r="D342" s="5"/>
      <c r="E342" s="6"/>
      <c r="F342" s="6"/>
    </row>
    <row r="343" spans="2:6" x14ac:dyDescent="0.3">
      <c r="B343" s="3"/>
      <c r="C343" s="4"/>
      <c r="D343" s="5"/>
      <c r="E343" s="6"/>
    </row>
    <row r="356" spans="2:6" x14ac:dyDescent="0.3">
      <c r="B356" s="3"/>
      <c r="C356" s="4"/>
      <c r="D356" s="5"/>
      <c r="E356" s="6"/>
      <c r="F356" s="6"/>
    </row>
    <row r="357" spans="2:6" x14ac:dyDescent="0.3">
      <c r="B357" s="3"/>
      <c r="C357" s="4"/>
      <c r="D357" s="5"/>
      <c r="E357" s="6"/>
    </row>
    <row r="365" spans="2:6" x14ac:dyDescent="0.3">
      <c r="B365" s="12"/>
      <c r="C365" s="14"/>
      <c r="D365" s="15"/>
      <c r="E365" s="16"/>
      <c r="F365" s="16"/>
    </row>
    <row r="366" spans="2:6" x14ac:dyDescent="0.3">
      <c r="B366" s="13"/>
      <c r="C366" s="17"/>
      <c r="D366" s="18"/>
      <c r="E366" s="7"/>
      <c r="F366" s="7"/>
    </row>
    <row r="368" spans="2:6" x14ac:dyDescent="0.3">
      <c r="B368" s="3"/>
      <c r="C368" s="4"/>
      <c r="D368" s="5"/>
      <c r="E368" s="6"/>
      <c r="F368" s="6"/>
    </row>
    <row r="369" spans="2:6" x14ac:dyDescent="0.3">
      <c r="B369" s="3"/>
      <c r="C369" s="4"/>
      <c r="D369" s="5"/>
      <c r="E369" s="6"/>
    </row>
    <row r="381" spans="2:6" x14ac:dyDescent="0.3">
      <c r="B381" s="3"/>
      <c r="C381" s="4"/>
      <c r="D381" s="5"/>
      <c r="E381" s="6"/>
      <c r="F381" s="6"/>
    </row>
    <row r="382" spans="2:6" x14ac:dyDescent="0.3">
      <c r="B382" s="3"/>
      <c r="C382" s="4"/>
      <c r="D382" s="5"/>
      <c r="E382" s="6"/>
    </row>
    <row r="387" spans="2:6" x14ac:dyDescent="0.3">
      <c r="B387" s="3"/>
      <c r="C387" s="4"/>
      <c r="D387" s="5"/>
      <c r="E387" s="6"/>
      <c r="F387" s="6"/>
    </row>
    <row r="388" spans="2:6" x14ac:dyDescent="0.3">
      <c r="B388" s="3"/>
      <c r="C388" s="4"/>
      <c r="D388" s="5"/>
      <c r="E388" s="6"/>
    </row>
    <row r="394" spans="2:6" x14ac:dyDescent="0.3">
      <c r="B394" s="3"/>
      <c r="C394" s="4"/>
      <c r="D394" s="5"/>
      <c r="E394" s="6"/>
      <c r="F394" s="6"/>
    </row>
  </sheetData>
  <sheetProtection algorithmName="SHA-512" hashValue="dcXyAKz/kJK7S9+5U0lpJOHQutCdLdUeXvXpmtPFbztNGxgOA1J6xmXe6Q5p1WrZ2WWqJhBX+805WWnIJJdQ0A==" saltValue="CKs3AOG9DRFm4CowNHTnzg==" spinCount="100000" sheet="1" objects="1" scenarios="1" selectLockedCells="1"/>
  <mergeCells count="9">
    <mergeCell ref="A9:F9"/>
    <mergeCell ref="B20:E20"/>
    <mergeCell ref="G1:G10"/>
    <mergeCell ref="A2:F2"/>
    <mergeCell ref="A3:F3"/>
    <mergeCell ref="A4:F4"/>
    <mergeCell ref="A5:F5"/>
    <mergeCell ref="A7:F7"/>
    <mergeCell ref="A8:F8"/>
  </mergeCells>
  <phoneticPr fontId="0" type="noConversion"/>
  <printOptions horizontalCentered="1"/>
  <pageMargins left="1" right="1" top="1" bottom="1" header="0.5" footer="0.5"/>
  <pageSetup scale="95" orientation="landscape" r:id="rId1"/>
  <headerFooter alignWithMargins="0">
    <oddHeader xml:space="preserve">&amp;C
</oddHeader>
    <oddFooter>&amp;C14-26-2436
J-0200000-09, 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view="pageLayout" zoomScaleNormal="110" workbookViewId="0">
      <selection activeCell="H10" sqref="H10"/>
    </sheetView>
  </sheetViews>
  <sheetFormatPr defaultColWidth="9.1796875" defaultRowHeight="13" x14ac:dyDescent="0.3"/>
  <cols>
    <col min="1" max="1" width="5.453125" style="76" bestFit="1" customWidth="1"/>
    <col min="2" max="2" width="16.54296875" style="76" customWidth="1"/>
    <col min="3" max="3" width="39.7265625" style="101" customWidth="1"/>
    <col min="4" max="4" width="9.6328125" style="102" customWidth="1"/>
    <col min="5" max="5" width="8.7265625" style="76" bestFit="1" customWidth="1"/>
    <col min="6" max="6" width="9" style="76" bestFit="1" customWidth="1"/>
    <col min="7" max="7" width="15.26953125" style="76" customWidth="1"/>
    <col min="8" max="8" width="15.90625" style="76" customWidth="1"/>
    <col min="9" max="16384" width="9.1796875" style="76"/>
  </cols>
  <sheetData>
    <row r="1" spans="1:9" ht="12.75" customHeight="1" x14ac:dyDescent="0.3">
      <c r="A1" s="133" t="s">
        <v>305</v>
      </c>
      <c r="B1" s="134"/>
      <c r="C1" s="134"/>
      <c r="D1" s="134"/>
      <c r="E1" s="134"/>
      <c r="F1" s="134"/>
      <c r="G1" s="135"/>
      <c r="H1" s="129" t="s">
        <v>324</v>
      </c>
    </row>
    <row r="2" spans="1:9" ht="12.75" customHeight="1" x14ac:dyDescent="0.3">
      <c r="A2" s="136" t="s">
        <v>280</v>
      </c>
      <c r="B2" s="137"/>
      <c r="C2" s="137"/>
      <c r="D2" s="137"/>
      <c r="E2" s="137"/>
      <c r="F2" s="137"/>
      <c r="G2" s="138"/>
      <c r="H2" s="129"/>
    </row>
    <row r="3" spans="1:9" ht="12.75" customHeight="1" x14ac:dyDescent="0.3">
      <c r="A3" s="136" t="s">
        <v>306</v>
      </c>
      <c r="B3" s="137"/>
      <c r="C3" s="137"/>
      <c r="D3" s="137"/>
      <c r="E3" s="137"/>
      <c r="F3" s="137"/>
      <c r="G3" s="138"/>
      <c r="H3" s="129"/>
    </row>
    <row r="4" spans="1:9" ht="12.75" customHeight="1" x14ac:dyDescent="0.3">
      <c r="A4" s="136" t="s">
        <v>286</v>
      </c>
      <c r="B4" s="137"/>
      <c r="C4" s="137"/>
      <c r="D4" s="137"/>
      <c r="E4" s="137"/>
      <c r="F4" s="137"/>
      <c r="G4" s="138"/>
      <c r="H4" s="129"/>
    </row>
    <row r="5" spans="1:9" ht="12.75" customHeight="1" x14ac:dyDescent="0.3">
      <c r="A5" s="77"/>
      <c r="B5" s="78"/>
      <c r="C5" s="79"/>
      <c r="D5" s="80"/>
      <c r="E5" s="79"/>
      <c r="F5" s="81"/>
      <c r="G5" s="82"/>
      <c r="H5" s="129"/>
    </row>
    <row r="6" spans="1:9" x14ac:dyDescent="0.3">
      <c r="A6" s="145" t="s">
        <v>334</v>
      </c>
      <c r="B6" s="146"/>
      <c r="C6" s="146"/>
      <c r="D6" s="146"/>
      <c r="E6" s="146"/>
      <c r="F6" s="146"/>
      <c r="G6" s="147"/>
      <c r="H6" s="129"/>
    </row>
    <row r="7" spans="1:9" ht="28.5" customHeight="1" x14ac:dyDescent="0.3">
      <c r="A7" s="142" t="s">
        <v>293</v>
      </c>
      <c r="B7" s="143"/>
      <c r="C7" s="143"/>
      <c r="D7" s="143"/>
      <c r="E7" s="143"/>
      <c r="F7" s="143"/>
      <c r="G7" s="144"/>
      <c r="H7" s="129"/>
    </row>
    <row r="8" spans="1:9" x14ac:dyDescent="0.3">
      <c r="A8" s="139" t="s">
        <v>322</v>
      </c>
      <c r="B8" s="140"/>
      <c r="C8" s="140"/>
      <c r="D8" s="140"/>
      <c r="E8" s="140"/>
      <c r="F8" s="140"/>
      <c r="G8" s="141"/>
      <c r="H8" s="129"/>
    </row>
    <row r="9" spans="1:9" s="88" customFormat="1" ht="23" customHeight="1" x14ac:dyDescent="0.3">
      <c r="A9" s="83" t="s">
        <v>294</v>
      </c>
      <c r="B9" s="84" t="s">
        <v>285</v>
      </c>
      <c r="C9" s="85" t="s">
        <v>2</v>
      </c>
      <c r="D9" s="85" t="s">
        <v>281</v>
      </c>
      <c r="E9" s="85" t="s">
        <v>323</v>
      </c>
      <c r="F9" s="86" t="s">
        <v>278</v>
      </c>
      <c r="G9" s="87" t="s">
        <v>282</v>
      </c>
      <c r="H9" s="129"/>
    </row>
    <row r="10" spans="1:9" s="94" customFormat="1" ht="52" x14ac:dyDescent="0.3">
      <c r="A10" s="89" t="s">
        <v>283</v>
      </c>
      <c r="B10" s="89" t="s">
        <v>289</v>
      </c>
      <c r="C10" s="90" t="s">
        <v>296</v>
      </c>
      <c r="D10" s="91">
        <v>500</v>
      </c>
      <c r="E10" s="91" t="s">
        <v>95</v>
      </c>
      <c r="F10" s="92">
        <f>ROUND(H10,2)</f>
        <v>0</v>
      </c>
      <c r="G10" s="93">
        <f>ROUND(D10*F10,2)</f>
        <v>0</v>
      </c>
      <c r="H10" s="104"/>
    </row>
    <row r="11" spans="1:9" s="94" customFormat="1" ht="52" x14ac:dyDescent="0.3">
      <c r="A11" s="89" t="s">
        <v>284</v>
      </c>
      <c r="B11" s="89" t="s">
        <v>288</v>
      </c>
      <c r="C11" s="90" t="s">
        <v>357</v>
      </c>
      <c r="D11" s="95">
        <v>5000</v>
      </c>
      <c r="E11" s="91" t="s">
        <v>254</v>
      </c>
      <c r="F11" s="92">
        <v>1</v>
      </c>
      <c r="G11" s="93">
        <f>SUM(D11*F11)</f>
        <v>5000</v>
      </c>
      <c r="H11" s="96"/>
    </row>
    <row r="12" spans="1:9" s="94" customFormat="1" x14ac:dyDescent="0.25">
      <c r="A12" s="97"/>
      <c r="B12" s="130" t="s">
        <v>331</v>
      </c>
      <c r="C12" s="131"/>
      <c r="D12" s="131"/>
      <c r="E12" s="131"/>
      <c r="F12" s="132"/>
      <c r="G12" s="98">
        <f>SUM(G10,G11)</f>
        <v>5000</v>
      </c>
      <c r="H12" s="99"/>
      <c r="I12" s="100"/>
    </row>
    <row r="27" spans="7:7" x14ac:dyDescent="0.3">
      <c r="G27" s="103"/>
    </row>
  </sheetData>
  <sheetProtection algorithmName="SHA-512" hashValue="DtiwomLJuQ39Q5HYsouxmJJzX9k2z3GP5Lyqh7X77ptC+ofKyQQQYpajxH8WpmDIZV+crbAPBYXS21GErE+UPg==" saltValue="24KTRPdyBeelutP97MSN6A==" spinCount="100000" sheet="1" objects="1" scenarios="1" selectLockedCells="1"/>
  <mergeCells count="9">
    <mergeCell ref="H1:H9"/>
    <mergeCell ref="B12:F12"/>
    <mergeCell ref="A1:G1"/>
    <mergeCell ref="A2:G2"/>
    <mergeCell ref="A3:G3"/>
    <mergeCell ref="A4:G4"/>
    <mergeCell ref="A8:G8"/>
    <mergeCell ref="A7:G7"/>
    <mergeCell ref="A6:G6"/>
  </mergeCells>
  <phoneticPr fontId="0" type="noConversion"/>
  <pageMargins left="0.39" right="0.21" top="1" bottom="1" header="0.5" footer="0.5"/>
  <pageSetup orientation="landscape" r:id="rId1"/>
  <headerFooter alignWithMargins="0">
    <oddFooter>&amp;C14-26-2436
J-0200000-09,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2"/>
  <sheetViews>
    <sheetView zoomScale="110" zoomScaleNormal="110" workbookViewId="0">
      <selection activeCell="G14" sqref="G14"/>
    </sheetView>
  </sheetViews>
  <sheetFormatPr defaultColWidth="9.1796875" defaultRowHeight="13" x14ac:dyDescent="0.3"/>
  <cols>
    <col min="1" max="1" width="10" style="2" customWidth="1"/>
    <col min="2" max="2" width="46.7265625" style="2" customWidth="1"/>
    <col min="3" max="3" width="10.54296875" style="2" customWidth="1"/>
    <col min="4" max="4" width="8.1796875" style="2" customWidth="1"/>
    <col min="5" max="5" width="10.7265625" style="2" customWidth="1"/>
    <col min="6" max="6" width="17.36328125" style="2" customWidth="1"/>
    <col min="7" max="7" width="15.26953125" customWidth="1"/>
    <col min="8" max="8" width="9.1796875" style="2"/>
    <col min="9" max="9" width="10.26953125" style="2" bestFit="1" customWidth="1"/>
    <col min="10" max="16384" width="9.1796875" style="2"/>
  </cols>
  <sheetData>
    <row r="1" spans="1:9" x14ac:dyDescent="0.3">
      <c r="A1" s="53"/>
      <c r="B1" s="54"/>
      <c r="C1" s="54"/>
      <c r="D1" s="54"/>
      <c r="E1" s="54"/>
      <c r="F1" s="55"/>
      <c r="G1" s="150" t="s">
        <v>424</v>
      </c>
    </row>
    <row r="2" spans="1:9" x14ac:dyDescent="0.3">
      <c r="A2" s="152" t="s">
        <v>307</v>
      </c>
      <c r="B2" s="123"/>
      <c r="C2" s="123"/>
      <c r="D2" s="123"/>
      <c r="E2" s="123"/>
      <c r="F2" s="153"/>
      <c r="G2" s="151"/>
    </row>
    <row r="3" spans="1:9" x14ac:dyDescent="0.3">
      <c r="A3" s="152" t="s">
        <v>280</v>
      </c>
      <c r="B3" s="123"/>
      <c r="C3" s="123"/>
      <c r="D3" s="123"/>
      <c r="E3" s="123"/>
      <c r="F3" s="153"/>
      <c r="G3" s="151"/>
    </row>
    <row r="4" spans="1:9" x14ac:dyDescent="0.3">
      <c r="A4" s="152" t="s">
        <v>306</v>
      </c>
      <c r="B4" s="123"/>
      <c r="C4" s="123"/>
      <c r="D4" s="123"/>
      <c r="E4" s="123"/>
      <c r="F4" s="153"/>
      <c r="G4" s="151"/>
    </row>
    <row r="5" spans="1:9" x14ac:dyDescent="0.3">
      <c r="A5" s="152" t="s">
        <v>295</v>
      </c>
      <c r="B5" s="123"/>
      <c r="C5" s="123"/>
      <c r="D5" s="123"/>
      <c r="E5" s="123"/>
      <c r="F5" s="153"/>
      <c r="G5" s="151"/>
    </row>
    <row r="6" spans="1:9" ht="14" x14ac:dyDescent="0.3">
      <c r="A6" s="113"/>
      <c r="B6" s="33"/>
      <c r="C6" s="34"/>
      <c r="D6" s="35"/>
      <c r="E6" s="35"/>
      <c r="F6" s="56"/>
      <c r="G6" s="151"/>
    </row>
    <row r="7" spans="1:9" ht="14" x14ac:dyDescent="0.3">
      <c r="A7" s="154" t="s">
        <v>335</v>
      </c>
      <c r="B7" s="155"/>
      <c r="C7" s="155"/>
      <c r="D7" s="155"/>
      <c r="E7" s="155"/>
      <c r="F7" s="156"/>
      <c r="G7" s="151"/>
    </row>
    <row r="8" spans="1:9" x14ac:dyDescent="0.3">
      <c r="A8" s="72" t="s">
        <v>287</v>
      </c>
      <c r="B8" s="73"/>
      <c r="C8" s="73"/>
      <c r="D8" s="73"/>
      <c r="E8" s="73"/>
      <c r="F8" s="57"/>
      <c r="G8" s="151"/>
    </row>
    <row r="9" spans="1:9" s="36" customFormat="1" x14ac:dyDescent="0.3">
      <c r="A9" s="148" t="s">
        <v>314</v>
      </c>
      <c r="B9" s="115"/>
      <c r="C9" s="115"/>
      <c r="D9" s="115"/>
      <c r="E9" s="115"/>
      <c r="F9" s="149"/>
      <c r="G9" s="151"/>
    </row>
    <row r="10" spans="1:9" ht="28.5" customHeight="1" thickBot="1" x14ac:dyDescent="0.35">
      <c r="A10" s="65" t="s">
        <v>294</v>
      </c>
      <c r="B10" s="66" t="s">
        <v>285</v>
      </c>
      <c r="C10" s="59" t="s">
        <v>281</v>
      </c>
      <c r="D10" s="59" t="s">
        <v>323</v>
      </c>
      <c r="E10" s="67" t="s">
        <v>278</v>
      </c>
      <c r="F10" s="67" t="s">
        <v>279</v>
      </c>
      <c r="G10" s="151"/>
    </row>
    <row r="11" spans="1:9" s="32" customFormat="1" x14ac:dyDescent="0.3">
      <c r="A11" s="26" t="s">
        <v>290</v>
      </c>
      <c r="B11" s="28" t="s">
        <v>358</v>
      </c>
      <c r="C11" s="27"/>
      <c r="D11" s="29"/>
      <c r="E11" s="30"/>
      <c r="F11" s="31"/>
      <c r="G11" s="50"/>
    </row>
    <row r="12" spans="1:9" x14ac:dyDescent="0.3">
      <c r="A12" s="40" t="s">
        <v>379</v>
      </c>
      <c r="B12" s="74" t="s">
        <v>369</v>
      </c>
      <c r="C12" s="24">
        <v>12</v>
      </c>
      <c r="D12" s="25" t="s">
        <v>250</v>
      </c>
      <c r="E12" s="49">
        <f>ROUND(G12,2)</f>
        <v>0</v>
      </c>
      <c r="F12" s="69">
        <f>ROUND(E12*C12,2)</f>
        <v>0</v>
      </c>
      <c r="G12" s="105"/>
      <c r="I12" s="75"/>
    </row>
    <row r="13" spans="1:9" x14ac:dyDescent="0.3">
      <c r="A13" s="40" t="s">
        <v>380</v>
      </c>
      <c r="B13" s="74" t="s">
        <v>370</v>
      </c>
      <c r="C13" s="24">
        <v>12</v>
      </c>
      <c r="D13" s="25" t="s">
        <v>250</v>
      </c>
      <c r="E13" s="49">
        <f t="shared" ref="E13:E19" si="0">ROUND(G13,2)</f>
        <v>0</v>
      </c>
      <c r="F13" s="69">
        <f t="shared" ref="F13:F19" si="1">ROUND(E13*C13,2)</f>
        <v>0</v>
      </c>
      <c r="G13" s="105"/>
    </row>
    <row r="14" spans="1:9" x14ac:dyDescent="0.3">
      <c r="A14" s="40" t="s">
        <v>381</v>
      </c>
      <c r="B14" s="74" t="s">
        <v>371</v>
      </c>
      <c r="C14" s="24">
        <v>12</v>
      </c>
      <c r="D14" s="25" t="s">
        <v>250</v>
      </c>
      <c r="E14" s="49">
        <f t="shared" si="0"/>
        <v>0</v>
      </c>
      <c r="F14" s="69">
        <f t="shared" si="1"/>
        <v>0</v>
      </c>
      <c r="G14" s="105"/>
    </row>
    <row r="15" spans="1:9" x14ac:dyDescent="0.3">
      <c r="A15" s="40" t="s">
        <v>382</v>
      </c>
      <c r="B15" s="74" t="s">
        <v>372</v>
      </c>
      <c r="C15" s="24">
        <v>12</v>
      </c>
      <c r="D15" s="25" t="s">
        <v>250</v>
      </c>
      <c r="E15" s="49">
        <f t="shared" si="0"/>
        <v>0</v>
      </c>
      <c r="F15" s="69">
        <f t="shared" si="1"/>
        <v>0</v>
      </c>
      <c r="G15" s="105"/>
    </row>
    <row r="16" spans="1:9" x14ac:dyDescent="0.3">
      <c r="A16" s="40" t="s">
        <v>383</v>
      </c>
      <c r="B16" s="74" t="s">
        <v>373</v>
      </c>
      <c r="C16" s="24">
        <v>12</v>
      </c>
      <c r="D16" s="25" t="s">
        <v>250</v>
      </c>
      <c r="E16" s="49">
        <f t="shared" si="0"/>
        <v>0</v>
      </c>
      <c r="F16" s="69">
        <f t="shared" si="1"/>
        <v>0</v>
      </c>
      <c r="G16" s="105"/>
      <c r="I16" s="75"/>
    </row>
    <row r="17" spans="1:9" x14ac:dyDescent="0.3">
      <c r="A17" s="40" t="s">
        <v>384</v>
      </c>
      <c r="B17" s="74" t="s">
        <v>374</v>
      </c>
      <c r="C17" s="24">
        <v>12</v>
      </c>
      <c r="D17" s="25" t="s">
        <v>250</v>
      </c>
      <c r="E17" s="49">
        <f t="shared" si="0"/>
        <v>0</v>
      </c>
      <c r="F17" s="69">
        <f t="shared" si="1"/>
        <v>0</v>
      </c>
      <c r="G17" s="105"/>
      <c r="I17" s="75"/>
    </row>
    <row r="18" spans="1:9" x14ac:dyDescent="0.3">
      <c r="A18" s="40" t="s">
        <v>385</v>
      </c>
      <c r="B18" s="74" t="s">
        <v>375</v>
      </c>
      <c r="C18" s="24">
        <v>12</v>
      </c>
      <c r="D18" s="25" t="s">
        <v>250</v>
      </c>
      <c r="E18" s="49">
        <f t="shared" si="0"/>
        <v>0</v>
      </c>
      <c r="F18" s="69">
        <f t="shared" si="1"/>
        <v>0</v>
      </c>
      <c r="G18" s="105"/>
    </row>
    <row r="19" spans="1:9" x14ac:dyDescent="0.3">
      <c r="A19" s="40" t="s">
        <v>386</v>
      </c>
      <c r="B19" s="48" t="s">
        <v>377</v>
      </c>
      <c r="C19" s="24">
        <v>12</v>
      </c>
      <c r="D19" s="25" t="s">
        <v>250</v>
      </c>
      <c r="E19" s="49">
        <f t="shared" si="0"/>
        <v>0</v>
      </c>
      <c r="F19" s="69">
        <f t="shared" si="1"/>
        <v>0</v>
      </c>
      <c r="G19" s="105"/>
    </row>
    <row r="20" spans="1:9" x14ac:dyDescent="0.3">
      <c r="A20" s="38"/>
      <c r="B20" s="116" t="s">
        <v>378</v>
      </c>
      <c r="C20" s="117"/>
      <c r="D20" s="117"/>
      <c r="E20" s="118"/>
      <c r="F20" s="70">
        <f>SUM(F12:F19)</f>
        <v>0</v>
      </c>
      <c r="G20" s="51"/>
    </row>
    <row r="21" spans="1:9" x14ac:dyDescent="0.3">
      <c r="B21" s="3"/>
      <c r="C21" s="4"/>
      <c r="D21" s="5"/>
      <c r="E21" s="6"/>
      <c r="F21" s="6"/>
    </row>
    <row r="22" spans="1:9" x14ac:dyDescent="0.3">
      <c r="B22" s="3"/>
      <c r="C22" s="4"/>
      <c r="D22" s="5"/>
      <c r="E22" s="6"/>
    </row>
    <row r="23" spans="1:9" x14ac:dyDescent="0.3">
      <c r="B23" s="3"/>
      <c r="C23" s="4"/>
      <c r="D23" s="5"/>
      <c r="E23" s="6"/>
      <c r="F23" s="6"/>
    </row>
    <row r="29" spans="1:9" x14ac:dyDescent="0.3">
      <c r="B29" s="3"/>
      <c r="C29" s="4"/>
      <c r="D29" s="5"/>
      <c r="E29" s="6"/>
      <c r="F29" s="6"/>
    </row>
    <row r="30" spans="1:9" x14ac:dyDescent="0.3">
      <c r="B30" s="3"/>
      <c r="C30" s="4"/>
      <c r="D30" s="5"/>
      <c r="E30" s="6"/>
    </row>
    <row r="38" spans="2:6" x14ac:dyDescent="0.3">
      <c r="B38" s="3"/>
      <c r="C38" s="4"/>
      <c r="D38" s="5"/>
      <c r="E38" s="6"/>
      <c r="F38" s="6"/>
    </row>
    <row r="39" spans="2:6" x14ac:dyDescent="0.3">
      <c r="B39" s="3"/>
      <c r="C39" s="4"/>
      <c r="D39" s="5"/>
      <c r="E39" s="6"/>
    </row>
    <row r="47" spans="2:6" x14ac:dyDescent="0.3">
      <c r="B47" s="3"/>
      <c r="C47" s="4"/>
      <c r="D47" s="5"/>
      <c r="E47" s="6"/>
      <c r="F47" s="6"/>
    </row>
    <row r="48" spans="2:6" x14ac:dyDescent="0.3">
      <c r="B48" s="3"/>
      <c r="C48" s="4"/>
      <c r="D48" s="5"/>
      <c r="E48" s="6"/>
    </row>
    <row r="61" spans="2:6" x14ac:dyDescent="0.3">
      <c r="B61" s="12"/>
      <c r="C61" s="14"/>
      <c r="D61" s="15"/>
      <c r="E61" s="16"/>
      <c r="F61" s="16"/>
    </row>
    <row r="62" spans="2:6" x14ac:dyDescent="0.3">
      <c r="B62" s="13"/>
      <c r="C62" s="17"/>
      <c r="D62" s="18"/>
      <c r="E62" s="7"/>
      <c r="F62" s="7"/>
    </row>
    <row r="63" spans="2:6" x14ac:dyDescent="0.3">
      <c r="B63" s="8"/>
      <c r="C63" s="8"/>
      <c r="D63" s="8"/>
      <c r="E63" s="8"/>
      <c r="F63" s="8"/>
    </row>
    <row r="64" spans="2:6" x14ac:dyDescent="0.3">
      <c r="B64" s="73"/>
      <c r="C64" s="9"/>
      <c r="D64" s="10"/>
      <c r="E64" s="11"/>
      <c r="F64" s="11"/>
    </row>
    <row r="65" spans="2:6" x14ac:dyDescent="0.3">
      <c r="B65" s="73"/>
      <c r="C65" s="9"/>
      <c r="D65" s="10"/>
      <c r="E65" s="11"/>
      <c r="F65" s="8"/>
    </row>
    <row r="66" spans="2:6" x14ac:dyDescent="0.3">
      <c r="B66" s="8"/>
      <c r="C66" s="8"/>
      <c r="D66" s="8"/>
      <c r="E66" s="8"/>
      <c r="F66" s="8"/>
    </row>
    <row r="67" spans="2:6" x14ac:dyDescent="0.3">
      <c r="B67" s="8"/>
      <c r="C67" s="8"/>
      <c r="D67" s="8"/>
      <c r="E67" s="8"/>
      <c r="F67" s="8"/>
    </row>
    <row r="68" spans="2:6" x14ac:dyDescent="0.3">
      <c r="B68" s="8"/>
      <c r="C68" s="8"/>
      <c r="D68" s="8"/>
      <c r="E68" s="8"/>
      <c r="F68" s="8"/>
    </row>
    <row r="69" spans="2:6" x14ac:dyDescent="0.3">
      <c r="B69" s="8"/>
      <c r="C69" s="8"/>
      <c r="D69" s="8"/>
      <c r="E69" s="8"/>
      <c r="F69" s="8"/>
    </row>
    <row r="70" spans="2:6" x14ac:dyDescent="0.3">
      <c r="B70" s="8"/>
      <c r="C70" s="8"/>
      <c r="D70" s="8"/>
      <c r="E70" s="8"/>
      <c r="F70" s="8"/>
    </row>
    <row r="71" spans="2:6" x14ac:dyDescent="0.3">
      <c r="B71" s="8"/>
      <c r="C71" s="8"/>
      <c r="D71" s="8"/>
      <c r="E71" s="8"/>
      <c r="F71" s="8"/>
    </row>
    <row r="72" spans="2:6" x14ac:dyDescent="0.3">
      <c r="B72" s="8"/>
      <c r="C72" s="8"/>
      <c r="D72" s="8"/>
      <c r="E72" s="8"/>
      <c r="F72" s="8"/>
    </row>
    <row r="73" spans="2:6" x14ac:dyDescent="0.3">
      <c r="B73" s="3"/>
      <c r="C73" s="4"/>
      <c r="D73" s="5"/>
      <c r="E73" s="6"/>
      <c r="F73" s="6"/>
    </row>
    <row r="74" spans="2:6" x14ac:dyDescent="0.3">
      <c r="B74" s="3"/>
      <c r="C74" s="4"/>
      <c r="D74" s="5"/>
      <c r="E74" s="6"/>
    </row>
    <row r="82" spans="2:6" x14ac:dyDescent="0.3">
      <c r="B82" s="3"/>
      <c r="C82" s="4"/>
      <c r="D82" s="5"/>
      <c r="E82" s="6"/>
      <c r="F82" s="6"/>
    </row>
    <row r="83" spans="2:6" x14ac:dyDescent="0.3">
      <c r="B83" s="3"/>
      <c r="C83" s="4"/>
      <c r="D83" s="5"/>
      <c r="E83" s="6"/>
    </row>
    <row r="91" spans="2:6" x14ac:dyDescent="0.3">
      <c r="B91" s="3"/>
      <c r="C91" s="4"/>
      <c r="D91" s="5"/>
      <c r="E91" s="6"/>
      <c r="F91" s="6"/>
    </row>
    <row r="92" spans="2:6" x14ac:dyDescent="0.3">
      <c r="B92" s="3"/>
      <c r="C92" s="4"/>
      <c r="D92" s="5"/>
      <c r="E92" s="6"/>
    </row>
    <row r="100" spans="2:6" x14ac:dyDescent="0.3">
      <c r="B100" s="3"/>
      <c r="C100" s="4"/>
      <c r="D100" s="5"/>
      <c r="E100" s="6"/>
      <c r="F100" s="6"/>
    </row>
    <row r="101" spans="2:6" x14ac:dyDescent="0.3">
      <c r="B101" s="3"/>
      <c r="C101" s="4"/>
      <c r="D101" s="5"/>
      <c r="E101" s="6"/>
    </row>
    <row r="106" spans="2:6" x14ac:dyDescent="0.3">
      <c r="B106" s="8"/>
      <c r="C106" s="8"/>
      <c r="D106" s="8"/>
      <c r="E106" s="8"/>
      <c r="F106" s="8"/>
    </row>
    <row r="107" spans="2:6" x14ac:dyDescent="0.3">
      <c r="B107" s="8"/>
      <c r="C107" s="8"/>
      <c r="D107" s="8"/>
      <c r="E107" s="8"/>
      <c r="F107" s="8"/>
    </row>
    <row r="108" spans="2:6" x14ac:dyDescent="0.3">
      <c r="B108" s="8"/>
      <c r="C108" s="8"/>
      <c r="D108" s="8"/>
      <c r="E108" s="8"/>
      <c r="F108" s="8"/>
    </row>
    <row r="109" spans="2:6" x14ac:dyDescent="0.3">
      <c r="B109" s="8"/>
      <c r="C109" s="8"/>
      <c r="D109" s="8"/>
      <c r="E109" s="8"/>
      <c r="F109" s="8"/>
    </row>
    <row r="114" spans="2:6" x14ac:dyDescent="0.3">
      <c r="B114" s="12"/>
      <c r="C114" s="14"/>
      <c r="D114" s="15"/>
      <c r="E114" s="16"/>
      <c r="F114" s="16"/>
    </row>
    <row r="115" spans="2:6" x14ac:dyDescent="0.3">
      <c r="B115" s="13"/>
      <c r="C115" s="17"/>
      <c r="D115" s="18"/>
      <c r="E115" s="7"/>
      <c r="F115" s="7"/>
    </row>
    <row r="116" spans="2:6" x14ac:dyDescent="0.3">
      <c r="B116" s="8"/>
      <c r="C116" s="8"/>
      <c r="D116" s="8"/>
      <c r="E116" s="8"/>
      <c r="F116" s="8"/>
    </row>
    <row r="117" spans="2:6" x14ac:dyDescent="0.3">
      <c r="B117" s="3"/>
      <c r="C117" s="4"/>
      <c r="D117" s="5"/>
      <c r="E117" s="6"/>
      <c r="F117" s="6"/>
    </row>
    <row r="118" spans="2:6" x14ac:dyDescent="0.3">
      <c r="B118" s="3"/>
      <c r="C118" s="4"/>
      <c r="D118" s="5"/>
      <c r="E118" s="6"/>
    </row>
    <row r="127" spans="2:6" x14ac:dyDescent="0.3">
      <c r="B127" s="3"/>
      <c r="C127" s="4"/>
      <c r="D127" s="5"/>
      <c r="E127" s="6"/>
      <c r="F127" s="6"/>
    </row>
    <row r="128" spans="2:6" x14ac:dyDescent="0.3">
      <c r="B128" s="3"/>
      <c r="C128" s="4"/>
      <c r="D128" s="5"/>
      <c r="E128" s="6"/>
    </row>
    <row r="137" spans="2:6" x14ac:dyDescent="0.3">
      <c r="B137" s="3"/>
      <c r="C137" s="4"/>
      <c r="D137" s="5"/>
      <c r="E137" s="6"/>
      <c r="F137" s="6"/>
    </row>
    <row r="138" spans="2:6" x14ac:dyDescent="0.3">
      <c r="B138" s="3"/>
      <c r="C138" s="4"/>
      <c r="D138" s="5"/>
      <c r="E138" s="6"/>
    </row>
    <row r="146" spans="2:6" x14ac:dyDescent="0.3">
      <c r="B146" s="3"/>
      <c r="C146" s="4"/>
      <c r="D146" s="5"/>
      <c r="E146" s="6"/>
      <c r="F146" s="6"/>
    </row>
    <row r="147" spans="2:6" x14ac:dyDescent="0.3">
      <c r="B147" s="3"/>
      <c r="C147" s="4"/>
      <c r="D147" s="5"/>
      <c r="E147" s="6"/>
    </row>
    <row r="154" spans="2:6" x14ac:dyDescent="0.3">
      <c r="B154" s="8"/>
      <c r="C154" s="8"/>
      <c r="D154" s="8"/>
      <c r="E154" s="8"/>
      <c r="F154" s="8"/>
    </row>
    <row r="156" spans="2:6" x14ac:dyDescent="0.3">
      <c r="B156" s="3"/>
      <c r="C156" s="4"/>
      <c r="D156" s="5"/>
      <c r="E156" s="6"/>
      <c r="F156" s="6"/>
    </row>
    <row r="157" spans="2:6" x14ac:dyDescent="0.3">
      <c r="B157" s="3"/>
      <c r="C157" s="4"/>
      <c r="D157" s="5"/>
      <c r="E157" s="6"/>
    </row>
    <row r="167" spans="2:6" x14ac:dyDescent="0.3">
      <c r="B167" s="12"/>
      <c r="C167" s="14"/>
      <c r="D167" s="15"/>
      <c r="E167" s="16"/>
      <c r="F167" s="16"/>
    </row>
    <row r="168" spans="2:6" x14ac:dyDescent="0.3">
      <c r="B168" s="13"/>
      <c r="C168" s="17"/>
      <c r="D168" s="18"/>
      <c r="E168" s="7"/>
      <c r="F168" s="7"/>
    </row>
    <row r="170" spans="2:6" x14ac:dyDescent="0.3">
      <c r="B170" s="3"/>
      <c r="C170" s="4"/>
      <c r="D170" s="5"/>
      <c r="E170" s="6"/>
      <c r="F170" s="6"/>
    </row>
    <row r="171" spans="2:6" x14ac:dyDescent="0.3">
      <c r="B171" s="3"/>
      <c r="C171" s="4"/>
      <c r="D171" s="5"/>
      <c r="E171" s="6"/>
    </row>
    <row r="176" spans="2:6" x14ac:dyDescent="0.3">
      <c r="B176" s="13"/>
      <c r="C176" s="17"/>
      <c r="D176" s="18"/>
      <c r="E176" s="7"/>
      <c r="F176" s="7"/>
    </row>
    <row r="177" spans="2:6" x14ac:dyDescent="0.3">
      <c r="B177" s="8"/>
    </row>
    <row r="183" spans="2:6" x14ac:dyDescent="0.3">
      <c r="B183" s="3"/>
      <c r="C183" s="4"/>
      <c r="D183" s="5"/>
      <c r="E183" s="6"/>
      <c r="F183" s="6"/>
    </row>
    <row r="184" spans="2:6" x14ac:dyDescent="0.3">
      <c r="B184" s="3"/>
      <c r="C184" s="4"/>
      <c r="D184" s="5"/>
      <c r="E184" s="6"/>
    </row>
    <row r="185" spans="2:6" x14ac:dyDescent="0.3">
      <c r="B185" s="3"/>
      <c r="C185" s="4"/>
      <c r="D185" s="5"/>
      <c r="E185" s="6"/>
      <c r="F185" s="6"/>
    </row>
    <row r="188" spans="2:6" x14ac:dyDescent="0.3">
      <c r="B188" s="3"/>
      <c r="C188" s="4"/>
      <c r="D188" s="5"/>
      <c r="E188" s="6"/>
      <c r="F188" s="6"/>
    </row>
    <row r="189" spans="2:6" x14ac:dyDescent="0.3">
      <c r="B189" s="3"/>
      <c r="C189" s="4"/>
      <c r="D189" s="5"/>
      <c r="E189" s="6"/>
    </row>
    <row r="190" spans="2:6" x14ac:dyDescent="0.3">
      <c r="B190" s="3"/>
      <c r="C190" s="4"/>
      <c r="D190" s="5"/>
      <c r="E190" s="6"/>
      <c r="F190" s="6"/>
    </row>
    <row r="193" spans="2:6" x14ac:dyDescent="0.3">
      <c r="B193" s="3"/>
      <c r="C193" s="4"/>
      <c r="D193" s="5"/>
      <c r="E193" s="6"/>
      <c r="F193" s="6"/>
    </row>
    <row r="194" spans="2:6" x14ac:dyDescent="0.3">
      <c r="B194" s="3"/>
      <c r="C194" s="4"/>
      <c r="D194" s="5"/>
      <c r="E194" s="6"/>
    </row>
    <row r="195" spans="2:6" x14ac:dyDescent="0.3">
      <c r="B195" s="3"/>
      <c r="C195" s="4"/>
      <c r="D195" s="5"/>
      <c r="E195" s="6"/>
      <c r="F195" s="6"/>
    </row>
    <row r="197" spans="2:6" x14ac:dyDescent="0.3">
      <c r="B197" s="3"/>
      <c r="C197" s="4"/>
      <c r="D197" s="5"/>
      <c r="E197" s="6"/>
      <c r="F197" s="6"/>
    </row>
    <row r="198" spans="2:6" x14ac:dyDescent="0.3">
      <c r="B198" s="3"/>
      <c r="C198" s="4"/>
      <c r="D198" s="5"/>
      <c r="E198" s="6"/>
    </row>
    <row r="199" spans="2:6" x14ac:dyDescent="0.3">
      <c r="B199" s="3"/>
      <c r="C199" s="4"/>
      <c r="D199" s="5"/>
      <c r="E199" s="6"/>
      <c r="F199" s="6"/>
    </row>
    <row r="202" spans="2:6" x14ac:dyDescent="0.3">
      <c r="B202" s="3"/>
      <c r="C202" s="4"/>
      <c r="D202" s="5"/>
      <c r="E202" s="6"/>
      <c r="F202" s="6"/>
    </row>
    <row r="203" spans="2:6" x14ac:dyDescent="0.3">
      <c r="B203" s="3"/>
      <c r="C203" s="4"/>
      <c r="D203" s="5"/>
      <c r="E203" s="6"/>
    </row>
    <row r="204" spans="2:6" x14ac:dyDescent="0.3">
      <c r="B204" s="3"/>
      <c r="C204" s="4"/>
      <c r="D204" s="5"/>
      <c r="E204" s="6"/>
      <c r="F204" s="6"/>
    </row>
    <row r="206" spans="2:6" x14ac:dyDescent="0.3">
      <c r="B206" s="3"/>
      <c r="C206" s="4"/>
      <c r="D206" s="5"/>
      <c r="E206" s="6"/>
      <c r="F206" s="6"/>
    </row>
    <row r="207" spans="2:6" x14ac:dyDescent="0.3">
      <c r="B207" s="3"/>
      <c r="C207" s="4"/>
      <c r="D207" s="5"/>
      <c r="E207" s="6"/>
    </row>
    <row r="208" spans="2:6" x14ac:dyDescent="0.3">
      <c r="B208" s="3"/>
      <c r="C208" s="4"/>
      <c r="D208" s="5"/>
      <c r="E208" s="6"/>
      <c r="F208" s="6"/>
    </row>
    <row r="218" spans="2:6" x14ac:dyDescent="0.3">
      <c r="B218" s="12"/>
      <c r="C218" s="14"/>
      <c r="D218" s="15"/>
      <c r="E218" s="16"/>
      <c r="F218" s="16"/>
    </row>
    <row r="219" spans="2:6" x14ac:dyDescent="0.3">
      <c r="B219" s="13"/>
      <c r="C219" s="17"/>
      <c r="D219" s="18"/>
      <c r="E219" s="7"/>
      <c r="F219" s="7"/>
    </row>
    <row r="220" spans="2:6" x14ac:dyDescent="0.3">
      <c r="B220" s="13"/>
      <c r="C220" s="17"/>
      <c r="D220" s="18"/>
      <c r="E220" s="7"/>
      <c r="F220" s="7"/>
    </row>
    <row r="221" spans="2:6" x14ac:dyDescent="0.3">
      <c r="B221" s="3"/>
      <c r="C221" s="4"/>
      <c r="D221" s="5"/>
      <c r="E221" s="6"/>
      <c r="F221" s="6"/>
    </row>
    <row r="222" spans="2:6" x14ac:dyDescent="0.3">
      <c r="B222" s="3"/>
      <c r="C222" s="4"/>
      <c r="D222" s="5"/>
      <c r="E222" s="6"/>
    </row>
    <row r="223" spans="2:6" x14ac:dyDescent="0.3">
      <c r="B223" s="3"/>
      <c r="C223" s="4"/>
      <c r="D223" s="5"/>
      <c r="E223" s="6"/>
      <c r="F223" s="6"/>
    </row>
    <row r="225" spans="2:6" x14ac:dyDescent="0.3">
      <c r="B225" s="3"/>
      <c r="C225" s="4"/>
      <c r="D225" s="5"/>
      <c r="E225" s="6"/>
      <c r="F225" s="6"/>
    </row>
    <row r="226" spans="2:6" x14ac:dyDescent="0.3">
      <c r="B226" s="3"/>
      <c r="C226" s="4"/>
      <c r="D226" s="5"/>
      <c r="E226" s="6"/>
    </row>
    <row r="227" spans="2:6" x14ac:dyDescent="0.3">
      <c r="B227" s="3"/>
      <c r="C227" s="4"/>
      <c r="D227" s="5"/>
      <c r="E227" s="6"/>
      <c r="F227" s="6"/>
    </row>
    <row r="230" spans="2:6" x14ac:dyDescent="0.3">
      <c r="B230" s="3"/>
      <c r="C230" s="4"/>
      <c r="D230" s="5"/>
      <c r="E230" s="6"/>
      <c r="F230" s="6"/>
    </row>
    <row r="231" spans="2:6" x14ac:dyDescent="0.3">
      <c r="B231" s="3"/>
      <c r="C231" s="4"/>
      <c r="D231" s="5"/>
      <c r="E231" s="6"/>
    </row>
    <row r="232" spans="2:6" x14ac:dyDescent="0.3">
      <c r="B232" s="3"/>
      <c r="C232" s="4"/>
      <c r="D232" s="5"/>
      <c r="E232" s="6"/>
      <c r="F232" s="6"/>
    </row>
    <row r="233" spans="2:6" x14ac:dyDescent="0.3">
      <c r="B233" s="3"/>
      <c r="C233" s="4"/>
      <c r="D233" s="5"/>
      <c r="E233" s="6"/>
      <c r="F233" s="6"/>
    </row>
    <row r="241" spans="2:6" x14ac:dyDescent="0.3">
      <c r="B241" s="3"/>
      <c r="C241" s="4"/>
      <c r="D241" s="5"/>
      <c r="E241" s="6"/>
      <c r="F241" s="6"/>
    </row>
    <row r="242" spans="2:6" x14ac:dyDescent="0.3">
      <c r="B242" s="3"/>
      <c r="C242" s="4"/>
      <c r="D242" s="5"/>
      <c r="E242" s="6"/>
    </row>
    <row r="244" spans="2:6" x14ac:dyDescent="0.3">
      <c r="B244" s="3"/>
      <c r="C244" s="4"/>
      <c r="D244" s="5"/>
      <c r="E244" s="6"/>
      <c r="F244" s="6"/>
    </row>
    <row r="245" spans="2:6" x14ac:dyDescent="0.3">
      <c r="B245" s="3"/>
      <c r="C245" s="4"/>
      <c r="D245" s="5"/>
      <c r="E245" s="6"/>
    </row>
    <row r="246" spans="2:6" x14ac:dyDescent="0.3">
      <c r="B246" s="3"/>
      <c r="C246" s="4"/>
      <c r="D246" s="5"/>
      <c r="E246" s="6"/>
    </row>
    <row r="256" spans="2:6" x14ac:dyDescent="0.3">
      <c r="B256" s="3"/>
      <c r="C256" s="4"/>
      <c r="D256" s="5"/>
      <c r="E256" s="6"/>
      <c r="F256" s="6"/>
    </row>
    <row r="257" spans="2:6" x14ac:dyDescent="0.3">
      <c r="B257" s="3"/>
      <c r="C257" s="4"/>
      <c r="D257" s="5"/>
      <c r="E257" s="6"/>
      <c r="F257" s="6"/>
    </row>
    <row r="258" spans="2:6" x14ac:dyDescent="0.3">
      <c r="B258" s="3"/>
      <c r="C258" s="4"/>
      <c r="D258" s="5"/>
      <c r="E258" s="6"/>
      <c r="F258" s="6"/>
    </row>
    <row r="260" spans="2:6" x14ac:dyDescent="0.3">
      <c r="B260" s="3"/>
      <c r="C260" s="4"/>
      <c r="D260" s="5"/>
      <c r="E260" s="6"/>
      <c r="F260" s="6"/>
    </row>
    <row r="261" spans="2:6" x14ac:dyDescent="0.3">
      <c r="B261" s="3"/>
      <c r="C261" s="4"/>
      <c r="D261" s="5"/>
      <c r="E261" s="6"/>
    </row>
    <row r="269" spans="2:6" x14ac:dyDescent="0.3">
      <c r="B269" s="12"/>
      <c r="C269" s="14"/>
      <c r="D269" s="15"/>
      <c r="E269" s="16"/>
      <c r="F269" s="16"/>
    </row>
    <row r="270" spans="2:6" x14ac:dyDescent="0.3">
      <c r="B270" s="13"/>
      <c r="C270" s="17"/>
      <c r="D270" s="18"/>
      <c r="E270" s="7"/>
      <c r="F270" s="7"/>
    </row>
    <row r="271" spans="2:6" x14ac:dyDescent="0.3">
      <c r="B271" s="13"/>
      <c r="C271" s="17"/>
      <c r="D271" s="18"/>
      <c r="E271" s="7"/>
      <c r="F271" s="7"/>
    </row>
    <row r="272" spans="2:6" x14ac:dyDescent="0.3">
      <c r="B272" s="3"/>
      <c r="C272" s="4"/>
      <c r="D272" s="5"/>
      <c r="E272" s="6"/>
      <c r="F272" s="6"/>
    </row>
    <row r="273" spans="2:6" x14ac:dyDescent="0.3">
      <c r="B273" s="3"/>
      <c r="C273" s="4"/>
      <c r="D273" s="5"/>
      <c r="E273" s="6"/>
      <c r="F273" s="6"/>
    </row>
    <row r="274" spans="2:6" x14ac:dyDescent="0.3">
      <c r="B274" s="3"/>
      <c r="C274" s="4"/>
      <c r="D274" s="5"/>
      <c r="E274" s="6"/>
      <c r="F274" s="6"/>
    </row>
    <row r="276" spans="2:6" x14ac:dyDescent="0.3">
      <c r="B276" s="3"/>
      <c r="C276" s="4"/>
      <c r="D276" s="5"/>
      <c r="E276" s="6"/>
      <c r="F276" s="6"/>
    </row>
    <row r="277" spans="2:6" x14ac:dyDescent="0.3">
      <c r="B277" s="3"/>
      <c r="C277" s="4"/>
      <c r="D277" s="5"/>
      <c r="E277" s="6"/>
    </row>
    <row r="288" spans="2:6" x14ac:dyDescent="0.3">
      <c r="B288" s="3"/>
      <c r="C288" s="4"/>
      <c r="D288" s="5"/>
      <c r="E288" s="6"/>
      <c r="F288" s="6"/>
    </row>
    <row r="289" spans="2:6" x14ac:dyDescent="0.3">
      <c r="B289" s="3"/>
      <c r="C289" s="4"/>
      <c r="D289" s="5"/>
      <c r="E289" s="6"/>
    </row>
    <row r="294" spans="2:6" x14ac:dyDescent="0.3">
      <c r="B294" s="3"/>
      <c r="C294" s="4"/>
      <c r="D294" s="5"/>
      <c r="E294" s="6"/>
      <c r="F294" s="6"/>
    </row>
    <row r="295" spans="2:6" x14ac:dyDescent="0.3">
      <c r="B295" s="3"/>
      <c r="C295" s="4"/>
      <c r="D295" s="5"/>
      <c r="E295" s="6"/>
    </row>
    <row r="300" spans="2:6" x14ac:dyDescent="0.3">
      <c r="B300" s="3"/>
      <c r="C300" s="4"/>
      <c r="D300" s="5"/>
      <c r="E300" s="6"/>
      <c r="F300" s="6"/>
    </row>
    <row r="301" spans="2:6" x14ac:dyDescent="0.3">
      <c r="B301" s="3"/>
      <c r="C301" s="4"/>
      <c r="D301" s="5"/>
      <c r="E301" s="6"/>
    </row>
    <row r="305" spans="2:6" x14ac:dyDescent="0.3">
      <c r="B305" s="3"/>
      <c r="C305" s="4"/>
      <c r="D305" s="5"/>
      <c r="E305" s="6"/>
      <c r="F305" s="6"/>
    </row>
    <row r="306" spans="2:6" x14ac:dyDescent="0.3">
      <c r="B306" s="3"/>
      <c r="C306" s="4"/>
      <c r="D306" s="5"/>
      <c r="E306" s="6"/>
    </row>
    <row r="310" spans="2:6" x14ac:dyDescent="0.3">
      <c r="B310" s="3"/>
      <c r="C310" s="4"/>
      <c r="D310" s="5"/>
      <c r="E310" s="6"/>
      <c r="F310" s="6"/>
    </row>
    <row r="311" spans="2:6" x14ac:dyDescent="0.3">
      <c r="B311" s="3"/>
      <c r="C311" s="4"/>
      <c r="D311" s="5"/>
      <c r="E311" s="6"/>
    </row>
    <row r="314" spans="2:6" x14ac:dyDescent="0.3">
      <c r="B314" s="8"/>
      <c r="C314" s="8"/>
      <c r="D314" s="8"/>
      <c r="E314" s="8"/>
      <c r="F314" s="8"/>
    </row>
    <row r="315" spans="2:6" x14ac:dyDescent="0.3">
      <c r="B315" s="8"/>
      <c r="C315" s="8"/>
      <c r="D315" s="8"/>
      <c r="E315" s="8"/>
      <c r="F315" s="8"/>
    </row>
    <row r="316" spans="2:6" x14ac:dyDescent="0.3">
      <c r="B316" s="8"/>
      <c r="C316" s="8"/>
      <c r="D316" s="8"/>
      <c r="E316" s="8"/>
      <c r="F316" s="8"/>
    </row>
    <row r="317" spans="2:6" x14ac:dyDescent="0.3">
      <c r="B317" s="8"/>
      <c r="C317" s="8"/>
      <c r="D317" s="8"/>
      <c r="E317" s="8"/>
      <c r="F317" s="8"/>
    </row>
    <row r="318" spans="2:6" x14ac:dyDescent="0.3">
      <c r="B318" s="8"/>
      <c r="C318" s="8"/>
      <c r="D318" s="8"/>
      <c r="E318" s="8"/>
      <c r="F318" s="8"/>
    </row>
    <row r="319" spans="2:6" x14ac:dyDescent="0.3">
      <c r="B319" s="8"/>
      <c r="C319" s="8"/>
      <c r="D319" s="8"/>
      <c r="E319" s="8"/>
      <c r="F319" s="8"/>
    </row>
    <row r="320" spans="2:6" x14ac:dyDescent="0.3">
      <c r="B320" s="8"/>
      <c r="C320" s="8"/>
      <c r="D320" s="8"/>
      <c r="E320" s="8"/>
      <c r="F320" s="8"/>
    </row>
    <row r="321" spans="2:6" x14ac:dyDescent="0.3">
      <c r="B321" s="13"/>
      <c r="C321" s="17"/>
      <c r="D321" s="18"/>
      <c r="E321" s="7"/>
      <c r="F321" s="7"/>
    </row>
    <row r="322" spans="2:6" x14ac:dyDescent="0.3">
      <c r="B322" s="13"/>
      <c r="C322" s="17"/>
      <c r="D322" s="18"/>
      <c r="E322" s="7"/>
      <c r="F322" s="7"/>
    </row>
    <row r="324" spans="2:6" x14ac:dyDescent="0.3">
      <c r="B324" s="3"/>
      <c r="C324" s="4"/>
      <c r="D324" s="5"/>
      <c r="E324" s="6"/>
      <c r="F324" s="6"/>
    </row>
    <row r="325" spans="2:6" x14ac:dyDescent="0.3">
      <c r="B325" s="3"/>
      <c r="C325" s="4"/>
      <c r="D325" s="5"/>
      <c r="E325" s="6"/>
    </row>
    <row r="330" spans="2:6" x14ac:dyDescent="0.3">
      <c r="B330" s="3"/>
      <c r="C330" s="4"/>
      <c r="D330" s="5"/>
      <c r="E330" s="6"/>
      <c r="F330" s="6"/>
    </row>
    <row r="331" spans="2:6" x14ac:dyDescent="0.3">
      <c r="B331" s="3"/>
      <c r="C331" s="4"/>
      <c r="D331" s="5"/>
      <c r="E331" s="6"/>
    </row>
    <row r="336" spans="2:6" x14ac:dyDescent="0.3">
      <c r="B336" s="3"/>
      <c r="C336" s="4"/>
      <c r="D336" s="5"/>
      <c r="E336" s="6"/>
      <c r="F336" s="6"/>
    </row>
    <row r="337" spans="2:6" x14ac:dyDescent="0.3">
      <c r="B337" s="3"/>
      <c r="C337" s="4"/>
      <c r="D337" s="5"/>
      <c r="E337" s="6"/>
    </row>
    <row r="340" spans="2:6" x14ac:dyDescent="0.3">
      <c r="B340" s="8"/>
      <c r="C340" s="8"/>
      <c r="D340" s="8"/>
      <c r="E340" s="8"/>
      <c r="F340" s="8"/>
    </row>
    <row r="341" spans="2:6" x14ac:dyDescent="0.3">
      <c r="B341" s="8"/>
      <c r="C341" s="8"/>
      <c r="D341" s="8"/>
      <c r="E341" s="8"/>
      <c r="F341" s="8"/>
    </row>
    <row r="343" spans="2:6" x14ac:dyDescent="0.3">
      <c r="B343" s="3"/>
      <c r="C343" s="4"/>
      <c r="D343" s="5"/>
      <c r="E343" s="6"/>
      <c r="F343" s="6"/>
    </row>
    <row r="344" spans="2:6" x14ac:dyDescent="0.3">
      <c r="B344" s="3"/>
      <c r="C344" s="4"/>
      <c r="D344" s="5"/>
      <c r="E344" s="6"/>
    </row>
    <row r="350" spans="2:6" x14ac:dyDescent="0.3">
      <c r="B350" s="3"/>
      <c r="C350" s="4"/>
      <c r="D350" s="5"/>
      <c r="E350" s="6"/>
      <c r="F350" s="6"/>
    </row>
    <row r="351" spans="2:6" x14ac:dyDescent="0.3">
      <c r="B351" s="3"/>
      <c r="C351" s="4"/>
      <c r="D351" s="5"/>
      <c r="E351" s="6"/>
    </row>
    <row r="364" spans="2:6" x14ac:dyDescent="0.3">
      <c r="B364" s="3"/>
      <c r="C364" s="4"/>
      <c r="D364" s="5"/>
      <c r="E364" s="6"/>
      <c r="F364" s="6"/>
    </row>
    <row r="365" spans="2:6" x14ac:dyDescent="0.3">
      <c r="B365" s="3"/>
      <c r="C365" s="4"/>
      <c r="D365" s="5"/>
      <c r="E365" s="6"/>
    </row>
    <row r="373" spans="2:6" x14ac:dyDescent="0.3">
      <c r="B373" s="12"/>
      <c r="C373" s="14"/>
      <c r="D373" s="15"/>
      <c r="E373" s="16"/>
      <c r="F373" s="16"/>
    </row>
    <row r="374" spans="2:6" x14ac:dyDescent="0.3">
      <c r="B374" s="13"/>
      <c r="C374" s="17"/>
      <c r="D374" s="18"/>
      <c r="E374" s="7"/>
      <c r="F374" s="7"/>
    </row>
    <row r="376" spans="2:6" x14ac:dyDescent="0.3">
      <c r="B376" s="3"/>
      <c r="C376" s="4"/>
      <c r="D376" s="5"/>
      <c r="E376" s="6"/>
      <c r="F376" s="6"/>
    </row>
    <row r="377" spans="2:6" x14ac:dyDescent="0.3">
      <c r="B377" s="3"/>
      <c r="C377" s="4"/>
      <c r="D377" s="5"/>
      <c r="E377" s="6"/>
    </row>
    <row r="389" spans="2:6" x14ac:dyDescent="0.3">
      <c r="B389" s="3"/>
      <c r="C389" s="4"/>
      <c r="D389" s="5"/>
      <c r="E389" s="6"/>
      <c r="F389" s="6"/>
    </row>
    <row r="390" spans="2:6" x14ac:dyDescent="0.3">
      <c r="B390" s="3"/>
      <c r="C390" s="4"/>
      <c r="D390" s="5"/>
      <c r="E390" s="6"/>
    </row>
    <row r="395" spans="2:6" x14ac:dyDescent="0.3">
      <c r="B395" s="3"/>
      <c r="C395" s="4"/>
      <c r="D395" s="5"/>
      <c r="E395" s="6"/>
      <c r="F395" s="6"/>
    </row>
    <row r="396" spans="2:6" x14ac:dyDescent="0.3">
      <c r="B396" s="3"/>
      <c r="C396" s="4"/>
      <c r="D396" s="5"/>
      <c r="E396" s="6"/>
    </row>
    <row r="402" spans="2:6" x14ac:dyDescent="0.3">
      <c r="B402" s="3"/>
      <c r="C402" s="4"/>
      <c r="D402" s="5"/>
      <c r="E402" s="6"/>
      <c r="F402" s="6"/>
    </row>
  </sheetData>
  <sheetProtection algorithmName="SHA-512" hashValue="Jk1rLrZUgm9a5ZS1IJ2Rt/c9jIJgd/ykW5yA6oaTplFMnht2lO3naylnrUNuKC7JNw/UJavOXQY9ysadjIEHvw==" saltValue="59pUXbVn7QtVgAtIJUv/mA==" spinCount="100000" sheet="1" objects="1" scenarios="1" selectLockedCells="1"/>
  <mergeCells count="8">
    <mergeCell ref="B20:E20"/>
    <mergeCell ref="A9:F9"/>
    <mergeCell ref="G1:G10"/>
    <mergeCell ref="A2:F2"/>
    <mergeCell ref="A3:F3"/>
    <mergeCell ref="A4:F4"/>
    <mergeCell ref="A5:F5"/>
    <mergeCell ref="A7:F7"/>
  </mergeCells>
  <printOptions horizontalCentered="1"/>
  <pageMargins left="1" right="1" top="1" bottom="1" header="0.5" footer="0.5"/>
  <pageSetup scale="95" orientation="landscape" r:id="rId1"/>
  <headerFooter alignWithMargins="0">
    <oddFooter>&amp;C14-26-2436
J-0200000-10, 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view="pageLayout" topLeftCell="A6" zoomScaleNormal="110" workbookViewId="0">
      <selection activeCell="H10" sqref="H10"/>
    </sheetView>
  </sheetViews>
  <sheetFormatPr defaultColWidth="9.1796875" defaultRowHeight="13" x14ac:dyDescent="0.3"/>
  <cols>
    <col min="1" max="1" width="10.81640625" style="76" customWidth="1"/>
    <col min="2" max="2" width="16.54296875" style="76" customWidth="1"/>
    <col min="3" max="3" width="39.7265625" style="101" customWidth="1"/>
    <col min="4" max="4" width="12.1796875" style="102" customWidth="1"/>
    <col min="5" max="5" width="8.1796875" style="76" bestFit="1" customWidth="1"/>
    <col min="6" max="6" width="11.6328125" style="76" customWidth="1"/>
    <col min="7" max="7" width="12.26953125" style="76" customWidth="1"/>
    <col min="8" max="8" width="15.36328125" style="76" customWidth="1"/>
    <col min="9" max="16384" width="9.1796875" style="76"/>
  </cols>
  <sheetData>
    <row r="1" spans="1:10" ht="12.75" customHeight="1" x14ac:dyDescent="0.3">
      <c r="A1" s="133" t="s">
        <v>307</v>
      </c>
      <c r="B1" s="134"/>
      <c r="C1" s="134"/>
      <c r="D1" s="134"/>
      <c r="E1" s="134"/>
      <c r="F1" s="134"/>
      <c r="G1" s="135"/>
      <c r="H1" s="129" t="s">
        <v>423</v>
      </c>
      <c r="I1" s="106"/>
    </row>
    <row r="2" spans="1:10" ht="12.75" customHeight="1" x14ac:dyDescent="0.3">
      <c r="A2" s="136" t="s">
        <v>280</v>
      </c>
      <c r="B2" s="137"/>
      <c r="C2" s="137"/>
      <c r="D2" s="137"/>
      <c r="E2" s="137"/>
      <c r="F2" s="137"/>
      <c r="G2" s="138"/>
      <c r="H2" s="129"/>
      <c r="I2" s="106"/>
    </row>
    <row r="3" spans="1:10" ht="12.75" customHeight="1" x14ac:dyDescent="0.3">
      <c r="A3" s="136" t="s">
        <v>306</v>
      </c>
      <c r="B3" s="137"/>
      <c r="C3" s="137"/>
      <c r="D3" s="137"/>
      <c r="E3" s="137"/>
      <c r="F3" s="137"/>
      <c r="G3" s="138"/>
      <c r="H3" s="129"/>
      <c r="I3" s="106"/>
    </row>
    <row r="4" spans="1:10" ht="12.75" customHeight="1" x14ac:dyDescent="0.3">
      <c r="A4" s="136" t="s">
        <v>295</v>
      </c>
      <c r="B4" s="137"/>
      <c r="C4" s="137"/>
      <c r="D4" s="137"/>
      <c r="E4" s="137"/>
      <c r="F4" s="137"/>
      <c r="G4" s="138"/>
      <c r="H4" s="129"/>
      <c r="I4" s="106"/>
    </row>
    <row r="5" spans="1:10" ht="12.75" customHeight="1" x14ac:dyDescent="0.3">
      <c r="A5" s="77"/>
      <c r="B5" s="78"/>
      <c r="C5" s="79"/>
      <c r="D5" s="80"/>
      <c r="E5" s="79"/>
      <c r="F5" s="81"/>
      <c r="G5" s="82"/>
      <c r="H5" s="129"/>
      <c r="I5" s="106"/>
    </row>
    <row r="6" spans="1:10" x14ac:dyDescent="0.3">
      <c r="A6" s="145" t="s">
        <v>336</v>
      </c>
      <c r="B6" s="146"/>
      <c r="C6" s="146"/>
      <c r="D6" s="146"/>
      <c r="E6" s="146"/>
      <c r="F6" s="146"/>
      <c r="G6" s="147"/>
      <c r="H6" s="129"/>
      <c r="I6" s="106"/>
    </row>
    <row r="7" spans="1:10" ht="23" customHeight="1" x14ac:dyDescent="0.3">
      <c r="A7" s="142" t="s">
        <v>293</v>
      </c>
      <c r="B7" s="143"/>
      <c r="C7" s="143"/>
      <c r="D7" s="143"/>
      <c r="E7" s="143"/>
      <c r="F7" s="143"/>
      <c r="G7" s="144"/>
      <c r="H7" s="129"/>
      <c r="I7" s="106"/>
    </row>
    <row r="8" spans="1:10" x14ac:dyDescent="0.3">
      <c r="A8" s="139" t="s">
        <v>325</v>
      </c>
      <c r="B8" s="140"/>
      <c r="C8" s="140"/>
      <c r="D8" s="140"/>
      <c r="E8" s="140"/>
      <c r="F8" s="140"/>
      <c r="G8" s="141"/>
      <c r="H8" s="129"/>
      <c r="I8" s="106"/>
    </row>
    <row r="9" spans="1:10" s="88" customFormat="1" ht="38.5" customHeight="1" x14ac:dyDescent="0.3">
      <c r="A9" s="83" t="s">
        <v>294</v>
      </c>
      <c r="B9" s="107" t="s">
        <v>329</v>
      </c>
      <c r="C9" s="108" t="s">
        <v>2</v>
      </c>
      <c r="D9" s="85" t="s">
        <v>281</v>
      </c>
      <c r="E9" s="108" t="s">
        <v>323</v>
      </c>
      <c r="F9" s="86" t="s">
        <v>278</v>
      </c>
      <c r="G9" s="109" t="s">
        <v>282</v>
      </c>
      <c r="H9" s="129"/>
      <c r="I9" s="110"/>
    </row>
    <row r="10" spans="1:10" s="94" customFormat="1" ht="52" x14ac:dyDescent="0.3">
      <c r="A10" s="89" t="s">
        <v>291</v>
      </c>
      <c r="B10" s="89" t="s">
        <v>289</v>
      </c>
      <c r="C10" s="90" t="s">
        <v>296</v>
      </c>
      <c r="D10" s="91">
        <v>500</v>
      </c>
      <c r="E10" s="91" t="s">
        <v>95</v>
      </c>
      <c r="F10" s="92">
        <f>ROUND(H10,2)</f>
        <v>0</v>
      </c>
      <c r="G10" s="93">
        <f>SUM(D10*F10)</f>
        <v>0</v>
      </c>
      <c r="H10" s="104"/>
      <c r="I10" s="100"/>
    </row>
    <row r="11" spans="1:10" s="94" customFormat="1" ht="68.25" customHeight="1" x14ac:dyDescent="0.3">
      <c r="A11" s="89" t="s">
        <v>292</v>
      </c>
      <c r="B11" s="89" t="s">
        <v>288</v>
      </c>
      <c r="C11" s="90" t="s">
        <v>356</v>
      </c>
      <c r="D11" s="95">
        <v>5000</v>
      </c>
      <c r="E11" s="91" t="s">
        <v>254</v>
      </c>
      <c r="F11" s="92">
        <v>1</v>
      </c>
      <c r="G11" s="93">
        <f>SUM(D11*F11)</f>
        <v>5000</v>
      </c>
      <c r="H11" s="96"/>
      <c r="I11" s="100"/>
    </row>
    <row r="12" spans="1:10" s="94" customFormat="1" x14ac:dyDescent="0.25">
      <c r="A12" s="97"/>
      <c r="B12" s="130" t="s">
        <v>342</v>
      </c>
      <c r="C12" s="131"/>
      <c r="D12" s="131"/>
      <c r="E12" s="131"/>
      <c r="F12" s="132"/>
      <c r="G12" s="98">
        <f>SUM(G10,G11)</f>
        <v>5000</v>
      </c>
      <c r="H12" s="99"/>
      <c r="I12" s="100"/>
      <c r="J12" s="100"/>
    </row>
  </sheetData>
  <sheetProtection algorithmName="SHA-512" hashValue="rXcHgU13+Sz5Mnxij/psQAytZ7vbEEbvRCOsfxg/JAlsb4fmORTb7XMHsRho8JSFT/zmZUiuPiGwUm8rLCQwSQ==" saltValue="vpM8mOS+n5ZOmknKa9w+kg==" spinCount="100000" sheet="1" objects="1" scenarios="1" selectLockedCells="1"/>
  <mergeCells count="9">
    <mergeCell ref="H1:H9"/>
    <mergeCell ref="B12:F12"/>
    <mergeCell ref="A8:G8"/>
    <mergeCell ref="A1:G1"/>
    <mergeCell ref="A2:G2"/>
    <mergeCell ref="A3:G3"/>
    <mergeCell ref="A4:G4"/>
    <mergeCell ref="A6:G6"/>
    <mergeCell ref="A7:G7"/>
  </mergeCells>
  <pageMargins left="0.39" right="0.21" top="1" bottom="1" header="0.5" footer="0.5"/>
  <pageSetup orientation="landscape" r:id="rId1"/>
  <headerFooter alignWithMargins="0">
    <oddFooter>&amp;C14-26-2436
J-0200000-10,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2"/>
  <sheetViews>
    <sheetView view="pageLayout" topLeftCell="A8" zoomScaleNormal="110" workbookViewId="0">
      <selection activeCell="G12" sqref="G12"/>
    </sheetView>
  </sheetViews>
  <sheetFormatPr defaultColWidth="9.1796875" defaultRowHeight="13" x14ac:dyDescent="0.3"/>
  <cols>
    <col min="1" max="1" width="10" style="2" customWidth="1"/>
    <col min="2" max="2" width="46.7265625" style="2" customWidth="1"/>
    <col min="3" max="3" width="10.54296875" style="2" customWidth="1"/>
    <col min="4" max="4" width="8.7265625" style="2" customWidth="1"/>
    <col min="5" max="5" width="10.7265625" style="2" customWidth="1"/>
    <col min="6" max="6" width="11.7265625" style="2" customWidth="1"/>
    <col min="7" max="7" width="13.7265625" customWidth="1"/>
    <col min="8" max="8" width="9.1796875" style="2"/>
    <col min="9" max="9" width="10.26953125" style="2" bestFit="1" customWidth="1"/>
    <col min="10" max="16384" width="9.1796875" style="2"/>
  </cols>
  <sheetData>
    <row r="1" spans="1:9" x14ac:dyDescent="0.3">
      <c r="A1" s="41"/>
      <c r="B1" s="42"/>
      <c r="C1" s="42"/>
      <c r="D1" s="42"/>
      <c r="E1" s="42"/>
      <c r="F1" s="42"/>
      <c r="G1" s="150" t="s">
        <v>424</v>
      </c>
    </row>
    <row r="2" spans="1:9" x14ac:dyDescent="0.3">
      <c r="A2" s="122" t="s">
        <v>308</v>
      </c>
      <c r="B2" s="123"/>
      <c r="C2" s="123"/>
      <c r="D2" s="123"/>
      <c r="E2" s="123"/>
      <c r="F2" s="123"/>
      <c r="G2" s="151"/>
    </row>
    <row r="3" spans="1:9" x14ac:dyDescent="0.3">
      <c r="A3" s="122" t="s">
        <v>280</v>
      </c>
      <c r="B3" s="123"/>
      <c r="C3" s="123"/>
      <c r="D3" s="123"/>
      <c r="E3" s="123"/>
      <c r="F3" s="123"/>
      <c r="G3" s="151"/>
    </row>
    <row r="4" spans="1:9" x14ac:dyDescent="0.3">
      <c r="A4" s="122" t="s">
        <v>306</v>
      </c>
      <c r="B4" s="123"/>
      <c r="C4" s="123"/>
      <c r="D4" s="123"/>
      <c r="E4" s="123"/>
      <c r="F4" s="123"/>
      <c r="G4" s="151"/>
    </row>
    <row r="5" spans="1:9" x14ac:dyDescent="0.3">
      <c r="A5" s="122" t="s">
        <v>297</v>
      </c>
      <c r="B5" s="123"/>
      <c r="C5" s="123"/>
      <c r="D5" s="123"/>
      <c r="E5" s="123"/>
      <c r="F5" s="123"/>
      <c r="G5" s="151"/>
    </row>
    <row r="6" spans="1:9" ht="14" x14ac:dyDescent="0.3">
      <c r="A6" s="71"/>
      <c r="B6" s="33"/>
      <c r="C6" s="34"/>
      <c r="D6" s="35"/>
      <c r="E6" s="35"/>
      <c r="F6" s="1"/>
      <c r="G6" s="151"/>
    </row>
    <row r="7" spans="1:9" ht="14" x14ac:dyDescent="0.3">
      <c r="A7" s="157" t="s">
        <v>337</v>
      </c>
      <c r="B7" s="155"/>
      <c r="C7" s="155"/>
      <c r="D7" s="155"/>
      <c r="E7" s="155"/>
      <c r="F7" s="155"/>
      <c r="G7" s="151"/>
    </row>
    <row r="8" spans="1:9" x14ac:dyDescent="0.3">
      <c r="A8" s="47" t="s">
        <v>287</v>
      </c>
      <c r="B8" s="73"/>
      <c r="C8" s="73"/>
      <c r="D8" s="73"/>
      <c r="E8" s="73"/>
      <c r="F8" s="43"/>
      <c r="G8" s="151"/>
    </row>
    <row r="9" spans="1:9" s="36" customFormat="1" x14ac:dyDescent="0.3">
      <c r="A9" s="114" t="s">
        <v>315</v>
      </c>
      <c r="B9" s="115"/>
      <c r="C9" s="115"/>
      <c r="D9" s="115"/>
      <c r="E9" s="115"/>
      <c r="F9" s="115"/>
      <c r="G9" s="151"/>
    </row>
    <row r="10" spans="1:9" ht="31.5" customHeight="1" thickBot="1" x14ac:dyDescent="0.35">
      <c r="A10" s="65" t="s">
        <v>294</v>
      </c>
      <c r="B10" s="66" t="s">
        <v>285</v>
      </c>
      <c r="C10" s="59" t="s">
        <v>281</v>
      </c>
      <c r="D10" s="59" t="s">
        <v>323</v>
      </c>
      <c r="E10" s="67" t="s">
        <v>278</v>
      </c>
      <c r="F10" s="67" t="s">
        <v>279</v>
      </c>
      <c r="G10" s="151"/>
    </row>
    <row r="11" spans="1:9" s="32" customFormat="1" x14ac:dyDescent="0.3">
      <c r="A11" s="26" t="s">
        <v>316</v>
      </c>
      <c r="B11" s="28" t="s">
        <v>358</v>
      </c>
      <c r="C11" s="27"/>
      <c r="D11" s="29"/>
      <c r="E11" s="30"/>
      <c r="F11" s="31"/>
      <c r="G11" s="50"/>
    </row>
    <row r="12" spans="1:9" x14ac:dyDescent="0.3">
      <c r="A12" s="40" t="s">
        <v>387</v>
      </c>
      <c r="B12" s="74" t="s">
        <v>369</v>
      </c>
      <c r="C12" s="24">
        <v>12</v>
      </c>
      <c r="D12" s="25" t="s">
        <v>250</v>
      </c>
      <c r="E12" s="49">
        <f>ROUND(G12,2)</f>
        <v>0</v>
      </c>
      <c r="F12" s="69">
        <f>ROUND(E12*C12,2)</f>
        <v>0</v>
      </c>
      <c r="G12" s="52"/>
      <c r="I12" s="75"/>
    </row>
    <row r="13" spans="1:9" x14ac:dyDescent="0.3">
      <c r="A13" s="40" t="s">
        <v>388</v>
      </c>
      <c r="B13" s="74" t="s">
        <v>370</v>
      </c>
      <c r="C13" s="24">
        <v>12</v>
      </c>
      <c r="D13" s="25" t="s">
        <v>250</v>
      </c>
      <c r="E13" s="49">
        <f t="shared" ref="E13:E19" si="0">ROUND(G13,2)</f>
        <v>0</v>
      </c>
      <c r="F13" s="69">
        <f t="shared" ref="F13:F19" si="1">ROUND(E13*C13,2)</f>
        <v>0</v>
      </c>
      <c r="G13" s="52"/>
      <c r="I13" s="75"/>
    </row>
    <row r="14" spans="1:9" x14ac:dyDescent="0.3">
      <c r="A14" s="40" t="s">
        <v>389</v>
      </c>
      <c r="B14" s="74" t="s">
        <v>371</v>
      </c>
      <c r="C14" s="24">
        <v>12</v>
      </c>
      <c r="D14" s="25" t="s">
        <v>250</v>
      </c>
      <c r="E14" s="49">
        <f t="shared" si="0"/>
        <v>0</v>
      </c>
      <c r="F14" s="69">
        <f t="shared" si="1"/>
        <v>0</v>
      </c>
      <c r="G14" s="52"/>
      <c r="I14" s="75"/>
    </row>
    <row r="15" spans="1:9" x14ac:dyDescent="0.3">
      <c r="A15" s="40" t="s">
        <v>390</v>
      </c>
      <c r="B15" s="74" t="s">
        <v>372</v>
      </c>
      <c r="C15" s="24">
        <v>12</v>
      </c>
      <c r="D15" s="25" t="s">
        <v>250</v>
      </c>
      <c r="E15" s="49">
        <f t="shared" si="0"/>
        <v>0</v>
      </c>
      <c r="F15" s="69">
        <f t="shared" si="1"/>
        <v>0</v>
      </c>
      <c r="G15" s="52"/>
      <c r="I15" s="75"/>
    </row>
    <row r="16" spans="1:9" x14ac:dyDescent="0.3">
      <c r="A16" s="40" t="s">
        <v>391</v>
      </c>
      <c r="B16" s="74" t="s">
        <v>373</v>
      </c>
      <c r="C16" s="24">
        <v>12</v>
      </c>
      <c r="D16" s="25" t="s">
        <v>250</v>
      </c>
      <c r="E16" s="49">
        <f t="shared" si="0"/>
        <v>0</v>
      </c>
      <c r="F16" s="69">
        <f t="shared" si="1"/>
        <v>0</v>
      </c>
      <c r="G16" s="52"/>
      <c r="I16" s="75"/>
    </row>
    <row r="17" spans="1:9" x14ac:dyDescent="0.3">
      <c r="A17" s="40" t="s">
        <v>392</v>
      </c>
      <c r="B17" s="74" t="s">
        <v>374</v>
      </c>
      <c r="C17" s="24">
        <v>12</v>
      </c>
      <c r="D17" s="25" t="s">
        <v>250</v>
      </c>
      <c r="E17" s="49">
        <f t="shared" si="0"/>
        <v>0</v>
      </c>
      <c r="F17" s="69">
        <f t="shared" si="1"/>
        <v>0</v>
      </c>
      <c r="G17" s="52"/>
      <c r="I17" s="75"/>
    </row>
    <row r="18" spans="1:9" x14ac:dyDescent="0.3">
      <c r="A18" s="40" t="s">
        <v>393</v>
      </c>
      <c r="B18" s="74" t="s">
        <v>375</v>
      </c>
      <c r="C18" s="24">
        <v>12</v>
      </c>
      <c r="D18" s="25" t="s">
        <v>250</v>
      </c>
      <c r="E18" s="49">
        <f t="shared" si="0"/>
        <v>0</v>
      </c>
      <c r="F18" s="69">
        <f t="shared" si="1"/>
        <v>0</v>
      </c>
      <c r="G18" s="52"/>
      <c r="I18" s="75"/>
    </row>
    <row r="19" spans="1:9" x14ac:dyDescent="0.3">
      <c r="A19" s="40" t="s">
        <v>394</v>
      </c>
      <c r="B19" s="48" t="s">
        <v>377</v>
      </c>
      <c r="C19" s="24">
        <v>12</v>
      </c>
      <c r="D19" s="25" t="s">
        <v>250</v>
      </c>
      <c r="E19" s="49">
        <f t="shared" si="0"/>
        <v>0</v>
      </c>
      <c r="F19" s="69">
        <f t="shared" si="1"/>
        <v>0</v>
      </c>
      <c r="G19" s="52"/>
      <c r="I19" s="75"/>
    </row>
    <row r="20" spans="1:9" x14ac:dyDescent="0.3">
      <c r="A20" s="38"/>
      <c r="B20" s="116" t="s">
        <v>395</v>
      </c>
      <c r="C20" s="117"/>
      <c r="D20" s="117"/>
      <c r="E20" s="118"/>
      <c r="F20" s="70">
        <f>SUM(F12:F19)</f>
        <v>0</v>
      </c>
      <c r="G20" s="51"/>
    </row>
    <row r="21" spans="1:9" x14ac:dyDescent="0.3">
      <c r="B21" s="3"/>
      <c r="C21" s="4"/>
      <c r="D21" s="5"/>
      <c r="E21" s="6"/>
      <c r="F21" s="6"/>
    </row>
    <row r="22" spans="1:9" x14ac:dyDescent="0.3">
      <c r="B22" s="3"/>
      <c r="C22" s="4"/>
      <c r="D22" s="5"/>
      <c r="E22" s="6"/>
    </row>
    <row r="23" spans="1:9" x14ac:dyDescent="0.3">
      <c r="B23" s="3"/>
      <c r="C23" s="4"/>
      <c r="D23" s="5"/>
      <c r="E23" s="6"/>
      <c r="F23" s="6"/>
    </row>
    <row r="29" spans="1:9" x14ac:dyDescent="0.3">
      <c r="B29" s="3"/>
      <c r="C29" s="4"/>
      <c r="D29" s="5"/>
      <c r="E29" s="6"/>
      <c r="F29" s="6"/>
    </row>
    <row r="30" spans="1:9" x14ac:dyDescent="0.3">
      <c r="B30" s="3"/>
      <c r="C30" s="4"/>
      <c r="D30" s="5"/>
      <c r="E30" s="6"/>
    </row>
    <row r="38" spans="2:6" x14ac:dyDescent="0.3">
      <c r="B38" s="3"/>
      <c r="C38" s="4"/>
      <c r="D38" s="5"/>
      <c r="E38" s="6"/>
      <c r="F38" s="6"/>
    </row>
    <row r="39" spans="2:6" x14ac:dyDescent="0.3">
      <c r="B39" s="3"/>
      <c r="C39" s="4"/>
      <c r="D39" s="5"/>
      <c r="E39" s="6"/>
    </row>
    <row r="47" spans="2:6" x14ac:dyDescent="0.3">
      <c r="B47" s="3"/>
      <c r="C47" s="4"/>
      <c r="D47" s="5"/>
      <c r="E47" s="6"/>
      <c r="F47" s="6"/>
    </row>
    <row r="48" spans="2:6" x14ac:dyDescent="0.3">
      <c r="B48" s="3"/>
      <c r="C48" s="4"/>
      <c r="D48" s="5"/>
      <c r="E48" s="6"/>
    </row>
    <row r="61" spans="2:6" x14ac:dyDescent="0.3">
      <c r="B61" s="12"/>
      <c r="C61" s="14"/>
      <c r="D61" s="15"/>
      <c r="E61" s="16"/>
      <c r="F61" s="16"/>
    </row>
    <row r="62" spans="2:6" x14ac:dyDescent="0.3">
      <c r="B62" s="13"/>
      <c r="C62" s="17"/>
      <c r="D62" s="18"/>
      <c r="E62" s="7"/>
      <c r="F62" s="7"/>
    </row>
    <row r="63" spans="2:6" x14ac:dyDescent="0.3">
      <c r="B63" s="8"/>
      <c r="C63" s="8"/>
      <c r="D63" s="8"/>
      <c r="E63" s="8"/>
      <c r="F63" s="8"/>
    </row>
    <row r="64" spans="2:6" x14ac:dyDescent="0.3">
      <c r="B64" s="73"/>
      <c r="C64" s="9"/>
      <c r="D64" s="10"/>
      <c r="E64" s="11"/>
      <c r="F64" s="11"/>
    </row>
    <row r="65" spans="2:6" x14ac:dyDescent="0.3">
      <c r="B65" s="73"/>
      <c r="C65" s="9"/>
      <c r="D65" s="10"/>
      <c r="E65" s="11"/>
      <c r="F65" s="8"/>
    </row>
    <row r="66" spans="2:6" x14ac:dyDescent="0.3">
      <c r="B66" s="8"/>
      <c r="C66" s="8"/>
      <c r="D66" s="8"/>
      <c r="E66" s="8"/>
      <c r="F66" s="8"/>
    </row>
    <row r="67" spans="2:6" x14ac:dyDescent="0.3">
      <c r="B67" s="8"/>
      <c r="C67" s="8"/>
      <c r="D67" s="8"/>
      <c r="E67" s="8"/>
      <c r="F67" s="8"/>
    </row>
    <row r="68" spans="2:6" x14ac:dyDescent="0.3">
      <c r="B68" s="8"/>
      <c r="C68" s="8"/>
      <c r="D68" s="8"/>
      <c r="E68" s="8"/>
      <c r="F68" s="8"/>
    </row>
    <row r="69" spans="2:6" x14ac:dyDescent="0.3">
      <c r="B69" s="8"/>
      <c r="C69" s="8"/>
      <c r="D69" s="8"/>
      <c r="E69" s="8"/>
      <c r="F69" s="8"/>
    </row>
    <row r="70" spans="2:6" x14ac:dyDescent="0.3">
      <c r="B70" s="8"/>
      <c r="C70" s="8"/>
      <c r="D70" s="8"/>
      <c r="E70" s="8"/>
      <c r="F70" s="8"/>
    </row>
    <row r="71" spans="2:6" x14ac:dyDescent="0.3">
      <c r="B71" s="8"/>
      <c r="C71" s="8"/>
      <c r="D71" s="8"/>
      <c r="E71" s="8"/>
      <c r="F71" s="8"/>
    </row>
    <row r="72" spans="2:6" x14ac:dyDescent="0.3">
      <c r="B72" s="8"/>
      <c r="C72" s="8"/>
      <c r="D72" s="8"/>
      <c r="E72" s="8"/>
      <c r="F72" s="8"/>
    </row>
    <row r="73" spans="2:6" x14ac:dyDescent="0.3">
      <c r="B73" s="3"/>
      <c r="C73" s="4"/>
      <c r="D73" s="5"/>
      <c r="E73" s="6"/>
      <c r="F73" s="6"/>
    </row>
    <row r="74" spans="2:6" x14ac:dyDescent="0.3">
      <c r="B74" s="3"/>
      <c r="C74" s="4"/>
      <c r="D74" s="5"/>
      <c r="E74" s="6"/>
    </row>
    <row r="82" spans="2:6" x14ac:dyDescent="0.3">
      <c r="B82" s="3"/>
      <c r="C82" s="4"/>
      <c r="D82" s="5"/>
      <c r="E82" s="6"/>
      <c r="F82" s="6"/>
    </row>
    <row r="83" spans="2:6" x14ac:dyDescent="0.3">
      <c r="B83" s="3"/>
      <c r="C83" s="4"/>
      <c r="D83" s="5"/>
      <c r="E83" s="6"/>
    </row>
    <row r="91" spans="2:6" x14ac:dyDescent="0.3">
      <c r="B91" s="3"/>
      <c r="C91" s="4"/>
      <c r="D91" s="5"/>
      <c r="E91" s="6"/>
      <c r="F91" s="6"/>
    </row>
    <row r="92" spans="2:6" x14ac:dyDescent="0.3">
      <c r="B92" s="3"/>
      <c r="C92" s="4"/>
      <c r="D92" s="5"/>
      <c r="E92" s="6"/>
    </row>
    <row r="100" spans="2:6" x14ac:dyDescent="0.3">
      <c r="B100" s="3"/>
      <c r="C100" s="4"/>
      <c r="D100" s="5"/>
      <c r="E100" s="6"/>
      <c r="F100" s="6"/>
    </row>
    <row r="101" spans="2:6" x14ac:dyDescent="0.3">
      <c r="B101" s="3"/>
      <c r="C101" s="4"/>
      <c r="D101" s="5"/>
      <c r="E101" s="6"/>
    </row>
    <row r="106" spans="2:6" x14ac:dyDescent="0.3">
      <c r="B106" s="8"/>
      <c r="C106" s="8"/>
      <c r="D106" s="8"/>
      <c r="E106" s="8"/>
      <c r="F106" s="8"/>
    </row>
    <row r="107" spans="2:6" x14ac:dyDescent="0.3">
      <c r="B107" s="8"/>
      <c r="C107" s="8"/>
      <c r="D107" s="8"/>
      <c r="E107" s="8"/>
      <c r="F107" s="8"/>
    </row>
    <row r="108" spans="2:6" x14ac:dyDescent="0.3">
      <c r="B108" s="8"/>
      <c r="C108" s="8"/>
      <c r="D108" s="8"/>
      <c r="E108" s="8"/>
      <c r="F108" s="8"/>
    </row>
    <row r="109" spans="2:6" x14ac:dyDescent="0.3">
      <c r="B109" s="8"/>
      <c r="C109" s="8"/>
      <c r="D109" s="8"/>
      <c r="E109" s="8"/>
      <c r="F109" s="8"/>
    </row>
    <row r="114" spans="2:6" x14ac:dyDescent="0.3">
      <c r="B114" s="12"/>
      <c r="C114" s="14"/>
      <c r="D114" s="15"/>
      <c r="E114" s="16"/>
      <c r="F114" s="16"/>
    </row>
    <row r="115" spans="2:6" x14ac:dyDescent="0.3">
      <c r="B115" s="13"/>
      <c r="C115" s="17"/>
      <c r="D115" s="18"/>
      <c r="E115" s="7"/>
      <c r="F115" s="7"/>
    </row>
    <row r="116" spans="2:6" x14ac:dyDescent="0.3">
      <c r="B116" s="8"/>
      <c r="C116" s="8"/>
      <c r="D116" s="8"/>
      <c r="E116" s="8"/>
      <c r="F116" s="8"/>
    </row>
    <row r="117" spans="2:6" x14ac:dyDescent="0.3">
      <c r="B117" s="3"/>
      <c r="C117" s="4"/>
      <c r="D117" s="5"/>
      <c r="E117" s="6"/>
      <c r="F117" s="6"/>
    </row>
    <row r="118" spans="2:6" x14ac:dyDescent="0.3">
      <c r="B118" s="3"/>
      <c r="C118" s="4"/>
      <c r="D118" s="5"/>
      <c r="E118" s="6"/>
    </row>
    <row r="127" spans="2:6" x14ac:dyDescent="0.3">
      <c r="B127" s="3"/>
      <c r="C127" s="4"/>
      <c r="D127" s="5"/>
      <c r="E127" s="6"/>
      <c r="F127" s="6"/>
    </row>
    <row r="128" spans="2:6" x14ac:dyDescent="0.3">
      <c r="B128" s="3"/>
      <c r="C128" s="4"/>
      <c r="D128" s="5"/>
      <c r="E128" s="6"/>
    </row>
    <row r="137" spans="2:6" x14ac:dyDescent="0.3">
      <c r="B137" s="3"/>
      <c r="C137" s="4"/>
      <c r="D137" s="5"/>
      <c r="E137" s="6"/>
      <c r="F137" s="6"/>
    </row>
    <row r="138" spans="2:6" x14ac:dyDescent="0.3">
      <c r="B138" s="3"/>
      <c r="C138" s="4"/>
      <c r="D138" s="5"/>
      <c r="E138" s="6"/>
    </row>
    <row r="146" spans="2:6" x14ac:dyDescent="0.3">
      <c r="B146" s="3"/>
      <c r="C146" s="4"/>
      <c r="D146" s="5"/>
      <c r="E146" s="6"/>
      <c r="F146" s="6"/>
    </row>
    <row r="147" spans="2:6" x14ac:dyDescent="0.3">
      <c r="B147" s="3"/>
      <c r="C147" s="4"/>
      <c r="D147" s="5"/>
      <c r="E147" s="6"/>
    </row>
    <row r="154" spans="2:6" x14ac:dyDescent="0.3">
      <c r="B154" s="8"/>
      <c r="C154" s="8"/>
      <c r="D154" s="8"/>
      <c r="E154" s="8"/>
      <c r="F154" s="8"/>
    </row>
    <row r="156" spans="2:6" x14ac:dyDescent="0.3">
      <c r="B156" s="3"/>
      <c r="C156" s="4"/>
      <c r="D156" s="5"/>
      <c r="E156" s="6"/>
      <c r="F156" s="6"/>
    </row>
    <row r="157" spans="2:6" x14ac:dyDescent="0.3">
      <c r="B157" s="3"/>
      <c r="C157" s="4"/>
      <c r="D157" s="5"/>
      <c r="E157" s="6"/>
    </row>
    <row r="167" spans="2:6" x14ac:dyDescent="0.3">
      <c r="B167" s="12"/>
      <c r="C167" s="14"/>
      <c r="D167" s="15"/>
      <c r="E167" s="16"/>
      <c r="F167" s="16"/>
    </row>
    <row r="168" spans="2:6" x14ac:dyDescent="0.3">
      <c r="B168" s="13"/>
      <c r="C168" s="17"/>
      <c r="D168" s="18"/>
      <c r="E168" s="7"/>
      <c r="F168" s="7"/>
    </row>
    <row r="170" spans="2:6" x14ac:dyDescent="0.3">
      <c r="B170" s="3"/>
      <c r="C170" s="4"/>
      <c r="D170" s="5"/>
      <c r="E170" s="6"/>
      <c r="F170" s="6"/>
    </row>
    <row r="171" spans="2:6" x14ac:dyDescent="0.3">
      <c r="B171" s="3"/>
      <c r="C171" s="4"/>
      <c r="D171" s="5"/>
      <c r="E171" s="6"/>
    </row>
    <row r="176" spans="2:6" x14ac:dyDescent="0.3">
      <c r="B176" s="13"/>
      <c r="C176" s="17"/>
      <c r="D176" s="18"/>
      <c r="E176" s="7"/>
      <c r="F176" s="7"/>
    </row>
    <row r="177" spans="2:6" x14ac:dyDescent="0.3">
      <c r="B177" s="8"/>
    </row>
    <row r="183" spans="2:6" x14ac:dyDescent="0.3">
      <c r="B183" s="3"/>
      <c r="C183" s="4"/>
      <c r="D183" s="5"/>
      <c r="E183" s="6"/>
      <c r="F183" s="6"/>
    </row>
    <row r="184" spans="2:6" x14ac:dyDescent="0.3">
      <c r="B184" s="3"/>
      <c r="C184" s="4"/>
      <c r="D184" s="5"/>
      <c r="E184" s="6"/>
    </row>
    <row r="185" spans="2:6" x14ac:dyDescent="0.3">
      <c r="B185" s="3"/>
      <c r="C185" s="4"/>
      <c r="D185" s="5"/>
      <c r="E185" s="6"/>
      <c r="F185" s="6"/>
    </row>
    <row r="188" spans="2:6" x14ac:dyDescent="0.3">
      <c r="B188" s="3"/>
      <c r="C188" s="4"/>
      <c r="D188" s="5"/>
      <c r="E188" s="6"/>
      <c r="F188" s="6"/>
    </row>
    <row r="189" spans="2:6" x14ac:dyDescent="0.3">
      <c r="B189" s="3"/>
      <c r="C189" s="4"/>
      <c r="D189" s="5"/>
      <c r="E189" s="6"/>
    </row>
    <row r="190" spans="2:6" x14ac:dyDescent="0.3">
      <c r="B190" s="3"/>
      <c r="C190" s="4"/>
      <c r="D190" s="5"/>
      <c r="E190" s="6"/>
      <c r="F190" s="6"/>
    </row>
    <row r="193" spans="2:6" x14ac:dyDescent="0.3">
      <c r="B193" s="3"/>
      <c r="C193" s="4"/>
      <c r="D193" s="5"/>
      <c r="E193" s="6"/>
      <c r="F193" s="6"/>
    </row>
    <row r="194" spans="2:6" x14ac:dyDescent="0.3">
      <c r="B194" s="3"/>
      <c r="C194" s="4"/>
      <c r="D194" s="5"/>
      <c r="E194" s="6"/>
    </row>
    <row r="195" spans="2:6" x14ac:dyDescent="0.3">
      <c r="B195" s="3"/>
      <c r="C195" s="4"/>
      <c r="D195" s="5"/>
      <c r="E195" s="6"/>
      <c r="F195" s="6"/>
    </row>
    <row r="197" spans="2:6" x14ac:dyDescent="0.3">
      <c r="B197" s="3"/>
      <c r="C197" s="4"/>
      <c r="D197" s="5"/>
      <c r="E197" s="6"/>
      <c r="F197" s="6"/>
    </row>
    <row r="198" spans="2:6" x14ac:dyDescent="0.3">
      <c r="B198" s="3"/>
      <c r="C198" s="4"/>
      <c r="D198" s="5"/>
      <c r="E198" s="6"/>
    </row>
    <row r="199" spans="2:6" x14ac:dyDescent="0.3">
      <c r="B199" s="3"/>
      <c r="C199" s="4"/>
      <c r="D199" s="5"/>
      <c r="E199" s="6"/>
      <c r="F199" s="6"/>
    </row>
    <row r="202" spans="2:6" x14ac:dyDescent="0.3">
      <c r="B202" s="3"/>
      <c r="C202" s="4"/>
      <c r="D202" s="5"/>
      <c r="E202" s="6"/>
      <c r="F202" s="6"/>
    </row>
    <row r="203" spans="2:6" x14ac:dyDescent="0.3">
      <c r="B203" s="3"/>
      <c r="C203" s="4"/>
      <c r="D203" s="5"/>
      <c r="E203" s="6"/>
    </row>
    <row r="204" spans="2:6" x14ac:dyDescent="0.3">
      <c r="B204" s="3"/>
      <c r="C204" s="4"/>
      <c r="D204" s="5"/>
      <c r="E204" s="6"/>
      <c r="F204" s="6"/>
    </row>
    <row r="206" spans="2:6" x14ac:dyDescent="0.3">
      <c r="B206" s="3"/>
      <c r="C206" s="4"/>
      <c r="D206" s="5"/>
      <c r="E206" s="6"/>
      <c r="F206" s="6"/>
    </row>
    <row r="207" spans="2:6" x14ac:dyDescent="0.3">
      <c r="B207" s="3"/>
      <c r="C207" s="4"/>
      <c r="D207" s="5"/>
      <c r="E207" s="6"/>
    </row>
    <row r="208" spans="2:6" x14ac:dyDescent="0.3">
      <c r="B208" s="3"/>
      <c r="C208" s="4"/>
      <c r="D208" s="5"/>
      <c r="E208" s="6"/>
      <c r="F208" s="6"/>
    </row>
    <row r="218" spans="2:6" x14ac:dyDescent="0.3">
      <c r="B218" s="12"/>
      <c r="C218" s="14"/>
      <c r="D218" s="15"/>
      <c r="E218" s="16"/>
      <c r="F218" s="16"/>
    </row>
    <row r="219" spans="2:6" x14ac:dyDescent="0.3">
      <c r="B219" s="13"/>
      <c r="C219" s="17"/>
      <c r="D219" s="18"/>
      <c r="E219" s="7"/>
      <c r="F219" s="7"/>
    </row>
    <row r="220" spans="2:6" x14ac:dyDescent="0.3">
      <c r="B220" s="13"/>
      <c r="C220" s="17"/>
      <c r="D220" s="18"/>
      <c r="E220" s="7"/>
      <c r="F220" s="7"/>
    </row>
    <row r="221" spans="2:6" x14ac:dyDescent="0.3">
      <c r="B221" s="3"/>
      <c r="C221" s="4"/>
      <c r="D221" s="5"/>
      <c r="E221" s="6"/>
      <c r="F221" s="6"/>
    </row>
    <row r="222" spans="2:6" x14ac:dyDescent="0.3">
      <c r="B222" s="3"/>
      <c r="C222" s="4"/>
      <c r="D222" s="5"/>
      <c r="E222" s="6"/>
    </row>
    <row r="223" spans="2:6" x14ac:dyDescent="0.3">
      <c r="B223" s="3"/>
      <c r="C223" s="4"/>
      <c r="D223" s="5"/>
      <c r="E223" s="6"/>
      <c r="F223" s="6"/>
    </row>
    <row r="225" spans="2:6" x14ac:dyDescent="0.3">
      <c r="B225" s="3"/>
      <c r="C225" s="4"/>
      <c r="D225" s="5"/>
      <c r="E225" s="6"/>
      <c r="F225" s="6"/>
    </row>
    <row r="226" spans="2:6" x14ac:dyDescent="0.3">
      <c r="B226" s="3"/>
      <c r="C226" s="4"/>
      <c r="D226" s="5"/>
      <c r="E226" s="6"/>
    </row>
    <row r="227" spans="2:6" x14ac:dyDescent="0.3">
      <c r="B227" s="3"/>
      <c r="C227" s="4"/>
      <c r="D227" s="5"/>
      <c r="E227" s="6"/>
      <c r="F227" s="6"/>
    </row>
    <row r="230" spans="2:6" x14ac:dyDescent="0.3">
      <c r="B230" s="3"/>
      <c r="C230" s="4"/>
      <c r="D230" s="5"/>
      <c r="E230" s="6"/>
      <c r="F230" s="6"/>
    </row>
    <row r="231" spans="2:6" x14ac:dyDescent="0.3">
      <c r="B231" s="3"/>
      <c r="C231" s="4"/>
      <c r="D231" s="5"/>
      <c r="E231" s="6"/>
    </row>
    <row r="232" spans="2:6" x14ac:dyDescent="0.3">
      <c r="B232" s="3"/>
      <c r="C232" s="4"/>
      <c r="D232" s="5"/>
      <c r="E232" s="6"/>
      <c r="F232" s="6"/>
    </row>
    <row r="233" spans="2:6" x14ac:dyDescent="0.3">
      <c r="B233" s="3"/>
      <c r="C233" s="4"/>
      <c r="D233" s="5"/>
      <c r="E233" s="6"/>
      <c r="F233" s="6"/>
    </row>
    <row r="241" spans="2:6" x14ac:dyDescent="0.3">
      <c r="B241" s="3"/>
      <c r="C241" s="4"/>
      <c r="D241" s="5"/>
      <c r="E241" s="6"/>
      <c r="F241" s="6"/>
    </row>
    <row r="242" spans="2:6" x14ac:dyDescent="0.3">
      <c r="B242" s="3"/>
      <c r="C242" s="4"/>
      <c r="D242" s="5"/>
      <c r="E242" s="6"/>
    </row>
    <row r="244" spans="2:6" x14ac:dyDescent="0.3">
      <c r="B244" s="3"/>
      <c r="C244" s="4"/>
      <c r="D244" s="5"/>
      <c r="E244" s="6"/>
      <c r="F244" s="6"/>
    </row>
    <row r="245" spans="2:6" x14ac:dyDescent="0.3">
      <c r="B245" s="3"/>
      <c r="C245" s="4"/>
      <c r="D245" s="5"/>
      <c r="E245" s="6"/>
    </row>
    <row r="246" spans="2:6" x14ac:dyDescent="0.3">
      <c r="B246" s="3"/>
      <c r="C246" s="4"/>
      <c r="D246" s="5"/>
      <c r="E246" s="6"/>
    </row>
    <row r="256" spans="2:6" x14ac:dyDescent="0.3">
      <c r="B256" s="3"/>
      <c r="C256" s="4"/>
      <c r="D256" s="5"/>
      <c r="E256" s="6"/>
      <c r="F256" s="6"/>
    </row>
    <row r="257" spans="2:6" x14ac:dyDescent="0.3">
      <c r="B257" s="3"/>
      <c r="C257" s="4"/>
      <c r="D257" s="5"/>
      <c r="E257" s="6"/>
      <c r="F257" s="6"/>
    </row>
    <row r="258" spans="2:6" x14ac:dyDescent="0.3">
      <c r="B258" s="3"/>
      <c r="C258" s="4"/>
      <c r="D258" s="5"/>
      <c r="E258" s="6"/>
      <c r="F258" s="6"/>
    </row>
    <row r="260" spans="2:6" x14ac:dyDescent="0.3">
      <c r="B260" s="3"/>
      <c r="C260" s="4"/>
      <c r="D260" s="5"/>
      <c r="E260" s="6"/>
      <c r="F260" s="6"/>
    </row>
    <row r="261" spans="2:6" x14ac:dyDescent="0.3">
      <c r="B261" s="3"/>
      <c r="C261" s="4"/>
      <c r="D261" s="5"/>
      <c r="E261" s="6"/>
    </row>
    <row r="269" spans="2:6" x14ac:dyDescent="0.3">
      <c r="B269" s="12"/>
      <c r="C269" s="14"/>
      <c r="D269" s="15"/>
      <c r="E269" s="16"/>
      <c r="F269" s="16"/>
    </row>
    <row r="270" spans="2:6" x14ac:dyDescent="0.3">
      <c r="B270" s="13"/>
      <c r="C270" s="17"/>
      <c r="D270" s="18"/>
      <c r="E270" s="7"/>
      <c r="F270" s="7"/>
    </row>
    <row r="271" spans="2:6" x14ac:dyDescent="0.3">
      <c r="B271" s="13"/>
      <c r="C271" s="17"/>
      <c r="D271" s="18"/>
      <c r="E271" s="7"/>
      <c r="F271" s="7"/>
    </row>
    <row r="272" spans="2:6" x14ac:dyDescent="0.3">
      <c r="B272" s="3"/>
      <c r="C272" s="4"/>
      <c r="D272" s="5"/>
      <c r="E272" s="6"/>
      <c r="F272" s="6"/>
    </row>
    <row r="273" spans="2:6" x14ac:dyDescent="0.3">
      <c r="B273" s="3"/>
      <c r="C273" s="4"/>
      <c r="D273" s="5"/>
      <c r="E273" s="6"/>
      <c r="F273" s="6"/>
    </row>
    <row r="274" spans="2:6" x14ac:dyDescent="0.3">
      <c r="B274" s="3"/>
      <c r="C274" s="4"/>
      <c r="D274" s="5"/>
      <c r="E274" s="6"/>
      <c r="F274" s="6"/>
    </row>
    <row r="276" spans="2:6" x14ac:dyDescent="0.3">
      <c r="B276" s="3"/>
      <c r="C276" s="4"/>
      <c r="D276" s="5"/>
      <c r="E276" s="6"/>
      <c r="F276" s="6"/>
    </row>
    <row r="277" spans="2:6" x14ac:dyDescent="0.3">
      <c r="B277" s="3"/>
      <c r="C277" s="4"/>
      <c r="D277" s="5"/>
      <c r="E277" s="6"/>
    </row>
    <row r="288" spans="2:6" x14ac:dyDescent="0.3">
      <c r="B288" s="3"/>
      <c r="C288" s="4"/>
      <c r="D288" s="5"/>
      <c r="E288" s="6"/>
      <c r="F288" s="6"/>
    </row>
    <row r="289" spans="2:6" x14ac:dyDescent="0.3">
      <c r="B289" s="3"/>
      <c r="C289" s="4"/>
      <c r="D289" s="5"/>
      <c r="E289" s="6"/>
    </row>
    <row r="294" spans="2:6" x14ac:dyDescent="0.3">
      <c r="B294" s="3"/>
      <c r="C294" s="4"/>
      <c r="D294" s="5"/>
      <c r="E294" s="6"/>
      <c r="F294" s="6"/>
    </row>
    <row r="295" spans="2:6" x14ac:dyDescent="0.3">
      <c r="B295" s="3"/>
      <c r="C295" s="4"/>
      <c r="D295" s="5"/>
      <c r="E295" s="6"/>
    </row>
    <row r="300" spans="2:6" x14ac:dyDescent="0.3">
      <c r="B300" s="3"/>
      <c r="C300" s="4"/>
      <c r="D300" s="5"/>
      <c r="E300" s="6"/>
      <c r="F300" s="6"/>
    </row>
    <row r="301" spans="2:6" x14ac:dyDescent="0.3">
      <c r="B301" s="3"/>
      <c r="C301" s="4"/>
      <c r="D301" s="5"/>
      <c r="E301" s="6"/>
    </row>
    <row r="305" spans="2:6" x14ac:dyDescent="0.3">
      <c r="B305" s="3"/>
      <c r="C305" s="4"/>
      <c r="D305" s="5"/>
      <c r="E305" s="6"/>
      <c r="F305" s="6"/>
    </row>
    <row r="306" spans="2:6" x14ac:dyDescent="0.3">
      <c r="B306" s="3"/>
      <c r="C306" s="4"/>
      <c r="D306" s="5"/>
      <c r="E306" s="6"/>
    </row>
    <row r="310" spans="2:6" x14ac:dyDescent="0.3">
      <c r="B310" s="3"/>
      <c r="C310" s="4"/>
      <c r="D310" s="5"/>
      <c r="E310" s="6"/>
      <c r="F310" s="6"/>
    </row>
    <row r="311" spans="2:6" x14ac:dyDescent="0.3">
      <c r="B311" s="3"/>
      <c r="C311" s="4"/>
      <c r="D311" s="5"/>
      <c r="E311" s="6"/>
    </row>
    <row r="314" spans="2:6" x14ac:dyDescent="0.3">
      <c r="B314" s="8"/>
      <c r="C314" s="8"/>
      <c r="D314" s="8"/>
      <c r="E314" s="8"/>
      <c r="F314" s="8"/>
    </row>
    <row r="315" spans="2:6" x14ac:dyDescent="0.3">
      <c r="B315" s="8"/>
      <c r="C315" s="8"/>
      <c r="D315" s="8"/>
      <c r="E315" s="8"/>
      <c r="F315" s="8"/>
    </row>
    <row r="316" spans="2:6" x14ac:dyDescent="0.3">
      <c r="B316" s="8"/>
      <c r="C316" s="8"/>
      <c r="D316" s="8"/>
      <c r="E316" s="8"/>
      <c r="F316" s="8"/>
    </row>
    <row r="317" spans="2:6" x14ac:dyDescent="0.3">
      <c r="B317" s="8"/>
      <c r="C317" s="8"/>
      <c r="D317" s="8"/>
      <c r="E317" s="8"/>
      <c r="F317" s="8"/>
    </row>
    <row r="318" spans="2:6" x14ac:dyDescent="0.3">
      <c r="B318" s="8"/>
      <c r="C318" s="8"/>
      <c r="D318" s="8"/>
      <c r="E318" s="8"/>
      <c r="F318" s="8"/>
    </row>
    <row r="319" spans="2:6" x14ac:dyDescent="0.3">
      <c r="B319" s="8"/>
      <c r="C319" s="8"/>
      <c r="D319" s="8"/>
      <c r="E319" s="8"/>
      <c r="F319" s="8"/>
    </row>
    <row r="320" spans="2:6" x14ac:dyDescent="0.3">
      <c r="B320" s="8"/>
      <c r="C320" s="8"/>
      <c r="D320" s="8"/>
      <c r="E320" s="8"/>
      <c r="F320" s="8"/>
    </row>
    <row r="321" spans="2:6" x14ac:dyDescent="0.3">
      <c r="B321" s="13"/>
      <c r="C321" s="17"/>
      <c r="D321" s="18"/>
      <c r="E321" s="7"/>
      <c r="F321" s="7"/>
    </row>
    <row r="322" spans="2:6" x14ac:dyDescent="0.3">
      <c r="B322" s="13"/>
      <c r="C322" s="17"/>
      <c r="D322" s="18"/>
      <c r="E322" s="7"/>
      <c r="F322" s="7"/>
    </row>
    <row r="324" spans="2:6" x14ac:dyDescent="0.3">
      <c r="B324" s="3"/>
      <c r="C324" s="4"/>
      <c r="D324" s="5"/>
      <c r="E324" s="6"/>
      <c r="F324" s="6"/>
    </row>
    <row r="325" spans="2:6" x14ac:dyDescent="0.3">
      <c r="B325" s="3"/>
      <c r="C325" s="4"/>
      <c r="D325" s="5"/>
      <c r="E325" s="6"/>
    </row>
    <row r="330" spans="2:6" x14ac:dyDescent="0.3">
      <c r="B330" s="3"/>
      <c r="C330" s="4"/>
      <c r="D330" s="5"/>
      <c r="E330" s="6"/>
      <c r="F330" s="6"/>
    </row>
    <row r="331" spans="2:6" x14ac:dyDescent="0.3">
      <c r="B331" s="3"/>
      <c r="C331" s="4"/>
      <c r="D331" s="5"/>
      <c r="E331" s="6"/>
    </row>
    <row r="336" spans="2:6" x14ac:dyDescent="0.3">
      <c r="B336" s="3"/>
      <c r="C336" s="4"/>
      <c r="D336" s="5"/>
      <c r="E336" s="6"/>
      <c r="F336" s="6"/>
    </row>
    <row r="337" spans="2:6" x14ac:dyDescent="0.3">
      <c r="B337" s="3"/>
      <c r="C337" s="4"/>
      <c r="D337" s="5"/>
      <c r="E337" s="6"/>
    </row>
    <row r="340" spans="2:6" x14ac:dyDescent="0.3">
      <c r="B340" s="8"/>
      <c r="C340" s="8"/>
      <c r="D340" s="8"/>
      <c r="E340" s="8"/>
      <c r="F340" s="8"/>
    </row>
    <row r="341" spans="2:6" x14ac:dyDescent="0.3">
      <c r="B341" s="8"/>
      <c r="C341" s="8"/>
      <c r="D341" s="8"/>
      <c r="E341" s="8"/>
      <c r="F341" s="8"/>
    </row>
    <row r="343" spans="2:6" x14ac:dyDescent="0.3">
      <c r="B343" s="3"/>
      <c r="C343" s="4"/>
      <c r="D343" s="5"/>
      <c r="E343" s="6"/>
      <c r="F343" s="6"/>
    </row>
    <row r="344" spans="2:6" x14ac:dyDescent="0.3">
      <c r="B344" s="3"/>
      <c r="C344" s="4"/>
      <c r="D344" s="5"/>
      <c r="E344" s="6"/>
    </row>
    <row r="350" spans="2:6" x14ac:dyDescent="0.3">
      <c r="B350" s="3"/>
      <c r="C350" s="4"/>
      <c r="D350" s="5"/>
      <c r="E350" s="6"/>
      <c r="F350" s="6"/>
    </row>
    <row r="351" spans="2:6" x14ac:dyDescent="0.3">
      <c r="B351" s="3"/>
      <c r="C351" s="4"/>
      <c r="D351" s="5"/>
      <c r="E351" s="6"/>
    </row>
    <row r="364" spans="2:6" x14ac:dyDescent="0.3">
      <c r="B364" s="3"/>
      <c r="C364" s="4"/>
      <c r="D364" s="5"/>
      <c r="E364" s="6"/>
      <c r="F364" s="6"/>
    </row>
    <row r="365" spans="2:6" x14ac:dyDescent="0.3">
      <c r="B365" s="3"/>
      <c r="C365" s="4"/>
      <c r="D365" s="5"/>
      <c r="E365" s="6"/>
    </row>
    <row r="373" spans="2:6" x14ac:dyDescent="0.3">
      <c r="B373" s="12"/>
      <c r="C373" s="14"/>
      <c r="D373" s="15"/>
      <c r="E373" s="16"/>
      <c r="F373" s="16"/>
    </row>
    <row r="374" spans="2:6" x14ac:dyDescent="0.3">
      <c r="B374" s="13"/>
      <c r="C374" s="17"/>
      <c r="D374" s="18"/>
      <c r="E374" s="7"/>
      <c r="F374" s="7"/>
    </row>
    <row r="376" spans="2:6" x14ac:dyDescent="0.3">
      <c r="B376" s="3"/>
      <c r="C376" s="4"/>
      <c r="D376" s="5"/>
      <c r="E376" s="6"/>
      <c r="F376" s="6"/>
    </row>
    <row r="377" spans="2:6" x14ac:dyDescent="0.3">
      <c r="B377" s="3"/>
      <c r="C377" s="4"/>
      <c r="D377" s="5"/>
      <c r="E377" s="6"/>
    </row>
    <row r="389" spans="2:6" x14ac:dyDescent="0.3">
      <c r="B389" s="3"/>
      <c r="C389" s="4"/>
      <c r="D389" s="5"/>
      <c r="E389" s="6"/>
      <c r="F389" s="6"/>
    </row>
    <row r="390" spans="2:6" x14ac:dyDescent="0.3">
      <c r="B390" s="3"/>
      <c r="C390" s="4"/>
      <c r="D390" s="5"/>
      <c r="E390" s="6"/>
    </row>
    <row r="395" spans="2:6" x14ac:dyDescent="0.3">
      <c r="B395" s="3"/>
      <c r="C395" s="4"/>
      <c r="D395" s="5"/>
      <c r="E395" s="6"/>
      <c r="F395" s="6"/>
    </row>
    <row r="396" spans="2:6" x14ac:dyDescent="0.3">
      <c r="B396" s="3"/>
      <c r="C396" s="4"/>
      <c r="D396" s="5"/>
      <c r="E396" s="6"/>
    </row>
    <row r="402" spans="2:6" x14ac:dyDescent="0.3">
      <c r="B402" s="3"/>
      <c r="C402" s="4"/>
      <c r="D402" s="5"/>
      <c r="E402" s="6"/>
      <c r="F402" s="6"/>
    </row>
  </sheetData>
  <sheetProtection algorithmName="SHA-512" hashValue="qX5pVzFWwtDVpA5k8luau/dOUFq4MrctHWv9Xf0ukWbFLcCoM/CUiWclIRE4teR9SETCo27x6PIFoCXXtKvAeA==" saltValue="FFf6Av4sW4yB+xCEEIcAIw==" spinCount="100000" sheet="1" objects="1" scenarios="1" selectLockedCells="1"/>
  <mergeCells count="8">
    <mergeCell ref="B20:E20"/>
    <mergeCell ref="A9:F9"/>
    <mergeCell ref="G1:G10"/>
    <mergeCell ref="A2:F2"/>
    <mergeCell ref="A3:F3"/>
    <mergeCell ref="A4:F4"/>
    <mergeCell ref="A5:F5"/>
    <mergeCell ref="A7:F7"/>
  </mergeCells>
  <printOptions horizontalCentered="1"/>
  <pageMargins left="1" right="1" top="1" bottom="1" header="0.5" footer="0.5"/>
  <pageSetup scale="95" orientation="landscape" r:id="rId1"/>
  <headerFooter alignWithMargins="0">
    <oddFooter>&amp;C14-26-2436
J-0200000-11, 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view="pageLayout" topLeftCell="A6" zoomScaleNormal="110" workbookViewId="0">
      <selection activeCell="H10" sqref="H10"/>
    </sheetView>
  </sheetViews>
  <sheetFormatPr defaultColWidth="9.1796875" defaultRowHeight="13" x14ac:dyDescent="0.3"/>
  <cols>
    <col min="1" max="1" width="10.81640625" style="76" customWidth="1"/>
    <col min="2" max="2" width="16.54296875" style="76" customWidth="1"/>
    <col min="3" max="3" width="39.7265625" style="101" customWidth="1"/>
    <col min="4" max="4" width="12.1796875" style="102" customWidth="1"/>
    <col min="5" max="5" width="9.1796875" style="76" customWidth="1"/>
    <col min="6" max="6" width="11.453125" style="76" customWidth="1"/>
    <col min="7" max="7" width="12.54296875" style="76" customWidth="1"/>
    <col min="8" max="8" width="13.54296875" style="76" customWidth="1"/>
    <col min="9" max="16384" width="9.1796875" style="76"/>
  </cols>
  <sheetData>
    <row r="1" spans="1:10" ht="12.75" customHeight="1" x14ac:dyDescent="0.3">
      <c r="A1" s="133" t="s">
        <v>308</v>
      </c>
      <c r="B1" s="134"/>
      <c r="C1" s="134"/>
      <c r="D1" s="134"/>
      <c r="E1" s="134"/>
      <c r="F1" s="134"/>
      <c r="G1" s="135"/>
      <c r="H1" s="129" t="s">
        <v>324</v>
      </c>
      <c r="I1" s="106"/>
    </row>
    <row r="2" spans="1:10" ht="12.75" customHeight="1" x14ac:dyDescent="0.3">
      <c r="A2" s="136" t="s">
        <v>280</v>
      </c>
      <c r="B2" s="137"/>
      <c r="C2" s="137"/>
      <c r="D2" s="137"/>
      <c r="E2" s="137"/>
      <c r="F2" s="137"/>
      <c r="G2" s="138"/>
      <c r="H2" s="129"/>
      <c r="I2" s="106"/>
    </row>
    <row r="3" spans="1:10" ht="12.75" customHeight="1" x14ac:dyDescent="0.3">
      <c r="A3" s="136" t="s">
        <v>306</v>
      </c>
      <c r="B3" s="137"/>
      <c r="C3" s="137"/>
      <c r="D3" s="137"/>
      <c r="E3" s="137"/>
      <c r="F3" s="137"/>
      <c r="G3" s="138"/>
      <c r="H3" s="129"/>
      <c r="I3" s="106"/>
    </row>
    <row r="4" spans="1:10" ht="12.75" customHeight="1" x14ac:dyDescent="0.3">
      <c r="A4" s="136" t="s">
        <v>297</v>
      </c>
      <c r="B4" s="137"/>
      <c r="C4" s="137"/>
      <c r="D4" s="137"/>
      <c r="E4" s="137"/>
      <c r="F4" s="137"/>
      <c r="G4" s="138"/>
      <c r="H4" s="129"/>
      <c r="I4" s="106"/>
    </row>
    <row r="5" spans="1:10" ht="12.75" customHeight="1" x14ac:dyDescent="0.3">
      <c r="A5" s="77"/>
      <c r="B5" s="78"/>
      <c r="C5" s="79"/>
      <c r="D5" s="80"/>
      <c r="E5" s="79"/>
      <c r="F5" s="81"/>
      <c r="G5" s="82"/>
      <c r="H5" s="129"/>
      <c r="I5" s="106"/>
    </row>
    <row r="6" spans="1:10" x14ac:dyDescent="0.3">
      <c r="A6" s="145" t="s">
        <v>340</v>
      </c>
      <c r="B6" s="146"/>
      <c r="C6" s="146"/>
      <c r="D6" s="146"/>
      <c r="E6" s="146"/>
      <c r="F6" s="146"/>
      <c r="G6" s="147"/>
      <c r="H6" s="129"/>
      <c r="I6" s="106"/>
    </row>
    <row r="7" spans="1:10" ht="26" customHeight="1" x14ac:dyDescent="0.3">
      <c r="A7" s="142" t="s">
        <v>293</v>
      </c>
      <c r="B7" s="143"/>
      <c r="C7" s="143"/>
      <c r="D7" s="143"/>
      <c r="E7" s="143"/>
      <c r="F7" s="143"/>
      <c r="G7" s="144"/>
      <c r="H7" s="129"/>
      <c r="I7" s="106"/>
    </row>
    <row r="8" spans="1:10" x14ac:dyDescent="0.3">
      <c r="A8" s="139" t="s">
        <v>328</v>
      </c>
      <c r="B8" s="140"/>
      <c r="C8" s="140"/>
      <c r="D8" s="140"/>
      <c r="E8" s="140"/>
      <c r="F8" s="140"/>
      <c r="G8" s="141"/>
      <c r="H8" s="129"/>
      <c r="I8" s="106"/>
    </row>
    <row r="9" spans="1:10" s="88" customFormat="1" ht="26" x14ac:dyDescent="0.3">
      <c r="A9" s="83" t="s">
        <v>294</v>
      </c>
      <c r="B9" s="84" t="s">
        <v>285</v>
      </c>
      <c r="C9" s="85" t="s">
        <v>2</v>
      </c>
      <c r="D9" s="85" t="s">
        <v>281</v>
      </c>
      <c r="E9" s="85" t="s">
        <v>323</v>
      </c>
      <c r="F9" s="86" t="s">
        <v>278</v>
      </c>
      <c r="G9" s="109" t="s">
        <v>282</v>
      </c>
      <c r="H9" s="129"/>
      <c r="I9" s="110"/>
    </row>
    <row r="10" spans="1:10" s="94" customFormat="1" ht="52" x14ac:dyDescent="0.3">
      <c r="A10" s="89" t="s">
        <v>338</v>
      </c>
      <c r="B10" s="89" t="s">
        <v>289</v>
      </c>
      <c r="C10" s="90" t="s">
        <v>296</v>
      </c>
      <c r="D10" s="91">
        <v>500</v>
      </c>
      <c r="E10" s="91" t="s">
        <v>95</v>
      </c>
      <c r="F10" s="92"/>
      <c r="G10" s="93">
        <f>SUM(D10*F10)</f>
        <v>0</v>
      </c>
      <c r="H10" s="104"/>
      <c r="I10" s="100"/>
    </row>
    <row r="11" spans="1:10" s="94" customFormat="1" ht="68.25" customHeight="1" x14ac:dyDescent="0.3">
      <c r="A11" s="89" t="s">
        <v>339</v>
      </c>
      <c r="B11" s="89" t="s">
        <v>288</v>
      </c>
      <c r="C11" s="90" t="s">
        <v>355</v>
      </c>
      <c r="D11" s="95">
        <v>5000</v>
      </c>
      <c r="E11" s="91" t="s">
        <v>254</v>
      </c>
      <c r="F11" s="92">
        <v>1</v>
      </c>
      <c r="G11" s="93">
        <f>SUM(D11*F11)</f>
        <v>5000</v>
      </c>
      <c r="H11" s="96"/>
      <c r="I11" s="100"/>
    </row>
    <row r="12" spans="1:10" s="94" customFormat="1" x14ac:dyDescent="0.25">
      <c r="A12" s="97"/>
      <c r="B12" s="130" t="s">
        <v>343</v>
      </c>
      <c r="C12" s="131"/>
      <c r="D12" s="131"/>
      <c r="E12" s="131"/>
      <c r="F12" s="132"/>
      <c r="G12" s="98">
        <f>SUM(G10,G11)</f>
        <v>5000</v>
      </c>
      <c r="H12" s="99"/>
      <c r="I12" s="100"/>
      <c r="J12" s="100"/>
    </row>
  </sheetData>
  <sheetProtection algorithmName="SHA-512" hashValue="UgATflcXdwDOgHY3l8xrlp694cb4Qg0cm321++YWGzfsLkrPcpPIedFstpI7m5qrqjnuITHEYJenY1ht3t2T+A==" saltValue="tQE1bU8aw3YXzUaMSOdBnw==" spinCount="100000" sheet="1" objects="1" scenarios="1" selectLockedCells="1"/>
  <mergeCells count="9">
    <mergeCell ref="B12:F12"/>
    <mergeCell ref="H1:H9"/>
    <mergeCell ref="A8:G8"/>
    <mergeCell ref="A1:G1"/>
    <mergeCell ref="A2:G2"/>
    <mergeCell ref="A3:G3"/>
    <mergeCell ref="A4:G4"/>
    <mergeCell ref="A6:G6"/>
    <mergeCell ref="A7:G7"/>
  </mergeCells>
  <pageMargins left="0.39" right="0.21" top="1" bottom="1" header="0.5" footer="0.5"/>
  <pageSetup orientation="landscape" r:id="rId1"/>
  <headerFooter alignWithMargins="0">
    <oddFooter>&amp;C14-26-2436
J-0200000-11,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3"/>
  <sheetViews>
    <sheetView view="pageLayout" zoomScaleNormal="110" workbookViewId="0">
      <selection activeCell="G13" sqref="G13:G20"/>
    </sheetView>
  </sheetViews>
  <sheetFormatPr defaultColWidth="9.1796875" defaultRowHeight="13" x14ac:dyDescent="0.3"/>
  <cols>
    <col min="1" max="1" width="10" style="2" customWidth="1"/>
    <col min="2" max="2" width="46.7265625" style="2" customWidth="1"/>
    <col min="3" max="3" width="10.54296875" style="2" customWidth="1"/>
    <col min="4" max="4" width="8.81640625" style="2" customWidth="1"/>
    <col min="5" max="5" width="10.7265625" style="2" customWidth="1"/>
    <col min="6" max="6" width="11.7265625" style="2" customWidth="1"/>
    <col min="7" max="7" width="11.81640625" customWidth="1"/>
    <col min="8" max="16384" width="9.1796875" style="2"/>
  </cols>
  <sheetData>
    <row r="1" spans="1:7" x14ac:dyDescent="0.3">
      <c r="A1" s="53"/>
      <c r="B1" s="54"/>
      <c r="C1" s="54"/>
      <c r="D1" s="54"/>
      <c r="E1" s="54"/>
      <c r="F1" s="55"/>
      <c r="G1" s="150" t="s">
        <v>424</v>
      </c>
    </row>
    <row r="2" spans="1:7" x14ac:dyDescent="0.3">
      <c r="A2" s="152" t="s">
        <v>309</v>
      </c>
      <c r="B2" s="123"/>
      <c r="C2" s="123"/>
      <c r="D2" s="123"/>
      <c r="E2" s="123"/>
      <c r="F2" s="153"/>
      <c r="G2" s="151"/>
    </row>
    <row r="3" spans="1:7" x14ac:dyDescent="0.3">
      <c r="A3" s="152" t="s">
        <v>280</v>
      </c>
      <c r="B3" s="123"/>
      <c r="C3" s="123"/>
      <c r="D3" s="123"/>
      <c r="E3" s="123"/>
      <c r="F3" s="153"/>
      <c r="G3" s="151"/>
    </row>
    <row r="4" spans="1:7" x14ac:dyDescent="0.3">
      <c r="A4" s="152" t="s">
        <v>306</v>
      </c>
      <c r="B4" s="123"/>
      <c r="C4" s="123"/>
      <c r="D4" s="123"/>
      <c r="E4" s="123"/>
      <c r="F4" s="153"/>
      <c r="G4" s="151"/>
    </row>
    <row r="5" spans="1:7" x14ac:dyDescent="0.3">
      <c r="A5" s="152" t="s">
        <v>298</v>
      </c>
      <c r="B5" s="123"/>
      <c r="C5" s="123"/>
      <c r="D5" s="123"/>
      <c r="E5" s="123"/>
      <c r="F5" s="153"/>
      <c r="G5" s="151"/>
    </row>
    <row r="6" spans="1:7" ht="14" x14ac:dyDescent="0.3">
      <c r="A6" s="113"/>
      <c r="B6" s="33"/>
      <c r="C6" s="34"/>
      <c r="D6" s="35"/>
      <c r="E6" s="35"/>
      <c r="F6" s="56"/>
      <c r="G6" s="151"/>
    </row>
    <row r="7" spans="1:7" ht="14" x14ac:dyDescent="0.3">
      <c r="A7" s="154" t="s">
        <v>341</v>
      </c>
      <c r="B7" s="155"/>
      <c r="C7" s="155"/>
      <c r="D7" s="155"/>
      <c r="E7" s="155"/>
      <c r="F7" s="156"/>
      <c r="G7" s="151"/>
    </row>
    <row r="8" spans="1:7" x14ac:dyDescent="0.3">
      <c r="A8" s="72" t="s">
        <v>287</v>
      </c>
      <c r="B8" s="73"/>
      <c r="C8" s="73"/>
      <c r="D8" s="73"/>
      <c r="E8" s="73"/>
      <c r="F8" s="57"/>
      <c r="G8" s="151"/>
    </row>
    <row r="9" spans="1:7" s="36" customFormat="1" x14ac:dyDescent="0.3">
      <c r="A9" s="148" t="s">
        <v>317</v>
      </c>
      <c r="B9" s="115"/>
      <c r="C9" s="115"/>
      <c r="D9" s="115"/>
      <c r="E9" s="115"/>
      <c r="F9" s="149"/>
      <c r="G9" s="151"/>
    </row>
    <row r="10" spans="1:7" ht="26" x14ac:dyDescent="0.3">
      <c r="A10" s="65" t="s">
        <v>330</v>
      </c>
      <c r="B10" s="66" t="s">
        <v>285</v>
      </c>
      <c r="C10" s="59" t="s">
        <v>281</v>
      </c>
      <c r="D10" s="59" t="s">
        <v>323</v>
      </c>
      <c r="E10" s="67" t="s">
        <v>278</v>
      </c>
      <c r="F10" s="67" t="s">
        <v>279</v>
      </c>
      <c r="G10" s="151"/>
    </row>
    <row r="11" spans="1:7" ht="26.5" customHeight="1" thickBot="1" x14ac:dyDescent="0.35">
      <c r="A11" s="39"/>
      <c r="B11" s="19"/>
      <c r="C11" s="20"/>
      <c r="D11" s="21"/>
      <c r="E11" s="22"/>
      <c r="F11" s="23"/>
      <c r="G11" s="158"/>
    </row>
    <row r="12" spans="1:7" s="32" customFormat="1" x14ac:dyDescent="0.3">
      <c r="A12" s="26" t="s">
        <v>318</v>
      </c>
      <c r="B12" s="28" t="s">
        <v>358</v>
      </c>
      <c r="C12" s="27"/>
      <c r="D12" s="29"/>
      <c r="E12" s="30"/>
      <c r="F12" s="31"/>
      <c r="G12" s="63"/>
    </row>
    <row r="13" spans="1:7" x14ac:dyDescent="0.3">
      <c r="A13" s="40" t="s">
        <v>396</v>
      </c>
      <c r="B13" s="74" t="s">
        <v>369</v>
      </c>
      <c r="C13" s="24">
        <v>12</v>
      </c>
      <c r="D13" s="25" t="s">
        <v>250</v>
      </c>
      <c r="E13" s="49">
        <f>ROUND(G13,2)</f>
        <v>0</v>
      </c>
      <c r="F13" s="69">
        <f>ROUND(E13*C13,2)</f>
        <v>0</v>
      </c>
      <c r="G13" s="105"/>
    </row>
    <row r="14" spans="1:7" x14ac:dyDescent="0.3">
      <c r="A14" s="40" t="s">
        <v>397</v>
      </c>
      <c r="B14" s="74" t="s">
        <v>370</v>
      </c>
      <c r="C14" s="24">
        <v>12</v>
      </c>
      <c r="D14" s="25" t="s">
        <v>250</v>
      </c>
      <c r="E14" s="49">
        <f t="shared" ref="E14:E20" si="0">ROUND(G14,2)</f>
        <v>0</v>
      </c>
      <c r="F14" s="69">
        <f t="shared" ref="F14:F20" si="1">ROUND(E14*C14,2)</f>
        <v>0</v>
      </c>
      <c r="G14" s="105"/>
    </row>
    <row r="15" spans="1:7" x14ac:dyDescent="0.3">
      <c r="A15" s="40" t="s">
        <v>398</v>
      </c>
      <c r="B15" s="74" t="s">
        <v>371</v>
      </c>
      <c r="C15" s="24">
        <v>12</v>
      </c>
      <c r="D15" s="25" t="s">
        <v>250</v>
      </c>
      <c r="E15" s="49">
        <f t="shared" si="0"/>
        <v>0</v>
      </c>
      <c r="F15" s="69">
        <f t="shared" si="1"/>
        <v>0</v>
      </c>
      <c r="G15" s="105"/>
    </row>
    <row r="16" spans="1:7" x14ac:dyDescent="0.3">
      <c r="A16" s="40" t="s">
        <v>399</v>
      </c>
      <c r="B16" s="74" t="s">
        <v>372</v>
      </c>
      <c r="C16" s="24">
        <v>12</v>
      </c>
      <c r="D16" s="25" t="s">
        <v>250</v>
      </c>
      <c r="E16" s="49">
        <f t="shared" si="0"/>
        <v>0</v>
      </c>
      <c r="F16" s="69">
        <f t="shared" si="1"/>
        <v>0</v>
      </c>
      <c r="G16" s="105"/>
    </row>
    <row r="17" spans="1:7" x14ac:dyDescent="0.3">
      <c r="A17" s="40" t="s">
        <v>400</v>
      </c>
      <c r="B17" s="74" t="s">
        <v>373</v>
      </c>
      <c r="C17" s="24">
        <v>12</v>
      </c>
      <c r="D17" s="25" t="s">
        <v>250</v>
      </c>
      <c r="E17" s="49">
        <f t="shared" si="0"/>
        <v>0</v>
      </c>
      <c r="F17" s="69">
        <f t="shared" si="1"/>
        <v>0</v>
      </c>
      <c r="G17" s="105"/>
    </row>
    <row r="18" spans="1:7" x14ac:dyDescent="0.3">
      <c r="A18" s="40" t="s">
        <v>401</v>
      </c>
      <c r="B18" s="74" t="s">
        <v>374</v>
      </c>
      <c r="C18" s="24">
        <v>12</v>
      </c>
      <c r="D18" s="25" t="s">
        <v>250</v>
      </c>
      <c r="E18" s="49">
        <f t="shared" si="0"/>
        <v>0</v>
      </c>
      <c r="F18" s="69">
        <f t="shared" si="1"/>
        <v>0</v>
      </c>
      <c r="G18" s="105"/>
    </row>
    <row r="19" spans="1:7" x14ac:dyDescent="0.3">
      <c r="A19" s="40" t="s">
        <v>402</v>
      </c>
      <c r="B19" s="74" t="s">
        <v>375</v>
      </c>
      <c r="C19" s="24">
        <v>12</v>
      </c>
      <c r="D19" s="25" t="s">
        <v>250</v>
      </c>
      <c r="E19" s="49">
        <f t="shared" si="0"/>
        <v>0</v>
      </c>
      <c r="F19" s="69">
        <f t="shared" si="1"/>
        <v>0</v>
      </c>
      <c r="G19" s="105"/>
    </row>
    <row r="20" spans="1:7" x14ac:dyDescent="0.3">
      <c r="A20" s="40" t="s">
        <v>403</v>
      </c>
      <c r="B20" s="48" t="s">
        <v>377</v>
      </c>
      <c r="C20" s="24">
        <v>12</v>
      </c>
      <c r="D20" s="25" t="s">
        <v>250</v>
      </c>
      <c r="E20" s="49">
        <f t="shared" si="0"/>
        <v>0</v>
      </c>
      <c r="F20" s="69">
        <f t="shared" si="1"/>
        <v>0</v>
      </c>
      <c r="G20" s="105"/>
    </row>
    <row r="21" spans="1:7" x14ac:dyDescent="0.3">
      <c r="A21" s="38"/>
      <c r="B21" s="116" t="s">
        <v>404</v>
      </c>
      <c r="C21" s="117"/>
      <c r="D21" s="117"/>
      <c r="E21" s="118"/>
      <c r="F21" s="70">
        <f>SUM(F13:F20)</f>
        <v>0</v>
      </c>
      <c r="G21" s="51"/>
    </row>
    <row r="22" spans="1:7" x14ac:dyDescent="0.3">
      <c r="B22" s="3"/>
      <c r="C22" s="4"/>
      <c r="D22" s="5"/>
      <c r="E22" s="6"/>
      <c r="F22" s="6"/>
    </row>
    <row r="23" spans="1:7" x14ac:dyDescent="0.3">
      <c r="B23" s="3"/>
      <c r="C23" s="4"/>
      <c r="D23" s="5"/>
      <c r="E23" s="6"/>
    </row>
    <row r="24" spans="1:7" x14ac:dyDescent="0.3">
      <c r="B24" s="3"/>
      <c r="C24" s="4"/>
      <c r="D24" s="5"/>
      <c r="E24" s="6"/>
      <c r="F24" s="6"/>
    </row>
    <row r="30" spans="1:7" x14ac:dyDescent="0.3">
      <c r="B30" s="3"/>
      <c r="C30" s="4"/>
      <c r="D30" s="5"/>
      <c r="E30" s="6"/>
      <c r="F30" s="6"/>
    </row>
    <row r="31" spans="1:7" x14ac:dyDescent="0.3">
      <c r="B31" s="3"/>
      <c r="C31" s="4"/>
      <c r="D31" s="5"/>
      <c r="E31" s="6"/>
    </row>
    <row r="39" spans="2:6" x14ac:dyDescent="0.3">
      <c r="B39" s="3"/>
      <c r="C39" s="4"/>
      <c r="D39" s="5"/>
      <c r="E39" s="6"/>
      <c r="F39" s="6"/>
    </row>
    <row r="40" spans="2:6" x14ac:dyDescent="0.3">
      <c r="B40" s="3"/>
      <c r="C40" s="4"/>
      <c r="D40" s="5"/>
      <c r="E40" s="6"/>
    </row>
    <row r="48" spans="2:6" x14ac:dyDescent="0.3">
      <c r="B48" s="3"/>
      <c r="C48" s="4"/>
      <c r="D48" s="5"/>
      <c r="E48" s="6"/>
      <c r="F48" s="6"/>
    </row>
    <row r="49" spans="2:6" x14ac:dyDescent="0.3">
      <c r="B49" s="3"/>
      <c r="C49" s="4"/>
      <c r="D49" s="5"/>
      <c r="E49" s="6"/>
    </row>
    <row r="62" spans="2:6" x14ac:dyDescent="0.3">
      <c r="B62" s="12"/>
      <c r="C62" s="14"/>
      <c r="D62" s="15"/>
      <c r="E62" s="16"/>
      <c r="F62" s="16"/>
    </row>
    <row r="63" spans="2:6" x14ac:dyDescent="0.3">
      <c r="B63" s="13"/>
      <c r="C63" s="17"/>
      <c r="D63" s="18"/>
      <c r="E63" s="7"/>
      <c r="F63" s="7"/>
    </row>
    <row r="64" spans="2:6" x14ac:dyDescent="0.3">
      <c r="B64" s="8"/>
      <c r="C64" s="8"/>
      <c r="D64" s="8"/>
      <c r="E64" s="8"/>
      <c r="F64" s="8"/>
    </row>
    <row r="65" spans="2:6" x14ac:dyDescent="0.3">
      <c r="B65" s="73"/>
      <c r="C65" s="9"/>
      <c r="D65" s="10"/>
      <c r="E65" s="11"/>
      <c r="F65" s="11"/>
    </row>
    <row r="66" spans="2:6" x14ac:dyDescent="0.3">
      <c r="B66" s="73"/>
      <c r="C66" s="9"/>
      <c r="D66" s="10"/>
      <c r="E66" s="11"/>
      <c r="F66" s="8"/>
    </row>
    <row r="67" spans="2:6" x14ac:dyDescent="0.3">
      <c r="B67" s="8"/>
      <c r="C67" s="8"/>
      <c r="D67" s="8"/>
      <c r="E67" s="8"/>
      <c r="F67" s="8"/>
    </row>
    <row r="68" spans="2:6" x14ac:dyDescent="0.3">
      <c r="B68" s="8"/>
      <c r="C68" s="8"/>
      <c r="D68" s="8"/>
      <c r="E68" s="8"/>
      <c r="F68" s="8"/>
    </row>
    <row r="69" spans="2:6" x14ac:dyDescent="0.3">
      <c r="B69" s="8"/>
      <c r="C69" s="8"/>
      <c r="D69" s="8"/>
      <c r="E69" s="8"/>
      <c r="F69" s="8"/>
    </row>
    <row r="70" spans="2:6" x14ac:dyDescent="0.3">
      <c r="B70" s="8"/>
      <c r="C70" s="8"/>
      <c r="D70" s="8"/>
      <c r="E70" s="8"/>
      <c r="F70" s="8"/>
    </row>
    <row r="71" spans="2:6" x14ac:dyDescent="0.3">
      <c r="B71" s="8"/>
      <c r="C71" s="8"/>
      <c r="D71" s="8"/>
      <c r="E71" s="8"/>
      <c r="F71" s="8"/>
    </row>
    <row r="72" spans="2:6" x14ac:dyDescent="0.3">
      <c r="B72" s="8"/>
      <c r="C72" s="8"/>
      <c r="D72" s="8"/>
      <c r="E72" s="8"/>
      <c r="F72" s="8"/>
    </row>
    <row r="73" spans="2:6" x14ac:dyDescent="0.3">
      <c r="B73" s="8"/>
      <c r="C73" s="8"/>
      <c r="D73" s="8"/>
      <c r="E73" s="8"/>
      <c r="F73" s="8"/>
    </row>
    <row r="74" spans="2:6" x14ac:dyDescent="0.3">
      <c r="B74" s="3"/>
      <c r="C74" s="4"/>
      <c r="D74" s="5"/>
      <c r="E74" s="6"/>
      <c r="F74" s="6"/>
    </row>
    <row r="75" spans="2:6" x14ac:dyDescent="0.3">
      <c r="B75" s="3"/>
      <c r="C75" s="4"/>
      <c r="D75" s="5"/>
      <c r="E75" s="6"/>
    </row>
    <row r="83" spans="2:6" x14ac:dyDescent="0.3">
      <c r="B83" s="3"/>
      <c r="C83" s="4"/>
      <c r="D83" s="5"/>
      <c r="E83" s="6"/>
      <c r="F83" s="6"/>
    </row>
    <row r="84" spans="2:6" x14ac:dyDescent="0.3">
      <c r="B84" s="3"/>
      <c r="C84" s="4"/>
      <c r="D84" s="5"/>
      <c r="E84" s="6"/>
    </row>
    <row r="92" spans="2:6" x14ac:dyDescent="0.3">
      <c r="B92" s="3"/>
      <c r="C92" s="4"/>
      <c r="D92" s="5"/>
      <c r="E92" s="6"/>
      <c r="F92" s="6"/>
    </row>
    <row r="93" spans="2:6" x14ac:dyDescent="0.3">
      <c r="B93" s="3"/>
      <c r="C93" s="4"/>
      <c r="D93" s="5"/>
      <c r="E93" s="6"/>
    </row>
    <row r="101" spans="2:6" x14ac:dyDescent="0.3">
      <c r="B101" s="3"/>
      <c r="C101" s="4"/>
      <c r="D101" s="5"/>
      <c r="E101" s="6"/>
      <c r="F101" s="6"/>
    </row>
    <row r="102" spans="2:6" x14ac:dyDescent="0.3">
      <c r="B102" s="3"/>
      <c r="C102" s="4"/>
      <c r="D102" s="5"/>
      <c r="E102" s="6"/>
    </row>
    <row r="107" spans="2:6" x14ac:dyDescent="0.3">
      <c r="B107" s="8"/>
      <c r="C107" s="8"/>
      <c r="D107" s="8"/>
      <c r="E107" s="8"/>
      <c r="F107" s="8"/>
    </row>
    <row r="108" spans="2:6" x14ac:dyDescent="0.3">
      <c r="B108" s="8"/>
      <c r="C108" s="8"/>
      <c r="D108" s="8"/>
      <c r="E108" s="8"/>
      <c r="F108" s="8"/>
    </row>
    <row r="109" spans="2:6" x14ac:dyDescent="0.3">
      <c r="B109" s="8"/>
      <c r="C109" s="8"/>
      <c r="D109" s="8"/>
      <c r="E109" s="8"/>
      <c r="F109" s="8"/>
    </row>
    <row r="110" spans="2:6" x14ac:dyDescent="0.3">
      <c r="B110" s="8"/>
      <c r="C110" s="8"/>
      <c r="D110" s="8"/>
      <c r="E110" s="8"/>
      <c r="F110" s="8"/>
    </row>
    <row r="115" spans="2:6" x14ac:dyDescent="0.3">
      <c r="B115" s="12"/>
      <c r="C115" s="14"/>
      <c r="D115" s="15"/>
      <c r="E115" s="16"/>
      <c r="F115" s="16"/>
    </row>
    <row r="116" spans="2:6" x14ac:dyDescent="0.3">
      <c r="B116" s="13"/>
      <c r="C116" s="17"/>
      <c r="D116" s="18"/>
      <c r="E116" s="7"/>
      <c r="F116" s="7"/>
    </row>
    <row r="117" spans="2:6" x14ac:dyDescent="0.3">
      <c r="B117" s="8"/>
      <c r="C117" s="8"/>
      <c r="D117" s="8"/>
      <c r="E117" s="8"/>
      <c r="F117" s="8"/>
    </row>
    <row r="118" spans="2:6" x14ac:dyDescent="0.3">
      <c r="B118" s="3"/>
      <c r="C118" s="4"/>
      <c r="D118" s="5"/>
      <c r="E118" s="6"/>
      <c r="F118" s="6"/>
    </row>
    <row r="119" spans="2:6" x14ac:dyDescent="0.3">
      <c r="B119" s="3"/>
      <c r="C119" s="4"/>
      <c r="D119" s="5"/>
      <c r="E119" s="6"/>
    </row>
    <row r="128" spans="2:6" x14ac:dyDescent="0.3">
      <c r="B128" s="3"/>
      <c r="C128" s="4"/>
      <c r="D128" s="5"/>
      <c r="E128" s="6"/>
      <c r="F128" s="6"/>
    </row>
    <row r="129" spans="2:6" x14ac:dyDescent="0.3">
      <c r="B129" s="3"/>
      <c r="C129" s="4"/>
      <c r="D129" s="5"/>
      <c r="E129" s="6"/>
    </row>
    <row r="138" spans="2:6" x14ac:dyDescent="0.3">
      <c r="B138" s="3"/>
      <c r="C138" s="4"/>
      <c r="D138" s="5"/>
      <c r="E138" s="6"/>
      <c r="F138" s="6"/>
    </row>
    <row r="139" spans="2:6" x14ac:dyDescent="0.3">
      <c r="B139" s="3"/>
      <c r="C139" s="4"/>
      <c r="D139" s="5"/>
      <c r="E139" s="6"/>
    </row>
    <row r="147" spans="2:6" x14ac:dyDescent="0.3">
      <c r="B147" s="3"/>
      <c r="C147" s="4"/>
      <c r="D147" s="5"/>
      <c r="E147" s="6"/>
      <c r="F147" s="6"/>
    </row>
    <row r="148" spans="2:6" x14ac:dyDescent="0.3">
      <c r="B148" s="3"/>
      <c r="C148" s="4"/>
      <c r="D148" s="5"/>
      <c r="E148" s="6"/>
    </row>
    <row r="155" spans="2:6" x14ac:dyDescent="0.3">
      <c r="B155" s="8"/>
      <c r="C155" s="8"/>
      <c r="D155" s="8"/>
      <c r="E155" s="8"/>
      <c r="F155" s="8"/>
    </row>
    <row r="157" spans="2:6" x14ac:dyDescent="0.3">
      <c r="B157" s="3"/>
      <c r="C157" s="4"/>
      <c r="D157" s="5"/>
      <c r="E157" s="6"/>
      <c r="F157" s="6"/>
    </row>
    <row r="158" spans="2:6" x14ac:dyDescent="0.3">
      <c r="B158" s="3"/>
      <c r="C158" s="4"/>
      <c r="D158" s="5"/>
      <c r="E158" s="6"/>
    </row>
    <row r="168" spans="2:6" x14ac:dyDescent="0.3">
      <c r="B168" s="12"/>
      <c r="C168" s="14"/>
      <c r="D168" s="15"/>
      <c r="E168" s="16"/>
      <c r="F168" s="16"/>
    </row>
    <row r="169" spans="2:6" x14ac:dyDescent="0.3">
      <c r="B169" s="13"/>
      <c r="C169" s="17"/>
      <c r="D169" s="18"/>
      <c r="E169" s="7"/>
      <c r="F169" s="7"/>
    </row>
    <row r="171" spans="2:6" x14ac:dyDescent="0.3">
      <c r="B171" s="3"/>
      <c r="C171" s="4"/>
      <c r="D171" s="5"/>
      <c r="E171" s="6"/>
      <c r="F171" s="6"/>
    </row>
    <row r="172" spans="2:6" x14ac:dyDescent="0.3">
      <c r="B172" s="3"/>
      <c r="C172" s="4"/>
      <c r="D172" s="5"/>
      <c r="E172" s="6"/>
    </row>
    <row r="177" spans="2:6" x14ac:dyDescent="0.3">
      <c r="B177" s="13"/>
      <c r="C177" s="17"/>
      <c r="D177" s="18"/>
      <c r="E177" s="7"/>
      <c r="F177" s="7"/>
    </row>
    <row r="178" spans="2:6" x14ac:dyDescent="0.3">
      <c r="B178" s="8"/>
    </row>
    <row r="184" spans="2:6" x14ac:dyDescent="0.3">
      <c r="B184" s="3"/>
      <c r="C184" s="4"/>
      <c r="D184" s="5"/>
      <c r="E184" s="6"/>
      <c r="F184" s="6"/>
    </row>
    <row r="185" spans="2:6" x14ac:dyDescent="0.3">
      <c r="B185" s="3"/>
      <c r="C185" s="4"/>
      <c r="D185" s="5"/>
      <c r="E185" s="6"/>
    </row>
    <row r="186" spans="2:6" x14ac:dyDescent="0.3">
      <c r="B186" s="3"/>
      <c r="C186" s="4"/>
      <c r="D186" s="5"/>
      <c r="E186" s="6"/>
      <c r="F186" s="6"/>
    </row>
    <row r="189" spans="2:6" x14ac:dyDescent="0.3">
      <c r="B189" s="3"/>
      <c r="C189" s="4"/>
      <c r="D189" s="5"/>
      <c r="E189" s="6"/>
      <c r="F189" s="6"/>
    </row>
    <row r="190" spans="2:6" x14ac:dyDescent="0.3">
      <c r="B190" s="3"/>
      <c r="C190" s="4"/>
      <c r="D190" s="5"/>
      <c r="E190" s="6"/>
    </row>
    <row r="191" spans="2:6" x14ac:dyDescent="0.3">
      <c r="B191" s="3"/>
      <c r="C191" s="4"/>
      <c r="D191" s="5"/>
      <c r="E191" s="6"/>
      <c r="F191" s="6"/>
    </row>
    <row r="194" spans="2:6" x14ac:dyDescent="0.3">
      <c r="B194" s="3"/>
      <c r="C194" s="4"/>
      <c r="D194" s="5"/>
      <c r="E194" s="6"/>
      <c r="F194" s="6"/>
    </row>
    <row r="195" spans="2:6" x14ac:dyDescent="0.3">
      <c r="B195" s="3"/>
      <c r="C195" s="4"/>
      <c r="D195" s="5"/>
      <c r="E195" s="6"/>
    </row>
    <row r="196" spans="2:6" x14ac:dyDescent="0.3">
      <c r="B196" s="3"/>
      <c r="C196" s="4"/>
      <c r="D196" s="5"/>
      <c r="E196" s="6"/>
      <c r="F196" s="6"/>
    </row>
    <row r="198" spans="2:6" x14ac:dyDescent="0.3">
      <c r="B198" s="3"/>
      <c r="C198" s="4"/>
      <c r="D198" s="5"/>
      <c r="E198" s="6"/>
      <c r="F198" s="6"/>
    </row>
    <row r="199" spans="2:6" x14ac:dyDescent="0.3">
      <c r="B199" s="3"/>
      <c r="C199" s="4"/>
      <c r="D199" s="5"/>
      <c r="E199" s="6"/>
    </row>
    <row r="200" spans="2:6" x14ac:dyDescent="0.3">
      <c r="B200" s="3"/>
      <c r="C200" s="4"/>
      <c r="D200" s="5"/>
      <c r="E200" s="6"/>
      <c r="F200" s="6"/>
    </row>
    <row r="203" spans="2:6" x14ac:dyDescent="0.3">
      <c r="B203" s="3"/>
      <c r="C203" s="4"/>
      <c r="D203" s="5"/>
      <c r="E203" s="6"/>
      <c r="F203" s="6"/>
    </row>
    <row r="204" spans="2:6" x14ac:dyDescent="0.3">
      <c r="B204" s="3"/>
      <c r="C204" s="4"/>
      <c r="D204" s="5"/>
      <c r="E204" s="6"/>
    </row>
    <row r="205" spans="2:6" x14ac:dyDescent="0.3">
      <c r="B205" s="3"/>
      <c r="C205" s="4"/>
      <c r="D205" s="5"/>
      <c r="E205" s="6"/>
      <c r="F205" s="6"/>
    </row>
    <row r="207" spans="2:6" x14ac:dyDescent="0.3">
      <c r="B207" s="3"/>
      <c r="C207" s="4"/>
      <c r="D207" s="5"/>
      <c r="E207" s="6"/>
      <c r="F207" s="6"/>
    </row>
    <row r="208" spans="2:6" x14ac:dyDescent="0.3">
      <c r="B208" s="3"/>
      <c r="C208" s="4"/>
      <c r="D208" s="5"/>
      <c r="E208" s="6"/>
    </row>
    <row r="209" spans="2:6" x14ac:dyDescent="0.3">
      <c r="B209" s="3"/>
      <c r="C209" s="4"/>
      <c r="D209" s="5"/>
      <c r="E209" s="6"/>
      <c r="F209" s="6"/>
    </row>
    <row r="219" spans="2:6" x14ac:dyDescent="0.3">
      <c r="B219" s="12"/>
      <c r="C219" s="14"/>
      <c r="D219" s="15"/>
      <c r="E219" s="16"/>
      <c r="F219" s="16"/>
    </row>
    <row r="220" spans="2:6" x14ac:dyDescent="0.3">
      <c r="B220" s="13"/>
      <c r="C220" s="17"/>
      <c r="D220" s="18"/>
      <c r="E220" s="7"/>
      <c r="F220" s="7"/>
    </row>
    <row r="221" spans="2:6" x14ac:dyDescent="0.3">
      <c r="B221" s="13"/>
      <c r="C221" s="17"/>
      <c r="D221" s="18"/>
      <c r="E221" s="7"/>
      <c r="F221" s="7"/>
    </row>
    <row r="222" spans="2:6" x14ac:dyDescent="0.3">
      <c r="B222" s="3"/>
      <c r="C222" s="4"/>
      <c r="D222" s="5"/>
      <c r="E222" s="6"/>
      <c r="F222" s="6"/>
    </row>
    <row r="223" spans="2:6" x14ac:dyDescent="0.3">
      <c r="B223" s="3"/>
      <c r="C223" s="4"/>
      <c r="D223" s="5"/>
      <c r="E223" s="6"/>
    </row>
    <row r="224" spans="2:6" x14ac:dyDescent="0.3">
      <c r="B224" s="3"/>
      <c r="C224" s="4"/>
      <c r="D224" s="5"/>
      <c r="E224" s="6"/>
      <c r="F224" s="6"/>
    </row>
    <row r="226" spans="2:6" x14ac:dyDescent="0.3">
      <c r="B226" s="3"/>
      <c r="C226" s="4"/>
      <c r="D226" s="5"/>
      <c r="E226" s="6"/>
      <c r="F226" s="6"/>
    </row>
    <row r="227" spans="2:6" x14ac:dyDescent="0.3">
      <c r="B227" s="3"/>
      <c r="C227" s="4"/>
      <c r="D227" s="5"/>
      <c r="E227" s="6"/>
    </row>
    <row r="228" spans="2:6" x14ac:dyDescent="0.3">
      <c r="B228" s="3"/>
      <c r="C228" s="4"/>
      <c r="D228" s="5"/>
      <c r="E228" s="6"/>
      <c r="F228" s="6"/>
    </row>
    <row r="231" spans="2:6" x14ac:dyDescent="0.3">
      <c r="B231" s="3"/>
      <c r="C231" s="4"/>
      <c r="D231" s="5"/>
      <c r="E231" s="6"/>
      <c r="F231" s="6"/>
    </row>
    <row r="232" spans="2:6" x14ac:dyDescent="0.3">
      <c r="B232" s="3"/>
      <c r="C232" s="4"/>
      <c r="D232" s="5"/>
      <c r="E232" s="6"/>
    </row>
    <row r="233" spans="2:6" x14ac:dyDescent="0.3">
      <c r="B233" s="3"/>
      <c r="C233" s="4"/>
      <c r="D233" s="5"/>
      <c r="E233" s="6"/>
      <c r="F233" s="6"/>
    </row>
    <row r="234" spans="2:6" x14ac:dyDescent="0.3">
      <c r="B234" s="3"/>
      <c r="C234" s="4"/>
      <c r="D234" s="5"/>
      <c r="E234" s="6"/>
      <c r="F234" s="6"/>
    </row>
    <row r="242" spans="2:6" x14ac:dyDescent="0.3">
      <c r="B242" s="3"/>
      <c r="C242" s="4"/>
      <c r="D242" s="5"/>
      <c r="E242" s="6"/>
      <c r="F242" s="6"/>
    </row>
    <row r="243" spans="2:6" x14ac:dyDescent="0.3">
      <c r="B243" s="3"/>
      <c r="C243" s="4"/>
      <c r="D243" s="5"/>
      <c r="E243" s="6"/>
    </row>
    <row r="245" spans="2:6" x14ac:dyDescent="0.3">
      <c r="B245" s="3"/>
      <c r="C245" s="4"/>
      <c r="D245" s="5"/>
      <c r="E245" s="6"/>
      <c r="F245" s="6"/>
    </row>
    <row r="246" spans="2:6" x14ac:dyDescent="0.3">
      <c r="B246" s="3"/>
      <c r="C246" s="4"/>
      <c r="D246" s="5"/>
      <c r="E246" s="6"/>
    </row>
    <row r="247" spans="2:6" x14ac:dyDescent="0.3">
      <c r="B247" s="3"/>
      <c r="C247" s="4"/>
      <c r="D247" s="5"/>
      <c r="E247" s="6"/>
    </row>
    <row r="257" spans="2:6" x14ac:dyDescent="0.3">
      <c r="B257" s="3"/>
      <c r="C257" s="4"/>
      <c r="D257" s="5"/>
      <c r="E257" s="6"/>
      <c r="F257" s="6"/>
    </row>
    <row r="258" spans="2:6" x14ac:dyDescent="0.3">
      <c r="B258" s="3"/>
      <c r="C258" s="4"/>
      <c r="D258" s="5"/>
      <c r="E258" s="6"/>
      <c r="F258" s="6"/>
    </row>
    <row r="259" spans="2:6" x14ac:dyDescent="0.3">
      <c r="B259" s="3"/>
      <c r="C259" s="4"/>
      <c r="D259" s="5"/>
      <c r="E259" s="6"/>
      <c r="F259" s="6"/>
    </row>
    <row r="261" spans="2:6" x14ac:dyDescent="0.3">
      <c r="B261" s="3"/>
      <c r="C261" s="4"/>
      <c r="D261" s="5"/>
      <c r="E261" s="6"/>
      <c r="F261" s="6"/>
    </row>
    <row r="262" spans="2:6" x14ac:dyDescent="0.3">
      <c r="B262" s="3"/>
      <c r="C262" s="4"/>
      <c r="D262" s="5"/>
      <c r="E262" s="6"/>
    </row>
    <row r="270" spans="2:6" x14ac:dyDescent="0.3">
      <c r="B270" s="12"/>
      <c r="C270" s="14"/>
      <c r="D270" s="15"/>
      <c r="E270" s="16"/>
      <c r="F270" s="16"/>
    </row>
    <row r="271" spans="2:6" x14ac:dyDescent="0.3">
      <c r="B271" s="13"/>
      <c r="C271" s="17"/>
      <c r="D271" s="18"/>
      <c r="E271" s="7"/>
      <c r="F271" s="7"/>
    </row>
    <row r="272" spans="2:6" x14ac:dyDescent="0.3">
      <c r="B272" s="13"/>
      <c r="C272" s="17"/>
      <c r="D272" s="18"/>
      <c r="E272" s="7"/>
      <c r="F272" s="7"/>
    </row>
    <row r="273" spans="2:6" x14ac:dyDescent="0.3">
      <c r="B273" s="3"/>
      <c r="C273" s="4"/>
      <c r="D273" s="5"/>
      <c r="E273" s="6"/>
      <c r="F273" s="6"/>
    </row>
    <row r="274" spans="2:6" x14ac:dyDescent="0.3">
      <c r="B274" s="3"/>
      <c r="C274" s="4"/>
      <c r="D274" s="5"/>
      <c r="E274" s="6"/>
      <c r="F274" s="6"/>
    </row>
    <row r="275" spans="2:6" x14ac:dyDescent="0.3">
      <c r="B275" s="3"/>
      <c r="C275" s="4"/>
      <c r="D275" s="5"/>
      <c r="E275" s="6"/>
      <c r="F275" s="6"/>
    </row>
    <row r="277" spans="2:6" x14ac:dyDescent="0.3">
      <c r="B277" s="3"/>
      <c r="C277" s="4"/>
      <c r="D277" s="5"/>
      <c r="E277" s="6"/>
      <c r="F277" s="6"/>
    </row>
    <row r="278" spans="2:6" x14ac:dyDescent="0.3">
      <c r="B278" s="3"/>
      <c r="C278" s="4"/>
      <c r="D278" s="5"/>
      <c r="E278" s="6"/>
    </row>
    <row r="289" spans="2:6" x14ac:dyDescent="0.3">
      <c r="B289" s="3"/>
      <c r="C289" s="4"/>
      <c r="D289" s="5"/>
      <c r="E289" s="6"/>
      <c r="F289" s="6"/>
    </row>
    <row r="290" spans="2:6" x14ac:dyDescent="0.3">
      <c r="B290" s="3"/>
      <c r="C290" s="4"/>
      <c r="D290" s="5"/>
      <c r="E290" s="6"/>
    </row>
    <row r="295" spans="2:6" x14ac:dyDescent="0.3">
      <c r="B295" s="3"/>
      <c r="C295" s="4"/>
      <c r="D295" s="5"/>
      <c r="E295" s="6"/>
      <c r="F295" s="6"/>
    </row>
    <row r="296" spans="2:6" x14ac:dyDescent="0.3">
      <c r="B296" s="3"/>
      <c r="C296" s="4"/>
      <c r="D296" s="5"/>
      <c r="E296" s="6"/>
    </row>
    <row r="301" spans="2:6" x14ac:dyDescent="0.3">
      <c r="B301" s="3"/>
      <c r="C301" s="4"/>
      <c r="D301" s="5"/>
      <c r="E301" s="6"/>
      <c r="F301" s="6"/>
    </row>
    <row r="302" spans="2:6" x14ac:dyDescent="0.3">
      <c r="B302" s="3"/>
      <c r="C302" s="4"/>
      <c r="D302" s="5"/>
      <c r="E302" s="6"/>
    </row>
    <row r="306" spans="2:6" x14ac:dyDescent="0.3">
      <c r="B306" s="3"/>
      <c r="C306" s="4"/>
      <c r="D306" s="5"/>
      <c r="E306" s="6"/>
      <c r="F306" s="6"/>
    </row>
    <row r="307" spans="2:6" x14ac:dyDescent="0.3">
      <c r="B307" s="3"/>
      <c r="C307" s="4"/>
      <c r="D307" s="5"/>
      <c r="E307" s="6"/>
    </row>
    <row r="311" spans="2:6" x14ac:dyDescent="0.3">
      <c r="B311" s="3"/>
      <c r="C311" s="4"/>
      <c r="D311" s="5"/>
      <c r="E311" s="6"/>
      <c r="F311" s="6"/>
    </row>
    <row r="312" spans="2:6" x14ac:dyDescent="0.3">
      <c r="B312" s="3"/>
      <c r="C312" s="4"/>
      <c r="D312" s="5"/>
      <c r="E312" s="6"/>
    </row>
    <row r="315" spans="2:6" x14ac:dyDescent="0.3">
      <c r="B315" s="8"/>
      <c r="C315" s="8"/>
      <c r="D315" s="8"/>
      <c r="E315" s="8"/>
      <c r="F315" s="8"/>
    </row>
    <row r="316" spans="2:6" x14ac:dyDescent="0.3">
      <c r="B316" s="8"/>
      <c r="C316" s="8"/>
      <c r="D316" s="8"/>
      <c r="E316" s="8"/>
      <c r="F316" s="8"/>
    </row>
    <row r="317" spans="2:6" x14ac:dyDescent="0.3">
      <c r="B317" s="8"/>
      <c r="C317" s="8"/>
      <c r="D317" s="8"/>
      <c r="E317" s="8"/>
      <c r="F317" s="8"/>
    </row>
    <row r="318" spans="2:6" x14ac:dyDescent="0.3">
      <c r="B318" s="8"/>
      <c r="C318" s="8"/>
      <c r="D318" s="8"/>
      <c r="E318" s="8"/>
      <c r="F318" s="8"/>
    </row>
    <row r="319" spans="2:6" x14ac:dyDescent="0.3">
      <c r="B319" s="8"/>
      <c r="C319" s="8"/>
      <c r="D319" s="8"/>
      <c r="E319" s="8"/>
      <c r="F319" s="8"/>
    </row>
    <row r="320" spans="2:6" x14ac:dyDescent="0.3">
      <c r="B320" s="8"/>
      <c r="C320" s="8"/>
      <c r="D320" s="8"/>
      <c r="E320" s="8"/>
      <c r="F320" s="8"/>
    </row>
    <row r="321" spans="2:6" x14ac:dyDescent="0.3">
      <c r="B321" s="8"/>
      <c r="C321" s="8"/>
      <c r="D321" s="8"/>
      <c r="E321" s="8"/>
      <c r="F321" s="8"/>
    </row>
    <row r="322" spans="2:6" x14ac:dyDescent="0.3">
      <c r="B322" s="13"/>
      <c r="C322" s="17"/>
      <c r="D322" s="18"/>
      <c r="E322" s="7"/>
      <c r="F322" s="7"/>
    </row>
    <row r="323" spans="2:6" x14ac:dyDescent="0.3">
      <c r="B323" s="13"/>
      <c r="C323" s="17"/>
      <c r="D323" s="18"/>
      <c r="E323" s="7"/>
      <c r="F323" s="7"/>
    </row>
    <row r="325" spans="2:6" x14ac:dyDescent="0.3">
      <c r="B325" s="3"/>
      <c r="C325" s="4"/>
      <c r="D325" s="5"/>
      <c r="E325" s="6"/>
      <c r="F325" s="6"/>
    </row>
    <row r="326" spans="2:6" x14ac:dyDescent="0.3">
      <c r="B326" s="3"/>
      <c r="C326" s="4"/>
      <c r="D326" s="5"/>
      <c r="E326" s="6"/>
    </row>
    <row r="331" spans="2:6" x14ac:dyDescent="0.3">
      <c r="B331" s="3"/>
      <c r="C331" s="4"/>
      <c r="D331" s="5"/>
      <c r="E331" s="6"/>
      <c r="F331" s="6"/>
    </row>
    <row r="332" spans="2:6" x14ac:dyDescent="0.3">
      <c r="B332" s="3"/>
      <c r="C332" s="4"/>
      <c r="D332" s="5"/>
      <c r="E332" s="6"/>
    </row>
    <row r="337" spans="2:6" x14ac:dyDescent="0.3">
      <c r="B337" s="3"/>
      <c r="C337" s="4"/>
      <c r="D337" s="5"/>
      <c r="E337" s="6"/>
      <c r="F337" s="6"/>
    </row>
    <row r="338" spans="2:6" x14ac:dyDescent="0.3">
      <c r="B338" s="3"/>
      <c r="C338" s="4"/>
      <c r="D338" s="5"/>
      <c r="E338" s="6"/>
    </row>
    <row r="341" spans="2:6" x14ac:dyDescent="0.3">
      <c r="B341" s="8"/>
      <c r="C341" s="8"/>
      <c r="D341" s="8"/>
      <c r="E341" s="8"/>
      <c r="F341" s="8"/>
    </row>
    <row r="342" spans="2:6" x14ac:dyDescent="0.3">
      <c r="B342" s="8"/>
      <c r="C342" s="8"/>
      <c r="D342" s="8"/>
      <c r="E342" s="8"/>
      <c r="F342" s="8"/>
    </row>
    <row r="344" spans="2:6" x14ac:dyDescent="0.3">
      <c r="B344" s="3"/>
      <c r="C344" s="4"/>
      <c r="D344" s="5"/>
      <c r="E344" s="6"/>
      <c r="F344" s="6"/>
    </row>
    <row r="345" spans="2:6" x14ac:dyDescent="0.3">
      <c r="B345" s="3"/>
      <c r="C345" s="4"/>
      <c r="D345" s="5"/>
      <c r="E345" s="6"/>
    </row>
    <row r="351" spans="2:6" x14ac:dyDescent="0.3">
      <c r="B351" s="3"/>
      <c r="C351" s="4"/>
      <c r="D351" s="5"/>
      <c r="E351" s="6"/>
      <c r="F351" s="6"/>
    </row>
    <row r="352" spans="2:6" x14ac:dyDescent="0.3">
      <c r="B352" s="3"/>
      <c r="C352" s="4"/>
      <c r="D352" s="5"/>
      <c r="E352" s="6"/>
    </row>
    <row r="365" spans="2:6" x14ac:dyDescent="0.3">
      <c r="B365" s="3"/>
      <c r="C365" s="4"/>
      <c r="D365" s="5"/>
      <c r="E365" s="6"/>
      <c r="F365" s="6"/>
    </row>
    <row r="366" spans="2:6" x14ac:dyDescent="0.3">
      <c r="B366" s="3"/>
      <c r="C366" s="4"/>
      <c r="D366" s="5"/>
      <c r="E366" s="6"/>
    </row>
    <row r="374" spans="2:6" x14ac:dyDescent="0.3">
      <c r="B374" s="12"/>
      <c r="C374" s="14"/>
      <c r="D374" s="15"/>
      <c r="E374" s="16"/>
      <c r="F374" s="16"/>
    </row>
    <row r="375" spans="2:6" x14ac:dyDescent="0.3">
      <c r="B375" s="13"/>
      <c r="C375" s="17"/>
      <c r="D375" s="18"/>
      <c r="E375" s="7"/>
      <c r="F375" s="7"/>
    </row>
    <row r="377" spans="2:6" x14ac:dyDescent="0.3">
      <c r="B377" s="3"/>
      <c r="C377" s="4"/>
      <c r="D377" s="5"/>
      <c r="E377" s="6"/>
      <c r="F377" s="6"/>
    </row>
    <row r="378" spans="2:6" x14ac:dyDescent="0.3">
      <c r="B378" s="3"/>
      <c r="C378" s="4"/>
      <c r="D378" s="5"/>
      <c r="E378" s="6"/>
    </row>
    <row r="390" spans="2:6" x14ac:dyDescent="0.3">
      <c r="B390" s="3"/>
      <c r="C390" s="4"/>
      <c r="D390" s="5"/>
      <c r="E390" s="6"/>
      <c r="F390" s="6"/>
    </row>
    <row r="391" spans="2:6" x14ac:dyDescent="0.3">
      <c r="B391" s="3"/>
      <c r="C391" s="4"/>
      <c r="D391" s="5"/>
      <c r="E391" s="6"/>
    </row>
    <row r="396" spans="2:6" x14ac:dyDescent="0.3">
      <c r="B396" s="3"/>
      <c r="C396" s="4"/>
      <c r="D396" s="5"/>
      <c r="E396" s="6"/>
      <c r="F396" s="6"/>
    </row>
    <row r="397" spans="2:6" x14ac:dyDescent="0.3">
      <c r="B397" s="3"/>
      <c r="C397" s="4"/>
      <c r="D397" s="5"/>
      <c r="E397" s="6"/>
    </row>
    <row r="403" spans="2:6" x14ac:dyDescent="0.3">
      <c r="B403" s="3"/>
      <c r="C403" s="4"/>
      <c r="D403" s="5"/>
      <c r="E403" s="6"/>
      <c r="F403" s="6"/>
    </row>
  </sheetData>
  <sheetProtection algorithmName="SHA-512" hashValue="ewbdJmSL7LqUnLahhuMnfNkxSn4lunWiJHzdiWWl8IWT8SvR/Dd0iV+RcWdNPuBYqKTViN2ehdAbBJ26cUfXzQ==" saltValue="DyHlyj4XXSa+7ReoBuR6Yw==" spinCount="100000" sheet="1" objects="1" scenarios="1" selectLockedCells="1"/>
  <mergeCells count="8">
    <mergeCell ref="B21:E21"/>
    <mergeCell ref="A9:F9"/>
    <mergeCell ref="G1:G11"/>
    <mergeCell ref="A2:F2"/>
    <mergeCell ref="A3:F3"/>
    <mergeCell ref="A4:F4"/>
    <mergeCell ref="A5:F5"/>
    <mergeCell ref="A7:F7"/>
  </mergeCells>
  <printOptions horizontalCentered="1"/>
  <pageMargins left="1" right="1" top="1" bottom="1" header="0.5" footer="0.5"/>
  <pageSetup scale="95" orientation="landscape" r:id="rId1"/>
  <headerFooter alignWithMargins="0">
    <oddFooter>&amp;C14-26-2436
J-0200000-12, 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"/>
  <sheetViews>
    <sheetView view="pageLayout" topLeftCell="A6" zoomScaleNormal="110" workbookViewId="0">
      <selection activeCell="H10" sqref="H10"/>
    </sheetView>
  </sheetViews>
  <sheetFormatPr defaultColWidth="9.1796875" defaultRowHeight="13" x14ac:dyDescent="0.3"/>
  <cols>
    <col min="1" max="1" width="10.81640625" style="76" customWidth="1"/>
    <col min="2" max="2" width="16.54296875" style="76" customWidth="1"/>
    <col min="3" max="3" width="39.7265625" style="101" customWidth="1"/>
    <col min="4" max="4" width="12.1796875" style="102" customWidth="1"/>
    <col min="5" max="5" width="7.54296875" style="76" customWidth="1"/>
    <col min="6" max="6" width="13" style="76" customWidth="1"/>
    <col min="7" max="7" width="14.81640625" style="76" customWidth="1"/>
    <col min="8" max="8" width="13.54296875" style="76" customWidth="1"/>
    <col min="9" max="16384" width="9.1796875" style="76"/>
  </cols>
  <sheetData>
    <row r="1" spans="1:10" ht="12.75" customHeight="1" x14ac:dyDescent="0.3">
      <c r="A1" s="133" t="s">
        <v>309</v>
      </c>
      <c r="B1" s="134"/>
      <c r="C1" s="134"/>
      <c r="D1" s="134"/>
      <c r="E1" s="134"/>
      <c r="F1" s="134"/>
      <c r="G1" s="135"/>
      <c r="H1" s="129" t="s">
        <v>324</v>
      </c>
      <c r="I1" s="106"/>
    </row>
    <row r="2" spans="1:10" ht="12.75" customHeight="1" x14ac:dyDescent="0.3">
      <c r="A2" s="136" t="s">
        <v>280</v>
      </c>
      <c r="B2" s="137"/>
      <c r="C2" s="137"/>
      <c r="D2" s="137"/>
      <c r="E2" s="137"/>
      <c r="F2" s="137"/>
      <c r="G2" s="138"/>
      <c r="H2" s="129"/>
      <c r="I2" s="106"/>
    </row>
    <row r="3" spans="1:10" ht="12.75" customHeight="1" x14ac:dyDescent="0.3">
      <c r="A3" s="136" t="s">
        <v>306</v>
      </c>
      <c r="B3" s="137"/>
      <c r="C3" s="137"/>
      <c r="D3" s="137"/>
      <c r="E3" s="137"/>
      <c r="F3" s="137"/>
      <c r="G3" s="138"/>
      <c r="H3" s="129"/>
      <c r="I3" s="106"/>
    </row>
    <row r="4" spans="1:10" ht="12.75" customHeight="1" x14ac:dyDescent="0.3">
      <c r="A4" s="136" t="s">
        <v>298</v>
      </c>
      <c r="B4" s="137"/>
      <c r="C4" s="137"/>
      <c r="D4" s="137"/>
      <c r="E4" s="137"/>
      <c r="F4" s="137"/>
      <c r="G4" s="138"/>
      <c r="H4" s="129"/>
      <c r="I4" s="106"/>
    </row>
    <row r="5" spans="1:10" ht="12.75" customHeight="1" x14ac:dyDescent="0.3">
      <c r="A5" s="77"/>
      <c r="B5" s="78"/>
      <c r="C5" s="79"/>
      <c r="D5" s="80"/>
      <c r="E5" s="79"/>
      <c r="F5" s="81"/>
      <c r="G5" s="82"/>
      <c r="H5" s="129"/>
      <c r="I5" s="106"/>
    </row>
    <row r="6" spans="1:10" x14ac:dyDescent="0.3">
      <c r="A6" s="145" t="s">
        <v>346</v>
      </c>
      <c r="B6" s="146"/>
      <c r="C6" s="146"/>
      <c r="D6" s="146"/>
      <c r="E6" s="146"/>
      <c r="F6" s="146"/>
      <c r="G6" s="147"/>
      <c r="H6" s="129"/>
      <c r="I6" s="106"/>
    </row>
    <row r="7" spans="1:10" ht="26" customHeight="1" x14ac:dyDescent="0.3">
      <c r="A7" s="142" t="s">
        <v>293</v>
      </c>
      <c r="B7" s="143"/>
      <c r="C7" s="143"/>
      <c r="D7" s="143"/>
      <c r="E7" s="143"/>
      <c r="F7" s="143"/>
      <c r="G7" s="144"/>
      <c r="H7" s="129"/>
      <c r="I7" s="106"/>
    </row>
    <row r="8" spans="1:10" x14ac:dyDescent="0.3">
      <c r="A8" s="139" t="s">
        <v>327</v>
      </c>
      <c r="B8" s="140"/>
      <c r="C8" s="140"/>
      <c r="D8" s="140"/>
      <c r="E8" s="140"/>
      <c r="F8" s="140"/>
      <c r="G8" s="141"/>
      <c r="H8" s="129"/>
      <c r="I8" s="106"/>
    </row>
    <row r="9" spans="1:10" s="88" customFormat="1" ht="25.5" customHeight="1" x14ac:dyDescent="0.3">
      <c r="A9" s="83" t="s">
        <v>294</v>
      </c>
      <c r="B9" s="111" t="s">
        <v>285</v>
      </c>
      <c r="C9" s="108" t="s">
        <v>2</v>
      </c>
      <c r="D9" s="85" t="s">
        <v>281</v>
      </c>
      <c r="E9" s="108" t="s">
        <v>323</v>
      </c>
      <c r="F9" s="86" t="s">
        <v>278</v>
      </c>
      <c r="G9" s="109" t="s">
        <v>282</v>
      </c>
      <c r="H9" s="129"/>
      <c r="I9" s="110"/>
    </row>
    <row r="10" spans="1:10" s="94" customFormat="1" ht="52" x14ac:dyDescent="0.3">
      <c r="A10" s="89" t="s">
        <v>303</v>
      </c>
      <c r="B10" s="89" t="s">
        <v>289</v>
      </c>
      <c r="C10" s="90" t="s">
        <v>296</v>
      </c>
      <c r="D10" s="91">
        <v>500</v>
      </c>
      <c r="E10" s="91" t="s">
        <v>95</v>
      </c>
      <c r="F10" s="92">
        <f>ROUND(H10,2)</f>
        <v>0</v>
      </c>
      <c r="G10" s="93">
        <f>SUM(D10*F10)</f>
        <v>0</v>
      </c>
      <c r="H10" s="104"/>
      <c r="I10" s="100"/>
    </row>
    <row r="11" spans="1:10" s="94" customFormat="1" ht="68.25" customHeight="1" x14ac:dyDescent="0.3">
      <c r="A11" s="89" t="s">
        <v>304</v>
      </c>
      <c r="B11" s="89" t="s">
        <v>288</v>
      </c>
      <c r="C11" s="90" t="s">
        <v>352</v>
      </c>
      <c r="D11" s="95">
        <v>5000</v>
      </c>
      <c r="E11" s="91" t="s">
        <v>254</v>
      </c>
      <c r="F11" s="92">
        <v>1</v>
      </c>
      <c r="G11" s="93">
        <f>SUM(D11*F11)</f>
        <v>5000</v>
      </c>
      <c r="H11" s="96"/>
      <c r="I11" s="100"/>
    </row>
    <row r="12" spans="1:10" s="94" customFormat="1" x14ac:dyDescent="0.25">
      <c r="A12" s="97"/>
      <c r="B12" s="130" t="s">
        <v>345</v>
      </c>
      <c r="C12" s="131"/>
      <c r="D12" s="131"/>
      <c r="E12" s="131"/>
      <c r="F12" s="132"/>
      <c r="G12" s="98">
        <f>SUM(G10,G11)</f>
        <v>5000</v>
      </c>
      <c r="H12" s="99"/>
      <c r="I12" s="100"/>
      <c r="J12" s="100"/>
    </row>
  </sheetData>
  <sheetProtection algorithmName="SHA-512" hashValue="cQ+gtwBts3ZBmFY6+Z4Ql0HKhNKfIcHeLxnvdd3pdTzIfPLcuDAH2iEMY80/ajz2Y40pHTD+tph/K+dgtjFIvA==" saltValue="9n//lz4+9Suw9DDHHmmuZw==" spinCount="100000" sheet="1" objects="1" scenarios="1" selectLockedCells="1"/>
  <mergeCells count="9">
    <mergeCell ref="B12:F12"/>
    <mergeCell ref="H1:H9"/>
    <mergeCell ref="A8:G8"/>
    <mergeCell ref="A1:G1"/>
    <mergeCell ref="A2:G2"/>
    <mergeCell ref="A3:G3"/>
    <mergeCell ref="A4:G4"/>
    <mergeCell ref="A6:G6"/>
    <mergeCell ref="A7:G7"/>
  </mergeCells>
  <pageMargins left="0.39" right="0.21" top="1" bottom="1" header="0.5" footer="0.5"/>
  <pageSetup orientation="landscape" r:id="rId1"/>
  <headerFooter alignWithMargins="0">
    <oddFooter>&amp;C14-26-2436
J-0200000-12,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03"/>
  <sheetViews>
    <sheetView view="pageLayout" zoomScaleNormal="110" workbookViewId="0">
      <selection activeCell="G13" sqref="G13:G19"/>
    </sheetView>
  </sheetViews>
  <sheetFormatPr defaultColWidth="9.1796875" defaultRowHeight="13" x14ac:dyDescent="0.3"/>
  <cols>
    <col min="1" max="1" width="10" style="2" customWidth="1"/>
    <col min="2" max="2" width="46.7265625" style="2" customWidth="1"/>
    <col min="3" max="3" width="10.54296875" style="2" customWidth="1"/>
    <col min="4" max="4" width="12.54296875" style="2" customWidth="1"/>
    <col min="5" max="5" width="10.7265625" style="2" customWidth="1"/>
    <col min="6" max="6" width="11.7265625" style="2" customWidth="1"/>
    <col min="7" max="7" width="11.81640625" customWidth="1"/>
    <col min="8" max="8" width="9.1796875" style="2"/>
    <col min="9" max="9" width="10.26953125" style="2" bestFit="1" customWidth="1"/>
    <col min="10" max="16384" width="9.1796875" style="2"/>
  </cols>
  <sheetData>
    <row r="1" spans="1:9" x14ac:dyDescent="0.3">
      <c r="A1" s="53"/>
      <c r="B1" s="54"/>
      <c r="C1" s="54"/>
      <c r="D1" s="54"/>
      <c r="E1" s="54"/>
      <c r="F1" s="55"/>
      <c r="G1" s="150" t="s">
        <v>424</v>
      </c>
    </row>
    <row r="2" spans="1:9" x14ac:dyDescent="0.3">
      <c r="A2" s="152" t="s">
        <v>310</v>
      </c>
      <c r="B2" s="123"/>
      <c r="C2" s="123"/>
      <c r="D2" s="123"/>
      <c r="E2" s="123"/>
      <c r="F2" s="153"/>
      <c r="G2" s="151"/>
    </row>
    <row r="3" spans="1:9" x14ac:dyDescent="0.3">
      <c r="A3" s="152" t="s">
        <v>280</v>
      </c>
      <c r="B3" s="123"/>
      <c r="C3" s="123"/>
      <c r="D3" s="123"/>
      <c r="E3" s="123"/>
      <c r="F3" s="153"/>
      <c r="G3" s="151"/>
    </row>
    <row r="4" spans="1:9" x14ac:dyDescent="0.3">
      <c r="A4" s="152" t="s">
        <v>306</v>
      </c>
      <c r="B4" s="123"/>
      <c r="C4" s="123"/>
      <c r="D4" s="123"/>
      <c r="E4" s="123"/>
      <c r="F4" s="153"/>
      <c r="G4" s="151"/>
    </row>
    <row r="5" spans="1:9" x14ac:dyDescent="0.3">
      <c r="A5" s="152" t="s">
        <v>299</v>
      </c>
      <c r="B5" s="123"/>
      <c r="C5" s="123"/>
      <c r="D5" s="123"/>
      <c r="E5" s="123"/>
      <c r="F5" s="153"/>
      <c r="G5" s="151"/>
    </row>
    <row r="6" spans="1:9" ht="14" x14ac:dyDescent="0.3">
      <c r="A6" s="113"/>
      <c r="B6" s="33"/>
      <c r="C6" s="34"/>
      <c r="D6" s="35"/>
      <c r="E6" s="35"/>
      <c r="F6" s="56"/>
      <c r="G6" s="151"/>
    </row>
    <row r="7" spans="1:9" ht="14" x14ac:dyDescent="0.3">
      <c r="A7" s="154" t="s">
        <v>347</v>
      </c>
      <c r="B7" s="155"/>
      <c r="C7" s="155"/>
      <c r="D7" s="155"/>
      <c r="E7" s="155"/>
      <c r="F7" s="156"/>
      <c r="G7" s="151"/>
    </row>
    <row r="8" spans="1:9" x14ac:dyDescent="0.3">
      <c r="A8" s="72" t="s">
        <v>287</v>
      </c>
      <c r="B8" s="73"/>
      <c r="C8" s="73"/>
      <c r="D8" s="73"/>
      <c r="E8" s="73"/>
      <c r="F8" s="57"/>
      <c r="G8" s="151"/>
    </row>
    <row r="9" spans="1:9" s="36" customFormat="1" x14ac:dyDescent="0.3">
      <c r="A9" s="148" t="s">
        <v>319</v>
      </c>
      <c r="B9" s="115"/>
      <c r="C9" s="115"/>
      <c r="D9" s="115"/>
      <c r="E9" s="115"/>
      <c r="F9" s="149"/>
      <c r="G9" s="151"/>
    </row>
    <row r="10" spans="1:9" ht="26" x14ac:dyDescent="0.3">
      <c r="A10" s="61" t="s">
        <v>294</v>
      </c>
      <c r="B10" s="60" t="s">
        <v>285</v>
      </c>
      <c r="C10" s="59" t="s">
        <v>281</v>
      </c>
      <c r="D10" s="58" t="s">
        <v>323</v>
      </c>
      <c r="E10" s="62" t="s">
        <v>278</v>
      </c>
      <c r="F10" s="62" t="s">
        <v>279</v>
      </c>
      <c r="G10" s="151"/>
    </row>
    <row r="11" spans="1:9" ht="39" customHeight="1" thickBot="1" x14ac:dyDescent="0.35">
      <c r="A11" s="39"/>
      <c r="B11" s="19"/>
      <c r="C11" s="20"/>
      <c r="D11" s="21"/>
      <c r="E11" s="22"/>
      <c r="F11" s="23"/>
      <c r="G11" s="158"/>
    </row>
    <row r="12" spans="1:9" s="32" customFormat="1" x14ac:dyDescent="0.3">
      <c r="A12" s="26" t="s">
        <v>302</v>
      </c>
      <c r="B12" s="28" t="s">
        <v>358</v>
      </c>
      <c r="C12" s="27"/>
      <c r="D12" s="29"/>
      <c r="E12" s="30"/>
      <c r="F12" s="31"/>
      <c r="G12" s="63"/>
    </row>
    <row r="13" spans="1:9" x14ac:dyDescent="0.3">
      <c r="A13" s="40" t="s">
        <v>405</v>
      </c>
      <c r="B13" s="74" t="s">
        <v>369</v>
      </c>
      <c r="C13" s="24">
        <v>12</v>
      </c>
      <c r="D13" s="25" t="s">
        <v>250</v>
      </c>
      <c r="E13" s="49">
        <f>ROUND(G13,2)</f>
        <v>0</v>
      </c>
      <c r="F13" s="69">
        <f>ROUND(E13*C13,2)</f>
        <v>0</v>
      </c>
      <c r="G13" s="105"/>
    </row>
    <row r="14" spans="1:9" x14ac:dyDescent="0.3">
      <c r="A14" s="40" t="s">
        <v>406</v>
      </c>
      <c r="B14" s="74" t="s">
        <v>370</v>
      </c>
      <c r="C14" s="24">
        <v>12</v>
      </c>
      <c r="D14" s="25" t="s">
        <v>250</v>
      </c>
      <c r="E14" s="49">
        <f t="shared" ref="E14:E20" si="0">ROUND(G14,2)</f>
        <v>0</v>
      </c>
      <c r="F14" s="69">
        <f t="shared" ref="F14:F20" si="1">ROUND(E14*C14,2)</f>
        <v>0</v>
      </c>
      <c r="G14" s="105"/>
    </row>
    <row r="15" spans="1:9" x14ac:dyDescent="0.3">
      <c r="A15" s="40" t="s">
        <v>407</v>
      </c>
      <c r="B15" s="74" t="s">
        <v>371</v>
      </c>
      <c r="C15" s="24">
        <v>12</v>
      </c>
      <c r="D15" s="25" t="s">
        <v>250</v>
      </c>
      <c r="E15" s="49">
        <f t="shared" si="0"/>
        <v>0</v>
      </c>
      <c r="F15" s="69">
        <f t="shared" si="1"/>
        <v>0</v>
      </c>
      <c r="G15" s="105"/>
    </row>
    <row r="16" spans="1:9" x14ac:dyDescent="0.3">
      <c r="A16" s="40" t="s">
        <v>408</v>
      </c>
      <c r="B16" s="74" t="s">
        <v>372</v>
      </c>
      <c r="C16" s="24">
        <v>12</v>
      </c>
      <c r="D16" s="25" t="s">
        <v>250</v>
      </c>
      <c r="E16" s="49">
        <f t="shared" si="0"/>
        <v>0</v>
      </c>
      <c r="F16" s="69">
        <f t="shared" si="1"/>
        <v>0</v>
      </c>
      <c r="G16" s="105"/>
      <c r="I16" s="75"/>
    </row>
    <row r="17" spans="1:9" x14ac:dyDescent="0.3">
      <c r="A17" s="40" t="s">
        <v>409</v>
      </c>
      <c r="B17" s="74" t="s">
        <v>373</v>
      </c>
      <c r="C17" s="24">
        <v>12</v>
      </c>
      <c r="D17" s="25" t="s">
        <v>250</v>
      </c>
      <c r="E17" s="49">
        <f t="shared" si="0"/>
        <v>0</v>
      </c>
      <c r="F17" s="69">
        <f t="shared" si="1"/>
        <v>0</v>
      </c>
      <c r="G17" s="105"/>
      <c r="I17" s="75"/>
    </row>
    <row r="18" spans="1:9" x14ac:dyDescent="0.3">
      <c r="A18" s="40" t="s">
        <v>410</v>
      </c>
      <c r="B18" s="74" t="s">
        <v>374</v>
      </c>
      <c r="C18" s="24">
        <v>12</v>
      </c>
      <c r="D18" s="25" t="s">
        <v>250</v>
      </c>
      <c r="E18" s="49">
        <f t="shared" si="0"/>
        <v>0</v>
      </c>
      <c r="F18" s="69">
        <f t="shared" si="1"/>
        <v>0</v>
      </c>
      <c r="G18" s="105"/>
      <c r="I18" s="75"/>
    </row>
    <row r="19" spans="1:9" x14ac:dyDescent="0.3">
      <c r="A19" s="40" t="s">
        <v>411</v>
      </c>
      <c r="B19" s="74" t="s">
        <v>375</v>
      </c>
      <c r="C19" s="24">
        <v>12</v>
      </c>
      <c r="D19" s="25" t="s">
        <v>250</v>
      </c>
      <c r="E19" s="49">
        <f t="shared" si="0"/>
        <v>0</v>
      </c>
      <c r="F19" s="69">
        <f t="shared" si="1"/>
        <v>0</v>
      </c>
      <c r="G19" s="105"/>
    </row>
    <row r="20" spans="1:9" x14ac:dyDescent="0.3">
      <c r="A20" s="40" t="s">
        <v>412</v>
      </c>
      <c r="B20" s="48" t="s">
        <v>377</v>
      </c>
      <c r="C20" s="24">
        <v>12</v>
      </c>
      <c r="D20" s="25" t="s">
        <v>250</v>
      </c>
      <c r="E20" s="49">
        <f t="shared" si="0"/>
        <v>0</v>
      </c>
      <c r="F20" s="69">
        <f t="shared" si="1"/>
        <v>0</v>
      </c>
      <c r="G20" s="105"/>
    </row>
    <row r="21" spans="1:9" x14ac:dyDescent="0.3">
      <c r="A21" s="38"/>
      <c r="B21" s="116" t="s">
        <v>413</v>
      </c>
      <c r="C21" s="117"/>
      <c r="D21" s="117"/>
      <c r="E21" s="118"/>
      <c r="F21" s="70">
        <f>SUM(F13:F20)</f>
        <v>0</v>
      </c>
      <c r="G21" s="51"/>
    </row>
    <row r="22" spans="1:9" x14ac:dyDescent="0.3">
      <c r="B22" s="3"/>
      <c r="C22" s="4"/>
      <c r="D22" s="5"/>
      <c r="E22" s="6"/>
      <c r="F22" s="6"/>
    </row>
    <row r="23" spans="1:9" x14ac:dyDescent="0.3">
      <c r="B23" s="3"/>
      <c r="C23" s="4"/>
      <c r="D23" s="5"/>
      <c r="E23" s="6"/>
    </row>
    <row r="24" spans="1:9" x14ac:dyDescent="0.3">
      <c r="B24" s="3"/>
      <c r="C24" s="4"/>
      <c r="D24" s="5"/>
      <c r="E24" s="6"/>
      <c r="F24" s="6"/>
    </row>
    <row r="30" spans="1:9" x14ac:dyDescent="0.3">
      <c r="B30" s="3"/>
      <c r="C30" s="4"/>
      <c r="D30" s="5"/>
      <c r="E30" s="6"/>
      <c r="F30" s="6"/>
    </row>
    <row r="31" spans="1:9" x14ac:dyDescent="0.3">
      <c r="B31" s="3"/>
      <c r="C31" s="4"/>
      <c r="D31" s="5"/>
      <c r="E31" s="6"/>
    </row>
    <row r="39" spans="2:6" x14ac:dyDescent="0.3">
      <c r="B39" s="3"/>
      <c r="C39" s="4"/>
      <c r="D39" s="5"/>
      <c r="E39" s="6"/>
      <c r="F39" s="6"/>
    </row>
    <row r="40" spans="2:6" x14ac:dyDescent="0.3">
      <c r="B40" s="3"/>
      <c r="C40" s="4"/>
      <c r="D40" s="5"/>
      <c r="E40" s="6"/>
    </row>
    <row r="48" spans="2:6" x14ac:dyDescent="0.3">
      <c r="B48" s="3"/>
      <c r="C48" s="4"/>
      <c r="D48" s="5"/>
      <c r="E48" s="6"/>
      <c r="F48" s="6"/>
    </row>
    <row r="49" spans="2:6" x14ac:dyDescent="0.3">
      <c r="B49" s="3"/>
      <c r="C49" s="4"/>
      <c r="D49" s="5"/>
      <c r="E49" s="6"/>
    </row>
    <row r="62" spans="2:6" x14ac:dyDescent="0.3">
      <c r="B62" s="12"/>
      <c r="C62" s="14"/>
      <c r="D62" s="15"/>
      <c r="E62" s="16"/>
      <c r="F62" s="16"/>
    </row>
    <row r="63" spans="2:6" x14ac:dyDescent="0.3">
      <c r="B63" s="13"/>
      <c r="C63" s="17"/>
      <c r="D63" s="18"/>
      <c r="E63" s="7"/>
      <c r="F63" s="7"/>
    </row>
    <row r="64" spans="2:6" x14ac:dyDescent="0.3">
      <c r="B64" s="8"/>
      <c r="C64" s="8"/>
      <c r="D64" s="8"/>
      <c r="E64" s="8"/>
      <c r="F64" s="8"/>
    </row>
    <row r="65" spans="2:6" x14ac:dyDescent="0.3">
      <c r="B65" s="73"/>
      <c r="C65" s="9"/>
      <c r="D65" s="10"/>
      <c r="E65" s="11"/>
      <c r="F65" s="11"/>
    </row>
    <row r="66" spans="2:6" x14ac:dyDescent="0.3">
      <c r="B66" s="73"/>
      <c r="C66" s="9"/>
      <c r="D66" s="10"/>
      <c r="E66" s="11"/>
      <c r="F66" s="8"/>
    </row>
    <row r="67" spans="2:6" x14ac:dyDescent="0.3">
      <c r="B67" s="8"/>
      <c r="C67" s="8"/>
      <c r="D67" s="8"/>
      <c r="E67" s="8"/>
      <c r="F67" s="8"/>
    </row>
    <row r="68" spans="2:6" x14ac:dyDescent="0.3">
      <c r="B68" s="8"/>
      <c r="C68" s="8"/>
      <c r="D68" s="8"/>
      <c r="E68" s="8"/>
      <c r="F68" s="8"/>
    </row>
    <row r="69" spans="2:6" x14ac:dyDescent="0.3">
      <c r="B69" s="8"/>
      <c r="C69" s="8"/>
      <c r="D69" s="8"/>
      <c r="E69" s="8"/>
      <c r="F69" s="8"/>
    </row>
    <row r="70" spans="2:6" x14ac:dyDescent="0.3">
      <c r="B70" s="8"/>
      <c r="C70" s="8"/>
      <c r="D70" s="8"/>
      <c r="E70" s="8"/>
      <c r="F70" s="8"/>
    </row>
    <row r="71" spans="2:6" x14ac:dyDescent="0.3">
      <c r="B71" s="8"/>
      <c r="C71" s="8"/>
      <c r="D71" s="8"/>
      <c r="E71" s="8"/>
      <c r="F71" s="8"/>
    </row>
    <row r="72" spans="2:6" x14ac:dyDescent="0.3">
      <c r="B72" s="8"/>
      <c r="C72" s="8"/>
      <c r="D72" s="8"/>
      <c r="E72" s="8"/>
      <c r="F72" s="8"/>
    </row>
    <row r="73" spans="2:6" x14ac:dyDescent="0.3">
      <c r="B73" s="8"/>
      <c r="C73" s="8"/>
      <c r="D73" s="8"/>
      <c r="E73" s="8"/>
      <c r="F73" s="8"/>
    </row>
    <row r="74" spans="2:6" x14ac:dyDescent="0.3">
      <c r="B74" s="3"/>
      <c r="C74" s="4"/>
      <c r="D74" s="5"/>
      <c r="E74" s="6"/>
      <c r="F74" s="6"/>
    </row>
    <row r="75" spans="2:6" x14ac:dyDescent="0.3">
      <c r="B75" s="3"/>
      <c r="C75" s="4"/>
      <c r="D75" s="5"/>
      <c r="E75" s="6"/>
    </row>
    <row r="83" spans="2:6" x14ac:dyDescent="0.3">
      <c r="B83" s="3"/>
      <c r="C83" s="4"/>
      <c r="D83" s="5"/>
      <c r="E83" s="6"/>
      <c r="F83" s="6"/>
    </row>
    <row r="84" spans="2:6" x14ac:dyDescent="0.3">
      <c r="B84" s="3"/>
      <c r="C84" s="4"/>
      <c r="D84" s="5"/>
      <c r="E84" s="6"/>
    </row>
    <row r="92" spans="2:6" x14ac:dyDescent="0.3">
      <c r="B92" s="3"/>
      <c r="C92" s="4"/>
      <c r="D92" s="5"/>
      <c r="E92" s="6"/>
      <c r="F92" s="6"/>
    </row>
    <row r="93" spans="2:6" x14ac:dyDescent="0.3">
      <c r="B93" s="3"/>
      <c r="C93" s="4"/>
      <c r="D93" s="5"/>
      <c r="E93" s="6"/>
    </row>
    <row r="101" spans="2:6" x14ac:dyDescent="0.3">
      <c r="B101" s="3"/>
      <c r="C101" s="4"/>
      <c r="D101" s="5"/>
      <c r="E101" s="6"/>
      <c r="F101" s="6"/>
    </row>
    <row r="102" spans="2:6" x14ac:dyDescent="0.3">
      <c r="B102" s="3"/>
      <c r="C102" s="4"/>
      <c r="D102" s="5"/>
      <c r="E102" s="6"/>
    </row>
    <row r="107" spans="2:6" x14ac:dyDescent="0.3">
      <c r="B107" s="8"/>
      <c r="C107" s="8"/>
      <c r="D107" s="8"/>
      <c r="E107" s="8"/>
      <c r="F107" s="8"/>
    </row>
    <row r="108" spans="2:6" x14ac:dyDescent="0.3">
      <c r="B108" s="8"/>
      <c r="C108" s="8"/>
      <c r="D108" s="8"/>
      <c r="E108" s="8"/>
      <c r="F108" s="8"/>
    </row>
    <row r="109" spans="2:6" x14ac:dyDescent="0.3">
      <c r="B109" s="8"/>
      <c r="C109" s="8"/>
      <c r="D109" s="8"/>
      <c r="E109" s="8"/>
      <c r="F109" s="8"/>
    </row>
    <row r="110" spans="2:6" x14ac:dyDescent="0.3">
      <c r="B110" s="8"/>
      <c r="C110" s="8"/>
      <c r="D110" s="8"/>
      <c r="E110" s="8"/>
      <c r="F110" s="8"/>
    </row>
    <row r="115" spans="2:6" x14ac:dyDescent="0.3">
      <c r="B115" s="12"/>
      <c r="C115" s="14"/>
      <c r="D115" s="15"/>
      <c r="E115" s="16"/>
      <c r="F115" s="16"/>
    </row>
    <row r="116" spans="2:6" x14ac:dyDescent="0.3">
      <c r="B116" s="13"/>
      <c r="C116" s="17"/>
      <c r="D116" s="18"/>
      <c r="E116" s="7"/>
      <c r="F116" s="7"/>
    </row>
    <row r="117" spans="2:6" x14ac:dyDescent="0.3">
      <c r="B117" s="8"/>
      <c r="C117" s="8"/>
      <c r="D117" s="8"/>
      <c r="E117" s="8"/>
      <c r="F117" s="8"/>
    </row>
    <row r="118" spans="2:6" x14ac:dyDescent="0.3">
      <c r="B118" s="3"/>
      <c r="C118" s="4"/>
      <c r="D118" s="5"/>
      <c r="E118" s="6"/>
      <c r="F118" s="6"/>
    </row>
    <row r="119" spans="2:6" x14ac:dyDescent="0.3">
      <c r="B119" s="3"/>
      <c r="C119" s="4"/>
      <c r="D119" s="5"/>
      <c r="E119" s="6"/>
    </row>
    <row r="128" spans="2:6" x14ac:dyDescent="0.3">
      <c r="B128" s="3"/>
      <c r="C128" s="4"/>
      <c r="D128" s="5"/>
      <c r="E128" s="6"/>
      <c r="F128" s="6"/>
    </row>
    <row r="129" spans="2:6" x14ac:dyDescent="0.3">
      <c r="B129" s="3"/>
      <c r="C129" s="4"/>
      <c r="D129" s="5"/>
      <c r="E129" s="6"/>
    </row>
    <row r="138" spans="2:6" x14ac:dyDescent="0.3">
      <c r="B138" s="3"/>
      <c r="C138" s="4"/>
      <c r="D138" s="5"/>
      <c r="E138" s="6"/>
      <c r="F138" s="6"/>
    </row>
    <row r="139" spans="2:6" x14ac:dyDescent="0.3">
      <c r="B139" s="3"/>
      <c r="C139" s="4"/>
      <c r="D139" s="5"/>
      <c r="E139" s="6"/>
    </row>
    <row r="147" spans="2:6" x14ac:dyDescent="0.3">
      <c r="B147" s="3"/>
      <c r="C147" s="4"/>
      <c r="D147" s="5"/>
      <c r="E147" s="6"/>
      <c r="F147" s="6"/>
    </row>
    <row r="148" spans="2:6" x14ac:dyDescent="0.3">
      <c r="B148" s="3"/>
      <c r="C148" s="4"/>
      <c r="D148" s="5"/>
      <c r="E148" s="6"/>
    </row>
    <row r="155" spans="2:6" x14ac:dyDescent="0.3">
      <c r="B155" s="8"/>
      <c r="C155" s="8"/>
      <c r="D155" s="8"/>
      <c r="E155" s="8"/>
      <c r="F155" s="8"/>
    </row>
    <row r="157" spans="2:6" x14ac:dyDescent="0.3">
      <c r="B157" s="3"/>
      <c r="C157" s="4"/>
      <c r="D157" s="5"/>
      <c r="E157" s="6"/>
      <c r="F157" s="6"/>
    </row>
    <row r="158" spans="2:6" x14ac:dyDescent="0.3">
      <c r="B158" s="3"/>
      <c r="C158" s="4"/>
      <c r="D158" s="5"/>
      <c r="E158" s="6"/>
    </row>
    <row r="168" spans="2:6" x14ac:dyDescent="0.3">
      <c r="B168" s="12"/>
      <c r="C168" s="14"/>
      <c r="D168" s="15"/>
      <c r="E168" s="16"/>
      <c r="F168" s="16"/>
    </row>
    <row r="169" spans="2:6" x14ac:dyDescent="0.3">
      <c r="B169" s="13"/>
      <c r="C169" s="17"/>
      <c r="D169" s="18"/>
      <c r="E169" s="7"/>
      <c r="F169" s="7"/>
    </row>
    <row r="171" spans="2:6" x14ac:dyDescent="0.3">
      <c r="B171" s="3"/>
      <c r="C171" s="4"/>
      <c r="D171" s="5"/>
      <c r="E171" s="6"/>
      <c r="F171" s="6"/>
    </row>
    <row r="172" spans="2:6" x14ac:dyDescent="0.3">
      <c r="B172" s="3"/>
      <c r="C172" s="4"/>
      <c r="D172" s="5"/>
      <c r="E172" s="6"/>
    </row>
    <row r="177" spans="2:6" x14ac:dyDescent="0.3">
      <c r="B177" s="13"/>
      <c r="C177" s="17"/>
      <c r="D177" s="18"/>
      <c r="E177" s="7"/>
      <c r="F177" s="7"/>
    </row>
    <row r="178" spans="2:6" x14ac:dyDescent="0.3">
      <c r="B178" s="8"/>
    </row>
    <row r="184" spans="2:6" x14ac:dyDescent="0.3">
      <c r="B184" s="3"/>
      <c r="C184" s="4"/>
      <c r="D184" s="5"/>
      <c r="E184" s="6"/>
      <c r="F184" s="6"/>
    </row>
    <row r="185" spans="2:6" x14ac:dyDescent="0.3">
      <c r="B185" s="3"/>
      <c r="C185" s="4"/>
      <c r="D185" s="5"/>
      <c r="E185" s="6"/>
    </row>
    <row r="186" spans="2:6" x14ac:dyDescent="0.3">
      <c r="B186" s="3"/>
      <c r="C186" s="4"/>
      <c r="D186" s="5"/>
      <c r="E186" s="6"/>
      <c r="F186" s="6"/>
    </row>
    <row r="189" spans="2:6" x14ac:dyDescent="0.3">
      <c r="B189" s="3"/>
      <c r="C189" s="4"/>
      <c r="D189" s="5"/>
      <c r="E189" s="6"/>
      <c r="F189" s="6"/>
    </row>
    <row r="190" spans="2:6" x14ac:dyDescent="0.3">
      <c r="B190" s="3"/>
      <c r="C190" s="4"/>
      <c r="D190" s="5"/>
      <c r="E190" s="6"/>
    </row>
    <row r="191" spans="2:6" x14ac:dyDescent="0.3">
      <c r="B191" s="3"/>
      <c r="C191" s="4"/>
      <c r="D191" s="5"/>
      <c r="E191" s="6"/>
      <c r="F191" s="6"/>
    </row>
    <row r="194" spans="2:6" x14ac:dyDescent="0.3">
      <c r="B194" s="3"/>
      <c r="C194" s="4"/>
      <c r="D194" s="5"/>
      <c r="E194" s="6"/>
      <c r="F194" s="6"/>
    </row>
    <row r="195" spans="2:6" x14ac:dyDescent="0.3">
      <c r="B195" s="3"/>
      <c r="C195" s="4"/>
      <c r="D195" s="5"/>
      <c r="E195" s="6"/>
    </row>
    <row r="196" spans="2:6" x14ac:dyDescent="0.3">
      <c r="B196" s="3"/>
      <c r="C196" s="4"/>
      <c r="D196" s="5"/>
      <c r="E196" s="6"/>
      <c r="F196" s="6"/>
    </row>
    <row r="198" spans="2:6" x14ac:dyDescent="0.3">
      <c r="B198" s="3"/>
      <c r="C198" s="4"/>
      <c r="D198" s="5"/>
      <c r="E198" s="6"/>
      <c r="F198" s="6"/>
    </row>
    <row r="199" spans="2:6" x14ac:dyDescent="0.3">
      <c r="B199" s="3"/>
      <c r="C199" s="4"/>
      <c r="D199" s="5"/>
      <c r="E199" s="6"/>
    </row>
    <row r="200" spans="2:6" x14ac:dyDescent="0.3">
      <c r="B200" s="3"/>
      <c r="C200" s="4"/>
      <c r="D200" s="5"/>
      <c r="E200" s="6"/>
      <c r="F200" s="6"/>
    </row>
    <row r="203" spans="2:6" x14ac:dyDescent="0.3">
      <c r="B203" s="3"/>
      <c r="C203" s="4"/>
      <c r="D203" s="5"/>
      <c r="E203" s="6"/>
      <c r="F203" s="6"/>
    </row>
    <row r="204" spans="2:6" x14ac:dyDescent="0.3">
      <c r="B204" s="3"/>
      <c r="C204" s="4"/>
      <c r="D204" s="5"/>
      <c r="E204" s="6"/>
    </row>
    <row r="205" spans="2:6" x14ac:dyDescent="0.3">
      <c r="B205" s="3"/>
      <c r="C205" s="4"/>
      <c r="D205" s="5"/>
      <c r="E205" s="6"/>
      <c r="F205" s="6"/>
    </row>
    <row r="207" spans="2:6" x14ac:dyDescent="0.3">
      <c r="B207" s="3"/>
      <c r="C207" s="4"/>
      <c r="D207" s="5"/>
      <c r="E207" s="6"/>
      <c r="F207" s="6"/>
    </row>
    <row r="208" spans="2:6" x14ac:dyDescent="0.3">
      <c r="B208" s="3"/>
      <c r="C208" s="4"/>
      <c r="D208" s="5"/>
      <c r="E208" s="6"/>
    </row>
    <row r="209" spans="2:6" x14ac:dyDescent="0.3">
      <c r="B209" s="3"/>
      <c r="C209" s="4"/>
      <c r="D209" s="5"/>
      <c r="E209" s="6"/>
      <c r="F209" s="6"/>
    </row>
    <row r="219" spans="2:6" x14ac:dyDescent="0.3">
      <c r="B219" s="12"/>
      <c r="C219" s="14"/>
      <c r="D219" s="15"/>
      <c r="E219" s="16"/>
      <c r="F219" s="16"/>
    </row>
    <row r="220" spans="2:6" x14ac:dyDescent="0.3">
      <c r="B220" s="13"/>
      <c r="C220" s="17"/>
      <c r="D220" s="18"/>
      <c r="E220" s="7"/>
      <c r="F220" s="7"/>
    </row>
    <row r="221" spans="2:6" x14ac:dyDescent="0.3">
      <c r="B221" s="13"/>
      <c r="C221" s="17"/>
      <c r="D221" s="18"/>
      <c r="E221" s="7"/>
      <c r="F221" s="7"/>
    </row>
    <row r="222" spans="2:6" x14ac:dyDescent="0.3">
      <c r="B222" s="3"/>
      <c r="C222" s="4"/>
      <c r="D222" s="5"/>
      <c r="E222" s="6"/>
      <c r="F222" s="6"/>
    </row>
    <row r="223" spans="2:6" x14ac:dyDescent="0.3">
      <c r="B223" s="3"/>
      <c r="C223" s="4"/>
      <c r="D223" s="5"/>
      <c r="E223" s="6"/>
    </row>
    <row r="224" spans="2:6" x14ac:dyDescent="0.3">
      <c r="B224" s="3"/>
      <c r="C224" s="4"/>
      <c r="D224" s="5"/>
      <c r="E224" s="6"/>
      <c r="F224" s="6"/>
    </row>
    <row r="226" spans="2:6" x14ac:dyDescent="0.3">
      <c r="B226" s="3"/>
      <c r="C226" s="4"/>
      <c r="D226" s="5"/>
      <c r="E226" s="6"/>
      <c r="F226" s="6"/>
    </row>
    <row r="227" spans="2:6" x14ac:dyDescent="0.3">
      <c r="B227" s="3"/>
      <c r="C227" s="4"/>
      <c r="D227" s="5"/>
      <c r="E227" s="6"/>
    </row>
    <row r="228" spans="2:6" x14ac:dyDescent="0.3">
      <c r="B228" s="3"/>
      <c r="C228" s="4"/>
      <c r="D228" s="5"/>
      <c r="E228" s="6"/>
      <c r="F228" s="6"/>
    </row>
    <row r="231" spans="2:6" x14ac:dyDescent="0.3">
      <c r="B231" s="3"/>
      <c r="C231" s="4"/>
      <c r="D231" s="5"/>
      <c r="E231" s="6"/>
      <c r="F231" s="6"/>
    </row>
    <row r="232" spans="2:6" x14ac:dyDescent="0.3">
      <c r="B232" s="3"/>
      <c r="C232" s="4"/>
      <c r="D232" s="5"/>
      <c r="E232" s="6"/>
    </row>
    <row r="233" spans="2:6" x14ac:dyDescent="0.3">
      <c r="B233" s="3"/>
      <c r="C233" s="4"/>
      <c r="D233" s="5"/>
      <c r="E233" s="6"/>
      <c r="F233" s="6"/>
    </row>
    <row r="234" spans="2:6" x14ac:dyDescent="0.3">
      <c r="B234" s="3"/>
      <c r="C234" s="4"/>
      <c r="D234" s="5"/>
      <c r="E234" s="6"/>
      <c r="F234" s="6"/>
    </row>
    <row r="242" spans="2:6" x14ac:dyDescent="0.3">
      <c r="B242" s="3"/>
      <c r="C242" s="4"/>
      <c r="D242" s="5"/>
      <c r="E242" s="6"/>
      <c r="F242" s="6"/>
    </row>
    <row r="243" spans="2:6" x14ac:dyDescent="0.3">
      <c r="B243" s="3"/>
      <c r="C243" s="4"/>
      <c r="D243" s="5"/>
      <c r="E243" s="6"/>
    </row>
    <row r="245" spans="2:6" x14ac:dyDescent="0.3">
      <c r="B245" s="3"/>
      <c r="C245" s="4"/>
      <c r="D245" s="5"/>
      <c r="E245" s="6"/>
      <c r="F245" s="6"/>
    </row>
    <row r="246" spans="2:6" x14ac:dyDescent="0.3">
      <c r="B246" s="3"/>
      <c r="C246" s="4"/>
      <c r="D246" s="5"/>
      <c r="E246" s="6"/>
    </row>
    <row r="247" spans="2:6" x14ac:dyDescent="0.3">
      <c r="B247" s="3"/>
      <c r="C247" s="4"/>
      <c r="D247" s="5"/>
      <c r="E247" s="6"/>
    </row>
    <row r="257" spans="2:6" x14ac:dyDescent="0.3">
      <c r="B257" s="3"/>
      <c r="C257" s="4"/>
      <c r="D257" s="5"/>
      <c r="E257" s="6"/>
      <c r="F257" s="6"/>
    </row>
    <row r="258" spans="2:6" x14ac:dyDescent="0.3">
      <c r="B258" s="3"/>
      <c r="C258" s="4"/>
      <c r="D258" s="5"/>
      <c r="E258" s="6"/>
      <c r="F258" s="6"/>
    </row>
    <row r="259" spans="2:6" x14ac:dyDescent="0.3">
      <c r="B259" s="3"/>
      <c r="C259" s="4"/>
      <c r="D259" s="5"/>
      <c r="E259" s="6"/>
      <c r="F259" s="6"/>
    </row>
    <row r="261" spans="2:6" x14ac:dyDescent="0.3">
      <c r="B261" s="3"/>
      <c r="C261" s="4"/>
      <c r="D261" s="5"/>
      <c r="E261" s="6"/>
      <c r="F261" s="6"/>
    </row>
    <row r="262" spans="2:6" x14ac:dyDescent="0.3">
      <c r="B262" s="3"/>
      <c r="C262" s="4"/>
      <c r="D262" s="5"/>
      <c r="E262" s="6"/>
    </row>
    <row r="270" spans="2:6" x14ac:dyDescent="0.3">
      <c r="B270" s="12"/>
      <c r="C270" s="14"/>
      <c r="D270" s="15"/>
      <c r="E270" s="16"/>
      <c r="F270" s="16"/>
    </row>
    <row r="271" spans="2:6" x14ac:dyDescent="0.3">
      <c r="B271" s="13"/>
      <c r="C271" s="17"/>
      <c r="D271" s="18"/>
      <c r="E271" s="7"/>
      <c r="F271" s="7"/>
    </row>
    <row r="272" spans="2:6" x14ac:dyDescent="0.3">
      <c r="B272" s="13"/>
      <c r="C272" s="17"/>
      <c r="D272" s="18"/>
      <c r="E272" s="7"/>
      <c r="F272" s="7"/>
    </row>
    <row r="273" spans="2:6" x14ac:dyDescent="0.3">
      <c r="B273" s="3"/>
      <c r="C273" s="4"/>
      <c r="D273" s="5"/>
      <c r="E273" s="6"/>
      <c r="F273" s="6"/>
    </row>
    <row r="274" spans="2:6" x14ac:dyDescent="0.3">
      <c r="B274" s="3"/>
      <c r="C274" s="4"/>
      <c r="D274" s="5"/>
      <c r="E274" s="6"/>
      <c r="F274" s="6"/>
    </row>
    <row r="275" spans="2:6" x14ac:dyDescent="0.3">
      <c r="B275" s="3"/>
      <c r="C275" s="4"/>
      <c r="D275" s="5"/>
      <c r="E275" s="6"/>
      <c r="F275" s="6"/>
    </row>
    <row r="277" spans="2:6" x14ac:dyDescent="0.3">
      <c r="B277" s="3"/>
      <c r="C277" s="4"/>
      <c r="D277" s="5"/>
      <c r="E277" s="6"/>
      <c r="F277" s="6"/>
    </row>
    <row r="278" spans="2:6" x14ac:dyDescent="0.3">
      <c r="B278" s="3"/>
      <c r="C278" s="4"/>
      <c r="D278" s="5"/>
      <c r="E278" s="6"/>
    </row>
    <row r="289" spans="2:6" x14ac:dyDescent="0.3">
      <c r="B289" s="3"/>
      <c r="C289" s="4"/>
      <c r="D289" s="5"/>
      <c r="E289" s="6"/>
      <c r="F289" s="6"/>
    </row>
    <row r="290" spans="2:6" x14ac:dyDescent="0.3">
      <c r="B290" s="3"/>
      <c r="C290" s="4"/>
      <c r="D290" s="5"/>
      <c r="E290" s="6"/>
    </row>
    <row r="295" spans="2:6" x14ac:dyDescent="0.3">
      <c r="B295" s="3"/>
      <c r="C295" s="4"/>
      <c r="D295" s="5"/>
      <c r="E295" s="6"/>
      <c r="F295" s="6"/>
    </row>
    <row r="296" spans="2:6" x14ac:dyDescent="0.3">
      <c r="B296" s="3"/>
      <c r="C296" s="4"/>
      <c r="D296" s="5"/>
      <c r="E296" s="6"/>
    </row>
    <row r="301" spans="2:6" x14ac:dyDescent="0.3">
      <c r="B301" s="3"/>
      <c r="C301" s="4"/>
      <c r="D301" s="5"/>
      <c r="E301" s="6"/>
      <c r="F301" s="6"/>
    </row>
    <row r="302" spans="2:6" x14ac:dyDescent="0.3">
      <c r="B302" s="3"/>
      <c r="C302" s="4"/>
      <c r="D302" s="5"/>
      <c r="E302" s="6"/>
    </row>
    <row r="306" spans="2:6" x14ac:dyDescent="0.3">
      <c r="B306" s="3"/>
      <c r="C306" s="4"/>
      <c r="D306" s="5"/>
      <c r="E306" s="6"/>
      <c r="F306" s="6"/>
    </row>
    <row r="307" spans="2:6" x14ac:dyDescent="0.3">
      <c r="B307" s="3"/>
      <c r="C307" s="4"/>
      <c r="D307" s="5"/>
      <c r="E307" s="6"/>
    </row>
    <row r="311" spans="2:6" x14ac:dyDescent="0.3">
      <c r="B311" s="3"/>
      <c r="C311" s="4"/>
      <c r="D311" s="5"/>
      <c r="E311" s="6"/>
      <c r="F311" s="6"/>
    </row>
    <row r="312" spans="2:6" x14ac:dyDescent="0.3">
      <c r="B312" s="3"/>
      <c r="C312" s="4"/>
      <c r="D312" s="5"/>
      <c r="E312" s="6"/>
    </row>
    <row r="315" spans="2:6" x14ac:dyDescent="0.3">
      <c r="B315" s="8"/>
      <c r="C315" s="8"/>
      <c r="D315" s="8"/>
      <c r="E315" s="8"/>
      <c r="F315" s="8"/>
    </row>
    <row r="316" spans="2:6" x14ac:dyDescent="0.3">
      <c r="B316" s="8"/>
      <c r="C316" s="8"/>
      <c r="D316" s="8"/>
      <c r="E316" s="8"/>
      <c r="F316" s="8"/>
    </row>
    <row r="317" spans="2:6" x14ac:dyDescent="0.3">
      <c r="B317" s="8"/>
      <c r="C317" s="8"/>
      <c r="D317" s="8"/>
      <c r="E317" s="8"/>
      <c r="F317" s="8"/>
    </row>
    <row r="318" spans="2:6" x14ac:dyDescent="0.3">
      <c r="B318" s="8"/>
      <c r="C318" s="8"/>
      <c r="D318" s="8"/>
      <c r="E318" s="8"/>
      <c r="F318" s="8"/>
    </row>
    <row r="319" spans="2:6" x14ac:dyDescent="0.3">
      <c r="B319" s="8"/>
      <c r="C319" s="8"/>
      <c r="D319" s="8"/>
      <c r="E319" s="8"/>
      <c r="F319" s="8"/>
    </row>
    <row r="320" spans="2:6" x14ac:dyDescent="0.3">
      <c r="B320" s="8"/>
      <c r="C320" s="8"/>
      <c r="D320" s="8"/>
      <c r="E320" s="8"/>
      <c r="F320" s="8"/>
    </row>
    <row r="321" spans="2:6" x14ac:dyDescent="0.3">
      <c r="B321" s="8"/>
      <c r="C321" s="8"/>
      <c r="D321" s="8"/>
      <c r="E321" s="8"/>
      <c r="F321" s="8"/>
    </row>
    <row r="322" spans="2:6" x14ac:dyDescent="0.3">
      <c r="B322" s="13"/>
      <c r="C322" s="17"/>
      <c r="D322" s="18"/>
      <c r="E322" s="7"/>
      <c r="F322" s="7"/>
    </row>
    <row r="323" spans="2:6" x14ac:dyDescent="0.3">
      <c r="B323" s="13"/>
      <c r="C323" s="17"/>
      <c r="D323" s="18"/>
      <c r="E323" s="7"/>
      <c r="F323" s="7"/>
    </row>
    <row r="325" spans="2:6" x14ac:dyDescent="0.3">
      <c r="B325" s="3"/>
      <c r="C325" s="4"/>
      <c r="D325" s="5"/>
      <c r="E325" s="6"/>
      <c r="F325" s="6"/>
    </row>
    <row r="326" spans="2:6" x14ac:dyDescent="0.3">
      <c r="B326" s="3"/>
      <c r="C326" s="4"/>
      <c r="D326" s="5"/>
      <c r="E326" s="6"/>
    </row>
    <row r="331" spans="2:6" x14ac:dyDescent="0.3">
      <c r="B331" s="3"/>
      <c r="C331" s="4"/>
      <c r="D331" s="5"/>
      <c r="E331" s="6"/>
      <c r="F331" s="6"/>
    </row>
    <row r="332" spans="2:6" x14ac:dyDescent="0.3">
      <c r="B332" s="3"/>
      <c r="C332" s="4"/>
      <c r="D332" s="5"/>
      <c r="E332" s="6"/>
    </row>
    <row r="337" spans="2:6" x14ac:dyDescent="0.3">
      <c r="B337" s="3"/>
      <c r="C337" s="4"/>
      <c r="D337" s="5"/>
      <c r="E337" s="6"/>
      <c r="F337" s="6"/>
    </row>
    <row r="338" spans="2:6" x14ac:dyDescent="0.3">
      <c r="B338" s="3"/>
      <c r="C338" s="4"/>
      <c r="D338" s="5"/>
      <c r="E338" s="6"/>
    </row>
    <row r="341" spans="2:6" x14ac:dyDescent="0.3">
      <c r="B341" s="8"/>
      <c r="C341" s="8"/>
      <c r="D341" s="8"/>
      <c r="E341" s="8"/>
      <c r="F341" s="8"/>
    </row>
    <row r="342" spans="2:6" x14ac:dyDescent="0.3">
      <c r="B342" s="8"/>
      <c r="C342" s="8"/>
      <c r="D342" s="8"/>
      <c r="E342" s="8"/>
      <c r="F342" s="8"/>
    </row>
    <row r="344" spans="2:6" x14ac:dyDescent="0.3">
      <c r="B344" s="3"/>
      <c r="C344" s="4"/>
      <c r="D344" s="5"/>
      <c r="E344" s="6"/>
      <c r="F344" s="6"/>
    </row>
    <row r="345" spans="2:6" x14ac:dyDescent="0.3">
      <c r="B345" s="3"/>
      <c r="C345" s="4"/>
      <c r="D345" s="5"/>
      <c r="E345" s="6"/>
    </row>
    <row r="351" spans="2:6" x14ac:dyDescent="0.3">
      <c r="B351" s="3"/>
      <c r="C351" s="4"/>
      <c r="D351" s="5"/>
      <c r="E351" s="6"/>
      <c r="F351" s="6"/>
    </row>
    <row r="352" spans="2:6" x14ac:dyDescent="0.3">
      <c r="B352" s="3"/>
      <c r="C352" s="4"/>
      <c r="D352" s="5"/>
      <c r="E352" s="6"/>
    </row>
    <row r="365" spans="2:6" x14ac:dyDescent="0.3">
      <c r="B365" s="3"/>
      <c r="C365" s="4"/>
      <c r="D365" s="5"/>
      <c r="E365" s="6"/>
      <c r="F365" s="6"/>
    </row>
    <row r="366" spans="2:6" x14ac:dyDescent="0.3">
      <c r="B366" s="3"/>
      <c r="C366" s="4"/>
      <c r="D366" s="5"/>
      <c r="E366" s="6"/>
    </row>
    <row r="374" spans="2:6" x14ac:dyDescent="0.3">
      <c r="B374" s="12"/>
      <c r="C374" s="14"/>
      <c r="D374" s="15"/>
      <c r="E374" s="16"/>
      <c r="F374" s="16"/>
    </row>
    <row r="375" spans="2:6" x14ac:dyDescent="0.3">
      <c r="B375" s="13"/>
      <c r="C375" s="17"/>
      <c r="D375" s="18"/>
      <c r="E375" s="7"/>
      <c r="F375" s="7"/>
    </row>
    <row r="377" spans="2:6" x14ac:dyDescent="0.3">
      <c r="B377" s="3"/>
      <c r="C377" s="4"/>
      <c r="D377" s="5"/>
      <c r="E377" s="6"/>
      <c r="F377" s="6"/>
    </row>
    <row r="378" spans="2:6" x14ac:dyDescent="0.3">
      <c r="B378" s="3"/>
      <c r="C378" s="4"/>
      <c r="D378" s="5"/>
      <c r="E378" s="6"/>
    </row>
    <row r="390" spans="2:6" x14ac:dyDescent="0.3">
      <c r="B390" s="3"/>
      <c r="C390" s="4"/>
      <c r="D390" s="5"/>
      <c r="E390" s="6"/>
      <c r="F390" s="6"/>
    </row>
    <row r="391" spans="2:6" x14ac:dyDescent="0.3">
      <c r="B391" s="3"/>
      <c r="C391" s="4"/>
      <c r="D391" s="5"/>
      <c r="E391" s="6"/>
    </row>
    <row r="396" spans="2:6" x14ac:dyDescent="0.3">
      <c r="B396" s="3"/>
      <c r="C396" s="4"/>
      <c r="D396" s="5"/>
      <c r="E396" s="6"/>
      <c r="F396" s="6"/>
    </row>
    <row r="397" spans="2:6" x14ac:dyDescent="0.3">
      <c r="B397" s="3"/>
      <c r="C397" s="4"/>
      <c r="D397" s="5"/>
      <c r="E397" s="6"/>
    </row>
    <row r="403" spans="2:6" x14ac:dyDescent="0.3">
      <c r="B403" s="3"/>
      <c r="C403" s="4"/>
      <c r="D403" s="5"/>
      <c r="E403" s="6"/>
      <c r="F403" s="6"/>
    </row>
  </sheetData>
  <sheetProtection algorithmName="SHA-512" hashValue="OPysh0T9VHF2ZeSO8Ed0IG3ibu9Jf4jxx72trfTgWks64kZD/x1eL+2y0HYQHLjYXSA8SW6ldxqui6hhsCZytg==" saltValue="wRJUAQiXpHNcljB5w+/uUA==" spinCount="100000" sheet="1" objects="1" scenarios="1" selectLockedCells="1"/>
  <mergeCells count="8">
    <mergeCell ref="B21:E21"/>
    <mergeCell ref="A9:F9"/>
    <mergeCell ref="G1:G11"/>
    <mergeCell ref="A2:F2"/>
    <mergeCell ref="A3:F3"/>
    <mergeCell ref="A4:F4"/>
    <mergeCell ref="A5:F5"/>
    <mergeCell ref="A7:F7"/>
  </mergeCells>
  <printOptions horizontalCentered="1"/>
  <pageMargins left="1" right="1" top="1" bottom="1" header="0.5" footer="0.5"/>
  <pageSetup scale="95" orientation="landscape" r:id="rId1"/>
  <headerFooter alignWithMargins="0">
    <oddFooter>&amp;C14-26-2436
J-0200000-13, 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"/>
  <sheetViews>
    <sheetView view="pageLayout" topLeftCell="A6" zoomScaleNormal="110" workbookViewId="0">
      <selection activeCell="H10" sqref="H10"/>
    </sheetView>
  </sheetViews>
  <sheetFormatPr defaultColWidth="9.1796875" defaultRowHeight="13" x14ac:dyDescent="0.3"/>
  <cols>
    <col min="1" max="1" width="10.81640625" style="76" customWidth="1"/>
    <col min="2" max="2" width="16.54296875" style="76" customWidth="1"/>
    <col min="3" max="3" width="39.7265625" style="101" customWidth="1"/>
    <col min="4" max="4" width="12.1796875" style="102" customWidth="1"/>
    <col min="5" max="5" width="7.54296875" style="76" customWidth="1"/>
    <col min="6" max="6" width="13.54296875" style="76" customWidth="1"/>
    <col min="7" max="7" width="14.90625" style="76" customWidth="1"/>
    <col min="8" max="8" width="12.453125" style="76" customWidth="1"/>
    <col min="9" max="16384" width="9.1796875" style="76"/>
  </cols>
  <sheetData>
    <row r="1" spans="1:10" ht="12.75" customHeight="1" x14ac:dyDescent="0.3">
      <c r="A1" s="133" t="s">
        <v>310</v>
      </c>
      <c r="B1" s="134"/>
      <c r="C1" s="134"/>
      <c r="D1" s="134"/>
      <c r="E1" s="134"/>
      <c r="F1" s="134"/>
      <c r="G1" s="135"/>
      <c r="H1" s="129" t="s">
        <v>324</v>
      </c>
      <c r="I1" s="106"/>
    </row>
    <row r="2" spans="1:10" ht="12.75" customHeight="1" x14ac:dyDescent="0.3">
      <c r="A2" s="136" t="s">
        <v>280</v>
      </c>
      <c r="B2" s="137"/>
      <c r="C2" s="137"/>
      <c r="D2" s="137"/>
      <c r="E2" s="137"/>
      <c r="F2" s="137"/>
      <c r="G2" s="138"/>
      <c r="H2" s="129"/>
      <c r="I2" s="106"/>
    </row>
    <row r="3" spans="1:10" ht="12.75" customHeight="1" x14ac:dyDescent="0.3">
      <c r="A3" s="136" t="s">
        <v>306</v>
      </c>
      <c r="B3" s="137"/>
      <c r="C3" s="137"/>
      <c r="D3" s="137"/>
      <c r="E3" s="137"/>
      <c r="F3" s="137"/>
      <c r="G3" s="138"/>
      <c r="H3" s="129"/>
      <c r="I3" s="106"/>
    </row>
    <row r="4" spans="1:10" ht="12.75" customHeight="1" x14ac:dyDescent="0.3">
      <c r="A4" s="136" t="s">
        <v>299</v>
      </c>
      <c r="B4" s="137"/>
      <c r="C4" s="137"/>
      <c r="D4" s="137"/>
      <c r="E4" s="137"/>
      <c r="F4" s="137"/>
      <c r="G4" s="138"/>
      <c r="H4" s="129"/>
      <c r="I4" s="106"/>
    </row>
    <row r="5" spans="1:10" ht="12.75" customHeight="1" x14ac:dyDescent="0.3">
      <c r="A5" s="77"/>
      <c r="B5" s="78"/>
      <c r="C5" s="79"/>
      <c r="D5" s="80"/>
      <c r="E5" s="79"/>
      <c r="F5" s="81"/>
      <c r="G5" s="82"/>
      <c r="H5" s="129"/>
      <c r="I5" s="106"/>
    </row>
    <row r="6" spans="1:10" x14ac:dyDescent="0.3">
      <c r="A6" s="145" t="s">
        <v>361</v>
      </c>
      <c r="B6" s="146"/>
      <c r="C6" s="146"/>
      <c r="D6" s="146"/>
      <c r="E6" s="146"/>
      <c r="F6" s="146"/>
      <c r="G6" s="147"/>
      <c r="H6" s="129"/>
      <c r="I6" s="106"/>
    </row>
    <row r="7" spans="1:10" ht="25" customHeight="1" x14ac:dyDescent="0.3">
      <c r="A7" s="142" t="s">
        <v>293</v>
      </c>
      <c r="B7" s="143"/>
      <c r="C7" s="143"/>
      <c r="D7" s="143"/>
      <c r="E7" s="143"/>
      <c r="F7" s="143"/>
      <c r="G7" s="144"/>
      <c r="H7" s="129"/>
      <c r="I7" s="106"/>
    </row>
    <row r="8" spans="1:10" x14ac:dyDescent="0.3">
      <c r="A8" s="139" t="s">
        <v>326</v>
      </c>
      <c r="B8" s="140"/>
      <c r="C8" s="140"/>
      <c r="D8" s="140"/>
      <c r="E8" s="140"/>
      <c r="F8" s="140"/>
      <c r="G8" s="141"/>
      <c r="H8" s="129"/>
      <c r="I8" s="106"/>
    </row>
    <row r="9" spans="1:10" s="88" customFormat="1" ht="75" customHeight="1" x14ac:dyDescent="0.3">
      <c r="A9" s="83" t="s">
        <v>294</v>
      </c>
      <c r="B9" s="107" t="s">
        <v>285</v>
      </c>
      <c r="C9" s="108" t="s">
        <v>2</v>
      </c>
      <c r="D9" s="85" t="s">
        <v>281</v>
      </c>
      <c r="E9" s="108" t="s">
        <v>323</v>
      </c>
      <c r="F9" s="86" t="s">
        <v>278</v>
      </c>
      <c r="G9" s="109" t="s">
        <v>282</v>
      </c>
      <c r="H9" s="129"/>
      <c r="I9" s="110"/>
    </row>
    <row r="10" spans="1:10" s="94" customFormat="1" ht="52" x14ac:dyDescent="0.3">
      <c r="A10" s="89" t="s">
        <v>300</v>
      </c>
      <c r="B10" s="89" t="s">
        <v>289</v>
      </c>
      <c r="C10" s="90" t="s">
        <v>296</v>
      </c>
      <c r="D10" s="91">
        <v>500</v>
      </c>
      <c r="E10" s="91" t="s">
        <v>95</v>
      </c>
      <c r="F10" s="92">
        <f>ROUND(H10,2)</f>
        <v>0</v>
      </c>
      <c r="G10" s="93">
        <f>SUM(D10*F10)</f>
        <v>0</v>
      </c>
      <c r="H10" s="104"/>
      <c r="I10" s="100"/>
    </row>
    <row r="11" spans="1:10" s="94" customFormat="1" ht="68.25" customHeight="1" x14ac:dyDescent="0.3">
      <c r="A11" s="89" t="s">
        <v>301</v>
      </c>
      <c r="B11" s="89" t="s">
        <v>288</v>
      </c>
      <c r="C11" s="90" t="s">
        <v>353</v>
      </c>
      <c r="D11" s="95">
        <v>5000</v>
      </c>
      <c r="E11" s="91" t="s">
        <v>254</v>
      </c>
      <c r="F11" s="92">
        <v>1</v>
      </c>
      <c r="G11" s="93">
        <f>SUM(D11*F11)</f>
        <v>5000</v>
      </c>
      <c r="H11" s="99"/>
      <c r="I11" s="100"/>
    </row>
    <row r="12" spans="1:10" s="94" customFormat="1" x14ac:dyDescent="0.25">
      <c r="A12" s="97"/>
      <c r="B12" s="130" t="s">
        <v>360</v>
      </c>
      <c r="C12" s="131"/>
      <c r="D12" s="131"/>
      <c r="E12" s="131"/>
      <c r="F12" s="132"/>
      <c r="G12" s="98">
        <f>SUM(G10:G11)</f>
        <v>5000</v>
      </c>
      <c r="H12" s="99"/>
      <c r="I12" s="100"/>
      <c r="J12" s="100"/>
    </row>
  </sheetData>
  <sheetProtection sheet="1" objects="1" scenarios="1" selectLockedCells="1"/>
  <mergeCells count="9">
    <mergeCell ref="B12:F12"/>
    <mergeCell ref="H1:H9"/>
    <mergeCell ref="A8:G8"/>
    <mergeCell ref="A1:G1"/>
    <mergeCell ref="A2:G2"/>
    <mergeCell ref="A3:G3"/>
    <mergeCell ref="A4:G4"/>
    <mergeCell ref="A6:G6"/>
    <mergeCell ref="A7:G7"/>
  </mergeCells>
  <pageMargins left="0.39" right="0.21" top="1" bottom="1" header="0.5" footer="0.5"/>
  <pageSetup orientation="landscape" r:id="rId1"/>
  <headerFooter alignWithMargins="0">
    <oddFooter>&amp;C14-26-2436
J-0200000-13,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31BB-B336-4A82-BC15-532960D4201D}">
  <dimension ref="A1:G403"/>
  <sheetViews>
    <sheetView zoomScale="110" zoomScaleNormal="110" workbookViewId="0">
      <selection activeCell="G20" sqref="G20"/>
    </sheetView>
  </sheetViews>
  <sheetFormatPr defaultColWidth="9.1796875" defaultRowHeight="13" x14ac:dyDescent="0.3"/>
  <cols>
    <col min="1" max="1" width="10" style="2" customWidth="1"/>
    <col min="2" max="2" width="46.7265625" style="2" customWidth="1"/>
    <col min="3" max="3" width="10.54296875" style="2" customWidth="1"/>
    <col min="4" max="4" width="12.54296875" style="2" customWidth="1"/>
    <col min="5" max="5" width="10.7265625" style="2" customWidth="1"/>
    <col min="6" max="6" width="12.453125" style="2" customWidth="1"/>
    <col min="7" max="7" width="12.36328125" style="2" customWidth="1"/>
    <col min="8" max="16384" width="9.1796875" style="2"/>
  </cols>
  <sheetData>
    <row r="1" spans="1:7" x14ac:dyDescent="0.3">
      <c r="A1" s="53"/>
      <c r="B1" s="54"/>
      <c r="C1" s="54"/>
      <c r="D1" s="54"/>
      <c r="E1" s="54"/>
      <c r="F1" s="55"/>
      <c r="G1" s="150" t="s">
        <v>424</v>
      </c>
    </row>
    <row r="2" spans="1:7" x14ac:dyDescent="0.3">
      <c r="A2" s="152" t="s">
        <v>311</v>
      </c>
      <c r="B2" s="123"/>
      <c r="C2" s="123"/>
      <c r="D2" s="123"/>
      <c r="E2" s="123"/>
      <c r="F2" s="153"/>
      <c r="G2" s="151"/>
    </row>
    <row r="3" spans="1:7" x14ac:dyDescent="0.3">
      <c r="A3" s="152" t="s">
        <v>280</v>
      </c>
      <c r="B3" s="123"/>
      <c r="C3" s="123"/>
      <c r="D3" s="123"/>
      <c r="E3" s="123"/>
      <c r="F3" s="153"/>
      <c r="G3" s="151"/>
    </row>
    <row r="4" spans="1:7" x14ac:dyDescent="0.3">
      <c r="A4" s="152" t="s">
        <v>306</v>
      </c>
      <c r="B4" s="123"/>
      <c r="C4" s="123"/>
      <c r="D4" s="123"/>
      <c r="E4" s="123"/>
      <c r="F4" s="153"/>
      <c r="G4" s="151"/>
    </row>
    <row r="5" spans="1:7" x14ac:dyDescent="0.3">
      <c r="A5" s="152" t="s">
        <v>312</v>
      </c>
      <c r="B5" s="123"/>
      <c r="C5" s="123"/>
      <c r="D5" s="123"/>
      <c r="E5" s="123"/>
      <c r="F5" s="153"/>
      <c r="G5" s="151"/>
    </row>
    <row r="6" spans="1:7" ht="14" x14ac:dyDescent="0.3">
      <c r="A6" s="113"/>
      <c r="B6" s="33"/>
      <c r="C6" s="34"/>
      <c r="D6" s="35"/>
      <c r="E6" s="35"/>
      <c r="F6" s="56"/>
      <c r="G6" s="151"/>
    </row>
    <row r="7" spans="1:7" x14ac:dyDescent="0.3">
      <c r="A7" s="159" t="s">
        <v>348</v>
      </c>
      <c r="B7" s="125"/>
      <c r="C7" s="125"/>
      <c r="D7" s="125"/>
      <c r="E7" s="125"/>
      <c r="F7" s="160"/>
      <c r="G7" s="151"/>
    </row>
    <row r="8" spans="1:7" x14ac:dyDescent="0.3">
      <c r="A8" s="72" t="s">
        <v>287</v>
      </c>
      <c r="B8" s="73"/>
      <c r="C8" s="73"/>
      <c r="D8" s="73"/>
      <c r="E8" s="73"/>
      <c r="F8" s="57"/>
      <c r="G8" s="151"/>
    </row>
    <row r="9" spans="1:7" s="36" customFormat="1" x14ac:dyDescent="0.3">
      <c r="A9" s="148" t="s">
        <v>320</v>
      </c>
      <c r="B9" s="115"/>
      <c r="C9" s="115"/>
      <c r="D9" s="115"/>
      <c r="E9" s="115"/>
      <c r="F9" s="149"/>
      <c r="G9" s="151"/>
    </row>
    <row r="10" spans="1:7" ht="26" x14ac:dyDescent="0.3">
      <c r="A10" s="65" t="s">
        <v>330</v>
      </c>
      <c r="B10" s="66" t="s">
        <v>285</v>
      </c>
      <c r="C10" s="59" t="s">
        <v>281</v>
      </c>
      <c r="D10" s="59" t="s">
        <v>323</v>
      </c>
      <c r="E10" s="67" t="s">
        <v>278</v>
      </c>
      <c r="F10" s="67" t="s">
        <v>279</v>
      </c>
      <c r="G10" s="151"/>
    </row>
    <row r="11" spans="1:7" ht="26" customHeight="1" x14ac:dyDescent="0.3">
      <c r="A11" s="39"/>
      <c r="B11" s="19"/>
      <c r="C11" s="20"/>
      <c r="D11" s="21"/>
      <c r="E11" s="22"/>
      <c r="F11" s="23"/>
      <c r="G11" s="151"/>
    </row>
    <row r="12" spans="1:7" s="32" customFormat="1" x14ac:dyDescent="0.3">
      <c r="A12" s="26" t="s">
        <v>321</v>
      </c>
      <c r="B12" s="28" t="s">
        <v>358</v>
      </c>
      <c r="C12" s="27"/>
      <c r="D12" s="29"/>
      <c r="E12" s="30"/>
      <c r="F12" s="31"/>
      <c r="G12" s="37"/>
    </row>
    <row r="13" spans="1:7" x14ac:dyDescent="0.3">
      <c r="A13" s="40" t="s">
        <v>414</v>
      </c>
      <c r="B13" s="74" t="s">
        <v>369</v>
      </c>
      <c r="C13" s="24">
        <v>6</v>
      </c>
      <c r="D13" s="25" t="s">
        <v>250</v>
      </c>
      <c r="E13" s="49">
        <f>ROUND(G13,2)</f>
        <v>0</v>
      </c>
      <c r="F13" s="69">
        <f>ROUND(E13*C13,2)</f>
        <v>0</v>
      </c>
      <c r="G13" s="105"/>
    </row>
    <row r="14" spans="1:7" x14ac:dyDescent="0.3">
      <c r="A14" s="40" t="s">
        <v>415</v>
      </c>
      <c r="B14" s="74" t="s">
        <v>370</v>
      </c>
      <c r="C14" s="24">
        <v>6</v>
      </c>
      <c r="D14" s="25" t="s">
        <v>250</v>
      </c>
      <c r="E14" s="49">
        <f t="shared" ref="E14:E20" si="0">ROUND(G14,2)</f>
        <v>0</v>
      </c>
      <c r="F14" s="69">
        <f t="shared" ref="F14:F20" si="1">ROUND(E14*C14,2)</f>
        <v>0</v>
      </c>
      <c r="G14" s="105"/>
    </row>
    <row r="15" spans="1:7" x14ac:dyDescent="0.3">
      <c r="A15" s="40" t="s">
        <v>416</v>
      </c>
      <c r="B15" s="74" t="s">
        <v>371</v>
      </c>
      <c r="C15" s="24">
        <v>6</v>
      </c>
      <c r="D15" s="25" t="s">
        <v>250</v>
      </c>
      <c r="E15" s="49">
        <f t="shared" si="0"/>
        <v>0</v>
      </c>
      <c r="F15" s="69">
        <f t="shared" si="1"/>
        <v>0</v>
      </c>
      <c r="G15" s="105"/>
    </row>
    <row r="16" spans="1:7" x14ac:dyDescent="0.3">
      <c r="A16" s="40" t="s">
        <v>417</v>
      </c>
      <c r="B16" s="74" t="s">
        <v>372</v>
      </c>
      <c r="C16" s="24">
        <v>6</v>
      </c>
      <c r="D16" s="25" t="s">
        <v>250</v>
      </c>
      <c r="E16" s="49">
        <f t="shared" si="0"/>
        <v>0</v>
      </c>
      <c r="F16" s="69">
        <f t="shared" si="1"/>
        <v>0</v>
      </c>
      <c r="G16" s="105"/>
    </row>
    <row r="17" spans="1:7" x14ac:dyDescent="0.3">
      <c r="A17" s="40" t="s">
        <v>418</v>
      </c>
      <c r="B17" s="74" t="s">
        <v>373</v>
      </c>
      <c r="C17" s="24">
        <v>6</v>
      </c>
      <c r="D17" s="25" t="s">
        <v>250</v>
      </c>
      <c r="E17" s="49">
        <f t="shared" si="0"/>
        <v>0</v>
      </c>
      <c r="F17" s="69">
        <f t="shared" si="1"/>
        <v>0</v>
      </c>
      <c r="G17" s="105"/>
    </row>
    <row r="18" spans="1:7" x14ac:dyDescent="0.3">
      <c r="A18" s="40" t="s">
        <v>419</v>
      </c>
      <c r="B18" s="74" t="s">
        <v>374</v>
      </c>
      <c r="C18" s="24">
        <v>6</v>
      </c>
      <c r="D18" s="25" t="s">
        <v>250</v>
      </c>
      <c r="E18" s="49">
        <f t="shared" si="0"/>
        <v>0</v>
      </c>
      <c r="F18" s="69">
        <f t="shared" si="1"/>
        <v>0</v>
      </c>
      <c r="G18" s="105"/>
    </row>
    <row r="19" spans="1:7" x14ac:dyDescent="0.3">
      <c r="A19" s="40" t="s">
        <v>420</v>
      </c>
      <c r="B19" s="74" t="s">
        <v>375</v>
      </c>
      <c r="C19" s="24">
        <v>6</v>
      </c>
      <c r="D19" s="25" t="s">
        <v>250</v>
      </c>
      <c r="E19" s="49">
        <f t="shared" si="0"/>
        <v>0</v>
      </c>
      <c r="F19" s="69">
        <f t="shared" si="1"/>
        <v>0</v>
      </c>
      <c r="G19" s="105"/>
    </row>
    <row r="20" spans="1:7" x14ac:dyDescent="0.3">
      <c r="A20" s="40" t="s">
        <v>421</v>
      </c>
      <c r="B20" s="48" t="s">
        <v>377</v>
      </c>
      <c r="C20" s="24">
        <v>6</v>
      </c>
      <c r="D20" s="25" t="s">
        <v>250</v>
      </c>
      <c r="E20" s="49">
        <f t="shared" si="0"/>
        <v>0</v>
      </c>
      <c r="F20" s="69">
        <f t="shared" si="1"/>
        <v>0</v>
      </c>
      <c r="G20" s="105"/>
    </row>
    <row r="21" spans="1:7" x14ac:dyDescent="0.3">
      <c r="A21" s="38"/>
      <c r="B21" s="116" t="s">
        <v>422</v>
      </c>
      <c r="C21" s="117"/>
      <c r="D21" s="117"/>
      <c r="E21" s="118"/>
      <c r="F21" s="70">
        <f>SUM(F13:F20)</f>
        <v>0</v>
      </c>
      <c r="G21" s="51"/>
    </row>
    <row r="22" spans="1:7" x14ac:dyDescent="0.3">
      <c r="B22" s="3"/>
      <c r="C22" s="4"/>
      <c r="D22" s="5"/>
      <c r="E22" s="6"/>
      <c r="F22" s="6"/>
    </row>
    <row r="23" spans="1:7" x14ac:dyDescent="0.3">
      <c r="B23" s="3"/>
      <c r="C23" s="4"/>
      <c r="D23" s="5"/>
      <c r="E23" s="6"/>
    </row>
    <row r="24" spans="1:7" x14ac:dyDescent="0.3">
      <c r="B24" s="3"/>
      <c r="C24" s="4"/>
      <c r="D24" s="5"/>
      <c r="E24" s="6"/>
      <c r="F24" s="6"/>
    </row>
    <row r="30" spans="1:7" x14ac:dyDescent="0.3">
      <c r="B30" s="3"/>
      <c r="C30" s="4"/>
      <c r="D30" s="5"/>
      <c r="E30" s="6"/>
      <c r="F30" s="6"/>
    </row>
    <row r="31" spans="1:7" x14ac:dyDescent="0.3">
      <c r="B31" s="3"/>
      <c r="C31" s="4"/>
      <c r="D31" s="5"/>
      <c r="E31" s="6"/>
    </row>
    <row r="39" spans="2:6" x14ac:dyDescent="0.3">
      <c r="B39" s="3"/>
      <c r="C39" s="4"/>
      <c r="D39" s="5"/>
      <c r="E39" s="6"/>
      <c r="F39" s="6"/>
    </row>
    <row r="40" spans="2:6" x14ac:dyDescent="0.3">
      <c r="B40" s="3"/>
      <c r="C40" s="4"/>
      <c r="D40" s="5"/>
      <c r="E40" s="6"/>
    </row>
    <row r="48" spans="2:6" x14ac:dyDescent="0.3">
      <c r="B48" s="3"/>
      <c r="C48" s="4"/>
      <c r="D48" s="5"/>
      <c r="E48" s="6"/>
      <c r="F48" s="6"/>
    </row>
    <row r="49" spans="2:6" x14ac:dyDescent="0.3">
      <c r="B49" s="3"/>
      <c r="C49" s="4"/>
      <c r="D49" s="5"/>
      <c r="E49" s="6"/>
    </row>
    <row r="62" spans="2:6" x14ac:dyDescent="0.3">
      <c r="B62" s="12"/>
      <c r="C62" s="14"/>
      <c r="D62" s="15"/>
      <c r="E62" s="16"/>
      <c r="F62" s="16"/>
    </row>
    <row r="63" spans="2:6" x14ac:dyDescent="0.3">
      <c r="B63" s="13"/>
      <c r="C63" s="17"/>
      <c r="D63" s="18"/>
      <c r="E63" s="7"/>
      <c r="F63" s="7"/>
    </row>
    <row r="64" spans="2:6" x14ac:dyDescent="0.3">
      <c r="B64" s="8"/>
      <c r="C64" s="8"/>
      <c r="D64" s="8"/>
      <c r="E64" s="8"/>
      <c r="F64" s="8"/>
    </row>
    <row r="65" spans="2:6" x14ac:dyDescent="0.3">
      <c r="B65" s="73"/>
      <c r="C65" s="9"/>
      <c r="D65" s="10"/>
      <c r="E65" s="11"/>
      <c r="F65" s="11"/>
    </row>
    <row r="66" spans="2:6" x14ac:dyDescent="0.3">
      <c r="B66" s="73"/>
      <c r="C66" s="9"/>
      <c r="D66" s="10"/>
      <c r="E66" s="11"/>
      <c r="F66" s="8"/>
    </row>
    <row r="67" spans="2:6" x14ac:dyDescent="0.3">
      <c r="B67" s="8"/>
      <c r="C67" s="8"/>
      <c r="D67" s="8"/>
      <c r="E67" s="8"/>
      <c r="F67" s="8"/>
    </row>
    <row r="68" spans="2:6" x14ac:dyDescent="0.3">
      <c r="B68" s="8"/>
      <c r="C68" s="8"/>
      <c r="D68" s="8"/>
      <c r="E68" s="8"/>
      <c r="F68" s="8"/>
    </row>
    <row r="69" spans="2:6" x14ac:dyDescent="0.3">
      <c r="B69" s="8"/>
      <c r="C69" s="8"/>
      <c r="D69" s="8"/>
      <c r="E69" s="8"/>
      <c r="F69" s="8"/>
    </row>
    <row r="70" spans="2:6" x14ac:dyDescent="0.3">
      <c r="B70" s="8"/>
      <c r="C70" s="8"/>
      <c r="D70" s="8"/>
      <c r="E70" s="8"/>
      <c r="F70" s="8"/>
    </row>
    <row r="71" spans="2:6" x14ac:dyDescent="0.3">
      <c r="B71" s="8"/>
      <c r="C71" s="8"/>
      <c r="D71" s="8"/>
      <c r="E71" s="8"/>
      <c r="F71" s="8"/>
    </row>
    <row r="72" spans="2:6" x14ac:dyDescent="0.3">
      <c r="B72" s="8"/>
      <c r="C72" s="8"/>
      <c r="D72" s="8"/>
      <c r="E72" s="8"/>
      <c r="F72" s="8"/>
    </row>
    <row r="73" spans="2:6" x14ac:dyDescent="0.3">
      <c r="B73" s="8"/>
      <c r="C73" s="8"/>
      <c r="D73" s="8"/>
      <c r="E73" s="8"/>
      <c r="F73" s="8"/>
    </row>
    <row r="74" spans="2:6" x14ac:dyDescent="0.3">
      <c r="B74" s="3"/>
      <c r="C74" s="4"/>
      <c r="D74" s="5"/>
      <c r="E74" s="6"/>
      <c r="F74" s="6"/>
    </row>
    <row r="75" spans="2:6" x14ac:dyDescent="0.3">
      <c r="B75" s="3"/>
      <c r="C75" s="4"/>
      <c r="D75" s="5"/>
      <c r="E75" s="6"/>
    </row>
    <row r="83" spans="2:6" x14ac:dyDescent="0.3">
      <c r="B83" s="3"/>
      <c r="C83" s="4"/>
      <c r="D83" s="5"/>
      <c r="E83" s="6"/>
      <c r="F83" s="6"/>
    </row>
    <row r="84" spans="2:6" x14ac:dyDescent="0.3">
      <c r="B84" s="3"/>
      <c r="C84" s="4"/>
      <c r="D84" s="5"/>
      <c r="E84" s="6"/>
    </row>
    <row r="92" spans="2:6" x14ac:dyDescent="0.3">
      <c r="B92" s="3"/>
      <c r="C92" s="4"/>
      <c r="D92" s="5"/>
      <c r="E92" s="6"/>
      <c r="F92" s="6"/>
    </row>
    <row r="93" spans="2:6" x14ac:dyDescent="0.3">
      <c r="B93" s="3"/>
      <c r="C93" s="4"/>
      <c r="D93" s="5"/>
      <c r="E93" s="6"/>
    </row>
    <row r="101" spans="2:6" x14ac:dyDescent="0.3">
      <c r="B101" s="3"/>
      <c r="C101" s="4"/>
      <c r="D101" s="5"/>
      <c r="E101" s="6"/>
      <c r="F101" s="6"/>
    </row>
    <row r="102" spans="2:6" x14ac:dyDescent="0.3">
      <c r="B102" s="3"/>
      <c r="C102" s="4"/>
      <c r="D102" s="5"/>
      <c r="E102" s="6"/>
    </row>
    <row r="107" spans="2:6" x14ac:dyDescent="0.3">
      <c r="B107" s="8"/>
      <c r="C107" s="8"/>
      <c r="D107" s="8"/>
      <c r="E107" s="8"/>
      <c r="F107" s="8"/>
    </row>
    <row r="108" spans="2:6" x14ac:dyDescent="0.3">
      <c r="B108" s="8"/>
      <c r="C108" s="8"/>
      <c r="D108" s="8"/>
      <c r="E108" s="8"/>
      <c r="F108" s="8"/>
    </row>
    <row r="109" spans="2:6" x14ac:dyDescent="0.3">
      <c r="B109" s="8"/>
      <c r="C109" s="8"/>
      <c r="D109" s="8"/>
      <c r="E109" s="8"/>
      <c r="F109" s="8"/>
    </row>
    <row r="110" spans="2:6" x14ac:dyDescent="0.3">
      <c r="B110" s="8"/>
      <c r="C110" s="8"/>
      <c r="D110" s="8"/>
      <c r="E110" s="8"/>
      <c r="F110" s="8"/>
    </row>
    <row r="115" spans="2:6" x14ac:dyDescent="0.3">
      <c r="B115" s="12"/>
      <c r="C115" s="14"/>
      <c r="D115" s="15"/>
      <c r="E115" s="16"/>
      <c r="F115" s="16"/>
    </row>
    <row r="116" spans="2:6" x14ac:dyDescent="0.3">
      <c r="B116" s="13"/>
      <c r="C116" s="17"/>
      <c r="D116" s="18"/>
      <c r="E116" s="7"/>
      <c r="F116" s="7"/>
    </row>
    <row r="117" spans="2:6" x14ac:dyDescent="0.3">
      <c r="B117" s="8"/>
      <c r="C117" s="8"/>
      <c r="D117" s="8"/>
      <c r="E117" s="8"/>
      <c r="F117" s="8"/>
    </row>
    <row r="118" spans="2:6" x14ac:dyDescent="0.3">
      <c r="B118" s="3"/>
      <c r="C118" s="4"/>
      <c r="D118" s="5"/>
      <c r="E118" s="6"/>
      <c r="F118" s="6"/>
    </row>
    <row r="119" spans="2:6" x14ac:dyDescent="0.3">
      <c r="B119" s="3"/>
      <c r="C119" s="4"/>
      <c r="D119" s="5"/>
      <c r="E119" s="6"/>
    </row>
    <row r="128" spans="2:6" x14ac:dyDescent="0.3">
      <c r="B128" s="3"/>
      <c r="C128" s="4"/>
      <c r="D128" s="5"/>
      <c r="E128" s="6"/>
      <c r="F128" s="6"/>
    </row>
    <row r="129" spans="2:6" x14ac:dyDescent="0.3">
      <c r="B129" s="3"/>
      <c r="C129" s="4"/>
      <c r="D129" s="5"/>
      <c r="E129" s="6"/>
    </row>
    <row r="138" spans="2:6" x14ac:dyDescent="0.3">
      <c r="B138" s="3"/>
      <c r="C138" s="4"/>
      <c r="D138" s="5"/>
      <c r="E138" s="6"/>
      <c r="F138" s="6"/>
    </row>
    <row r="139" spans="2:6" x14ac:dyDescent="0.3">
      <c r="B139" s="3"/>
      <c r="C139" s="4"/>
      <c r="D139" s="5"/>
      <c r="E139" s="6"/>
    </row>
    <row r="147" spans="2:6" x14ac:dyDescent="0.3">
      <c r="B147" s="3"/>
      <c r="C147" s="4"/>
      <c r="D147" s="5"/>
      <c r="E147" s="6"/>
      <c r="F147" s="6"/>
    </row>
    <row r="148" spans="2:6" x14ac:dyDescent="0.3">
      <c r="B148" s="3"/>
      <c r="C148" s="4"/>
      <c r="D148" s="5"/>
      <c r="E148" s="6"/>
    </row>
    <row r="155" spans="2:6" x14ac:dyDescent="0.3">
      <c r="B155" s="8"/>
      <c r="C155" s="8"/>
      <c r="D155" s="8"/>
      <c r="E155" s="8"/>
      <c r="F155" s="8"/>
    </row>
    <row r="157" spans="2:6" x14ac:dyDescent="0.3">
      <c r="B157" s="3"/>
      <c r="C157" s="4"/>
      <c r="D157" s="5"/>
      <c r="E157" s="6"/>
      <c r="F157" s="6"/>
    </row>
    <row r="158" spans="2:6" x14ac:dyDescent="0.3">
      <c r="B158" s="3"/>
      <c r="C158" s="4"/>
      <c r="D158" s="5"/>
      <c r="E158" s="6"/>
    </row>
    <row r="168" spans="2:6" x14ac:dyDescent="0.3">
      <c r="B168" s="12"/>
      <c r="C168" s="14"/>
      <c r="D168" s="15"/>
      <c r="E168" s="16"/>
      <c r="F168" s="16"/>
    </row>
    <row r="169" spans="2:6" x14ac:dyDescent="0.3">
      <c r="B169" s="13"/>
      <c r="C169" s="17"/>
      <c r="D169" s="18"/>
      <c r="E169" s="7"/>
      <c r="F169" s="7"/>
    </row>
    <row r="171" spans="2:6" x14ac:dyDescent="0.3">
      <c r="B171" s="3"/>
      <c r="C171" s="4"/>
      <c r="D171" s="5"/>
      <c r="E171" s="6"/>
      <c r="F171" s="6"/>
    </row>
    <row r="172" spans="2:6" x14ac:dyDescent="0.3">
      <c r="B172" s="3"/>
      <c r="C172" s="4"/>
      <c r="D172" s="5"/>
      <c r="E172" s="6"/>
    </row>
    <row r="177" spans="2:6" x14ac:dyDescent="0.3">
      <c r="B177" s="13"/>
      <c r="C177" s="17"/>
      <c r="D177" s="18"/>
      <c r="E177" s="7"/>
      <c r="F177" s="7"/>
    </row>
    <row r="178" spans="2:6" x14ac:dyDescent="0.3">
      <c r="B178" s="8"/>
    </row>
    <row r="184" spans="2:6" x14ac:dyDescent="0.3">
      <c r="B184" s="3"/>
      <c r="C184" s="4"/>
      <c r="D184" s="5"/>
      <c r="E184" s="6"/>
      <c r="F184" s="6"/>
    </row>
    <row r="185" spans="2:6" x14ac:dyDescent="0.3">
      <c r="B185" s="3"/>
      <c r="C185" s="4"/>
      <c r="D185" s="5"/>
      <c r="E185" s="6"/>
    </row>
    <row r="186" spans="2:6" x14ac:dyDescent="0.3">
      <c r="B186" s="3"/>
      <c r="C186" s="4"/>
      <c r="D186" s="5"/>
      <c r="E186" s="6"/>
      <c r="F186" s="6"/>
    </row>
    <row r="189" spans="2:6" x14ac:dyDescent="0.3">
      <c r="B189" s="3"/>
      <c r="C189" s="4"/>
      <c r="D189" s="5"/>
      <c r="E189" s="6"/>
      <c r="F189" s="6"/>
    </row>
    <row r="190" spans="2:6" x14ac:dyDescent="0.3">
      <c r="B190" s="3"/>
      <c r="C190" s="4"/>
      <c r="D190" s="5"/>
      <c r="E190" s="6"/>
    </row>
    <row r="191" spans="2:6" x14ac:dyDescent="0.3">
      <c r="B191" s="3"/>
      <c r="C191" s="4"/>
      <c r="D191" s="5"/>
      <c r="E191" s="6"/>
      <c r="F191" s="6"/>
    </row>
    <row r="194" spans="2:6" x14ac:dyDescent="0.3">
      <c r="B194" s="3"/>
      <c r="C194" s="4"/>
      <c r="D194" s="5"/>
      <c r="E194" s="6"/>
      <c r="F194" s="6"/>
    </row>
    <row r="195" spans="2:6" x14ac:dyDescent="0.3">
      <c r="B195" s="3"/>
      <c r="C195" s="4"/>
      <c r="D195" s="5"/>
      <c r="E195" s="6"/>
    </row>
    <row r="196" spans="2:6" x14ac:dyDescent="0.3">
      <c r="B196" s="3"/>
      <c r="C196" s="4"/>
      <c r="D196" s="5"/>
      <c r="E196" s="6"/>
      <c r="F196" s="6"/>
    </row>
    <row r="198" spans="2:6" x14ac:dyDescent="0.3">
      <c r="B198" s="3"/>
      <c r="C198" s="4"/>
      <c r="D198" s="5"/>
      <c r="E198" s="6"/>
      <c r="F198" s="6"/>
    </row>
    <row r="199" spans="2:6" x14ac:dyDescent="0.3">
      <c r="B199" s="3"/>
      <c r="C199" s="4"/>
      <c r="D199" s="5"/>
      <c r="E199" s="6"/>
    </row>
    <row r="200" spans="2:6" x14ac:dyDescent="0.3">
      <c r="B200" s="3"/>
      <c r="C200" s="4"/>
      <c r="D200" s="5"/>
      <c r="E200" s="6"/>
      <c r="F200" s="6"/>
    </row>
    <row r="203" spans="2:6" x14ac:dyDescent="0.3">
      <c r="B203" s="3"/>
      <c r="C203" s="4"/>
      <c r="D203" s="5"/>
      <c r="E203" s="6"/>
      <c r="F203" s="6"/>
    </row>
    <row r="204" spans="2:6" x14ac:dyDescent="0.3">
      <c r="B204" s="3"/>
      <c r="C204" s="4"/>
      <c r="D204" s="5"/>
      <c r="E204" s="6"/>
    </row>
    <row r="205" spans="2:6" x14ac:dyDescent="0.3">
      <c r="B205" s="3"/>
      <c r="C205" s="4"/>
      <c r="D205" s="5"/>
      <c r="E205" s="6"/>
      <c r="F205" s="6"/>
    </row>
    <row r="207" spans="2:6" x14ac:dyDescent="0.3">
      <c r="B207" s="3"/>
      <c r="C207" s="4"/>
      <c r="D207" s="5"/>
      <c r="E207" s="6"/>
      <c r="F207" s="6"/>
    </row>
    <row r="208" spans="2:6" x14ac:dyDescent="0.3">
      <c r="B208" s="3"/>
      <c r="C208" s="4"/>
      <c r="D208" s="5"/>
      <c r="E208" s="6"/>
    </row>
    <row r="209" spans="2:6" x14ac:dyDescent="0.3">
      <c r="B209" s="3"/>
      <c r="C209" s="4"/>
      <c r="D209" s="5"/>
      <c r="E209" s="6"/>
      <c r="F209" s="6"/>
    </row>
    <row r="219" spans="2:6" x14ac:dyDescent="0.3">
      <c r="B219" s="12"/>
      <c r="C219" s="14"/>
      <c r="D219" s="15"/>
      <c r="E219" s="16"/>
      <c r="F219" s="16"/>
    </row>
    <row r="220" spans="2:6" x14ac:dyDescent="0.3">
      <c r="B220" s="13"/>
      <c r="C220" s="17"/>
      <c r="D220" s="18"/>
      <c r="E220" s="7"/>
      <c r="F220" s="7"/>
    </row>
    <row r="221" spans="2:6" x14ac:dyDescent="0.3">
      <c r="B221" s="13"/>
      <c r="C221" s="17"/>
      <c r="D221" s="18"/>
      <c r="E221" s="7"/>
      <c r="F221" s="7"/>
    </row>
    <row r="222" spans="2:6" x14ac:dyDescent="0.3">
      <c r="B222" s="3"/>
      <c r="C222" s="4"/>
      <c r="D222" s="5"/>
      <c r="E222" s="6"/>
      <c r="F222" s="6"/>
    </row>
    <row r="223" spans="2:6" x14ac:dyDescent="0.3">
      <c r="B223" s="3"/>
      <c r="C223" s="4"/>
      <c r="D223" s="5"/>
      <c r="E223" s="6"/>
    </row>
    <row r="224" spans="2:6" x14ac:dyDescent="0.3">
      <c r="B224" s="3"/>
      <c r="C224" s="4"/>
      <c r="D224" s="5"/>
      <c r="E224" s="6"/>
      <c r="F224" s="6"/>
    </row>
    <row r="226" spans="2:6" x14ac:dyDescent="0.3">
      <c r="B226" s="3"/>
      <c r="C226" s="4"/>
      <c r="D226" s="5"/>
      <c r="E226" s="6"/>
      <c r="F226" s="6"/>
    </row>
    <row r="227" spans="2:6" x14ac:dyDescent="0.3">
      <c r="B227" s="3"/>
      <c r="C227" s="4"/>
      <c r="D227" s="5"/>
      <c r="E227" s="6"/>
    </row>
    <row r="228" spans="2:6" x14ac:dyDescent="0.3">
      <c r="B228" s="3"/>
      <c r="C228" s="4"/>
      <c r="D228" s="5"/>
      <c r="E228" s="6"/>
      <c r="F228" s="6"/>
    </row>
    <row r="231" spans="2:6" x14ac:dyDescent="0.3">
      <c r="B231" s="3"/>
      <c r="C231" s="4"/>
      <c r="D231" s="5"/>
      <c r="E231" s="6"/>
      <c r="F231" s="6"/>
    </row>
    <row r="232" spans="2:6" x14ac:dyDescent="0.3">
      <c r="B232" s="3"/>
      <c r="C232" s="4"/>
      <c r="D232" s="5"/>
      <c r="E232" s="6"/>
    </row>
    <row r="233" spans="2:6" x14ac:dyDescent="0.3">
      <c r="B233" s="3"/>
      <c r="C233" s="4"/>
      <c r="D233" s="5"/>
      <c r="E233" s="6"/>
      <c r="F233" s="6"/>
    </row>
    <row r="234" spans="2:6" x14ac:dyDescent="0.3">
      <c r="B234" s="3"/>
      <c r="C234" s="4"/>
      <c r="D234" s="5"/>
      <c r="E234" s="6"/>
      <c r="F234" s="6"/>
    </row>
    <row r="242" spans="2:6" x14ac:dyDescent="0.3">
      <c r="B242" s="3"/>
      <c r="C242" s="4"/>
      <c r="D242" s="5"/>
      <c r="E242" s="6"/>
      <c r="F242" s="6"/>
    </row>
    <row r="243" spans="2:6" x14ac:dyDescent="0.3">
      <c r="B243" s="3"/>
      <c r="C243" s="4"/>
      <c r="D243" s="5"/>
      <c r="E243" s="6"/>
    </row>
    <row r="245" spans="2:6" x14ac:dyDescent="0.3">
      <c r="B245" s="3"/>
      <c r="C245" s="4"/>
      <c r="D245" s="5"/>
      <c r="E245" s="6"/>
      <c r="F245" s="6"/>
    </row>
    <row r="246" spans="2:6" x14ac:dyDescent="0.3">
      <c r="B246" s="3"/>
      <c r="C246" s="4"/>
      <c r="D246" s="5"/>
      <c r="E246" s="6"/>
    </row>
    <row r="247" spans="2:6" x14ac:dyDescent="0.3">
      <c r="B247" s="3"/>
      <c r="C247" s="4"/>
      <c r="D247" s="5"/>
      <c r="E247" s="6"/>
    </row>
    <row r="257" spans="2:6" x14ac:dyDescent="0.3">
      <c r="B257" s="3"/>
      <c r="C257" s="4"/>
      <c r="D257" s="5"/>
      <c r="E257" s="6"/>
      <c r="F257" s="6"/>
    </row>
    <row r="258" spans="2:6" x14ac:dyDescent="0.3">
      <c r="B258" s="3"/>
      <c r="C258" s="4"/>
      <c r="D258" s="5"/>
      <c r="E258" s="6"/>
      <c r="F258" s="6"/>
    </row>
    <row r="259" spans="2:6" x14ac:dyDescent="0.3">
      <c r="B259" s="3"/>
      <c r="C259" s="4"/>
      <c r="D259" s="5"/>
      <c r="E259" s="6"/>
      <c r="F259" s="6"/>
    </row>
    <row r="261" spans="2:6" x14ac:dyDescent="0.3">
      <c r="B261" s="3"/>
      <c r="C261" s="4"/>
      <c r="D261" s="5"/>
      <c r="E261" s="6"/>
      <c r="F261" s="6"/>
    </row>
    <row r="262" spans="2:6" x14ac:dyDescent="0.3">
      <c r="B262" s="3"/>
      <c r="C262" s="4"/>
      <c r="D262" s="5"/>
      <c r="E262" s="6"/>
    </row>
    <row r="270" spans="2:6" x14ac:dyDescent="0.3">
      <c r="B270" s="12"/>
      <c r="C270" s="14"/>
      <c r="D270" s="15"/>
      <c r="E270" s="16"/>
      <c r="F270" s="16"/>
    </row>
    <row r="271" spans="2:6" x14ac:dyDescent="0.3">
      <c r="B271" s="13"/>
      <c r="C271" s="17"/>
      <c r="D271" s="18"/>
      <c r="E271" s="7"/>
      <c r="F271" s="7"/>
    </row>
    <row r="272" spans="2:6" x14ac:dyDescent="0.3">
      <c r="B272" s="13"/>
      <c r="C272" s="17"/>
      <c r="D272" s="18"/>
      <c r="E272" s="7"/>
      <c r="F272" s="7"/>
    </row>
    <row r="273" spans="2:6" x14ac:dyDescent="0.3">
      <c r="B273" s="3"/>
      <c r="C273" s="4"/>
      <c r="D273" s="5"/>
      <c r="E273" s="6"/>
      <c r="F273" s="6"/>
    </row>
    <row r="274" spans="2:6" x14ac:dyDescent="0.3">
      <c r="B274" s="3"/>
      <c r="C274" s="4"/>
      <c r="D274" s="5"/>
      <c r="E274" s="6"/>
      <c r="F274" s="6"/>
    </row>
    <row r="275" spans="2:6" x14ac:dyDescent="0.3">
      <c r="B275" s="3"/>
      <c r="C275" s="4"/>
      <c r="D275" s="5"/>
      <c r="E275" s="6"/>
      <c r="F275" s="6"/>
    </row>
    <row r="277" spans="2:6" x14ac:dyDescent="0.3">
      <c r="B277" s="3"/>
      <c r="C277" s="4"/>
      <c r="D277" s="5"/>
      <c r="E277" s="6"/>
      <c r="F277" s="6"/>
    </row>
    <row r="278" spans="2:6" x14ac:dyDescent="0.3">
      <c r="B278" s="3"/>
      <c r="C278" s="4"/>
      <c r="D278" s="5"/>
      <c r="E278" s="6"/>
    </row>
    <row r="289" spans="2:6" x14ac:dyDescent="0.3">
      <c r="B289" s="3"/>
      <c r="C289" s="4"/>
      <c r="D289" s="5"/>
      <c r="E289" s="6"/>
      <c r="F289" s="6"/>
    </row>
    <row r="290" spans="2:6" x14ac:dyDescent="0.3">
      <c r="B290" s="3"/>
      <c r="C290" s="4"/>
      <c r="D290" s="5"/>
      <c r="E290" s="6"/>
    </row>
    <row r="295" spans="2:6" x14ac:dyDescent="0.3">
      <c r="B295" s="3"/>
      <c r="C295" s="4"/>
      <c r="D295" s="5"/>
      <c r="E295" s="6"/>
      <c r="F295" s="6"/>
    </row>
    <row r="296" spans="2:6" x14ac:dyDescent="0.3">
      <c r="B296" s="3"/>
      <c r="C296" s="4"/>
      <c r="D296" s="5"/>
      <c r="E296" s="6"/>
    </row>
    <row r="301" spans="2:6" x14ac:dyDescent="0.3">
      <c r="B301" s="3"/>
      <c r="C301" s="4"/>
      <c r="D301" s="5"/>
      <c r="E301" s="6"/>
      <c r="F301" s="6"/>
    </row>
    <row r="302" spans="2:6" x14ac:dyDescent="0.3">
      <c r="B302" s="3"/>
      <c r="C302" s="4"/>
      <c r="D302" s="5"/>
      <c r="E302" s="6"/>
    </row>
    <row r="306" spans="2:6" x14ac:dyDescent="0.3">
      <c r="B306" s="3"/>
      <c r="C306" s="4"/>
      <c r="D306" s="5"/>
      <c r="E306" s="6"/>
      <c r="F306" s="6"/>
    </row>
    <row r="307" spans="2:6" x14ac:dyDescent="0.3">
      <c r="B307" s="3"/>
      <c r="C307" s="4"/>
      <c r="D307" s="5"/>
      <c r="E307" s="6"/>
    </row>
    <row r="311" spans="2:6" x14ac:dyDescent="0.3">
      <c r="B311" s="3"/>
      <c r="C311" s="4"/>
      <c r="D311" s="5"/>
      <c r="E311" s="6"/>
      <c r="F311" s="6"/>
    </row>
    <row r="312" spans="2:6" x14ac:dyDescent="0.3">
      <c r="B312" s="3"/>
      <c r="C312" s="4"/>
      <c r="D312" s="5"/>
      <c r="E312" s="6"/>
    </row>
    <row r="315" spans="2:6" x14ac:dyDescent="0.3">
      <c r="B315" s="8"/>
      <c r="C315" s="8"/>
      <c r="D315" s="8"/>
      <c r="E315" s="8"/>
      <c r="F315" s="8"/>
    </row>
    <row r="316" spans="2:6" x14ac:dyDescent="0.3">
      <c r="B316" s="8"/>
      <c r="C316" s="8"/>
      <c r="D316" s="8"/>
      <c r="E316" s="8"/>
      <c r="F316" s="8"/>
    </row>
    <row r="317" spans="2:6" x14ac:dyDescent="0.3">
      <c r="B317" s="8"/>
      <c r="C317" s="8"/>
      <c r="D317" s="8"/>
      <c r="E317" s="8"/>
      <c r="F317" s="8"/>
    </row>
    <row r="318" spans="2:6" x14ac:dyDescent="0.3">
      <c r="B318" s="8"/>
      <c r="C318" s="8"/>
      <c r="D318" s="8"/>
      <c r="E318" s="8"/>
      <c r="F318" s="8"/>
    </row>
    <row r="319" spans="2:6" x14ac:dyDescent="0.3">
      <c r="B319" s="8"/>
      <c r="C319" s="8"/>
      <c r="D319" s="8"/>
      <c r="E319" s="8"/>
      <c r="F319" s="8"/>
    </row>
    <row r="320" spans="2:6" x14ac:dyDescent="0.3">
      <c r="B320" s="8"/>
      <c r="C320" s="8"/>
      <c r="D320" s="8"/>
      <c r="E320" s="8"/>
      <c r="F320" s="8"/>
    </row>
    <row r="321" spans="2:6" x14ac:dyDescent="0.3">
      <c r="B321" s="8"/>
      <c r="C321" s="8"/>
      <c r="D321" s="8"/>
      <c r="E321" s="8"/>
      <c r="F321" s="8"/>
    </row>
    <row r="322" spans="2:6" x14ac:dyDescent="0.3">
      <c r="B322" s="13"/>
      <c r="C322" s="17"/>
      <c r="D322" s="18"/>
      <c r="E322" s="7"/>
      <c r="F322" s="7"/>
    </row>
    <row r="323" spans="2:6" x14ac:dyDescent="0.3">
      <c r="B323" s="13"/>
      <c r="C323" s="17"/>
      <c r="D323" s="18"/>
      <c r="E323" s="7"/>
      <c r="F323" s="7"/>
    </row>
    <row r="325" spans="2:6" x14ac:dyDescent="0.3">
      <c r="B325" s="3"/>
      <c r="C325" s="4"/>
      <c r="D325" s="5"/>
      <c r="E325" s="6"/>
      <c r="F325" s="6"/>
    </row>
    <row r="326" spans="2:6" x14ac:dyDescent="0.3">
      <c r="B326" s="3"/>
      <c r="C326" s="4"/>
      <c r="D326" s="5"/>
      <c r="E326" s="6"/>
    </row>
    <row r="331" spans="2:6" x14ac:dyDescent="0.3">
      <c r="B331" s="3"/>
      <c r="C331" s="4"/>
      <c r="D331" s="5"/>
      <c r="E331" s="6"/>
      <c r="F331" s="6"/>
    </row>
    <row r="332" spans="2:6" x14ac:dyDescent="0.3">
      <c r="B332" s="3"/>
      <c r="C332" s="4"/>
      <c r="D332" s="5"/>
      <c r="E332" s="6"/>
    </row>
    <row r="337" spans="2:6" x14ac:dyDescent="0.3">
      <c r="B337" s="3"/>
      <c r="C337" s="4"/>
      <c r="D337" s="5"/>
      <c r="E337" s="6"/>
      <c r="F337" s="6"/>
    </row>
    <row r="338" spans="2:6" x14ac:dyDescent="0.3">
      <c r="B338" s="3"/>
      <c r="C338" s="4"/>
      <c r="D338" s="5"/>
      <c r="E338" s="6"/>
    </row>
    <row r="341" spans="2:6" x14ac:dyDescent="0.3">
      <c r="B341" s="8"/>
      <c r="C341" s="8"/>
      <c r="D341" s="8"/>
      <c r="E341" s="8"/>
      <c r="F341" s="8"/>
    </row>
    <row r="342" spans="2:6" x14ac:dyDescent="0.3">
      <c r="B342" s="8"/>
      <c r="C342" s="8"/>
      <c r="D342" s="8"/>
      <c r="E342" s="8"/>
      <c r="F342" s="8"/>
    </row>
    <row r="344" spans="2:6" x14ac:dyDescent="0.3">
      <c r="B344" s="3"/>
      <c r="C344" s="4"/>
      <c r="D344" s="5"/>
      <c r="E344" s="6"/>
      <c r="F344" s="6"/>
    </row>
    <row r="345" spans="2:6" x14ac:dyDescent="0.3">
      <c r="B345" s="3"/>
      <c r="C345" s="4"/>
      <c r="D345" s="5"/>
      <c r="E345" s="6"/>
    </row>
    <row r="351" spans="2:6" x14ac:dyDescent="0.3">
      <c r="B351" s="3"/>
      <c r="C351" s="4"/>
      <c r="D351" s="5"/>
      <c r="E351" s="6"/>
      <c r="F351" s="6"/>
    </row>
    <row r="352" spans="2:6" x14ac:dyDescent="0.3">
      <c r="B352" s="3"/>
      <c r="C352" s="4"/>
      <c r="D352" s="5"/>
      <c r="E352" s="6"/>
    </row>
    <row r="365" spans="2:6" x14ac:dyDescent="0.3">
      <c r="B365" s="3"/>
      <c r="C365" s="4"/>
      <c r="D365" s="5"/>
      <c r="E365" s="6"/>
      <c r="F365" s="6"/>
    </row>
    <row r="366" spans="2:6" x14ac:dyDescent="0.3">
      <c r="B366" s="3"/>
      <c r="C366" s="4"/>
      <c r="D366" s="5"/>
      <c r="E366" s="6"/>
    </row>
    <row r="374" spans="2:6" x14ac:dyDescent="0.3">
      <c r="B374" s="12"/>
      <c r="C374" s="14"/>
      <c r="D374" s="15"/>
      <c r="E374" s="16"/>
      <c r="F374" s="16"/>
    </row>
    <row r="375" spans="2:6" x14ac:dyDescent="0.3">
      <c r="B375" s="13"/>
      <c r="C375" s="17"/>
      <c r="D375" s="18"/>
      <c r="E375" s="7"/>
      <c r="F375" s="7"/>
    </row>
    <row r="377" spans="2:6" x14ac:dyDescent="0.3">
      <c r="B377" s="3"/>
      <c r="C377" s="4"/>
      <c r="D377" s="5"/>
      <c r="E377" s="6"/>
      <c r="F377" s="6"/>
    </row>
    <row r="378" spans="2:6" x14ac:dyDescent="0.3">
      <c r="B378" s="3"/>
      <c r="C378" s="4"/>
      <c r="D378" s="5"/>
      <c r="E378" s="6"/>
    </row>
    <row r="390" spans="2:6" x14ac:dyDescent="0.3">
      <c r="B390" s="3"/>
      <c r="C390" s="4"/>
      <c r="D390" s="5"/>
      <c r="E390" s="6"/>
      <c r="F390" s="6"/>
    </row>
    <row r="391" spans="2:6" x14ac:dyDescent="0.3">
      <c r="B391" s="3"/>
      <c r="C391" s="4"/>
      <c r="D391" s="5"/>
      <c r="E391" s="6"/>
    </row>
    <row r="396" spans="2:6" x14ac:dyDescent="0.3">
      <c r="B396" s="3"/>
      <c r="C396" s="4"/>
      <c r="D396" s="5"/>
      <c r="E396" s="6"/>
      <c r="F396" s="6"/>
    </row>
    <row r="397" spans="2:6" x14ac:dyDescent="0.3">
      <c r="B397" s="3"/>
      <c r="C397" s="4"/>
      <c r="D397" s="5"/>
      <c r="E397" s="6"/>
    </row>
    <row r="403" spans="2:6" x14ac:dyDescent="0.3">
      <c r="B403" s="3"/>
      <c r="C403" s="4"/>
      <c r="D403" s="5"/>
      <c r="E403" s="6"/>
      <c r="F403" s="6"/>
    </row>
  </sheetData>
  <sheetProtection algorithmName="SHA-512" hashValue="/ng/E25CecqLbZI+HtDGJMKVhu5QWv2yzGNBLBTviH11qUwiCjkiFzZKYK6jESqC/4VyH0gUwGrpifqiCKNoBA==" saltValue="NEoQtfMUiCD5ZX1Tp4edtw==" spinCount="100000" sheet="1" objects="1" scenarios="1" selectLockedCells="1"/>
  <mergeCells count="8">
    <mergeCell ref="B21:E21"/>
    <mergeCell ref="A9:F9"/>
    <mergeCell ref="A7:F7"/>
    <mergeCell ref="G1:G11"/>
    <mergeCell ref="A2:F2"/>
    <mergeCell ref="A3:F3"/>
    <mergeCell ref="A4:F4"/>
    <mergeCell ref="A5:F5"/>
  </mergeCells>
  <printOptions horizontalCentered="1"/>
  <pageMargins left="1" right="1" top="1" bottom="1" header="0.5" footer="0.5"/>
  <pageSetup scale="95" orientation="landscape" r:id="rId1"/>
  <headerFooter alignWithMargins="0">
    <oddFooter>&amp;C14-26-2436
J-0200000-14, Page 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26C6-9BAF-4136-96C2-07DD359FE9FE}">
  <dimension ref="A1:J12"/>
  <sheetViews>
    <sheetView view="pageLayout" zoomScaleNormal="110" workbookViewId="0">
      <selection activeCell="H10" sqref="H10"/>
    </sheetView>
  </sheetViews>
  <sheetFormatPr defaultColWidth="9.1796875" defaultRowHeight="13" x14ac:dyDescent="0.3"/>
  <cols>
    <col min="1" max="1" width="10.81640625" style="76" customWidth="1"/>
    <col min="2" max="2" width="16.54296875" style="76" customWidth="1"/>
    <col min="3" max="3" width="39.7265625" style="101" customWidth="1"/>
    <col min="4" max="4" width="12.1796875" style="102" customWidth="1"/>
    <col min="5" max="5" width="9.08984375" style="76" customWidth="1"/>
    <col min="6" max="6" width="7.6328125" style="76" bestFit="1" customWidth="1"/>
    <col min="7" max="7" width="12.54296875" style="76" customWidth="1"/>
    <col min="8" max="8" width="14.1796875" style="76" customWidth="1"/>
    <col min="9" max="16384" width="9.1796875" style="76"/>
  </cols>
  <sheetData>
    <row r="1" spans="1:10" ht="12.75" customHeight="1" x14ac:dyDescent="0.3">
      <c r="A1" s="133" t="s">
        <v>311</v>
      </c>
      <c r="B1" s="134"/>
      <c r="C1" s="134"/>
      <c r="D1" s="134"/>
      <c r="E1" s="134"/>
      <c r="F1" s="134"/>
      <c r="G1" s="135"/>
      <c r="H1" s="129" t="s">
        <v>324</v>
      </c>
    </row>
    <row r="2" spans="1:10" ht="12.75" customHeight="1" x14ac:dyDescent="0.3">
      <c r="A2" s="136" t="s">
        <v>280</v>
      </c>
      <c r="B2" s="137"/>
      <c r="C2" s="137"/>
      <c r="D2" s="137"/>
      <c r="E2" s="137"/>
      <c r="F2" s="137"/>
      <c r="G2" s="138"/>
      <c r="H2" s="129"/>
    </row>
    <row r="3" spans="1:10" ht="12.75" customHeight="1" x14ac:dyDescent="0.3">
      <c r="A3" s="136" t="s">
        <v>306</v>
      </c>
      <c r="B3" s="137"/>
      <c r="C3" s="137"/>
      <c r="D3" s="137"/>
      <c r="E3" s="137"/>
      <c r="F3" s="137"/>
      <c r="G3" s="138"/>
      <c r="H3" s="129"/>
    </row>
    <row r="4" spans="1:10" ht="12.75" customHeight="1" x14ac:dyDescent="0.3">
      <c r="A4" s="136" t="s">
        <v>312</v>
      </c>
      <c r="B4" s="137"/>
      <c r="C4" s="137"/>
      <c r="D4" s="137"/>
      <c r="E4" s="137"/>
      <c r="F4" s="137"/>
      <c r="G4" s="138"/>
      <c r="H4" s="129"/>
    </row>
    <row r="5" spans="1:10" ht="12.75" customHeight="1" x14ac:dyDescent="0.3">
      <c r="A5" s="77"/>
      <c r="B5" s="78"/>
      <c r="C5" s="79"/>
      <c r="D5" s="80"/>
      <c r="E5" s="79"/>
      <c r="F5" s="81"/>
      <c r="G5" s="82"/>
      <c r="H5" s="129"/>
    </row>
    <row r="6" spans="1:10" x14ac:dyDescent="0.3">
      <c r="A6" s="145" t="s">
        <v>349</v>
      </c>
      <c r="B6" s="146"/>
      <c r="C6" s="146"/>
      <c r="D6" s="146"/>
      <c r="E6" s="146"/>
      <c r="F6" s="146"/>
      <c r="G6" s="147"/>
      <c r="H6" s="129"/>
    </row>
    <row r="7" spans="1:10" ht="26" customHeight="1" x14ac:dyDescent="0.3">
      <c r="A7" s="142" t="s">
        <v>293</v>
      </c>
      <c r="B7" s="143"/>
      <c r="C7" s="143"/>
      <c r="D7" s="143"/>
      <c r="E7" s="143"/>
      <c r="F7" s="143"/>
      <c r="G7" s="144"/>
      <c r="H7" s="129"/>
    </row>
    <row r="8" spans="1:10" x14ac:dyDescent="0.3">
      <c r="A8" s="139" t="s">
        <v>332</v>
      </c>
      <c r="B8" s="140"/>
      <c r="C8" s="140"/>
      <c r="D8" s="140"/>
      <c r="E8" s="140"/>
      <c r="F8" s="140"/>
      <c r="G8" s="141"/>
      <c r="H8" s="129"/>
    </row>
    <row r="9" spans="1:10" s="88" customFormat="1" ht="55.5" customHeight="1" x14ac:dyDescent="0.3">
      <c r="A9" s="83" t="s">
        <v>294</v>
      </c>
      <c r="B9" s="111" t="s">
        <v>285</v>
      </c>
      <c r="C9" s="108" t="s">
        <v>2</v>
      </c>
      <c r="D9" s="85" t="s">
        <v>281</v>
      </c>
      <c r="E9" s="108" t="s">
        <v>323</v>
      </c>
      <c r="F9" s="86" t="s">
        <v>278</v>
      </c>
      <c r="G9" s="109" t="s">
        <v>282</v>
      </c>
      <c r="H9" s="129"/>
    </row>
    <row r="10" spans="1:10" s="94" customFormat="1" ht="52" x14ac:dyDescent="0.3">
      <c r="A10" s="89" t="s">
        <v>350</v>
      </c>
      <c r="B10" s="89" t="s">
        <v>289</v>
      </c>
      <c r="C10" s="90" t="s">
        <v>296</v>
      </c>
      <c r="D10" s="91">
        <v>250</v>
      </c>
      <c r="E10" s="91" t="s">
        <v>95</v>
      </c>
      <c r="F10" s="92">
        <f>ROUND(H10,2)</f>
        <v>0</v>
      </c>
      <c r="G10" s="93">
        <f>SUM(D10*F10)</f>
        <v>0</v>
      </c>
      <c r="H10" s="104"/>
      <c r="I10" s="100"/>
    </row>
    <row r="11" spans="1:10" s="94" customFormat="1" ht="52" x14ac:dyDescent="0.3">
      <c r="A11" s="89" t="s">
        <v>351</v>
      </c>
      <c r="B11" s="89" t="s">
        <v>288</v>
      </c>
      <c r="C11" s="90" t="s">
        <v>354</v>
      </c>
      <c r="D11" s="95">
        <v>2500</v>
      </c>
      <c r="E11" s="91" t="s">
        <v>254</v>
      </c>
      <c r="F11" s="92">
        <v>1</v>
      </c>
      <c r="G11" s="93">
        <f>SUM(D11*F11)</f>
        <v>2500</v>
      </c>
      <c r="H11" s="99"/>
      <c r="I11" s="100"/>
    </row>
    <row r="12" spans="1:10" s="94" customFormat="1" x14ac:dyDescent="0.25">
      <c r="A12" s="97"/>
      <c r="B12" s="130" t="s">
        <v>359</v>
      </c>
      <c r="C12" s="131"/>
      <c r="D12" s="131"/>
      <c r="E12" s="131"/>
      <c r="F12" s="132"/>
      <c r="G12" s="98">
        <f>SUM(G10:G11)</f>
        <v>2500</v>
      </c>
      <c r="H12" s="99"/>
      <c r="I12" s="100"/>
      <c r="J12" s="100"/>
    </row>
  </sheetData>
  <sheetProtection algorithmName="SHA-512" hashValue="pI1TCX+h9y2xbAzOtx5vPF9xZacXssnJfJFgW1N7yLZts5o7dU4yGhKnrzm6cYELGY0bwcx8DTiGHaTY0q12YA==" saltValue="Rlg2cp7TYvH9YDaKF6UkSQ==" spinCount="100000" sheet="1" objects="1" scenarios="1" selectLockedCells="1"/>
  <mergeCells count="9">
    <mergeCell ref="B12:F12"/>
    <mergeCell ref="H1:H9"/>
    <mergeCell ref="A8:G8"/>
    <mergeCell ref="A1:G1"/>
    <mergeCell ref="A2:G2"/>
    <mergeCell ref="A3:G3"/>
    <mergeCell ref="A4:G4"/>
    <mergeCell ref="A6:G6"/>
    <mergeCell ref="A7:G7"/>
  </mergeCells>
  <pageMargins left="0.39" right="0.21" top="1" bottom="1" header="0.5" footer="0.5"/>
  <pageSetup orientation="landscape" r:id="rId1"/>
  <headerFooter alignWithMargins="0">
    <oddFooter>&amp;C14-26-2436
J-0200000-14,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6"/>
  <sheetViews>
    <sheetView workbookViewId="0">
      <selection activeCell="L27" sqref="L27"/>
    </sheetView>
  </sheetViews>
  <sheetFormatPr defaultRowHeight="12.5" x14ac:dyDescent="0.25"/>
  <cols>
    <col min="1" max="1" width="8.7265625" style="166"/>
    <col min="2" max="2" width="15.1796875" style="166" customWidth="1"/>
    <col min="3" max="3" width="3.7265625" style="166" customWidth="1"/>
    <col min="4" max="4" width="8.7265625" style="166"/>
    <col min="5" max="5" width="20.1796875" style="166" customWidth="1"/>
    <col min="6" max="6" width="3.54296875" style="166" customWidth="1"/>
    <col min="7" max="7" width="8.7265625" style="166"/>
    <col min="8" max="8" width="19.54296875" style="166" customWidth="1"/>
    <col min="9" max="16384" width="8.7265625" style="166"/>
  </cols>
  <sheetData>
    <row r="1" spans="1:8" ht="13" x14ac:dyDescent="0.3">
      <c r="A1" s="161" t="s">
        <v>3</v>
      </c>
      <c r="B1" s="162" t="s">
        <v>4</v>
      </c>
      <c r="C1" s="163"/>
      <c r="D1" s="164" t="s">
        <v>5</v>
      </c>
      <c r="E1" s="165" t="s">
        <v>6</v>
      </c>
      <c r="F1" s="163"/>
      <c r="G1" s="164" t="s">
        <v>7</v>
      </c>
      <c r="H1" s="165" t="s">
        <v>8</v>
      </c>
    </row>
    <row r="2" spans="1:8" ht="13" x14ac:dyDescent="0.3">
      <c r="A2" s="164" t="s">
        <v>9</v>
      </c>
      <c r="B2" s="165" t="s">
        <v>10</v>
      </c>
      <c r="C2" s="163"/>
      <c r="D2" s="164" t="s">
        <v>11</v>
      </c>
      <c r="E2" s="165" t="s">
        <v>12</v>
      </c>
      <c r="F2" s="163"/>
      <c r="G2" s="164" t="s">
        <v>13</v>
      </c>
      <c r="H2" s="165" t="s">
        <v>14</v>
      </c>
    </row>
    <row r="3" spans="1:8" ht="13" x14ac:dyDescent="0.3">
      <c r="A3" s="164" t="s">
        <v>15</v>
      </c>
      <c r="B3" s="165" t="s">
        <v>16</v>
      </c>
      <c r="C3" s="163"/>
      <c r="D3" s="164" t="s">
        <v>17</v>
      </c>
      <c r="E3" s="165" t="s">
        <v>18</v>
      </c>
      <c r="F3" s="163"/>
      <c r="G3" s="164" t="s">
        <v>19</v>
      </c>
      <c r="H3" s="165" t="s">
        <v>20</v>
      </c>
    </row>
    <row r="4" spans="1:8" ht="13" x14ac:dyDescent="0.3">
      <c r="A4" s="164" t="s">
        <v>21</v>
      </c>
      <c r="B4" s="165" t="s">
        <v>22</v>
      </c>
      <c r="C4" s="163"/>
      <c r="D4" s="164" t="s">
        <v>23</v>
      </c>
      <c r="E4" s="165" t="s">
        <v>24</v>
      </c>
      <c r="F4" s="163"/>
      <c r="G4" s="164" t="s">
        <v>25</v>
      </c>
      <c r="H4" s="165" t="s">
        <v>26</v>
      </c>
    </row>
    <row r="5" spans="1:8" ht="13" x14ac:dyDescent="0.3">
      <c r="A5" s="164" t="s">
        <v>27</v>
      </c>
      <c r="B5" s="165" t="s">
        <v>28</v>
      </c>
      <c r="C5" s="163"/>
      <c r="D5" s="164" t="s">
        <v>29</v>
      </c>
      <c r="E5" s="165" t="s">
        <v>30</v>
      </c>
      <c r="F5" s="163"/>
      <c r="G5" s="164" t="s">
        <v>31</v>
      </c>
      <c r="H5" s="165" t="s">
        <v>32</v>
      </c>
    </row>
    <row r="6" spans="1:8" ht="13" x14ac:dyDescent="0.3">
      <c r="A6" s="164" t="s">
        <v>33</v>
      </c>
      <c r="B6" s="165" t="s">
        <v>34</v>
      </c>
      <c r="C6" s="163"/>
      <c r="D6" s="164" t="s">
        <v>35</v>
      </c>
      <c r="E6" s="165" t="s">
        <v>36</v>
      </c>
      <c r="F6" s="163"/>
      <c r="G6" s="164" t="s">
        <v>37</v>
      </c>
      <c r="H6" s="165" t="s">
        <v>38</v>
      </c>
    </row>
    <row r="7" spans="1:8" ht="13" x14ac:dyDescent="0.3">
      <c r="A7" s="164" t="s">
        <v>39</v>
      </c>
      <c r="B7" s="165" t="s">
        <v>40</v>
      </c>
      <c r="C7" s="163"/>
      <c r="D7" s="164" t="s">
        <v>41</v>
      </c>
      <c r="E7" s="165" t="s">
        <v>42</v>
      </c>
      <c r="F7" s="163"/>
      <c r="G7" s="164" t="s">
        <v>43</v>
      </c>
      <c r="H7" s="165" t="s">
        <v>44</v>
      </c>
    </row>
    <row r="8" spans="1:8" ht="13" x14ac:dyDescent="0.3">
      <c r="A8" s="164" t="s">
        <v>45</v>
      </c>
      <c r="B8" s="165" t="s">
        <v>46</v>
      </c>
      <c r="C8" s="163"/>
      <c r="D8" s="164" t="s">
        <v>47</v>
      </c>
      <c r="E8" s="165" t="s">
        <v>48</v>
      </c>
      <c r="F8" s="163"/>
      <c r="G8" s="164" t="s">
        <v>49</v>
      </c>
      <c r="H8" s="165" t="s">
        <v>50</v>
      </c>
    </row>
    <row r="9" spans="1:8" ht="13" x14ac:dyDescent="0.3">
      <c r="A9" s="164" t="s">
        <v>51</v>
      </c>
      <c r="B9" s="165" t="s">
        <v>52</v>
      </c>
      <c r="C9" s="163"/>
      <c r="D9" s="164" t="s">
        <v>53</v>
      </c>
      <c r="E9" s="165" t="s">
        <v>54</v>
      </c>
      <c r="F9" s="163"/>
      <c r="G9" s="164" t="s">
        <v>55</v>
      </c>
      <c r="H9" s="165" t="s">
        <v>56</v>
      </c>
    </row>
    <row r="10" spans="1:8" ht="13" x14ac:dyDescent="0.3">
      <c r="A10" s="164" t="s">
        <v>57</v>
      </c>
      <c r="B10" s="165" t="s">
        <v>58</v>
      </c>
      <c r="C10" s="163"/>
      <c r="D10" s="164" t="s">
        <v>59</v>
      </c>
      <c r="E10" s="165" t="s">
        <v>60</v>
      </c>
      <c r="F10" s="163"/>
      <c r="G10" s="164" t="s">
        <v>61</v>
      </c>
      <c r="H10" s="165" t="s">
        <v>62</v>
      </c>
    </row>
    <row r="11" spans="1:8" ht="13" x14ac:dyDescent="0.3">
      <c r="A11" s="164" t="s">
        <v>63</v>
      </c>
      <c r="B11" s="165" t="s">
        <v>64</v>
      </c>
      <c r="C11" s="163"/>
      <c r="D11" s="164" t="s">
        <v>65</v>
      </c>
      <c r="E11" s="165" t="s">
        <v>66</v>
      </c>
      <c r="F11" s="163"/>
      <c r="G11" s="164" t="s">
        <v>67</v>
      </c>
      <c r="H11" s="165" t="s">
        <v>68</v>
      </c>
    </row>
    <row r="12" spans="1:8" ht="13" x14ac:dyDescent="0.3">
      <c r="A12" s="164" t="s">
        <v>69</v>
      </c>
      <c r="B12" s="165" t="s">
        <v>70</v>
      </c>
      <c r="C12" s="163"/>
      <c r="D12" s="164" t="s">
        <v>71</v>
      </c>
      <c r="E12" s="165" t="s">
        <v>72</v>
      </c>
      <c r="F12" s="163"/>
      <c r="G12" s="164" t="s">
        <v>73</v>
      </c>
      <c r="H12" s="165" t="s">
        <v>74</v>
      </c>
    </row>
    <row r="13" spans="1:8" ht="13" x14ac:dyDescent="0.3">
      <c r="A13" s="164" t="s">
        <v>75</v>
      </c>
      <c r="B13" s="165" t="s">
        <v>76</v>
      </c>
      <c r="C13" s="163"/>
      <c r="D13" s="164" t="s">
        <v>77</v>
      </c>
      <c r="E13" s="165" t="s">
        <v>78</v>
      </c>
      <c r="F13" s="163"/>
      <c r="G13" s="164" t="s">
        <v>79</v>
      </c>
      <c r="H13" s="165" t="s">
        <v>80</v>
      </c>
    </row>
    <row r="14" spans="1:8" ht="13" x14ac:dyDescent="0.3">
      <c r="A14" s="164" t="s">
        <v>81</v>
      </c>
      <c r="B14" s="165" t="s">
        <v>82</v>
      </c>
      <c r="C14" s="163"/>
      <c r="D14" s="164" t="s">
        <v>83</v>
      </c>
      <c r="E14" s="165" t="s">
        <v>84</v>
      </c>
      <c r="F14" s="163"/>
      <c r="G14" s="164" t="s">
        <v>85</v>
      </c>
      <c r="H14" s="165" t="s">
        <v>86</v>
      </c>
    </row>
    <row r="15" spans="1:8" ht="13" x14ac:dyDescent="0.3">
      <c r="A15" s="164" t="s">
        <v>87</v>
      </c>
      <c r="B15" s="165" t="s">
        <v>88</v>
      </c>
      <c r="C15" s="163"/>
      <c r="D15" s="164" t="s">
        <v>89</v>
      </c>
      <c r="E15" s="165" t="s">
        <v>90</v>
      </c>
      <c r="F15" s="163"/>
      <c r="G15" s="164" t="s">
        <v>91</v>
      </c>
      <c r="H15" s="165" t="s">
        <v>92</v>
      </c>
    </row>
    <row r="16" spans="1:8" ht="13" x14ac:dyDescent="0.3">
      <c r="A16" s="164" t="s">
        <v>93</v>
      </c>
      <c r="B16" s="165" t="s">
        <v>94</v>
      </c>
      <c r="C16" s="163"/>
      <c r="D16" s="161" t="s">
        <v>95</v>
      </c>
      <c r="E16" s="162" t="s">
        <v>96</v>
      </c>
      <c r="F16" s="163"/>
      <c r="G16" s="161" t="s">
        <v>97</v>
      </c>
      <c r="H16" s="162" t="s">
        <v>98</v>
      </c>
    </row>
    <row r="17" spans="1:8" ht="13" x14ac:dyDescent="0.3">
      <c r="A17" s="164" t="s">
        <v>99</v>
      </c>
      <c r="B17" s="165" t="s">
        <v>100</v>
      </c>
      <c r="C17" s="163"/>
      <c r="D17" s="164" t="s">
        <v>101</v>
      </c>
      <c r="E17" s="165" t="s">
        <v>102</v>
      </c>
      <c r="F17" s="163"/>
      <c r="G17" s="164" t="s">
        <v>103</v>
      </c>
      <c r="H17" s="165" t="s">
        <v>104</v>
      </c>
    </row>
    <row r="18" spans="1:8" ht="13" x14ac:dyDescent="0.3">
      <c r="A18" s="164" t="s">
        <v>105</v>
      </c>
      <c r="B18" s="165" t="s">
        <v>106</v>
      </c>
      <c r="C18" s="163"/>
      <c r="D18" s="164" t="s">
        <v>107</v>
      </c>
      <c r="E18" s="165" t="s">
        <v>108</v>
      </c>
      <c r="F18" s="163"/>
      <c r="G18" s="164" t="s">
        <v>109</v>
      </c>
      <c r="H18" s="165" t="s">
        <v>110</v>
      </c>
    </row>
    <row r="19" spans="1:8" ht="13" x14ac:dyDescent="0.3">
      <c r="A19" s="164" t="s">
        <v>111</v>
      </c>
      <c r="B19" s="165" t="s">
        <v>112</v>
      </c>
      <c r="C19" s="163"/>
      <c r="D19" s="164" t="s">
        <v>113</v>
      </c>
      <c r="E19" s="165" t="s">
        <v>114</v>
      </c>
      <c r="F19" s="163"/>
      <c r="G19" s="164" t="s">
        <v>115</v>
      </c>
      <c r="H19" s="165" t="s">
        <v>116</v>
      </c>
    </row>
    <row r="20" spans="1:8" ht="13" x14ac:dyDescent="0.3">
      <c r="A20" s="164" t="s">
        <v>117</v>
      </c>
      <c r="B20" s="165" t="s">
        <v>118</v>
      </c>
      <c r="C20" s="163"/>
      <c r="D20" s="164" t="s">
        <v>119</v>
      </c>
      <c r="E20" s="165" t="s">
        <v>120</v>
      </c>
      <c r="F20" s="163"/>
      <c r="G20" s="164" t="s">
        <v>121</v>
      </c>
      <c r="H20" s="165" t="s">
        <v>122</v>
      </c>
    </row>
    <row r="21" spans="1:8" ht="13" x14ac:dyDescent="0.3">
      <c r="A21" s="164" t="s">
        <v>123</v>
      </c>
      <c r="B21" s="165" t="s">
        <v>124</v>
      </c>
      <c r="C21" s="163"/>
      <c r="D21" s="164" t="s">
        <v>125</v>
      </c>
      <c r="E21" s="165" t="s">
        <v>126</v>
      </c>
      <c r="F21" s="163"/>
      <c r="G21" s="164" t="s">
        <v>127</v>
      </c>
      <c r="H21" s="165" t="s">
        <v>128</v>
      </c>
    </row>
    <row r="22" spans="1:8" ht="13" x14ac:dyDescent="0.3">
      <c r="A22" s="164" t="s">
        <v>129</v>
      </c>
      <c r="B22" s="165" t="s">
        <v>130</v>
      </c>
      <c r="C22" s="163"/>
      <c r="D22" s="164" t="s">
        <v>131</v>
      </c>
      <c r="E22" s="165" t="s">
        <v>132</v>
      </c>
      <c r="F22" s="163"/>
      <c r="G22" s="164" t="s">
        <v>133</v>
      </c>
      <c r="H22" s="165" t="s">
        <v>134</v>
      </c>
    </row>
    <row r="23" spans="1:8" ht="13" x14ac:dyDescent="0.3">
      <c r="A23" s="164" t="s">
        <v>135</v>
      </c>
      <c r="B23" s="165" t="s">
        <v>136</v>
      </c>
      <c r="C23" s="163"/>
      <c r="D23" s="164" t="s">
        <v>137</v>
      </c>
      <c r="E23" s="165" t="s">
        <v>138</v>
      </c>
      <c r="F23" s="163"/>
      <c r="G23" s="164" t="s">
        <v>139</v>
      </c>
      <c r="H23" s="165" t="s">
        <v>140</v>
      </c>
    </row>
    <row r="24" spans="1:8" ht="13" x14ac:dyDescent="0.3">
      <c r="A24" s="164" t="s">
        <v>141</v>
      </c>
      <c r="B24" s="165" t="s">
        <v>142</v>
      </c>
      <c r="C24" s="163"/>
      <c r="D24" s="164" t="s">
        <v>143</v>
      </c>
      <c r="E24" s="165" t="s">
        <v>144</v>
      </c>
      <c r="F24" s="163"/>
      <c r="G24" s="164" t="s">
        <v>145</v>
      </c>
      <c r="H24" s="165" t="s">
        <v>146</v>
      </c>
    </row>
    <row r="25" spans="1:8" ht="13" x14ac:dyDescent="0.3">
      <c r="A25" s="164" t="s">
        <v>147</v>
      </c>
      <c r="B25" s="165" t="s">
        <v>148</v>
      </c>
      <c r="C25" s="163"/>
      <c r="D25" s="164" t="s">
        <v>149</v>
      </c>
      <c r="E25" s="165" t="s">
        <v>150</v>
      </c>
      <c r="F25" s="163"/>
      <c r="G25" s="164" t="s">
        <v>151</v>
      </c>
      <c r="H25" s="165" t="s">
        <v>152</v>
      </c>
    </row>
    <row r="26" spans="1:8" ht="13" x14ac:dyDescent="0.3">
      <c r="A26" s="164" t="s">
        <v>153</v>
      </c>
      <c r="B26" s="165" t="s">
        <v>154</v>
      </c>
      <c r="C26" s="163"/>
      <c r="D26" s="164" t="s">
        <v>155</v>
      </c>
      <c r="E26" s="165" t="s">
        <v>156</v>
      </c>
      <c r="F26" s="163"/>
      <c r="G26" s="164" t="s">
        <v>157</v>
      </c>
      <c r="H26" s="165" t="s">
        <v>158</v>
      </c>
    </row>
    <row r="27" spans="1:8" ht="13" x14ac:dyDescent="0.3">
      <c r="A27" s="164" t="s">
        <v>159</v>
      </c>
      <c r="B27" s="165" t="s">
        <v>160</v>
      </c>
      <c r="C27" s="163"/>
      <c r="D27" s="164" t="s">
        <v>161</v>
      </c>
      <c r="E27" s="165" t="s">
        <v>162</v>
      </c>
      <c r="F27" s="163"/>
      <c r="G27" s="164" t="s">
        <v>163</v>
      </c>
      <c r="H27" s="165" t="s">
        <v>164</v>
      </c>
    </row>
    <row r="28" spans="1:8" ht="13" x14ac:dyDescent="0.3">
      <c r="A28" s="164" t="s">
        <v>165</v>
      </c>
      <c r="B28" s="165" t="s">
        <v>166</v>
      </c>
      <c r="C28" s="163"/>
      <c r="D28" s="164" t="s">
        <v>167</v>
      </c>
      <c r="E28" s="165" t="s">
        <v>168</v>
      </c>
      <c r="F28" s="163"/>
      <c r="G28" s="164" t="s">
        <v>169</v>
      </c>
      <c r="H28" s="165" t="s">
        <v>170</v>
      </c>
    </row>
    <row r="29" spans="1:8" ht="13" x14ac:dyDescent="0.3">
      <c r="A29" s="164" t="s">
        <v>171</v>
      </c>
      <c r="B29" s="165" t="s">
        <v>172</v>
      </c>
      <c r="C29" s="163"/>
      <c r="D29" s="161" t="s">
        <v>173</v>
      </c>
      <c r="E29" s="162" t="s">
        <v>174</v>
      </c>
      <c r="F29" s="163"/>
      <c r="G29" s="164" t="s">
        <v>175</v>
      </c>
      <c r="H29" s="165" t="s">
        <v>176</v>
      </c>
    </row>
    <row r="30" spans="1:8" ht="13" x14ac:dyDescent="0.3">
      <c r="A30" s="164" t="s">
        <v>177</v>
      </c>
      <c r="B30" s="165" t="s">
        <v>178</v>
      </c>
      <c r="C30" s="163"/>
      <c r="D30" s="164" t="s">
        <v>179</v>
      </c>
      <c r="E30" s="165" t="s">
        <v>180</v>
      </c>
      <c r="F30" s="163"/>
      <c r="G30" s="164" t="s">
        <v>181</v>
      </c>
      <c r="H30" s="165" t="s">
        <v>182</v>
      </c>
    </row>
    <row r="31" spans="1:8" ht="13" x14ac:dyDescent="0.3">
      <c r="A31" s="164" t="s">
        <v>183</v>
      </c>
      <c r="B31" s="165" t="s">
        <v>184</v>
      </c>
      <c r="C31" s="163"/>
      <c r="D31" s="161" t="s">
        <v>185</v>
      </c>
      <c r="E31" s="162" t="s">
        <v>186</v>
      </c>
      <c r="F31" s="163"/>
      <c r="G31" s="161" t="s">
        <v>187</v>
      </c>
      <c r="H31" s="162" t="s">
        <v>188</v>
      </c>
    </row>
    <row r="32" spans="1:8" ht="13" x14ac:dyDescent="0.3">
      <c r="A32" s="164" t="s">
        <v>189</v>
      </c>
      <c r="B32" s="165" t="s">
        <v>190</v>
      </c>
      <c r="C32" s="163"/>
      <c r="D32" s="161" t="s">
        <v>191</v>
      </c>
      <c r="E32" s="162" t="s">
        <v>192</v>
      </c>
      <c r="F32" s="163"/>
      <c r="G32" s="164" t="s">
        <v>193</v>
      </c>
      <c r="H32" s="165" t="s">
        <v>194</v>
      </c>
    </row>
    <row r="33" spans="1:8" ht="13" x14ac:dyDescent="0.3">
      <c r="A33" s="161" t="s">
        <v>195</v>
      </c>
      <c r="B33" s="162" t="s">
        <v>196</v>
      </c>
      <c r="C33" s="163"/>
      <c r="D33" s="161" t="s">
        <v>197</v>
      </c>
      <c r="E33" s="162" t="s">
        <v>198</v>
      </c>
      <c r="F33" s="163"/>
      <c r="G33" s="164" t="s">
        <v>199</v>
      </c>
      <c r="H33" s="165" t="s">
        <v>200</v>
      </c>
    </row>
    <row r="34" spans="1:8" ht="13" x14ac:dyDescent="0.3">
      <c r="A34" s="164" t="s">
        <v>201</v>
      </c>
      <c r="B34" s="165" t="s">
        <v>202</v>
      </c>
      <c r="C34" s="163"/>
      <c r="D34" s="161" t="s">
        <v>203</v>
      </c>
      <c r="E34" s="162" t="s">
        <v>204</v>
      </c>
      <c r="F34" s="163"/>
      <c r="G34" s="164" t="s">
        <v>205</v>
      </c>
      <c r="H34" s="165" t="s">
        <v>206</v>
      </c>
    </row>
    <row r="35" spans="1:8" ht="13" x14ac:dyDescent="0.3">
      <c r="A35" s="164" t="s">
        <v>207</v>
      </c>
      <c r="B35" s="165" t="s">
        <v>208</v>
      </c>
      <c r="C35" s="163"/>
      <c r="D35" s="164" t="s">
        <v>209</v>
      </c>
      <c r="E35" s="165" t="s">
        <v>210</v>
      </c>
      <c r="F35" s="163"/>
      <c r="G35" s="161" t="s">
        <v>211</v>
      </c>
      <c r="H35" s="162" t="s">
        <v>212</v>
      </c>
    </row>
    <row r="36" spans="1:8" ht="13" x14ac:dyDescent="0.3">
      <c r="A36" s="164" t="s">
        <v>213</v>
      </c>
      <c r="B36" s="165" t="s">
        <v>214</v>
      </c>
      <c r="C36" s="163"/>
      <c r="D36" s="164" t="s">
        <v>215</v>
      </c>
      <c r="E36" s="165" t="s">
        <v>216</v>
      </c>
      <c r="F36" s="163"/>
      <c r="G36" s="164" t="s">
        <v>217</v>
      </c>
      <c r="H36" s="165" t="s">
        <v>218</v>
      </c>
    </row>
    <row r="37" spans="1:8" ht="13" x14ac:dyDescent="0.3">
      <c r="A37" s="164" t="s">
        <v>219</v>
      </c>
      <c r="B37" s="165" t="s">
        <v>220</v>
      </c>
      <c r="C37" s="163"/>
      <c r="D37" s="164" t="s">
        <v>221</v>
      </c>
      <c r="E37" s="165" t="s">
        <v>222</v>
      </c>
      <c r="F37" s="163"/>
      <c r="G37" s="164" t="s">
        <v>223</v>
      </c>
      <c r="H37" s="165" t="s">
        <v>224</v>
      </c>
    </row>
    <row r="38" spans="1:8" ht="13" x14ac:dyDescent="0.3">
      <c r="A38" s="164" t="s">
        <v>225</v>
      </c>
      <c r="B38" s="165" t="s">
        <v>226</v>
      </c>
      <c r="C38" s="163"/>
      <c r="D38" s="164" t="s">
        <v>227</v>
      </c>
      <c r="E38" s="165" t="s">
        <v>228</v>
      </c>
      <c r="F38" s="163"/>
      <c r="G38" s="164" t="s">
        <v>229</v>
      </c>
      <c r="H38" s="165" t="s">
        <v>230</v>
      </c>
    </row>
    <row r="39" spans="1:8" ht="13" x14ac:dyDescent="0.3">
      <c r="A39" s="161" t="s">
        <v>231</v>
      </c>
      <c r="B39" s="162" t="s">
        <v>232</v>
      </c>
      <c r="C39" s="163"/>
      <c r="D39" s="164" t="s">
        <v>233</v>
      </c>
      <c r="E39" s="165" t="s">
        <v>234</v>
      </c>
      <c r="F39" s="163"/>
      <c r="G39" s="164" t="s">
        <v>235</v>
      </c>
      <c r="H39" s="165" t="s">
        <v>236</v>
      </c>
    </row>
    <row r="40" spans="1:8" ht="13" x14ac:dyDescent="0.3">
      <c r="A40" s="164" t="s">
        <v>237</v>
      </c>
      <c r="B40" s="165" t="s">
        <v>238</v>
      </c>
      <c r="C40" s="163"/>
      <c r="D40" s="164" t="s">
        <v>239</v>
      </c>
      <c r="E40" s="165" t="s">
        <v>240</v>
      </c>
      <c r="F40" s="163"/>
      <c r="G40" s="164" t="s">
        <v>241</v>
      </c>
      <c r="H40" s="165" t="s">
        <v>242</v>
      </c>
    </row>
    <row r="41" spans="1:8" ht="13" x14ac:dyDescent="0.3">
      <c r="A41" s="164" t="s">
        <v>243</v>
      </c>
      <c r="B41" s="165" t="s">
        <v>244</v>
      </c>
      <c r="C41" s="163"/>
      <c r="D41" s="164" t="s">
        <v>245</v>
      </c>
      <c r="E41" s="165" t="s">
        <v>246</v>
      </c>
      <c r="F41" s="163"/>
      <c r="G41" s="161" t="s">
        <v>247</v>
      </c>
      <c r="H41" s="162" t="s">
        <v>1</v>
      </c>
    </row>
    <row r="42" spans="1:8" ht="13" x14ac:dyDescent="0.3">
      <c r="A42" s="164" t="s">
        <v>248</v>
      </c>
      <c r="B42" s="165" t="s">
        <v>249</v>
      </c>
      <c r="C42" s="163"/>
      <c r="D42" s="161" t="s">
        <v>250</v>
      </c>
      <c r="E42" s="162" t="s">
        <v>251</v>
      </c>
      <c r="F42" s="163"/>
      <c r="G42" s="164" t="s">
        <v>252</v>
      </c>
      <c r="H42" s="165" t="s">
        <v>253</v>
      </c>
    </row>
    <row r="43" spans="1:8" ht="13" x14ac:dyDescent="0.3">
      <c r="A43" s="164" t="s">
        <v>254</v>
      </c>
      <c r="B43" s="165" t="s">
        <v>255</v>
      </c>
      <c r="C43" s="163"/>
      <c r="D43" s="164" t="s">
        <v>256</v>
      </c>
      <c r="E43" s="165" t="s">
        <v>257</v>
      </c>
      <c r="F43" s="163"/>
      <c r="G43" s="164" t="s">
        <v>258</v>
      </c>
      <c r="H43" s="165" t="s">
        <v>259</v>
      </c>
    </row>
    <row r="44" spans="1:8" ht="13" x14ac:dyDescent="0.3">
      <c r="A44" s="161" t="s">
        <v>260</v>
      </c>
      <c r="B44" s="162" t="s">
        <v>261</v>
      </c>
      <c r="C44" s="163"/>
      <c r="D44" s="164" t="s">
        <v>262</v>
      </c>
      <c r="E44" s="165" t="s">
        <v>263</v>
      </c>
      <c r="F44" s="163"/>
      <c r="G44" s="161" t="s">
        <v>264</v>
      </c>
      <c r="H44" s="162" t="s">
        <v>265</v>
      </c>
    </row>
    <row r="45" spans="1:8" ht="13" x14ac:dyDescent="0.3">
      <c r="A45" s="164" t="s">
        <v>266</v>
      </c>
      <c r="B45" s="165" t="s">
        <v>267</v>
      </c>
      <c r="C45" s="163"/>
      <c r="D45" s="164" t="s">
        <v>268</v>
      </c>
      <c r="E45" s="165" t="s">
        <v>269</v>
      </c>
      <c r="F45" s="163"/>
      <c r="G45" s="164" t="s">
        <v>270</v>
      </c>
      <c r="H45" s="165" t="s">
        <v>271</v>
      </c>
    </row>
    <row r="46" spans="1:8" ht="14.5" x14ac:dyDescent="0.35">
      <c r="A46" s="164" t="s">
        <v>272</v>
      </c>
      <c r="B46" s="165" t="s">
        <v>273</v>
      </c>
      <c r="C46" s="167"/>
      <c r="D46" s="164" t="s">
        <v>274</v>
      </c>
      <c r="E46" s="165" t="s">
        <v>275</v>
      </c>
      <c r="F46" s="167"/>
      <c r="G46" s="161" t="s">
        <v>276</v>
      </c>
      <c r="H46" s="162" t="s">
        <v>277</v>
      </c>
    </row>
  </sheetData>
  <sheetProtection algorithmName="SHA-512" hashValue="YX3hakJk/v4FNpMehdHOtrjRXj7wtuhkayGt5Mfck5z55OdO1T6MGHDBpsaEilLEAMizdjg8A8x5ZhVQrZacNw==" saltValue="zSgFClZYHbkuqI63NftcTg==" spinCount="100000" sheet="1" objects="1" scenarios="1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9662b1-cb09-478b-bef4-55ae2346baaf">
      <Terms xmlns="http://schemas.microsoft.com/office/infopath/2007/PartnerControls"/>
    </lcf76f155ced4ddcb4097134ff3c332f>
    <TaxCatchAll xmlns="5498497c-1f4e-4684-8e09-712e5b0873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823DECFA74F34D8F0001B5656EBB04" ma:contentTypeVersion="11" ma:contentTypeDescription="Create a new document." ma:contentTypeScope="" ma:versionID="0d02f1a3eb24e0aaacb01283f0bd4634">
  <xsd:schema xmlns:xsd="http://www.w3.org/2001/XMLSchema" xmlns:xs="http://www.w3.org/2001/XMLSchema" xmlns:p="http://schemas.microsoft.com/office/2006/metadata/properties" xmlns:ns2="839662b1-cb09-478b-bef4-55ae2346baaf" xmlns:ns3="5498497c-1f4e-4684-8e09-712e5b0873a6" targetNamespace="http://schemas.microsoft.com/office/2006/metadata/properties" ma:root="true" ma:fieldsID="dee9dac3d756309b7f08d23901c66515" ns2:_="" ns3:_="">
    <xsd:import namespace="839662b1-cb09-478b-bef4-55ae2346baaf"/>
    <xsd:import namespace="5498497c-1f4e-4684-8e09-712e5b0873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662b1-cb09-478b-bef4-55ae2346ba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8497c-1f4e-4684-8e09-712e5b0873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5a821f-aa9b-4e95-8465-cdf238120a05}" ma:internalName="TaxCatchAll" ma:showField="CatchAllData" ma:web="5498497c-1f4e-4684-8e09-712e5b0873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7DDE84-02C0-4589-B056-6EE17463F094}">
  <ds:schemaRefs>
    <ds:schemaRef ds:uri="http://schemas.microsoft.com/office/2006/metadata/properties"/>
    <ds:schemaRef ds:uri="http://schemas.microsoft.com/office/infopath/2007/PartnerControls"/>
    <ds:schemaRef ds:uri="d30e31c2-57cb-4765-86ff-3f8a7b07a217"/>
    <ds:schemaRef ds:uri="6eae365f-db69-4394-ac9f-8c93c8472542"/>
  </ds:schemaRefs>
</ds:datastoreItem>
</file>

<file path=customXml/itemProps2.xml><?xml version="1.0" encoding="utf-8"?>
<ds:datastoreItem xmlns:ds="http://schemas.openxmlformats.org/officeDocument/2006/customXml" ds:itemID="{0AEC9108-AA53-4C09-8D4A-A8E9D57E09FF}"/>
</file>

<file path=customXml/itemProps3.xml><?xml version="1.0" encoding="utf-8"?>
<ds:datastoreItem xmlns:ds="http://schemas.openxmlformats.org/officeDocument/2006/customXml" ds:itemID="{07C1DF30-7C38-4A24-A49F-B6197E4AEE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ELIN-Base Period Rec</vt:lpstr>
      <vt:lpstr>ELIN-Base Period-Non</vt:lpstr>
      <vt:lpstr>ELIN-1st Opt Period-Rec</vt:lpstr>
      <vt:lpstr>ELIN-1ST Opt Period-Non</vt:lpstr>
      <vt:lpstr>ELIN-2nd Opt Period-Rec</vt:lpstr>
      <vt:lpstr>ELIN-2nd Opt Period-Non</vt:lpstr>
      <vt:lpstr>ELIN-3rd Opt Period-Rec</vt:lpstr>
      <vt:lpstr>ELIN-3rd Opt Period-Non</vt:lpstr>
      <vt:lpstr>ELIN-4th Opt Period-Rec</vt:lpstr>
      <vt:lpstr>ELIN-4th Opt Period-Non</vt:lpstr>
      <vt:lpstr>ELIN-Opt To Extend-Rec</vt:lpstr>
      <vt:lpstr>ELIN-Opt to Extend-Non</vt:lpstr>
      <vt:lpstr>NAVFAC UOMs</vt:lpstr>
      <vt:lpstr>'ELIN-1st Opt Period-Rec'!Print_Area</vt:lpstr>
      <vt:lpstr>'ELIN-2nd Opt Period-Rec'!Print_Area</vt:lpstr>
      <vt:lpstr>'ELIN-3rd Opt Period-Rec'!Print_Area</vt:lpstr>
      <vt:lpstr>'ELIN-4th Opt Period-Rec'!Print_Area</vt:lpstr>
      <vt:lpstr>'ELIN-Base Period Rec'!Print_Area</vt:lpstr>
      <vt:lpstr>'ELIN-Opt To Extend-Rec'!Print_Area</vt:lpstr>
      <vt:lpstr>'ELIN-2nd Opt Period-Rec'!Print_Titles</vt:lpstr>
    </vt:vector>
  </TitlesOfParts>
  <Company>NAVFAC Southwest Division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DodgeOA</dc:creator>
  <cp:lastModifiedBy>Pilakowski, Shaunah Ann K CIV (USA)</cp:lastModifiedBy>
  <cp:lastPrinted>2025-12-29T19:58:26Z</cp:lastPrinted>
  <dcterms:created xsi:type="dcterms:W3CDTF">2002-10-30T13:57:49Z</dcterms:created>
  <dcterms:modified xsi:type="dcterms:W3CDTF">2025-12-29T20:40:07Z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ContentTypeId">
    <vt:lpwstr>0x010100AD823DECFA74F34D8F0001B5656EBB04</vt:lpwstr>
  </property>
  <property fmtid="{D5CDD505-2E9C-101B-9397-08002B2CF9AE}" pid="5" name="MediaServiceImageTags">
    <vt:lpwstr/>
  </property>
</Properties>
</file>